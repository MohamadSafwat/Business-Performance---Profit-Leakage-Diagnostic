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ad/Desktop/Projects/Automation/Purchasing Analysis/"/>
    </mc:Choice>
  </mc:AlternateContent>
  <xr:revisionPtr revIDLastSave="0" documentId="13_ncr:1_{DD17BD14-E4D6-3143-9D7A-E07833E4AFF6}" xr6:coauthVersionLast="47" xr6:coauthVersionMax="47" xr10:uidLastSave="{00000000-0000-0000-0000-000000000000}"/>
  <bookViews>
    <workbookView xWindow="0" yWindow="500" windowWidth="28800" windowHeight="16340" xr2:uid="{29798DAE-55C9-D742-9E2A-8C11E8C178B4}"/>
  </bookViews>
  <sheets>
    <sheet name="Full Data" sheetId="1" r:id="rId1"/>
  </sheets>
  <definedNames>
    <definedName name="_xlnm._FilterDatabase" localSheetId="0" hidden="1">'Full Data'!$B$2:$H$16685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784" i="1" l="1"/>
  <c r="G15761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4" i="1"/>
  <c r="G571" i="1"/>
  <c r="G572" i="1"/>
  <c r="G573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9" i="1"/>
  <c r="G1300" i="1"/>
  <c r="G1301" i="1"/>
  <c r="G1302" i="1"/>
  <c r="G1303" i="1"/>
  <c r="G1298" i="1"/>
  <c r="G1304" i="1"/>
  <c r="G1305" i="1"/>
  <c r="G1307" i="1"/>
  <c r="G1308" i="1"/>
  <c r="G1306" i="1"/>
  <c r="G1309" i="1"/>
  <c r="G1311" i="1"/>
  <c r="G1312" i="1"/>
  <c r="G1313" i="1"/>
  <c r="G1314" i="1"/>
  <c r="G1315" i="1"/>
  <c r="G1310" i="1"/>
  <c r="G1317" i="1"/>
  <c r="G1318" i="1"/>
  <c r="G1316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8" i="1"/>
  <c r="G1337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7" i="1"/>
  <c r="G1358" i="1"/>
  <c r="G1356" i="1"/>
  <c r="G1359" i="1"/>
  <c r="G1360" i="1"/>
  <c r="G1361" i="1"/>
  <c r="G1362" i="1"/>
  <c r="G1363" i="1"/>
  <c r="G1364" i="1"/>
  <c r="G1366" i="1"/>
  <c r="G1365" i="1"/>
  <c r="G1367" i="1"/>
  <c r="G1368" i="1"/>
  <c r="G1369" i="1"/>
  <c r="G1370" i="1"/>
  <c r="G1372" i="1"/>
  <c r="G1371" i="1"/>
  <c r="G1373" i="1"/>
  <c r="G1374" i="1"/>
  <c r="G1376" i="1"/>
  <c r="G1377" i="1"/>
  <c r="G1378" i="1"/>
  <c r="G1375" i="1"/>
  <c r="G1379" i="1"/>
  <c r="G1380" i="1"/>
  <c r="G1381" i="1"/>
  <c r="G1382" i="1"/>
  <c r="G1383" i="1"/>
  <c r="G1384" i="1"/>
  <c r="G1385" i="1"/>
  <c r="G1386" i="1"/>
  <c r="G1388" i="1"/>
  <c r="G1387" i="1"/>
  <c r="G1389" i="1"/>
  <c r="G1390" i="1"/>
  <c r="G1392" i="1"/>
  <c r="G1393" i="1"/>
  <c r="G1394" i="1"/>
  <c r="G1391" i="1"/>
  <c r="G1395" i="1"/>
  <c r="G1396" i="1"/>
  <c r="G1398" i="1"/>
  <c r="G1397" i="1"/>
  <c r="G1399" i="1"/>
  <c r="G1400" i="1"/>
  <c r="G1401" i="1"/>
  <c r="G1402" i="1"/>
  <c r="G1404" i="1"/>
  <c r="G1405" i="1"/>
  <c r="G1403" i="1"/>
  <c r="G1406" i="1"/>
  <c r="G1407" i="1"/>
  <c r="G1408" i="1"/>
  <c r="G1409" i="1"/>
  <c r="G1410" i="1"/>
  <c r="G1412" i="1"/>
  <c r="G1413" i="1"/>
  <c r="G1414" i="1"/>
  <c r="G1411" i="1"/>
  <c r="G1416" i="1"/>
  <c r="G1417" i="1"/>
  <c r="G1415" i="1"/>
  <c r="G1419" i="1"/>
  <c r="G1418" i="1"/>
  <c r="G1421" i="1"/>
  <c r="G1422" i="1"/>
  <c r="G1420" i="1"/>
  <c r="G1423" i="1"/>
  <c r="G1425" i="1"/>
  <c r="G1424" i="1"/>
  <c r="G1429" i="1"/>
  <c r="G1428" i="1"/>
  <c r="G1430" i="1"/>
  <c r="G1426" i="1"/>
  <c r="G1431" i="1"/>
  <c r="G1427" i="1"/>
  <c r="G1432" i="1"/>
  <c r="G1433" i="1"/>
  <c r="G1434" i="1"/>
  <c r="G1436" i="1"/>
  <c r="G1437" i="1"/>
  <c r="G1435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2" i="1"/>
  <c r="G1453" i="1"/>
  <c r="G1454" i="1"/>
  <c r="G1451" i="1"/>
  <c r="G1456" i="1"/>
  <c r="G1455" i="1"/>
  <c r="G1457" i="1"/>
  <c r="G1458" i="1"/>
  <c r="G1459" i="1"/>
  <c r="G1461" i="1"/>
  <c r="G1462" i="1"/>
  <c r="G1463" i="1"/>
  <c r="G1460" i="1"/>
  <c r="G1464" i="1"/>
  <c r="G1465" i="1"/>
  <c r="G1466" i="1"/>
  <c r="G1467" i="1"/>
  <c r="G1468" i="1"/>
  <c r="G1469" i="1"/>
  <c r="G1470" i="1"/>
  <c r="G1471" i="1"/>
  <c r="G1473" i="1"/>
  <c r="G1474" i="1"/>
  <c r="G1475" i="1"/>
  <c r="G1476" i="1"/>
  <c r="G1477" i="1"/>
  <c r="G1478" i="1"/>
  <c r="G1472" i="1"/>
  <c r="G1479" i="1"/>
  <c r="G1481" i="1"/>
  <c r="G1482" i="1"/>
  <c r="G1480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20" i="1"/>
  <c r="G1521" i="1"/>
  <c r="G1519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5" i="1"/>
  <c r="G1534" i="1"/>
  <c r="G1536" i="1"/>
  <c r="G1537" i="1"/>
  <c r="G1538" i="1"/>
  <c r="G1539" i="1"/>
  <c r="G1540" i="1"/>
  <c r="G1541" i="1"/>
  <c r="G1542" i="1"/>
  <c r="G1544" i="1"/>
  <c r="G1543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7" i="1"/>
  <c r="G1565" i="1"/>
  <c r="G1566" i="1"/>
  <c r="G1568" i="1"/>
  <c r="G1569" i="1"/>
  <c r="G1570" i="1"/>
  <c r="G1571" i="1"/>
  <c r="G1572" i="1"/>
  <c r="G1574" i="1"/>
  <c r="G1575" i="1"/>
  <c r="G1576" i="1"/>
  <c r="G1573" i="1"/>
  <c r="G1577" i="1"/>
  <c r="G1578" i="1"/>
  <c r="G1579" i="1"/>
  <c r="G1580" i="1"/>
  <c r="G1581" i="1"/>
  <c r="G1582" i="1"/>
  <c r="G1584" i="1"/>
  <c r="G1585" i="1"/>
  <c r="G1586" i="1"/>
  <c r="G1587" i="1"/>
  <c r="G1583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9" i="1"/>
  <c r="G1648" i="1"/>
  <c r="G1657" i="1"/>
  <c r="G1666" i="1"/>
  <c r="G1675" i="1"/>
  <c r="G1684" i="1"/>
  <c r="G1693" i="1"/>
  <c r="G1702" i="1"/>
  <c r="G1711" i="1"/>
  <c r="G1720" i="1"/>
  <c r="G1729" i="1"/>
  <c r="G1738" i="1"/>
  <c r="G1747" i="1"/>
  <c r="G1756" i="1"/>
  <c r="G1765" i="1"/>
  <c r="G1774" i="1"/>
  <c r="D1783" i="1"/>
  <c r="G1783" i="1"/>
  <c r="G1792" i="1"/>
  <c r="G1801" i="1"/>
  <c r="G1810" i="1"/>
  <c r="G1819" i="1"/>
  <c r="G1828" i="1"/>
  <c r="G1837" i="1"/>
  <c r="G1846" i="1"/>
  <c r="G1855" i="1"/>
  <c r="G1864" i="1"/>
  <c r="G1873" i="1"/>
  <c r="G1882" i="1"/>
  <c r="G1891" i="1"/>
  <c r="G1900" i="1"/>
  <c r="G1909" i="1"/>
  <c r="G1918" i="1"/>
  <c r="D1927" i="1"/>
  <c r="G1927" i="1"/>
  <c r="G1936" i="1"/>
  <c r="D1945" i="1"/>
  <c r="G1945" i="1"/>
  <c r="G1954" i="1"/>
  <c r="G1963" i="1"/>
  <c r="G1972" i="1"/>
  <c r="G1981" i="1"/>
  <c r="G1990" i="1"/>
  <c r="G1999" i="1"/>
  <c r="G2009" i="1"/>
  <c r="G2019" i="1"/>
  <c r="D2030" i="1"/>
  <c r="G2030" i="1"/>
  <c r="D2041" i="1"/>
  <c r="G2041" i="1"/>
  <c r="G2052" i="1"/>
  <c r="G2063" i="1"/>
  <c r="G2074" i="1"/>
  <c r="G2085" i="1"/>
  <c r="G2096" i="1"/>
  <c r="G2107" i="1"/>
  <c r="D2118" i="1"/>
  <c r="G2118" i="1"/>
  <c r="G2129" i="1"/>
  <c r="D2140" i="1"/>
  <c r="G2140" i="1"/>
  <c r="G2151" i="1"/>
  <c r="G2162" i="1"/>
  <c r="G2173" i="1"/>
  <c r="G2184" i="1"/>
  <c r="G2195" i="1"/>
  <c r="G2206" i="1"/>
  <c r="G2217" i="1"/>
  <c r="G2228" i="1"/>
  <c r="D2239" i="1"/>
  <c r="G2239" i="1"/>
  <c r="G2250" i="1"/>
  <c r="G2261" i="1"/>
  <c r="G2272" i="1"/>
  <c r="E2283" i="1"/>
  <c r="G2283" i="1" s="1"/>
  <c r="G2294" i="1"/>
  <c r="G2305" i="1"/>
  <c r="G2316" i="1"/>
  <c r="G2327" i="1"/>
  <c r="G2338" i="1"/>
  <c r="G2349" i="1"/>
  <c r="G2360" i="1"/>
  <c r="G2371" i="1"/>
  <c r="G2382" i="1"/>
  <c r="G2393" i="1"/>
  <c r="G2404" i="1"/>
  <c r="G2415" i="1"/>
  <c r="G2426" i="1"/>
  <c r="G2437" i="1"/>
  <c r="G2448" i="1"/>
  <c r="G2459" i="1"/>
  <c r="G2470" i="1"/>
  <c r="G2481" i="1"/>
  <c r="G2492" i="1"/>
  <c r="G2503" i="1"/>
  <c r="G2514" i="1"/>
  <c r="G2525" i="1"/>
  <c r="G2536" i="1"/>
  <c r="D2547" i="1"/>
  <c r="G2547" i="1"/>
  <c r="G2558" i="1"/>
  <c r="G2569" i="1"/>
  <c r="G2580" i="1"/>
  <c r="G2591" i="1"/>
  <c r="G2602" i="1"/>
  <c r="G2613" i="1"/>
  <c r="G2624" i="1"/>
  <c r="D2635" i="1"/>
  <c r="G2635" i="1"/>
  <c r="G2646" i="1"/>
  <c r="G2657" i="1"/>
  <c r="G2668" i="1"/>
  <c r="G2679" i="1"/>
  <c r="G2690" i="1"/>
  <c r="G2701" i="1"/>
  <c r="G2712" i="1"/>
  <c r="G2723" i="1"/>
  <c r="G2734" i="1"/>
  <c r="G2745" i="1"/>
  <c r="G2756" i="1"/>
  <c r="G2767" i="1"/>
  <c r="G2778" i="1"/>
  <c r="G2789" i="1"/>
  <c r="G2800" i="1"/>
  <c r="G2811" i="1"/>
  <c r="G2822" i="1"/>
  <c r="G2833" i="1"/>
  <c r="G2844" i="1"/>
  <c r="G2855" i="1"/>
  <c r="G2866" i="1"/>
  <c r="G2877" i="1"/>
  <c r="G2888" i="1"/>
  <c r="G2899" i="1"/>
  <c r="G2910" i="1"/>
  <c r="G2921" i="1"/>
  <c r="G2932" i="1"/>
  <c r="G2943" i="1"/>
  <c r="G2954" i="1"/>
  <c r="G2965" i="1"/>
  <c r="G2976" i="1"/>
  <c r="G2987" i="1"/>
  <c r="G2998" i="1"/>
  <c r="G3009" i="1"/>
  <c r="G3020" i="1"/>
  <c r="G3031" i="1"/>
  <c r="G3042" i="1"/>
  <c r="G3053" i="1"/>
  <c r="G3064" i="1"/>
  <c r="G3075" i="1"/>
  <c r="G3086" i="1"/>
  <c r="G3097" i="1"/>
  <c r="G3108" i="1"/>
  <c r="G3119" i="1"/>
  <c r="G3130" i="1"/>
  <c r="G3141" i="1"/>
  <c r="G3152" i="1"/>
  <c r="G3163" i="1"/>
  <c r="G3174" i="1"/>
  <c r="G3185" i="1"/>
  <c r="G3196" i="1"/>
  <c r="G3207" i="1"/>
  <c r="G3218" i="1"/>
  <c r="G3229" i="1"/>
  <c r="G3240" i="1"/>
  <c r="D3251" i="1"/>
  <c r="G3251" i="1"/>
  <c r="G3262" i="1"/>
  <c r="G3273" i="1"/>
  <c r="G3284" i="1"/>
  <c r="G3295" i="1"/>
  <c r="G3306" i="1"/>
  <c r="G3317" i="1"/>
  <c r="G3328" i="1"/>
  <c r="G3339" i="1"/>
  <c r="G3350" i="1"/>
  <c r="G3361" i="1"/>
  <c r="G3372" i="1"/>
  <c r="G3383" i="1"/>
  <c r="G3394" i="1"/>
  <c r="G3405" i="1"/>
  <c r="G3416" i="1"/>
  <c r="G3427" i="1"/>
  <c r="G3438" i="1"/>
  <c r="G3449" i="1"/>
  <c r="G3460" i="1"/>
  <c r="G3471" i="1"/>
  <c r="G3482" i="1"/>
  <c r="G3493" i="1"/>
  <c r="D3504" i="1"/>
  <c r="E3504" i="1"/>
  <c r="G3504" i="1"/>
  <c r="G3515" i="1"/>
  <c r="G3526" i="1"/>
  <c r="G3537" i="1"/>
  <c r="G3546" i="1"/>
  <c r="G3555" i="1"/>
  <c r="D3564" i="1"/>
  <c r="G3564" i="1"/>
  <c r="G3573" i="1"/>
  <c r="G3582" i="1"/>
  <c r="G3591" i="1"/>
  <c r="G3600" i="1"/>
  <c r="G3609" i="1"/>
  <c r="G3618" i="1"/>
  <c r="G3627" i="1"/>
  <c r="G3636" i="1"/>
  <c r="G3645" i="1"/>
  <c r="G3654" i="1"/>
  <c r="G3663" i="1"/>
  <c r="G3672" i="1"/>
  <c r="G3681" i="1"/>
  <c r="G3690" i="1"/>
  <c r="G3699" i="1"/>
  <c r="G3708" i="1"/>
  <c r="G3717" i="1"/>
  <c r="G3726" i="1"/>
  <c r="G3735" i="1"/>
  <c r="G3744" i="1"/>
  <c r="G3753" i="1"/>
  <c r="G3762" i="1"/>
  <c r="G3771" i="1"/>
  <c r="G3780" i="1"/>
  <c r="G3789" i="1"/>
  <c r="G3798" i="1"/>
  <c r="G3807" i="1"/>
  <c r="G3816" i="1"/>
  <c r="G3825" i="1"/>
  <c r="G3834" i="1"/>
  <c r="G3843" i="1"/>
  <c r="G3852" i="1"/>
  <c r="G3861" i="1"/>
  <c r="D3870" i="1"/>
  <c r="G3870" i="1"/>
  <c r="G3879" i="1"/>
  <c r="G3888" i="1"/>
  <c r="G3897" i="1"/>
  <c r="G3906" i="1"/>
  <c r="G3915" i="1"/>
  <c r="G3924" i="1"/>
  <c r="G3933" i="1"/>
  <c r="G3942" i="1"/>
  <c r="G3951" i="1"/>
  <c r="G3960" i="1"/>
  <c r="D3969" i="1"/>
  <c r="G3969" i="1"/>
  <c r="G3978" i="1"/>
  <c r="G3987" i="1"/>
  <c r="G3996" i="1"/>
  <c r="G4005" i="1"/>
  <c r="G4014" i="1"/>
  <c r="D4023" i="1"/>
  <c r="G4023" i="1"/>
  <c r="G4032" i="1"/>
  <c r="G4041" i="1"/>
  <c r="G4050" i="1"/>
  <c r="D4059" i="1"/>
  <c r="G4059" i="1"/>
  <c r="G4068" i="1"/>
  <c r="G4077" i="1"/>
  <c r="D4086" i="1"/>
  <c r="G4086" i="1"/>
  <c r="G4095" i="1"/>
  <c r="G4104" i="1"/>
  <c r="G4113" i="1"/>
  <c r="G4122" i="1"/>
  <c r="D4131" i="1"/>
  <c r="G4131" i="1"/>
  <c r="G4140" i="1"/>
  <c r="G4149" i="1"/>
  <c r="D4158" i="1"/>
  <c r="F4158" i="1"/>
  <c r="G4158" i="1" s="1"/>
  <c r="D4167" i="1"/>
  <c r="F4167" i="1"/>
  <c r="G4167" i="1" s="1"/>
  <c r="D4176" i="1"/>
  <c r="G4176" i="1"/>
  <c r="G4185" i="1"/>
  <c r="G4194" i="1"/>
  <c r="D4203" i="1"/>
  <c r="G4203" i="1"/>
  <c r="G4212" i="1"/>
  <c r="G4221" i="1"/>
  <c r="G4230" i="1"/>
  <c r="G4239" i="1"/>
  <c r="D4248" i="1"/>
  <c r="G4248" i="1"/>
  <c r="G4257" i="1"/>
  <c r="G4266" i="1"/>
  <c r="G4275" i="1"/>
  <c r="G4284" i="1"/>
  <c r="G4293" i="1"/>
  <c r="G4302" i="1"/>
  <c r="G4311" i="1"/>
  <c r="G4320" i="1"/>
  <c r="G4329" i="1"/>
  <c r="G4338" i="1"/>
  <c r="D4347" i="1"/>
  <c r="G4347" i="1"/>
  <c r="G4356" i="1"/>
  <c r="G4365" i="1"/>
  <c r="G4374" i="1"/>
  <c r="G4383" i="1"/>
  <c r="D4392" i="1"/>
  <c r="G4392" i="1"/>
  <c r="G4401" i="1"/>
  <c r="G4410" i="1"/>
  <c r="G4419" i="1"/>
  <c r="G4428" i="1"/>
  <c r="G4437" i="1"/>
  <c r="G4446" i="1"/>
  <c r="D4455" i="1"/>
  <c r="G4455" i="1"/>
  <c r="G4464" i="1"/>
  <c r="G4473" i="1"/>
  <c r="G4482" i="1"/>
  <c r="G4491" i="1"/>
  <c r="G4500" i="1"/>
  <c r="D4509" i="1"/>
  <c r="G4509" i="1"/>
  <c r="G4518" i="1"/>
  <c r="G4527" i="1"/>
  <c r="G4536" i="1"/>
  <c r="G4545" i="1"/>
  <c r="G4554" i="1"/>
  <c r="G4563" i="1"/>
  <c r="G4572" i="1"/>
  <c r="G4581" i="1"/>
  <c r="D4590" i="1"/>
  <c r="G4590" i="1"/>
  <c r="G4599" i="1"/>
  <c r="G4608" i="1"/>
  <c r="G4617" i="1"/>
  <c r="G4626" i="1"/>
  <c r="G4635" i="1"/>
  <c r="G4644" i="1"/>
  <c r="G4653" i="1"/>
  <c r="G4662" i="1"/>
  <c r="G4671" i="1"/>
  <c r="G4680" i="1"/>
  <c r="G4689" i="1"/>
  <c r="G4698" i="1"/>
  <c r="D4707" i="1"/>
  <c r="E4707" i="1"/>
  <c r="G4707" i="1" s="1"/>
  <c r="G4716" i="1"/>
  <c r="G4725" i="1"/>
  <c r="G4734" i="1"/>
  <c r="G4743" i="1"/>
  <c r="G4752" i="1"/>
  <c r="G4761" i="1"/>
  <c r="G4770" i="1"/>
  <c r="G4779" i="1"/>
  <c r="D4788" i="1"/>
  <c r="G4788" i="1"/>
  <c r="G4797" i="1"/>
  <c r="D4806" i="1"/>
  <c r="G4806" i="1"/>
  <c r="G4815" i="1"/>
  <c r="G4824" i="1"/>
  <c r="D4833" i="1"/>
  <c r="E4833" i="1"/>
  <c r="G4833" i="1" s="1"/>
  <c r="D4842" i="1"/>
  <c r="G4842" i="1"/>
  <c r="G4851" i="1"/>
  <c r="G4860" i="1"/>
  <c r="G4869" i="1"/>
  <c r="G4878" i="1"/>
  <c r="G4887" i="1"/>
  <c r="G4896" i="1"/>
  <c r="G4905" i="1"/>
  <c r="D4914" i="1"/>
  <c r="G4914" i="1"/>
  <c r="G4923" i="1"/>
  <c r="G4932" i="1"/>
  <c r="G4941" i="1"/>
  <c r="G4950" i="1"/>
  <c r="D4959" i="1"/>
  <c r="G4959" i="1"/>
  <c r="G4968" i="1"/>
  <c r="G4977" i="1"/>
  <c r="G4986" i="1"/>
  <c r="G4995" i="1"/>
  <c r="G5004" i="1"/>
  <c r="G5013" i="1"/>
  <c r="G5022" i="1"/>
  <c r="G5031" i="1"/>
  <c r="D5040" i="1"/>
  <c r="G5040" i="1"/>
  <c r="G5049" i="1"/>
  <c r="G5058" i="1"/>
  <c r="G5067" i="1"/>
  <c r="G5076" i="1"/>
  <c r="G5085" i="1"/>
  <c r="G5094" i="1"/>
  <c r="G5103" i="1"/>
  <c r="G5112" i="1"/>
  <c r="G5121" i="1"/>
  <c r="G5130" i="1"/>
  <c r="G5139" i="1"/>
  <c r="G5148" i="1"/>
  <c r="G5157" i="1"/>
  <c r="G5166" i="1"/>
  <c r="G5175" i="1"/>
  <c r="G5184" i="1"/>
  <c r="G1631" i="1"/>
  <c r="G1640" i="1"/>
  <c r="G1649" i="1"/>
  <c r="G1658" i="1"/>
  <c r="G1667" i="1"/>
  <c r="G1676" i="1"/>
  <c r="G1685" i="1"/>
  <c r="G1694" i="1"/>
  <c r="G1703" i="1"/>
  <c r="G1712" i="1"/>
  <c r="G1721" i="1"/>
  <c r="G1730" i="1"/>
  <c r="G1739" i="1"/>
  <c r="G1748" i="1"/>
  <c r="G1757" i="1"/>
  <c r="G1766" i="1"/>
  <c r="G1775" i="1"/>
  <c r="G1784" i="1"/>
  <c r="G1793" i="1"/>
  <c r="G1802" i="1"/>
  <c r="G1811" i="1"/>
  <c r="G1820" i="1"/>
  <c r="G1829" i="1"/>
  <c r="G1838" i="1"/>
  <c r="G1847" i="1"/>
  <c r="G1856" i="1"/>
  <c r="G1865" i="1"/>
  <c r="G1874" i="1"/>
  <c r="G1883" i="1"/>
  <c r="G1892" i="1"/>
  <c r="G1901" i="1"/>
  <c r="G1910" i="1"/>
  <c r="G1919" i="1"/>
  <c r="G1928" i="1"/>
  <c r="G1937" i="1"/>
  <c r="G1946" i="1"/>
  <c r="G1955" i="1"/>
  <c r="G1964" i="1"/>
  <c r="G1973" i="1"/>
  <c r="G1982" i="1"/>
  <c r="G1991" i="1"/>
  <c r="G2000" i="1"/>
  <c r="G2010" i="1"/>
  <c r="G2020" i="1"/>
  <c r="G2031" i="1"/>
  <c r="G2042" i="1"/>
  <c r="G2053" i="1"/>
  <c r="G2064" i="1"/>
  <c r="G2075" i="1"/>
  <c r="G2086" i="1"/>
  <c r="G2097" i="1"/>
  <c r="G2108" i="1"/>
  <c r="G2119" i="1"/>
  <c r="G2130" i="1"/>
  <c r="G2141" i="1"/>
  <c r="G2152" i="1"/>
  <c r="G2163" i="1"/>
  <c r="G2174" i="1"/>
  <c r="G2185" i="1"/>
  <c r="G2196" i="1"/>
  <c r="G2207" i="1"/>
  <c r="G2218" i="1"/>
  <c r="G2229" i="1"/>
  <c r="G2240" i="1"/>
  <c r="G2251" i="1"/>
  <c r="G2262" i="1"/>
  <c r="G2273" i="1"/>
  <c r="G2284" i="1"/>
  <c r="G2295" i="1"/>
  <c r="G2306" i="1"/>
  <c r="G2317" i="1"/>
  <c r="G2328" i="1"/>
  <c r="G2339" i="1"/>
  <c r="G2350" i="1"/>
  <c r="G2361" i="1"/>
  <c r="G2372" i="1"/>
  <c r="G2383" i="1"/>
  <c r="G2394" i="1"/>
  <c r="G2405" i="1"/>
  <c r="G2416" i="1"/>
  <c r="G2427" i="1"/>
  <c r="G2438" i="1"/>
  <c r="G2449" i="1"/>
  <c r="G2460" i="1"/>
  <c r="G2471" i="1"/>
  <c r="G2482" i="1"/>
  <c r="G2493" i="1"/>
  <c r="G2504" i="1"/>
  <c r="G2515" i="1"/>
  <c r="G2526" i="1"/>
  <c r="G2537" i="1"/>
  <c r="G2548" i="1"/>
  <c r="G2559" i="1"/>
  <c r="G2570" i="1"/>
  <c r="G2581" i="1"/>
  <c r="G2592" i="1"/>
  <c r="G2603" i="1"/>
  <c r="G2614" i="1"/>
  <c r="G2625" i="1"/>
  <c r="G2636" i="1"/>
  <c r="G2647" i="1"/>
  <c r="G2658" i="1"/>
  <c r="G2669" i="1"/>
  <c r="G2680" i="1"/>
  <c r="G2691" i="1"/>
  <c r="G2702" i="1"/>
  <c r="G2713" i="1"/>
  <c r="G2724" i="1"/>
  <c r="G2735" i="1"/>
  <c r="G2746" i="1"/>
  <c r="G2757" i="1"/>
  <c r="G2768" i="1"/>
  <c r="G2779" i="1"/>
  <c r="G2790" i="1"/>
  <c r="G2801" i="1"/>
  <c r="G2812" i="1"/>
  <c r="G2823" i="1"/>
  <c r="G2834" i="1"/>
  <c r="G2845" i="1"/>
  <c r="G2856" i="1"/>
  <c r="G2867" i="1"/>
  <c r="G2878" i="1"/>
  <c r="G2889" i="1"/>
  <c r="G2900" i="1"/>
  <c r="G2911" i="1"/>
  <c r="G2922" i="1"/>
  <c r="G2933" i="1"/>
  <c r="G2944" i="1"/>
  <c r="G2955" i="1"/>
  <c r="G2966" i="1"/>
  <c r="G2977" i="1"/>
  <c r="G2988" i="1"/>
  <c r="G2999" i="1"/>
  <c r="G3010" i="1"/>
  <c r="G3021" i="1"/>
  <c r="G3032" i="1"/>
  <c r="G3043" i="1"/>
  <c r="G3054" i="1"/>
  <c r="G3065" i="1"/>
  <c r="G3076" i="1"/>
  <c r="G3087" i="1"/>
  <c r="G3098" i="1"/>
  <c r="G3109" i="1"/>
  <c r="G3120" i="1"/>
  <c r="G3131" i="1"/>
  <c r="G3142" i="1"/>
  <c r="G3153" i="1"/>
  <c r="G3164" i="1"/>
  <c r="G3175" i="1"/>
  <c r="G3186" i="1"/>
  <c r="G3197" i="1"/>
  <c r="G3208" i="1"/>
  <c r="G3219" i="1"/>
  <c r="G3230" i="1"/>
  <c r="G3241" i="1"/>
  <c r="G3252" i="1"/>
  <c r="G3263" i="1"/>
  <c r="G3274" i="1"/>
  <c r="G3285" i="1"/>
  <c r="G3296" i="1"/>
  <c r="G3307" i="1"/>
  <c r="G3318" i="1"/>
  <c r="G3329" i="1"/>
  <c r="G3340" i="1"/>
  <c r="G3351" i="1"/>
  <c r="G3362" i="1"/>
  <c r="G3373" i="1"/>
  <c r="G3384" i="1"/>
  <c r="G3395" i="1"/>
  <c r="G3406" i="1"/>
  <c r="G3417" i="1"/>
  <c r="G3428" i="1"/>
  <c r="G3439" i="1"/>
  <c r="G3450" i="1"/>
  <c r="G3461" i="1"/>
  <c r="G3472" i="1"/>
  <c r="G3483" i="1"/>
  <c r="G3494" i="1"/>
  <c r="G3505" i="1"/>
  <c r="G3516" i="1"/>
  <c r="G3527" i="1"/>
  <c r="G3538" i="1"/>
  <c r="G3547" i="1"/>
  <c r="G3556" i="1"/>
  <c r="G3565" i="1"/>
  <c r="G3574" i="1"/>
  <c r="G3583" i="1"/>
  <c r="G3592" i="1"/>
  <c r="G3601" i="1"/>
  <c r="G3610" i="1"/>
  <c r="G3619" i="1"/>
  <c r="G3628" i="1"/>
  <c r="G3637" i="1"/>
  <c r="G3646" i="1"/>
  <c r="G3655" i="1"/>
  <c r="G3664" i="1"/>
  <c r="G3673" i="1"/>
  <c r="G3682" i="1"/>
  <c r="G3691" i="1"/>
  <c r="G3700" i="1"/>
  <c r="G3709" i="1"/>
  <c r="G3718" i="1"/>
  <c r="G3727" i="1"/>
  <c r="G3736" i="1"/>
  <c r="G3745" i="1"/>
  <c r="G3754" i="1"/>
  <c r="G3763" i="1"/>
  <c r="G3772" i="1"/>
  <c r="G3781" i="1"/>
  <c r="G3790" i="1"/>
  <c r="G3799" i="1"/>
  <c r="G3808" i="1"/>
  <c r="G3817" i="1"/>
  <c r="G3826" i="1"/>
  <c r="G3835" i="1"/>
  <c r="G3844" i="1"/>
  <c r="G3853" i="1"/>
  <c r="G3862" i="1"/>
  <c r="G3871" i="1"/>
  <c r="G3880" i="1"/>
  <c r="G3889" i="1"/>
  <c r="G3898" i="1"/>
  <c r="G3907" i="1"/>
  <c r="G3916" i="1"/>
  <c r="G3925" i="1"/>
  <c r="G3934" i="1"/>
  <c r="G3943" i="1"/>
  <c r="G3952" i="1"/>
  <c r="G3961" i="1"/>
  <c r="G3970" i="1"/>
  <c r="G3979" i="1"/>
  <c r="G3988" i="1"/>
  <c r="G3997" i="1"/>
  <c r="G4006" i="1"/>
  <c r="G4015" i="1"/>
  <c r="G4024" i="1"/>
  <c r="G4033" i="1"/>
  <c r="G4042" i="1"/>
  <c r="G4051" i="1"/>
  <c r="G4060" i="1"/>
  <c r="G4069" i="1"/>
  <c r="G4078" i="1"/>
  <c r="G4087" i="1"/>
  <c r="G4096" i="1"/>
  <c r="G4105" i="1"/>
  <c r="G4114" i="1"/>
  <c r="G4123" i="1"/>
  <c r="G4132" i="1"/>
  <c r="G4141" i="1"/>
  <c r="G4150" i="1"/>
  <c r="G4159" i="1"/>
  <c r="G4168" i="1"/>
  <c r="G4177" i="1"/>
  <c r="G4186" i="1"/>
  <c r="G4195" i="1"/>
  <c r="G4204" i="1"/>
  <c r="G4213" i="1"/>
  <c r="G4222" i="1"/>
  <c r="G4231" i="1"/>
  <c r="G4240" i="1"/>
  <c r="G4249" i="1"/>
  <c r="G4258" i="1"/>
  <c r="G4267" i="1"/>
  <c r="G4276" i="1"/>
  <c r="G4285" i="1"/>
  <c r="G4294" i="1"/>
  <c r="G4303" i="1"/>
  <c r="G4312" i="1"/>
  <c r="G4321" i="1"/>
  <c r="G4330" i="1"/>
  <c r="G4339" i="1"/>
  <c r="G4348" i="1"/>
  <c r="G4357" i="1"/>
  <c r="G4366" i="1"/>
  <c r="G4375" i="1"/>
  <c r="G4384" i="1"/>
  <c r="G4393" i="1"/>
  <c r="G4402" i="1"/>
  <c r="G4411" i="1"/>
  <c r="G4420" i="1"/>
  <c r="G4429" i="1"/>
  <c r="G4438" i="1"/>
  <c r="G4447" i="1"/>
  <c r="G4456" i="1"/>
  <c r="G4465" i="1"/>
  <c r="G4474" i="1"/>
  <c r="G4483" i="1"/>
  <c r="G4492" i="1"/>
  <c r="G4501" i="1"/>
  <c r="G4510" i="1"/>
  <c r="G4519" i="1"/>
  <c r="G4528" i="1"/>
  <c r="G4537" i="1"/>
  <c r="G4546" i="1"/>
  <c r="G4555" i="1"/>
  <c r="G4564" i="1"/>
  <c r="G4573" i="1"/>
  <c r="G4582" i="1"/>
  <c r="G4591" i="1"/>
  <c r="G4600" i="1"/>
  <c r="G4609" i="1"/>
  <c r="G4618" i="1"/>
  <c r="G4627" i="1"/>
  <c r="G4636" i="1"/>
  <c r="G4645" i="1"/>
  <c r="G4654" i="1"/>
  <c r="G4663" i="1"/>
  <c r="G4672" i="1"/>
  <c r="G4681" i="1"/>
  <c r="G4690" i="1"/>
  <c r="G4699" i="1"/>
  <c r="G4708" i="1"/>
  <c r="G4717" i="1"/>
  <c r="G4726" i="1"/>
  <c r="G4735" i="1"/>
  <c r="G4744" i="1"/>
  <c r="G4753" i="1"/>
  <c r="G4762" i="1"/>
  <c r="G4771" i="1"/>
  <c r="G4780" i="1"/>
  <c r="G4789" i="1"/>
  <c r="G4798" i="1"/>
  <c r="G4807" i="1"/>
  <c r="G4816" i="1"/>
  <c r="G4825" i="1"/>
  <c r="G4834" i="1"/>
  <c r="G4843" i="1"/>
  <c r="G4852" i="1"/>
  <c r="G4861" i="1"/>
  <c r="G4870" i="1"/>
  <c r="G4879" i="1"/>
  <c r="G4888" i="1"/>
  <c r="G4897" i="1"/>
  <c r="G4906" i="1"/>
  <c r="G4915" i="1"/>
  <c r="G4924" i="1"/>
  <c r="G4933" i="1"/>
  <c r="G4942" i="1"/>
  <c r="G4951" i="1"/>
  <c r="G4960" i="1"/>
  <c r="G4969" i="1"/>
  <c r="G4978" i="1"/>
  <c r="G4987" i="1"/>
  <c r="G4996" i="1"/>
  <c r="G5005" i="1"/>
  <c r="G5014" i="1"/>
  <c r="G5023" i="1"/>
  <c r="G5032" i="1"/>
  <c r="G5041" i="1"/>
  <c r="G5050" i="1"/>
  <c r="G5059" i="1"/>
  <c r="G5068" i="1"/>
  <c r="G5077" i="1"/>
  <c r="G5086" i="1"/>
  <c r="G5095" i="1"/>
  <c r="G5104" i="1"/>
  <c r="G5113" i="1"/>
  <c r="G5122" i="1"/>
  <c r="G5131" i="1"/>
  <c r="G5140" i="1"/>
  <c r="G5149" i="1"/>
  <c r="G5158" i="1"/>
  <c r="G5167" i="1"/>
  <c r="G5176" i="1"/>
  <c r="G5185" i="1"/>
  <c r="G1632" i="1"/>
  <c r="G1641" i="1"/>
  <c r="G1650" i="1"/>
  <c r="G1659" i="1"/>
  <c r="G1668" i="1"/>
  <c r="G1677" i="1"/>
  <c r="G1686" i="1"/>
  <c r="G1695" i="1"/>
  <c r="G1704" i="1"/>
  <c r="G1713" i="1"/>
  <c r="G1722" i="1"/>
  <c r="G1731" i="1"/>
  <c r="G1740" i="1"/>
  <c r="G1749" i="1"/>
  <c r="G1758" i="1"/>
  <c r="G1767" i="1"/>
  <c r="G1776" i="1"/>
  <c r="G1785" i="1"/>
  <c r="G1794" i="1"/>
  <c r="G1803" i="1"/>
  <c r="G1812" i="1"/>
  <c r="G1821" i="1"/>
  <c r="G1830" i="1"/>
  <c r="G1839" i="1"/>
  <c r="G1848" i="1"/>
  <c r="G1857" i="1"/>
  <c r="G1866" i="1"/>
  <c r="G1875" i="1"/>
  <c r="G1884" i="1"/>
  <c r="G1893" i="1"/>
  <c r="G1902" i="1"/>
  <c r="G1911" i="1"/>
  <c r="G1920" i="1"/>
  <c r="G1929" i="1"/>
  <c r="G1938" i="1"/>
  <c r="G1947" i="1"/>
  <c r="G1956" i="1"/>
  <c r="G1965" i="1"/>
  <c r="G1974" i="1"/>
  <c r="G1983" i="1"/>
  <c r="G1992" i="1"/>
  <c r="G2001" i="1"/>
  <c r="G2011" i="1"/>
  <c r="G2021" i="1"/>
  <c r="G2032" i="1"/>
  <c r="G2043" i="1"/>
  <c r="G2054" i="1"/>
  <c r="G2065" i="1"/>
  <c r="G2076" i="1"/>
  <c r="G2087" i="1"/>
  <c r="G2098" i="1"/>
  <c r="G2109" i="1"/>
  <c r="G2120" i="1"/>
  <c r="G2131" i="1"/>
  <c r="G2142" i="1"/>
  <c r="G2153" i="1"/>
  <c r="G2164" i="1"/>
  <c r="G2175" i="1"/>
  <c r="G2186" i="1"/>
  <c r="G2197" i="1"/>
  <c r="G2208" i="1"/>
  <c r="G2219" i="1"/>
  <c r="G2230" i="1"/>
  <c r="G2241" i="1"/>
  <c r="G2252" i="1"/>
  <c r="G2263" i="1"/>
  <c r="G2274" i="1"/>
  <c r="G2285" i="1"/>
  <c r="G2296" i="1"/>
  <c r="G2307" i="1"/>
  <c r="G2318" i="1"/>
  <c r="G2329" i="1"/>
  <c r="G2340" i="1"/>
  <c r="G2351" i="1"/>
  <c r="G2362" i="1"/>
  <c r="G2373" i="1"/>
  <c r="G2384" i="1"/>
  <c r="G2395" i="1"/>
  <c r="G2406" i="1"/>
  <c r="G2417" i="1"/>
  <c r="G2428" i="1"/>
  <c r="G2439" i="1"/>
  <c r="G2450" i="1"/>
  <c r="G2461" i="1"/>
  <c r="G2472" i="1"/>
  <c r="G2483" i="1"/>
  <c r="G2494" i="1"/>
  <c r="G2505" i="1"/>
  <c r="G2516" i="1"/>
  <c r="G2527" i="1"/>
  <c r="G2538" i="1"/>
  <c r="G2549" i="1"/>
  <c r="G2560" i="1"/>
  <c r="G2571" i="1"/>
  <c r="G2582" i="1"/>
  <c r="G2593" i="1"/>
  <c r="G2604" i="1"/>
  <c r="G2615" i="1"/>
  <c r="G2626" i="1"/>
  <c r="G2637" i="1"/>
  <c r="G2648" i="1"/>
  <c r="G2659" i="1"/>
  <c r="G2670" i="1"/>
  <c r="G2681" i="1"/>
  <c r="G2692" i="1"/>
  <c r="G2703" i="1"/>
  <c r="G2714" i="1"/>
  <c r="G2725" i="1"/>
  <c r="G2736" i="1"/>
  <c r="G2747" i="1"/>
  <c r="G2758" i="1"/>
  <c r="G2769" i="1"/>
  <c r="G2780" i="1"/>
  <c r="G2791" i="1"/>
  <c r="G2802" i="1"/>
  <c r="G2813" i="1"/>
  <c r="G2824" i="1"/>
  <c r="G2835" i="1"/>
  <c r="G2846" i="1"/>
  <c r="G2857" i="1"/>
  <c r="G2868" i="1"/>
  <c r="G2879" i="1"/>
  <c r="G2890" i="1"/>
  <c r="G2901" i="1"/>
  <c r="G2912" i="1"/>
  <c r="G2923" i="1"/>
  <c r="G2934" i="1"/>
  <c r="G2945" i="1"/>
  <c r="G2956" i="1"/>
  <c r="G2967" i="1"/>
  <c r="G2978" i="1"/>
  <c r="G2989" i="1"/>
  <c r="G3000" i="1"/>
  <c r="G3011" i="1"/>
  <c r="G3022" i="1"/>
  <c r="G3033" i="1"/>
  <c r="G3044" i="1"/>
  <c r="G3055" i="1"/>
  <c r="G3066" i="1"/>
  <c r="G3077" i="1"/>
  <c r="G3088" i="1"/>
  <c r="G3099" i="1"/>
  <c r="G3110" i="1"/>
  <c r="G3121" i="1"/>
  <c r="G3132" i="1"/>
  <c r="G3143" i="1"/>
  <c r="G3154" i="1"/>
  <c r="G3165" i="1"/>
  <c r="G3176" i="1"/>
  <c r="G3187" i="1"/>
  <c r="G3198" i="1"/>
  <c r="G3209" i="1"/>
  <c r="G3220" i="1"/>
  <c r="G3231" i="1"/>
  <c r="G3242" i="1"/>
  <c r="G3253" i="1"/>
  <c r="G3264" i="1"/>
  <c r="G3275" i="1"/>
  <c r="G3286" i="1"/>
  <c r="G3297" i="1"/>
  <c r="G3308" i="1"/>
  <c r="G3319" i="1"/>
  <c r="G3330" i="1"/>
  <c r="G3341" i="1"/>
  <c r="G3352" i="1"/>
  <c r="G3363" i="1"/>
  <c r="G3374" i="1"/>
  <c r="G3385" i="1"/>
  <c r="G3396" i="1"/>
  <c r="G3407" i="1"/>
  <c r="G3418" i="1"/>
  <c r="G3429" i="1"/>
  <c r="G3440" i="1"/>
  <c r="G3451" i="1"/>
  <c r="G3462" i="1"/>
  <c r="G3473" i="1"/>
  <c r="G3484" i="1"/>
  <c r="G3495" i="1"/>
  <c r="G3506" i="1"/>
  <c r="G3517" i="1"/>
  <c r="G3528" i="1"/>
  <c r="G3539" i="1"/>
  <c r="G3548" i="1"/>
  <c r="G3557" i="1"/>
  <c r="G3566" i="1"/>
  <c r="G3575" i="1"/>
  <c r="G3584" i="1"/>
  <c r="G3593" i="1"/>
  <c r="G3602" i="1"/>
  <c r="G3611" i="1"/>
  <c r="G3620" i="1"/>
  <c r="G3629" i="1"/>
  <c r="G3638" i="1"/>
  <c r="G3647" i="1"/>
  <c r="G3656" i="1"/>
  <c r="G3665" i="1"/>
  <c r="G3674" i="1"/>
  <c r="G3683" i="1"/>
  <c r="G3692" i="1"/>
  <c r="G3701" i="1"/>
  <c r="G3710" i="1"/>
  <c r="G3719" i="1"/>
  <c r="G3728" i="1"/>
  <c r="G3737" i="1"/>
  <c r="G3746" i="1"/>
  <c r="G3755" i="1"/>
  <c r="G3764" i="1"/>
  <c r="G3773" i="1"/>
  <c r="G3782" i="1"/>
  <c r="G3791" i="1"/>
  <c r="G3800" i="1"/>
  <c r="G3809" i="1"/>
  <c r="G3818" i="1"/>
  <c r="G3827" i="1"/>
  <c r="G3836" i="1"/>
  <c r="G3845" i="1"/>
  <c r="G3854" i="1"/>
  <c r="G3863" i="1"/>
  <c r="G3872" i="1"/>
  <c r="G3881" i="1"/>
  <c r="G3890" i="1"/>
  <c r="G3899" i="1"/>
  <c r="G3908" i="1"/>
  <c r="G3917" i="1"/>
  <c r="G3926" i="1"/>
  <c r="G3935" i="1"/>
  <c r="G3944" i="1"/>
  <c r="G3953" i="1"/>
  <c r="G3962" i="1"/>
  <c r="G3971" i="1"/>
  <c r="G3980" i="1"/>
  <c r="G3989" i="1"/>
  <c r="G3998" i="1"/>
  <c r="G4007" i="1"/>
  <c r="G4016" i="1"/>
  <c r="G4025" i="1"/>
  <c r="G4034" i="1"/>
  <c r="G4043" i="1"/>
  <c r="G4052" i="1"/>
  <c r="G4061" i="1"/>
  <c r="G4070" i="1"/>
  <c r="G4079" i="1"/>
  <c r="G4088" i="1"/>
  <c r="G4097" i="1"/>
  <c r="G4106" i="1"/>
  <c r="G4115" i="1"/>
  <c r="G4124" i="1"/>
  <c r="G4133" i="1"/>
  <c r="G4142" i="1"/>
  <c r="G4151" i="1"/>
  <c r="G4160" i="1"/>
  <c r="G4169" i="1"/>
  <c r="G4178" i="1"/>
  <c r="G4187" i="1"/>
  <c r="G4196" i="1"/>
  <c r="G4205" i="1"/>
  <c r="G4214" i="1"/>
  <c r="G4223" i="1"/>
  <c r="G4232" i="1"/>
  <c r="G4241" i="1"/>
  <c r="G4250" i="1"/>
  <c r="G4259" i="1"/>
  <c r="G4268" i="1"/>
  <c r="G4277" i="1"/>
  <c r="G4286" i="1"/>
  <c r="G4295" i="1"/>
  <c r="G4304" i="1"/>
  <c r="G4313" i="1"/>
  <c r="G4322" i="1"/>
  <c r="G4331" i="1"/>
  <c r="G4340" i="1"/>
  <c r="G4349" i="1"/>
  <c r="G4358" i="1"/>
  <c r="G4367" i="1"/>
  <c r="G4376" i="1"/>
  <c r="G4385" i="1"/>
  <c r="G4394" i="1"/>
  <c r="G4403" i="1"/>
  <c r="G4412" i="1"/>
  <c r="G4421" i="1"/>
  <c r="G4430" i="1"/>
  <c r="G4439" i="1"/>
  <c r="G4448" i="1"/>
  <c r="G4457" i="1"/>
  <c r="G4466" i="1"/>
  <c r="G4475" i="1"/>
  <c r="G4484" i="1"/>
  <c r="G4493" i="1"/>
  <c r="G4502" i="1"/>
  <c r="G4511" i="1"/>
  <c r="G4520" i="1"/>
  <c r="G4529" i="1"/>
  <c r="G4538" i="1"/>
  <c r="G4547" i="1"/>
  <c r="G4556" i="1"/>
  <c r="G4565" i="1"/>
  <c r="G4574" i="1"/>
  <c r="G4583" i="1"/>
  <c r="G4592" i="1"/>
  <c r="G4601" i="1"/>
  <c r="G4610" i="1"/>
  <c r="G4619" i="1"/>
  <c r="G4628" i="1"/>
  <c r="G4637" i="1"/>
  <c r="G4646" i="1"/>
  <c r="G4655" i="1"/>
  <c r="G4664" i="1"/>
  <c r="G4673" i="1"/>
  <c r="G4682" i="1"/>
  <c r="G4691" i="1"/>
  <c r="G4700" i="1"/>
  <c r="G4709" i="1"/>
  <c r="G4718" i="1"/>
  <c r="G4727" i="1"/>
  <c r="G4736" i="1"/>
  <c r="G4745" i="1"/>
  <c r="G4754" i="1"/>
  <c r="G4763" i="1"/>
  <c r="G4772" i="1"/>
  <c r="G4781" i="1"/>
  <c r="G4790" i="1"/>
  <c r="G4799" i="1"/>
  <c r="G4808" i="1"/>
  <c r="G4817" i="1"/>
  <c r="G4826" i="1"/>
  <c r="G4835" i="1"/>
  <c r="G4844" i="1"/>
  <c r="G4853" i="1"/>
  <c r="G4862" i="1"/>
  <c r="G4871" i="1"/>
  <c r="G4880" i="1"/>
  <c r="G4889" i="1"/>
  <c r="G4898" i="1"/>
  <c r="G4907" i="1"/>
  <c r="G4916" i="1"/>
  <c r="G4925" i="1"/>
  <c r="G4934" i="1"/>
  <c r="G4943" i="1"/>
  <c r="G4952" i="1"/>
  <c r="G4961" i="1"/>
  <c r="G4970" i="1"/>
  <c r="G4979" i="1"/>
  <c r="G4988" i="1"/>
  <c r="G4997" i="1"/>
  <c r="G5006" i="1"/>
  <c r="G5015" i="1"/>
  <c r="G5024" i="1"/>
  <c r="G5033" i="1"/>
  <c r="G5042" i="1"/>
  <c r="G5051" i="1"/>
  <c r="G5060" i="1"/>
  <c r="G5069" i="1"/>
  <c r="G5078" i="1"/>
  <c r="G5087" i="1"/>
  <c r="G5096" i="1"/>
  <c r="G5105" i="1"/>
  <c r="G5114" i="1"/>
  <c r="G5123" i="1"/>
  <c r="G5132" i="1"/>
  <c r="G5141" i="1"/>
  <c r="G5150" i="1"/>
  <c r="G5159" i="1"/>
  <c r="G5168" i="1"/>
  <c r="G5177" i="1"/>
  <c r="G5186" i="1"/>
  <c r="G1633" i="1"/>
  <c r="G1642" i="1"/>
  <c r="G1651" i="1"/>
  <c r="G1660" i="1"/>
  <c r="G1669" i="1"/>
  <c r="G1678" i="1"/>
  <c r="G1687" i="1"/>
  <c r="G1696" i="1"/>
  <c r="G1705" i="1"/>
  <c r="G1714" i="1"/>
  <c r="G1723" i="1"/>
  <c r="G1732" i="1"/>
  <c r="G1741" i="1"/>
  <c r="G1750" i="1"/>
  <c r="G1759" i="1"/>
  <c r="G1768" i="1"/>
  <c r="G1777" i="1"/>
  <c r="G1786" i="1"/>
  <c r="G1795" i="1"/>
  <c r="G1804" i="1"/>
  <c r="G1813" i="1"/>
  <c r="G1822" i="1"/>
  <c r="G1831" i="1"/>
  <c r="G1840" i="1"/>
  <c r="G1849" i="1"/>
  <c r="G1858" i="1"/>
  <c r="G1867" i="1"/>
  <c r="G1876" i="1"/>
  <c r="G1885" i="1"/>
  <c r="G1894" i="1"/>
  <c r="G1903" i="1"/>
  <c r="G1912" i="1"/>
  <c r="G1921" i="1"/>
  <c r="G1930" i="1"/>
  <c r="G1939" i="1"/>
  <c r="G1948" i="1"/>
  <c r="G1957" i="1"/>
  <c r="G1966" i="1"/>
  <c r="G1975" i="1"/>
  <c r="G1984" i="1"/>
  <c r="G1993" i="1"/>
  <c r="G2002" i="1"/>
  <c r="G2012" i="1"/>
  <c r="G2022" i="1"/>
  <c r="G2033" i="1"/>
  <c r="G2044" i="1"/>
  <c r="G2055" i="1"/>
  <c r="G2066" i="1"/>
  <c r="G2077" i="1"/>
  <c r="G2088" i="1"/>
  <c r="G2099" i="1"/>
  <c r="G2110" i="1"/>
  <c r="G2121" i="1"/>
  <c r="G2132" i="1"/>
  <c r="G2143" i="1"/>
  <c r="G2154" i="1"/>
  <c r="G2165" i="1"/>
  <c r="G2176" i="1"/>
  <c r="G2187" i="1"/>
  <c r="G2198" i="1"/>
  <c r="G2209" i="1"/>
  <c r="G2220" i="1"/>
  <c r="G2231" i="1"/>
  <c r="G2242" i="1"/>
  <c r="G2253" i="1"/>
  <c r="G2264" i="1"/>
  <c r="G2275" i="1"/>
  <c r="G2286" i="1"/>
  <c r="G2297" i="1"/>
  <c r="G2308" i="1"/>
  <c r="G2319" i="1"/>
  <c r="G2330" i="1"/>
  <c r="G2341" i="1"/>
  <c r="G2352" i="1"/>
  <c r="G2363" i="1"/>
  <c r="G2374" i="1"/>
  <c r="G2385" i="1"/>
  <c r="G2396" i="1"/>
  <c r="G2407" i="1"/>
  <c r="G2418" i="1"/>
  <c r="G2429" i="1"/>
  <c r="G2440" i="1"/>
  <c r="G2451" i="1"/>
  <c r="G2462" i="1"/>
  <c r="G2473" i="1"/>
  <c r="G2484" i="1"/>
  <c r="G2495" i="1"/>
  <c r="G2506" i="1"/>
  <c r="G2517" i="1"/>
  <c r="G2528" i="1"/>
  <c r="G2539" i="1"/>
  <c r="G2550" i="1"/>
  <c r="G2561" i="1"/>
  <c r="G2572" i="1"/>
  <c r="G2583" i="1"/>
  <c r="G2594" i="1"/>
  <c r="G2605" i="1"/>
  <c r="G2616" i="1"/>
  <c r="G2627" i="1"/>
  <c r="G2638" i="1"/>
  <c r="G2649" i="1"/>
  <c r="G2660" i="1"/>
  <c r="G2671" i="1"/>
  <c r="G2682" i="1"/>
  <c r="G2693" i="1"/>
  <c r="G2704" i="1"/>
  <c r="G2715" i="1"/>
  <c r="G2726" i="1"/>
  <c r="G2737" i="1"/>
  <c r="G2748" i="1"/>
  <c r="G2759" i="1"/>
  <c r="G2770" i="1"/>
  <c r="G2781" i="1"/>
  <c r="G2792" i="1"/>
  <c r="G2803" i="1"/>
  <c r="G2814" i="1"/>
  <c r="G2825" i="1"/>
  <c r="G2836" i="1"/>
  <c r="G2847" i="1"/>
  <c r="G2858" i="1"/>
  <c r="G2869" i="1"/>
  <c r="G2880" i="1"/>
  <c r="G2891" i="1"/>
  <c r="G2902" i="1"/>
  <c r="G2913" i="1"/>
  <c r="G2924" i="1"/>
  <c r="G2935" i="1"/>
  <c r="G2946" i="1"/>
  <c r="G2957" i="1"/>
  <c r="G2968" i="1"/>
  <c r="G2979" i="1"/>
  <c r="G2990" i="1"/>
  <c r="G3001" i="1"/>
  <c r="G3012" i="1"/>
  <c r="G3023" i="1"/>
  <c r="G3034" i="1"/>
  <c r="G3045" i="1"/>
  <c r="G3056" i="1"/>
  <c r="G3067" i="1"/>
  <c r="G3078" i="1"/>
  <c r="G3089" i="1"/>
  <c r="G3100" i="1"/>
  <c r="G3111" i="1"/>
  <c r="G3122" i="1"/>
  <c r="G3133" i="1"/>
  <c r="G3144" i="1"/>
  <c r="G3155" i="1"/>
  <c r="G3166" i="1"/>
  <c r="G3177" i="1"/>
  <c r="G3188" i="1"/>
  <c r="G3199" i="1"/>
  <c r="G3210" i="1"/>
  <c r="G3221" i="1"/>
  <c r="G3232" i="1"/>
  <c r="G3243" i="1"/>
  <c r="G3254" i="1"/>
  <c r="G3265" i="1"/>
  <c r="G3276" i="1"/>
  <c r="G3287" i="1"/>
  <c r="G3298" i="1"/>
  <c r="G3309" i="1"/>
  <c r="G3320" i="1"/>
  <c r="G3331" i="1"/>
  <c r="G3342" i="1"/>
  <c r="G3353" i="1"/>
  <c r="G3364" i="1"/>
  <c r="G3375" i="1"/>
  <c r="G3386" i="1"/>
  <c r="G3397" i="1"/>
  <c r="G3408" i="1"/>
  <c r="G3419" i="1"/>
  <c r="G3430" i="1"/>
  <c r="G3441" i="1"/>
  <c r="G3452" i="1"/>
  <c r="G3463" i="1"/>
  <c r="G3474" i="1"/>
  <c r="G3485" i="1"/>
  <c r="G3496" i="1"/>
  <c r="G3507" i="1"/>
  <c r="G3518" i="1"/>
  <c r="G3529" i="1"/>
  <c r="G3540" i="1"/>
  <c r="G3549" i="1"/>
  <c r="G3558" i="1"/>
  <c r="G3567" i="1"/>
  <c r="G3576" i="1"/>
  <c r="G3585" i="1"/>
  <c r="G3594" i="1"/>
  <c r="G3603" i="1"/>
  <c r="G3612" i="1"/>
  <c r="G3621" i="1"/>
  <c r="G3630" i="1"/>
  <c r="G3639" i="1"/>
  <c r="G3648" i="1"/>
  <c r="G3657" i="1"/>
  <c r="G3666" i="1"/>
  <c r="G3675" i="1"/>
  <c r="G3684" i="1"/>
  <c r="G3693" i="1"/>
  <c r="G3702" i="1"/>
  <c r="G3711" i="1"/>
  <c r="G3720" i="1"/>
  <c r="G3729" i="1"/>
  <c r="G3738" i="1"/>
  <c r="G3747" i="1"/>
  <c r="G3756" i="1"/>
  <c r="G3765" i="1"/>
  <c r="G3774" i="1"/>
  <c r="G3783" i="1"/>
  <c r="G3792" i="1"/>
  <c r="G3801" i="1"/>
  <c r="G3810" i="1"/>
  <c r="G3819" i="1"/>
  <c r="G3828" i="1"/>
  <c r="G3837" i="1"/>
  <c r="G3846" i="1"/>
  <c r="G3855" i="1"/>
  <c r="G3864" i="1"/>
  <c r="G3873" i="1"/>
  <c r="G3882" i="1"/>
  <c r="G3891" i="1"/>
  <c r="G3900" i="1"/>
  <c r="G3909" i="1"/>
  <c r="G3918" i="1"/>
  <c r="G3927" i="1"/>
  <c r="G3936" i="1"/>
  <c r="G3945" i="1"/>
  <c r="G3954" i="1"/>
  <c r="G3963" i="1"/>
  <c r="G3972" i="1"/>
  <c r="G3981" i="1"/>
  <c r="G3990" i="1"/>
  <c r="G3999" i="1"/>
  <c r="G4008" i="1"/>
  <c r="G4017" i="1"/>
  <c r="G4026" i="1"/>
  <c r="G4035" i="1"/>
  <c r="G4044" i="1"/>
  <c r="G4053" i="1"/>
  <c r="G4062" i="1"/>
  <c r="G4071" i="1"/>
  <c r="G4080" i="1"/>
  <c r="G4089" i="1"/>
  <c r="G4098" i="1"/>
  <c r="G4107" i="1"/>
  <c r="G4116" i="1"/>
  <c r="G4125" i="1"/>
  <c r="G4134" i="1"/>
  <c r="G4143" i="1"/>
  <c r="G4152" i="1"/>
  <c r="G4161" i="1"/>
  <c r="G4170" i="1"/>
  <c r="G4179" i="1"/>
  <c r="G4188" i="1"/>
  <c r="G4197" i="1"/>
  <c r="G4206" i="1"/>
  <c r="G4215" i="1"/>
  <c r="G4224" i="1"/>
  <c r="G4233" i="1"/>
  <c r="G4242" i="1"/>
  <c r="G4251" i="1"/>
  <c r="G4260" i="1"/>
  <c r="G4269" i="1"/>
  <c r="G4278" i="1"/>
  <c r="G4287" i="1"/>
  <c r="G4296" i="1"/>
  <c r="G4305" i="1"/>
  <c r="G4314" i="1"/>
  <c r="G4323" i="1"/>
  <c r="G4332" i="1"/>
  <c r="G4341" i="1"/>
  <c r="G4350" i="1"/>
  <c r="G4359" i="1"/>
  <c r="G4368" i="1"/>
  <c r="G4377" i="1"/>
  <c r="G4386" i="1"/>
  <c r="G4395" i="1"/>
  <c r="G4404" i="1"/>
  <c r="G4413" i="1"/>
  <c r="G4422" i="1"/>
  <c r="G4431" i="1"/>
  <c r="G4440" i="1"/>
  <c r="G4449" i="1"/>
  <c r="G4458" i="1"/>
  <c r="G4467" i="1"/>
  <c r="G4476" i="1"/>
  <c r="G4485" i="1"/>
  <c r="G4494" i="1"/>
  <c r="G4503" i="1"/>
  <c r="G4512" i="1"/>
  <c r="G4521" i="1"/>
  <c r="G4530" i="1"/>
  <c r="G4539" i="1"/>
  <c r="G4548" i="1"/>
  <c r="G4557" i="1"/>
  <c r="G4566" i="1"/>
  <c r="G4575" i="1"/>
  <c r="G4584" i="1"/>
  <c r="G4593" i="1"/>
  <c r="G4602" i="1"/>
  <c r="G4611" i="1"/>
  <c r="G4620" i="1"/>
  <c r="G4629" i="1"/>
  <c r="G4638" i="1"/>
  <c r="G4647" i="1"/>
  <c r="G4656" i="1"/>
  <c r="G4665" i="1"/>
  <c r="G4674" i="1"/>
  <c r="G4683" i="1"/>
  <c r="G4692" i="1"/>
  <c r="G4701" i="1"/>
  <c r="G4710" i="1"/>
  <c r="G4719" i="1"/>
  <c r="G4728" i="1"/>
  <c r="G4737" i="1"/>
  <c r="G4746" i="1"/>
  <c r="G4755" i="1"/>
  <c r="G4764" i="1"/>
  <c r="G4773" i="1"/>
  <c r="G4782" i="1"/>
  <c r="G4791" i="1"/>
  <c r="G4800" i="1"/>
  <c r="G4809" i="1"/>
  <c r="G4818" i="1"/>
  <c r="G4827" i="1"/>
  <c r="G4836" i="1"/>
  <c r="G4845" i="1"/>
  <c r="G4854" i="1"/>
  <c r="G4863" i="1"/>
  <c r="G4872" i="1"/>
  <c r="G4881" i="1"/>
  <c r="G4890" i="1"/>
  <c r="G4899" i="1"/>
  <c r="G4908" i="1"/>
  <c r="G4917" i="1"/>
  <c r="G4926" i="1"/>
  <c r="G4935" i="1"/>
  <c r="G4944" i="1"/>
  <c r="G4953" i="1"/>
  <c r="G4962" i="1"/>
  <c r="G4971" i="1"/>
  <c r="G4980" i="1"/>
  <c r="G4989" i="1"/>
  <c r="G4998" i="1"/>
  <c r="G5007" i="1"/>
  <c r="G5016" i="1"/>
  <c r="G5025" i="1"/>
  <c r="G5034" i="1"/>
  <c r="G5043" i="1"/>
  <c r="G5052" i="1"/>
  <c r="G5061" i="1"/>
  <c r="G5070" i="1"/>
  <c r="G5079" i="1"/>
  <c r="G5088" i="1"/>
  <c r="G5097" i="1"/>
  <c r="G5106" i="1"/>
  <c r="G5115" i="1"/>
  <c r="G5124" i="1"/>
  <c r="G5133" i="1"/>
  <c r="G5142" i="1"/>
  <c r="G5151" i="1"/>
  <c r="G5160" i="1"/>
  <c r="G5169" i="1"/>
  <c r="G5178" i="1"/>
  <c r="G5187" i="1"/>
  <c r="G1634" i="1"/>
  <c r="G1643" i="1"/>
  <c r="G1652" i="1"/>
  <c r="G1661" i="1"/>
  <c r="G1670" i="1"/>
  <c r="G1679" i="1"/>
  <c r="G1688" i="1"/>
  <c r="G1697" i="1"/>
  <c r="G1706" i="1"/>
  <c r="G1715" i="1"/>
  <c r="G1724" i="1"/>
  <c r="G1733" i="1"/>
  <c r="G1742" i="1"/>
  <c r="G1751" i="1"/>
  <c r="G1760" i="1"/>
  <c r="G1769" i="1"/>
  <c r="G1778" i="1"/>
  <c r="G1787" i="1"/>
  <c r="G1796" i="1"/>
  <c r="G1805" i="1"/>
  <c r="G1814" i="1"/>
  <c r="G1823" i="1"/>
  <c r="G1832" i="1"/>
  <c r="G1841" i="1"/>
  <c r="G1850" i="1"/>
  <c r="G1859" i="1"/>
  <c r="G1868" i="1"/>
  <c r="G1877" i="1"/>
  <c r="G1886" i="1"/>
  <c r="G1895" i="1"/>
  <c r="G1904" i="1"/>
  <c r="G1913" i="1"/>
  <c r="G1922" i="1"/>
  <c r="G1931" i="1"/>
  <c r="G1940" i="1"/>
  <c r="G1949" i="1"/>
  <c r="G1958" i="1"/>
  <c r="G1967" i="1"/>
  <c r="G1976" i="1"/>
  <c r="G1985" i="1"/>
  <c r="G1994" i="1"/>
  <c r="G2003" i="1"/>
  <c r="G2013" i="1"/>
  <c r="G2023" i="1"/>
  <c r="G2034" i="1"/>
  <c r="G2045" i="1"/>
  <c r="G2056" i="1"/>
  <c r="G2067" i="1"/>
  <c r="G2078" i="1"/>
  <c r="G2089" i="1"/>
  <c r="G2100" i="1"/>
  <c r="G2111" i="1"/>
  <c r="G2122" i="1"/>
  <c r="G2133" i="1"/>
  <c r="G2144" i="1"/>
  <c r="G2155" i="1"/>
  <c r="G2166" i="1"/>
  <c r="G2177" i="1"/>
  <c r="G2188" i="1"/>
  <c r="G2199" i="1"/>
  <c r="G2210" i="1"/>
  <c r="G2221" i="1"/>
  <c r="G2232" i="1"/>
  <c r="G2243" i="1"/>
  <c r="G2254" i="1"/>
  <c r="G2265" i="1"/>
  <c r="G2276" i="1"/>
  <c r="G2287" i="1"/>
  <c r="G2298" i="1"/>
  <c r="G2309" i="1"/>
  <c r="G2320" i="1"/>
  <c r="G2331" i="1"/>
  <c r="G2342" i="1"/>
  <c r="G2353" i="1"/>
  <c r="G2364" i="1"/>
  <c r="G2375" i="1"/>
  <c r="G2386" i="1"/>
  <c r="G2397" i="1"/>
  <c r="G2408" i="1"/>
  <c r="G2419" i="1"/>
  <c r="G2430" i="1"/>
  <c r="G2441" i="1"/>
  <c r="G2452" i="1"/>
  <c r="G2463" i="1"/>
  <c r="G2474" i="1"/>
  <c r="G2485" i="1"/>
  <c r="G2496" i="1"/>
  <c r="G2507" i="1"/>
  <c r="G2518" i="1"/>
  <c r="G2529" i="1"/>
  <c r="G2540" i="1"/>
  <c r="G2551" i="1"/>
  <c r="G2562" i="1"/>
  <c r="G2573" i="1"/>
  <c r="G2584" i="1"/>
  <c r="G2595" i="1"/>
  <c r="G2606" i="1"/>
  <c r="G2617" i="1"/>
  <c r="G2628" i="1"/>
  <c r="G2639" i="1"/>
  <c r="G2650" i="1"/>
  <c r="G2661" i="1"/>
  <c r="G2672" i="1"/>
  <c r="G2683" i="1"/>
  <c r="G2694" i="1"/>
  <c r="G2705" i="1"/>
  <c r="G2716" i="1"/>
  <c r="G2727" i="1"/>
  <c r="G2738" i="1"/>
  <c r="G2749" i="1"/>
  <c r="G2760" i="1"/>
  <c r="G2771" i="1"/>
  <c r="G2782" i="1"/>
  <c r="G2793" i="1"/>
  <c r="G2804" i="1"/>
  <c r="G2815" i="1"/>
  <c r="G2826" i="1"/>
  <c r="G2837" i="1"/>
  <c r="G2848" i="1"/>
  <c r="G2859" i="1"/>
  <c r="G2870" i="1"/>
  <c r="G2881" i="1"/>
  <c r="G2892" i="1"/>
  <c r="G2903" i="1"/>
  <c r="G2914" i="1"/>
  <c r="G2925" i="1"/>
  <c r="G2936" i="1"/>
  <c r="G2947" i="1"/>
  <c r="G2958" i="1"/>
  <c r="G2969" i="1"/>
  <c r="G2980" i="1"/>
  <c r="G2991" i="1"/>
  <c r="G3002" i="1"/>
  <c r="G3013" i="1"/>
  <c r="G3024" i="1"/>
  <c r="G3035" i="1"/>
  <c r="G3046" i="1"/>
  <c r="G3057" i="1"/>
  <c r="G3068" i="1"/>
  <c r="G3079" i="1"/>
  <c r="G3090" i="1"/>
  <c r="G3101" i="1"/>
  <c r="G3112" i="1"/>
  <c r="G3123" i="1"/>
  <c r="G3134" i="1"/>
  <c r="G3145" i="1"/>
  <c r="G3156" i="1"/>
  <c r="G3167" i="1"/>
  <c r="G3178" i="1"/>
  <c r="G3189" i="1"/>
  <c r="G3200" i="1"/>
  <c r="G3211" i="1"/>
  <c r="G3222" i="1"/>
  <c r="G3233" i="1"/>
  <c r="G3244" i="1"/>
  <c r="G3255" i="1"/>
  <c r="G3266" i="1"/>
  <c r="G3277" i="1"/>
  <c r="G3288" i="1"/>
  <c r="G3299" i="1"/>
  <c r="G3310" i="1"/>
  <c r="G3321" i="1"/>
  <c r="G3332" i="1"/>
  <c r="G3343" i="1"/>
  <c r="G3354" i="1"/>
  <c r="G3365" i="1"/>
  <c r="G3376" i="1"/>
  <c r="G3387" i="1"/>
  <c r="G3398" i="1"/>
  <c r="G3409" i="1"/>
  <c r="G3420" i="1"/>
  <c r="G3431" i="1"/>
  <c r="G3442" i="1"/>
  <c r="G3453" i="1"/>
  <c r="G3464" i="1"/>
  <c r="G3475" i="1"/>
  <c r="G3486" i="1"/>
  <c r="G3497" i="1"/>
  <c r="G3508" i="1"/>
  <c r="G3519" i="1"/>
  <c r="G3530" i="1"/>
  <c r="G3541" i="1"/>
  <c r="G3550" i="1"/>
  <c r="G3559" i="1"/>
  <c r="G3568" i="1"/>
  <c r="G3577" i="1"/>
  <c r="G3586" i="1"/>
  <c r="G3595" i="1"/>
  <c r="G3604" i="1"/>
  <c r="G3613" i="1"/>
  <c r="G3622" i="1"/>
  <c r="G3631" i="1"/>
  <c r="G3640" i="1"/>
  <c r="G3649" i="1"/>
  <c r="G3658" i="1"/>
  <c r="G3667" i="1"/>
  <c r="G3676" i="1"/>
  <c r="G3685" i="1"/>
  <c r="G3694" i="1"/>
  <c r="G3703" i="1"/>
  <c r="G3712" i="1"/>
  <c r="G3721" i="1"/>
  <c r="G3730" i="1"/>
  <c r="G3739" i="1"/>
  <c r="G3748" i="1"/>
  <c r="G3757" i="1"/>
  <c r="G3766" i="1"/>
  <c r="G3775" i="1"/>
  <c r="G3784" i="1"/>
  <c r="G3793" i="1"/>
  <c r="G3802" i="1"/>
  <c r="G3811" i="1"/>
  <c r="G3820" i="1"/>
  <c r="G3829" i="1"/>
  <c r="G3838" i="1"/>
  <c r="G3847" i="1"/>
  <c r="G3856" i="1"/>
  <c r="G3865" i="1"/>
  <c r="G3874" i="1"/>
  <c r="G3883" i="1"/>
  <c r="G3892" i="1"/>
  <c r="G3901" i="1"/>
  <c r="G3910" i="1"/>
  <c r="G3919" i="1"/>
  <c r="G3928" i="1"/>
  <c r="G3937" i="1"/>
  <c r="G3946" i="1"/>
  <c r="G3955" i="1"/>
  <c r="G3964" i="1"/>
  <c r="G3973" i="1"/>
  <c r="G3982" i="1"/>
  <c r="G3991" i="1"/>
  <c r="G4000" i="1"/>
  <c r="G4009" i="1"/>
  <c r="G4018" i="1"/>
  <c r="G4027" i="1"/>
  <c r="G4036" i="1"/>
  <c r="G4045" i="1"/>
  <c r="G4054" i="1"/>
  <c r="G4063" i="1"/>
  <c r="G4072" i="1"/>
  <c r="G4081" i="1"/>
  <c r="G4090" i="1"/>
  <c r="G4099" i="1"/>
  <c r="G4108" i="1"/>
  <c r="G4117" i="1"/>
  <c r="G4126" i="1"/>
  <c r="G4135" i="1"/>
  <c r="G4144" i="1"/>
  <c r="G4153" i="1"/>
  <c r="G4162" i="1"/>
  <c r="G4171" i="1"/>
  <c r="G4180" i="1"/>
  <c r="G4189" i="1"/>
  <c r="G4198" i="1"/>
  <c r="G4207" i="1"/>
  <c r="G4216" i="1"/>
  <c r="G4225" i="1"/>
  <c r="G4234" i="1"/>
  <c r="G4243" i="1"/>
  <c r="G4252" i="1"/>
  <c r="G4261" i="1"/>
  <c r="G4270" i="1"/>
  <c r="G4279" i="1"/>
  <c r="G4288" i="1"/>
  <c r="G4297" i="1"/>
  <c r="G4306" i="1"/>
  <c r="G4315" i="1"/>
  <c r="G4324" i="1"/>
  <c r="G4333" i="1"/>
  <c r="G4342" i="1"/>
  <c r="G4351" i="1"/>
  <c r="G4360" i="1"/>
  <c r="G4369" i="1"/>
  <c r="G4378" i="1"/>
  <c r="G4387" i="1"/>
  <c r="G4396" i="1"/>
  <c r="G4405" i="1"/>
  <c r="G4414" i="1"/>
  <c r="G4423" i="1"/>
  <c r="G4432" i="1"/>
  <c r="G4441" i="1"/>
  <c r="G4450" i="1"/>
  <c r="G4459" i="1"/>
  <c r="G4468" i="1"/>
  <c r="G4477" i="1"/>
  <c r="G4486" i="1"/>
  <c r="G4495" i="1"/>
  <c r="G4504" i="1"/>
  <c r="G4513" i="1"/>
  <c r="G4522" i="1"/>
  <c r="G4531" i="1"/>
  <c r="G4540" i="1"/>
  <c r="G4549" i="1"/>
  <c r="G4558" i="1"/>
  <c r="G4567" i="1"/>
  <c r="G4576" i="1"/>
  <c r="G4585" i="1"/>
  <c r="G4594" i="1"/>
  <c r="G4603" i="1"/>
  <c r="G4612" i="1"/>
  <c r="G4621" i="1"/>
  <c r="G4630" i="1"/>
  <c r="G4639" i="1"/>
  <c r="G4648" i="1"/>
  <c r="G4657" i="1"/>
  <c r="G4666" i="1"/>
  <c r="G4675" i="1"/>
  <c r="G4684" i="1"/>
  <c r="G4693" i="1"/>
  <c r="G4702" i="1"/>
  <c r="G4711" i="1"/>
  <c r="G4720" i="1"/>
  <c r="G4729" i="1"/>
  <c r="G4738" i="1"/>
  <c r="G4747" i="1"/>
  <c r="G4756" i="1"/>
  <c r="G4765" i="1"/>
  <c r="G4774" i="1"/>
  <c r="G4783" i="1"/>
  <c r="G4792" i="1"/>
  <c r="G4801" i="1"/>
  <c r="G4810" i="1"/>
  <c r="G4819" i="1"/>
  <c r="G4828" i="1"/>
  <c r="G4837" i="1"/>
  <c r="G4846" i="1"/>
  <c r="G4855" i="1"/>
  <c r="G4864" i="1"/>
  <c r="G4873" i="1"/>
  <c r="G4882" i="1"/>
  <c r="G4891" i="1"/>
  <c r="G4900" i="1"/>
  <c r="G4909" i="1"/>
  <c r="G4918" i="1"/>
  <c r="G4927" i="1"/>
  <c r="G4936" i="1"/>
  <c r="G4945" i="1"/>
  <c r="G4954" i="1"/>
  <c r="G4963" i="1"/>
  <c r="G4972" i="1"/>
  <c r="G4981" i="1"/>
  <c r="G4990" i="1"/>
  <c r="G4999" i="1"/>
  <c r="G5008" i="1"/>
  <c r="G5017" i="1"/>
  <c r="G5026" i="1"/>
  <c r="G5035" i="1"/>
  <c r="G5044" i="1"/>
  <c r="G5053" i="1"/>
  <c r="G5062" i="1"/>
  <c r="G5071" i="1"/>
  <c r="G5080" i="1"/>
  <c r="G5089" i="1"/>
  <c r="G5098" i="1"/>
  <c r="G5107" i="1"/>
  <c r="G5116" i="1"/>
  <c r="G5125" i="1"/>
  <c r="G5134" i="1"/>
  <c r="G5143" i="1"/>
  <c r="G5152" i="1"/>
  <c r="G5161" i="1"/>
  <c r="G5170" i="1"/>
  <c r="G5179" i="1"/>
  <c r="G5188" i="1"/>
  <c r="G1635" i="1"/>
  <c r="G1644" i="1"/>
  <c r="G1653" i="1"/>
  <c r="G1662" i="1"/>
  <c r="G1671" i="1"/>
  <c r="G1680" i="1"/>
  <c r="G1689" i="1"/>
  <c r="G1698" i="1"/>
  <c r="G1707" i="1"/>
  <c r="G1716" i="1"/>
  <c r="G1725" i="1"/>
  <c r="G1734" i="1"/>
  <c r="G1743" i="1"/>
  <c r="G1752" i="1"/>
  <c r="G1761" i="1"/>
  <c r="G1770" i="1"/>
  <c r="G1779" i="1"/>
  <c r="G1788" i="1"/>
  <c r="G1797" i="1"/>
  <c r="G1806" i="1"/>
  <c r="G1815" i="1"/>
  <c r="G1824" i="1"/>
  <c r="G1833" i="1"/>
  <c r="G1842" i="1"/>
  <c r="G1851" i="1"/>
  <c r="G1860" i="1"/>
  <c r="G1869" i="1"/>
  <c r="G1878" i="1"/>
  <c r="G1887" i="1"/>
  <c r="G1896" i="1"/>
  <c r="G1905" i="1"/>
  <c r="G1914" i="1"/>
  <c r="G1923" i="1"/>
  <c r="G1932" i="1"/>
  <c r="G1941" i="1"/>
  <c r="G1950" i="1"/>
  <c r="G1959" i="1"/>
  <c r="G1968" i="1"/>
  <c r="G1977" i="1"/>
  <c r="G1986" i="1"/>
  <c r="G1995" i="1"/>
  <c r="G2004" i="1"/>
  <c r="G2014" i="1"/>
  <c r="G2024" i="1"/>
  <c r="G2035" i="1"/>
  <c r="G2046" i="1"/>
  <c r="G2057" i="1"/>
  <c r="G2068" i="1"/>
  <c r="G2079" i="1"/>
  <c r="G2090" i="1"/>
  <c r="G2101" i="1"/>
  <c r="G2112" i="1"/>
  <c r="G2123" i="1"/>
  <c r="G2134" i="1"/>
  <c r="G2145" i="1"/>
  <c r="G2156" i="1"/>
  <c r="G2167" i="1"/>
  <c r="G2178" i="1"/>
  <c r="G2189" i="1"/>
  <c r="G2200" i="1"/>
  <c r="G2211" i="1"/>
  <c r="G2222" i="1"/>
  <c r="G2233" i="1"/>
  <c r="G2244" i="1"/>
  <c r="G2255" i="1"/>
  <c r="G2266" i="1"/>
  <c r="G2277" i="1"/>
  <c r="G2288" i="1"/>
  <c r="G2299" i="1"/>
  <c r="G2310" i="1"/>
  <c r="G2321" i="1"/>
  <c r="G2332" i="1"/>
  <c r="G2343" i="1"/>
  <c r="G2354" i="1"/>
  <c r="G2365" i="1"/>
  <c r="G2376" i="1"/>
  <c r="G2387" i="1"/>
  <c r="G2398" i="1"/>
  <c r="G2409" i="1"/>
  <c r="G2420" i="1"/>
  <c r="G2431" i="1"/>
  <c r="G2442" i="1"/>
  <c r="G2453" i="1"/>
  <c r="G2464" i="1"/>
  <c r="G2475" i="1"/>
  <c r="G2486" i="1"/>
  <c r="G2497" i="1"/>
  <c r="G2508" i="1"/>
  <c r="G2519" i="1"/>
  <c r="G2530" i="1"/>
  <c r="G2541" i="1"/>
  <c r="G2552" i="1"/>
  <c r="G2563" i="1"/>
  <c r="G2574" i="1"/>
  <c r="G2585" i="1"/>
  <c r="G2596" i="1"/>
  <c r="G2607" i="1"/>
  <c r="G2618" i="1"/>
  <c r="G2629" i="1"/>
  <c r="G2640" i="1"/>
  <c r="G2651" i="1"/>
  <c r="G2662" i="1"/>
  <c r="G2673" i="1"/>
  <c r="G2684" i="1"/>
  <c r="G2695" i="1"/>
  <c r="G2706" i="1"/>
  <c r="G2717" i="1"/>
  <c r="G2728" i="1"/>
  <c r="G2739" i="1"/>
  <c r="G2750" i="1"/>
  <c r="G2761" i="1"/>
  <c r="G2772" i="1"/>
  <c r="G2783" i="1"/>
  <c r="G2794" i="1"/>
  <c r="G2805" i="1"/>
  <c r="G2816" i="1"/>
  <c r="G2827" i="1"/>
  <c r="G2838" i="1"/>
  <c r="G2849" i="1"/>
  <c r="G2860" i="1"/>
  <c r="G2871" i="1"/>
  <c r="G2882" i="1"/>
  <c r="G2893" i="1"/>
  <c r="G2904" i="1"/>
  <c r="G2915" i="1"/>
  <c r="G2926" i="1"/>
  <c r="G2937" i="1"/>
  <c r="G2948" i="1"/>
  <c r="G2959" i="1"/>
  <c r="G2970" i="1"/>
  <c r="G2981" i="1"/>
  <c r="G2992" i="1"/>
  <c r="G3003" i="1"/>
  <c r="G3014" i="1"/>
  <c r="G3025" i="1"/>
  <c r="G3036" i="1"/>
  <c r="G3047" i="1"/>
  <c r="G3058" i="1"/>
  <c r="G3069" i="1"/>
  <c r="G3080" i="1"/>
  <c r="G3091" i="1"/>
  <c r="G3102" i="1"/>
  <c r="G3113" i="1"/>
  <c r="G3124" i="1"/>
  <c r="G3135" i="1"/>
  <c r="G3146" i="1"/>
  <c r="G3157" i="1"/>
  <c r="G3168" i="1"/>
  <c r="G3179" i="1"/>
  <c r="G3190" i="1"/>
  <c r="G3201" i="1"/>
  <c r="G3212" i="1"/>
  <c r="G3223" i="1"/>
  <c r="G3234" i="1"/>
  <c r="G3245" i="1"/>
  <c r="G3256" i="1"/>
  <c r="G3267" i="1"/>
  <c r="G3278" i="1"/>
  <c r="G3289" i="1"/>
  <c r="G3300" i="1"/>
  <c r="G3311" i="1"/>
  <c r="G3322" i="1"/>
  <c r="G3333" i="1"/>
  <c r="G3344" i="1"/>
  <c r="G3355" i="1"/>
  <c r="G3366" i="1"/>
  <c r="G3377" i="1"/>
  <c r="G3388" i="1"/>
  <c r="G3399" i="1"/>
  <c r="G3410" i="1"/>
  <c r="G3421" i="1"/>
  <c r="G3432" i="1"/>
  <c r="G3443" i="1"/>
  <c r="G3454" i="1"/>
  <c r="G3465" i="1"/>
  <c r="G3476" i="1"/>
  <c r="G3487" i="1"/>
  <c r="G3498" i="1"/>
  <c r="G3509" i="1"/>
  <c r="G3520" i="1"/>
  <c r="G3531" i="1"/>
  <c r="G3542" i="1"/>
  <c r="G3551" i="1"/>
  <c r="G3560" i="1"/>
  <c r="G3569" i="1"/>
  <c r="G3578" i="1"/>
  <c r="G3587" i="1"/>
  <c r="G3596" i="1"/>
  <c r="G3605" i="1"/>
  <c r="G3614" i="1"/>
  <c r="G3623" i="1"/>
  <c r="G3632" i="1"/>
  <c r="G3641" i="1"/>
  <c r="G3650" i="1"/>
  <c r="G3659" i="1"/>
  <c r="G3668" i="1"/>
  <c r="G3677" i="1"/>
  <c r="G3686" i="1"/>
  <c r="G3695" i="1"/>
  <c r="G3704" i="1"/>
  <c r="G3713" i="1"/>
  <c r="G3722" i="1"/>
  <c r="G3731" i="1"/>
  <c r="G3740" i="1"/>
  <c r="G3749" i="1"/>
  <c r="G3758" i="1"/>
  <c r="G3767" i="1"/>
  <c r="G3776" i="1"/>
  <c r="G3785" i="1"/>
  <c r="G3794" i="1"/>
  <c r="G3803" i="1"/>
  <c r="G3812" i="1"/>
  <c r="G3821" i="1"/>
  <c r="G3830" i="1"/>
  <c r="G3839" i="1"/>
  <c r="G3848" i="1"/>
  <c r="G3857" i="1"/>
  <c r="G3866" i="1"/>
  <c r="G3875" i="1"/>
  <c r="G3884" i="1"/>
  <c r="G3893" i="1"/>
  <c r="G3902" i="1"/>
  <c r="G3911" i="1"/>
  <c r="G3920" i="1"/>
  <c r="G3929" i="1"/>
  <c r="G3938" i="1"/>
  <c r="G3947" i="1"/>
  <c r="G3956" i="1"/>
  <c r="G3965" i="1"/>
  <c r="G3974" i="1"/>
  <c r="G3983" i="1"/>
  <c r="G3992" i="1"/>
  <c r="G4001" i="1"/>
  <c r="G4010" i="1"/>
  <c r="G4019" i="1"/>
  <c r="G4028" i="1"/>
  <c r="G4037" i="1"/>
  <c r="G4046" i="1"/>
  <c r="G4055" i="1"/>
  <c r="G4064" i="1"/>
  <c r="G4073" i="1"/>
  <c r="G4082" i="1"/>
  <c r="G4091" i="1"/>
  <c r="G4100" i="1"/>
  <c r="G4109" i="1"/>
  <c r="G4118" i="1"/>
  <c r="G4127" i="1"/>
  <c r="G4136" i="1"/>
  <c r="G4145" i="1"/>
  <c r="G4154" i="1"/>
  <c r="G4163" i="1"/>
  <c r="G4172" i="1"/>
  <c r="G4181" i="1"/>
  <c r="G4190" i="1"/>
  <c r="G4199" i="1"/>
  <c r="G4208" i="1"/>
  <c r="G4217" i="1"/>
  <c r="G4226" i="1"/>
  <c r="G4235" i="1"/>
  <c r="G4244" i="1"/>
  <c r="G4253" i="1"/>
  <c r="G4262" i="1"/>
  <c r="G4271" i="1"/>
  <c r="G4280" i="1"/>
  <c r="G4289" i="1"/>
  <c r="G4298" i="1"/>
  <c r="G4307" i="1"/>
  <c r="G4316" i="1"/>
  <c r="G4325" i="1"/>
  <c r="G4334" i="1"/>
  <c r="G4343" i="1"/>
  <c r="G4352" i="1"/>
  <c r="G4361" i="1"/>
  <c r="G4370" i="1"/>
  <c r="G4379" i="1"/>
  <c r="G4388" i="1"/>
  <c r="G4397" i="1"/>
  <c r="G4406" i="1"/>
  <c r="G4415" i="1"/>
  <c r="G4424" i="1"/>
  <c r="G4433" i="1"/>
  <c r="G4442" i="1"/>
  <c r="G4451" i="1"/>
  <c r="G4460" i="1"/>
  <c r="G4469" i="1"/>
  <c r="G4478" i="1"/>
  <c r="G4487" i="1"/>
  <c r="G4496" i="1"/>
  <c r="G4505" i="1"/>
  <c r="G4514" i="1"/>
  <c r="G4523" i="1"/>
  <c r="G4532" i="1"/>
  <c r="G4541" i="1"/>
  <c r="G4550" i="1"/>
  <c r="G4559" i="1"/>
  <c r="G4568" i="1"/>
  <c r="G4577" i="1"/>
  <c r="G4586" i="1"/>
  <c r="G4595" i="1"/>
  <c r="G4604" i="1"/>
  <c r="G4613" i="1"/>
  <c r="G4622" i="1"/>
  <c r="G4631" i="1"/>
  <c r="G4640" i="1"/>
  <c r="G4649" i="1"/>
  <c r="G4658" i="1"/>
  <c r="G4667" i="1"/>
  <c r="G4676" i="1"/>
  <c r="G4685" i="1"/>
  <c r="G4694" i="1"/>
  <c r="G4703" i="1"/>
  <c r="G4712" i="1"/>
  <c r="G4721" i="1"/>
  <c r="G4730" i="1"/>
  <c r="G4739" i="1"/>
  <c r="G4748" i="1"/>
  <c r="G4757" i="1"/>
  <c r="G4766" i="1"/>
  <c r="G4775" i="1"/>
  <c r="G4784" i="1"/>
  <c r="G4793" i="1"/>
  <c r="G4802" i="1"/>
  <c r="G4811" i="1"/>
  <c r="G4820" i="1"/>
  <c r="G4829" i="1"/>
  <c r="G4838" i="1"/>
  <c r="G4847" i="1"/>
  <c r="G4856" i="1"/>
  <c r="G4865" i="1"/>
  <c r="G4874" i="1"/>
  <c r="G4883" i="1"/>
  <c r="G4892" i="1"/>
  <c r="G4901" i="1"/>
  <c r="G4910" i="1"/>
  <c r="G4919" i="1"/>
  <c r="G4928" i="1"/>
  <c r="G4937" i="1"/>
  <c r="G4946" i="1"/>
  <c r="G4955" i="1"/>
  <c r="G4964" i="1"/>
  <c r="G4973" i="1"/>
  <c r="G4982" i="1"/>
  <c r="G4991" i="1"/>
  <c r="G5000" i="1"/>
  <c r="G5009" i="1"/>
  <c r="G5018" i="1"/>
  <c r="G5027" i="1"/>
  <c r="G5036" i="1"/>
  <c r="G5045" i="1"/>
  <c r="G5054" i="1"/>
  <c r="G5063" i="1"/>
  <c r="G5072" i="1"/>
  <c r="G5081" i="1"/>
  <c r="G5090" i="1"/>
  <c r="G5099" i="1"/>
  <c r="G5108" i="1"/>
  <c r="G5117" i="1"/>
  <c r="G5126" i="1"/>
  <c r="G5135" i="1"/>
  <c r="G5144" i="1"/>
  <c r="G5153" i="1"/>
  <c r="G5162" i="1"/>
  <c r="G5171" i="1"/>
  <c r="G5180" i="1"/>
  <c r="G5189" i="1"/>
  <c r="G2005" i="1"/>
  <c r="G2015" i="1"/>
  <c r="G2025" i="1"/>
  <c r="G2036" i="1"/>
  <c r="G2047" i="1"/>
  <c r="G2058" i="1"/>
  <c r="G2069" i="1"/>
  <c r="G2080" i="1"/>
  <c r="G2091" i="1"/>
  <c r="G2102" i="1"/>
  <c r="G2113" i="1"/>
  <c r="G2124" i="1"/>
  <c r="G2135" i="1"/>
  <c r="G2146" i="1"/>
  <c r="G2157" i="1"/>
  <c r="G2168" i="1"/>
  <c r="G2179" i="1"/>
  <c r="G2190" i="1"/>
  <c r="G2201" i="1"/>
  <c r="G2212" i="1"/>
  <c r="G2223" i="1"/>
  <c r="G2234" i="1"/>
  <c r="G2245" i="1"/>
  <c r="G2256" i="1"/>
  <c r="G2267" i="1"/>
  <c r="G2278" i="1"/>
  <c r="G2289" i="1"/>
  <c r="G2300" i="1"/>
  <c r="G2311" i="1"/>
  <c r="G2322" i="1"/>
  <c r="G2333" i="1"/>
  <c r="G2344" i="1"/>
  <c r="G2355" i="1"/>
  <c r="G2366" i="1"/>
  <c r="G2377" i="1"/>
  <c r="G2388" i="1"/>
  <c r="G2399" i="1"/>
  <c r="G2410" i="1"/>
  <c r="G2421" i="1"/>
  <c r="G2432" i="1"/>
  <c r="G2443" i="1"/>
  <c r="G2454" i="1"/>
  <c r="G2465" i="1"/>
  <c r="G2476" i="1"/>
  <c r="G2487" i="1"/>
  <c r="G2498" i="1"/>
  <c r="G2509" i="1"/>
  <c r="G2520" i="1"/>
  <c r="G2531" i="1"/>
  <c r="G2542" i="1"/>
  <c r="G2553" i="1"/>
  <c r="G2564" i="1"/>
  <c r="G2575" i="1"/>
  <c r="G2586" i="1"/>
  <c r="G2597" i="1"/>
  <c r="G2608" i="1"/>
  <c r="G2619" i="1"/>
  <c r="G2630" i="1"/>
  <c r="G2641" i="1"/>
  <c r="G2652" i="1"/>
  <c r="G2663" i="1"/>
  <c r="G2674" i="1"/>
  <c r="G2685" i="1"/>
  <c r="G2696" i="1"/>
  <c r="G2707" i="1"/>
  <c r="G2718" i="1"/>
  <c r="G2729" i="1"/>
  <c r="G2740" i="1"/>
  <c r="G2751" i="1"/>
  <c r="G2762" i="1"/>
  <c r="G2773" i="1"/>
  <c r="G2784" i="1"/>
  <c r="G2795" i="1"/>
  <c r="G2806" i="1"/>
  <c r="G2817" i="1"/>
  <c r="G2828" i="1"/>
  <c r="G2839" i="1"/>
  <c r="G2850" i="1"/>
  <c r="G2861" i="1"/>
  <c r="G2872" i="1"/>
  <c r="G2883" i="1"/>
  <c r="G2894" i="1"/>
  <c r="G2905" i="1"/>
  <c r="G2916" i="1"/>
  <c r="G2927" i="1"/>
  <c r="G2938" i="1"/>
  <c r="G2949" i="1"/>
  <c r="G2960" i="1"/>
  <c r="G2971" i="1"/>
  <c r="G2982" i="1"/>
  <c r="G2993" i="1"/>
  <c r="G3004" i="1"/>
  <c r="G3015" i="1"/>
  <c r="G3026" i="1"/>
  <c r="G3037" i="1"/>
  <c r="G3048" i="1"/>
  <c r="G3059" i="1"/>
  <c r="G3070" i="1"/>
  <c r="G3081" i="1"/>
  <c r="G3092" i="1"/>
  <c r="G3103" i="1"/>
  <c r="G3114" i="1"/>
  <c r="G3125" i="1"/>
  <c r="G3136" i="1"/>
  <c r="G3147" i="1"/>
  <c r="G3158" i="1"/>
  <c r="G3169" i="1"/>
  <c r="G3180" i="1"/>
  <c r="G3191" i="1"/>
  <c r="G3202" i="1"/>
  <c r="G3213" i="1"/>
  <c r="G3224" i="1"/>
  <c r="G3235" i="1"/>
  <c r="G3246" i="1"/>
  <c r="G3257" i="1"/>
  <c r="G3268" i="1"/>
  <c r="G3279" i="1"/>
  <c r="G3290" i="1"/>
  <c r="G3301" i="1"/>
  <c r="G3312" i="1"/>
  <c r="G3323" i="1"/>
  <c r="G3334" i="1"/>
  <c r="G3345" i="1"/>
  <c r="G3356" i="1"/>
  <c r="G3367" i="1"/>
  <c r="G3378" i="1"/>
  <c r="G3389" i="1"/>
  <c r="G3400" i="1"/>
  <c r="G3411" i="1"/>
  <c r="G3422" i="1"/>
  <c r="G3433" i="1"/>
  <c r="G3444" i="1"/>
  <c r="G3455" i="1"/>
  <c r="G3466" i="1"/>
  <c r="G3477" i="1"/>
  <c r="G3488" i="1"/>
  <c r="G3499" i="1"/>
  <c r="G3510" i="1"/>
  <c r="G3521" i="1"/>
  <c r="G3532" i="1"/>
  <c r="G2026" i="1"/>
  <c r="G2037" i="1"/>
  <c r="G2048" i="1"/>
  <c r="G2059" i="1"/>
  <c r="G2070" i="1"/>
  <c r="G2081" i="1"/>
  <c r="G2092" i="1"/>
  <c r="G2103" i="1"/>
  <c r="G2114" i="1"/>
  <c r="G2125" i="1"/>
  <c r="G2136" i="1"/>
  <c r="G2147" i="1"/>
  <c r="G2158" i="1"/>
  <c r="G2169" i="1"/>
  <c r="G2180" i="1"/>
  <c r="G2191" i="1"/>
  <c r="G2202" i="1"/>
  <c r="G2213" i="1"/>
  <c r="G2224" i="1"/>
  <c r="G2235" i="1"/>
  <c r="G2246" i="1"/>
  <c r="G2257" i="1"/>
  <c r="G2268" i="1"/>
  <c r="G2279" i="1"/>
  <c r="G2290" i="1"/>
  <c r="G2301" i="1"/>
  <c r="G2312" i="1"/>
  <c r="G2323" i="1"/>
  <c r="G2334" i="1"/>
  <c r="G2345" i="1"/>
  <c r="G2356" i="1"/>
  <c r="G2367" i="1"/>
  <c r="G2378" i="1"/>
  <c r="G2389" i="1"/>
  <c r="G2400" i="1"/>
  <c r="G2411" i="1"/>
  <c r="G2422" i="1"/>
  <c r="G2433" i="1"/>
  <c r="G2444" i="1"/>
  <c r="G2455" i="1"/>
  <c r="G2466" i="1"/>
  <c r="G2477" i="1"/>
  <c r="G2488" i="1"/>
  <c r="G2499" i="1"/>
  <c r="G2510" i="1"/>
  <c r="G2521" i="1"/>
  <c r="G2532" i="1"/>
  <c r="G2543" i="1"/>
  <c r="G2554" i="1"/>
  <c r="G2565" i="1"/>
  <c r="G2576" i="1"/>
  <c r="G2587" i="1"/>
  <c r="G2598" i="1"/>
  <c r="G2609" i="1"/>
  <c r="G2620" i="1"/>
  <c r="G2631" i="1"/>
  <c r="G2642" i="1"/>
  <c r="G2653" i="1"/>
  <c r="G2664" i="1"/>
  <c r="G2675" i="1"/>
  <c r="G2686" i="1"/>
  <c r="G2697" i="1"/>
  <c r="G2708" i="1"/>
  <c r="G2719" i="1"/>
  <c r="G2730" i="1"/>
  <c r="G2741" i="1"/>
  <c r="G2752" i="1"/>
  <c r="G2763" i="1"/>
  <c r="G2774" i="1"/>
  <c r="G2785" i="1"/>
  <c r="G2796" i="1"/>
  <c r="G2807" i="1"/>
  <c r="G2818" i="1"/>
  <c r="G2829" i="1"/>
  <c r="G2840" i="1"/>
  <c r="G2851" i="1"/>
  <c r="G2862" i="1"/>
  <c r="G2873" i="1"/>
  <c r="G2884" i="1"/>
  <c r="G2895" i="1"/>
  <c r="G2906" i="1"/>
  <c r="G2917" i="1"/>
  <c r="G2928" i="1"/>
  <c r="G2939" i="1"/>
  <c r="G2950" i="1"/>
  <c r="G2961" i="1"/>
  <c r="G2972" i="1"/>
  <c r="G2983" i="1"/>
  <c r="G2994" i="1"/>
  <c r="G3005" i="1"/>
  <c r="G3016" i="1"/>
  <c r="G3027" i="1"/>
  <c r="G3038" i="1"/>
  <c r="G3049" i="1"/>
  <c r="G3060" i="1"/>
  <c r="G3071" i="1"/>
  <c r="G3082" i="1"/>
  <c r="G3093" i="1"/>
  <c r="G3104" i="1"/>
  <c r="G3115" i="1"/>
  <c r="G3126" i="1"/>
  <c r="G3137" i="1"/>
  <c r="G3148" i="1"/>
  <c r="G3159" i="1"/>
  <c r="G3170" i="1"/>
  <c r="G3181" i="1"/>
  <c r="G3192" i="1"/>
  <c r="G3203" i="1"/>
  <c r="G3214" i="1"/>
  <c r="G3225" i="1"/>
  <c r="G3236" i="1"/>
  <c r="G3247" i="1"/>
  <c r="G3258" i="1"/>
  <c r="G3269" i="1"/>
  <c r="G3280" i="1"/>
  <c r="G3291" i="1"/>
  <c r="G3302" i="1"/>
  <c r="G3313" i="1"/>
  <c r="G3324" i="1"/>
  <c r="G3335" i="1"/>
  <c r="G3346" i="1"/>
  <c r="G3357" i="1"/>
  <c r="G3368" i="1"/>
  <c r="G3379" i="1"/>
  <c r="G3390" i="1"/>
  <c r="G3401" i="1"/>
  <c r="G3412" i="1"/>
  <c r="G3423" i="1"/>
  <c r="G3434" i="1"/>
  <c r="G3445" i="1"/>
  <c r="G3456" i="1"/>
  <c r="G3467" i="1"/>
  <c r="G3478" i="1"/>
  <c r="G3489" i="1"/>
  <c r="G3500" i="1"/>
  <c r="G3511" i="1"/>
  <c r="G3522" i="1"/>
  <c r="G3533" i="1"/>
  <c r="G1636" i="1"/>
  <c r="G1645" i="1"/>
  <c r="G1654" i="1"/>
  <c r="G1663" i="1"/>
  <c r="G1672" i="1"/>
  <c r="G1681" i="1"/>
  <c r="G1690" i="1"/>
  <c r="G1699" i="1"/>
  <c r="G1708" i="1"/>
  <c r="G1717" i="1"/>
  <c r="G1726" i="1"/>
  <c r="G1735" i="1"/>
  <c r="G1744" i="1"/>
  <c r="G1753" i="1"/>
  <c r="G1762" i="1"/>
  <c r="G1771" i="1"/>
  <c r="G1780" i="1"/>
  <c r="G1789" i="1"/>
  <c r="G1798" i="1"/>
  <c r="G1807" i="1"/>
  <c r="G1816" i="1"/>
  <c r="G1825" i="1"/>
  <c r="G1834" i="1"/>
  <c r="G1843" i="1"/>
  <c r="G1852" i="1"/>
  <c r="G1861" i="1"/>
  <c r="G1870" i="1"/>
  <c r="G1879" i="1"/>
  <c r="G1888" i="1"/>
  <c r="G1897" i="1"/>
  <c r="G1906" i="1"/>
  <c r="G1915" i="1"/>
  <c r="G1924" i="1"/>
  <c r="G1933" i="1"/>
  <c r="G1942" i="1"/>
  <c r="G1951" i="1"/>
  <c r="G1960" i="1"/>
  <c r="G1969" i="1"/>
  <c r="G1978" i="1"/>
  <c r="G1987" i="1"/>
  <c r="G1996" i="1"/>
  <c r="G2006" i="1"/>
  <c r="G2016" i="1"/>
  <c r="G2027" i="1"/>
  <c r="G2038" i="1"/>
  <c r="G2049" i="1"/>
  <c r="G2060" i="1"/>
  <c r="G2071" i="1"/>
  <c r="G2082" i="1"/>
  <c r="G2093" i="1"/>
  <c r="G2104" i="1"/>
  <c r="G2115" i="1"/>
  <c r="G2126" i="1"/>
  <c r="G2137" i="1"/>
  <c r="G2148" i="1"/>
  <c r="G2159" i="1"/>
  <c r="G2170" i="1"/>
  <c r="G2181" i="1"/>
  <c r="G2192" i="1"/>
  <c r="G2203" i="1"/>
  <c r="G2214" i="1"/>
  <c r="G2225" i="1"/>
  <c r="G2236" i="1"/>
  <c r="G2247" i="1"/>
  <c r="G2258" i="1"/>
  <c r="G2269" i="1"/>
  <c r="G2280" i="1"/>
  <c r="G2291" i="1"/>
  <c r="G2302" i="1"/>
  <c r="G2313" i="1"/>
  <c r="G2324" i="1"/>
  <c r="G2335" i="1"/>
  <c r="G2346" i="1"/>
  <c r="G2357" i="1"/>
  <c r="G2368" i="1"/>
  <c r="G2379" i="1"/>
  <c r="G2390" i="1"/>
  <c r="G2401" i="1"/>
  <c r="G2412" i="1"/>
  <c r="G2423" i="1"/>
  <c r="G2434" i="1"/>
  <c r="G2445" i="1"/>
  <c r="G2456" i="1"/>
  <c r="G2467" i="1"/>
  <c r="G2478" i="1"/>
  <c r="G2489" i="1"/>
  <c r="G2500" i="1"/>
  <c r="G2511" i="1"/>
  <c r="G2522" i="1"/>
  <c r="G2533" i="1"/>
  <c r="G2544" i="1"/>
  <c r="G2555" i="1"/>
  <c r="G2566" i="1"/>
  <c r="G2577" i="1"/>
  <c r="G2588" i="1"/>
  <c r="G2599" i="1"/>
  <c r="G2610" i="1"/>
  <c r="G2621" i="1"/>
  <c r="G2632" i="1"/>
  <c r="G2643" i="1"/>
  <c r="G2654" i="1"/>
  <c r="G2665" i="1"/>
  <c r="G2676" i="1"/>
  <c r="G2687" i="1"/>
  <c r="G2698" i="1"/>
  <c r="G2709" i="1"/>
  <c r="G2720" i="1"/>
  <c r="G2731" i="1"/>
  <c r="G2742" i="1"/>
  <c r="G2753" i="1"/>
  <c r="G2764" i="1"/>
  <c r="G2775" i="1"/>
  <c r="G2786" i="1"/>
  <c r="G2797" i="1"/>
  <c r="G2808" i="1"/>
  <c r="G2819" i="1"/>
  <c r="G2830" i="1"/>
  <c r="G2841" i="1"/>
  <c r="G2852" i="1"/>
  <c r="G2863" i="1"/>
  <c r="G2874" i="1"/>
  <c r="G2885" i="1"/>
  <c r="G2896" i="1"/>
  <c r="G2907" i="1"/>
  <c r="G2918" i="1"/>
  <c r="G2929" i="1"/>
  <c r="G2940" i="1"/>
  <c r="G2951" i="1"/>
  <c r="G2962" i="1"/>
  <c r="G2973" i="1"/>
  <c r="G2984" i="1"/>
  <c r="G2995" i="1"/>
  <c r="G3006" i="1"/>
  <c r="G3017" i="1"/>
  <c r="G3028" i="1"/>
  <c r="G3039" i="1"/>
  <c r="G3050" i="1"/>
  <c r="G3061" i="1"/>
  <c r="G3072" i="1"/>
  <c r="G3083" i="1"/>
  <c r="G3094" i="1"/>
  <c r="G3105" i="1"/>
  <c r="G3116" i="1"/>
  <c r="G3127" i="1"/>
  <c r="G3138" i="1"/>
  <c r="G3149" i="1"/>
  <c r="G3160" i="1"/>
  <c r="G3171" i="1"/>
  <c r="G3182" i="1"/>
  <c r="G3193" i="1"/>
  <c r="G3204" i="1"/>
  <c r="G3215" i="1"/>
  <c r="G3226" i="1"/>
  <c r="G3237" i="1"/>
  <c r="G3248" i="1"/>
  <c r="G3259" i="1"/>
  <c r="G3270" i="1"/>
  <c r="G3281" i="1"/>
  <c r="G3292" i="1"/>
  <c r="G3303" i="1"/>
  <c r="G3314" i="1"/>
  <c r="G3325" i="1"/>
  <c r="G3336" i="1"/>
  <c r="G3347" i="1"/>
  <c r="G3358" i="1"/>
  <c r="G3369" i="1"/>
  <c r="G3380" i="1"/>
  <c r="G3391" i="1"/>
  <c r="G3402" i="1"/>
  <c r="G3413" i="1"/>
  <c r="G3424" i="1"/>
  <c r="G3435" i="1"/>
  <c r="G3446" i="1"/>
  <c r="G3457" i="1"/>
  <c r="G3468" i="1"/>
  <c r="G3479" i="1"/>
  <c r="G3490" i="1"/>
  <c r="G3501" i="1"/>
  <c r="G3512" i="1"/>
  <c r="G3523" i="1"/>
  <c r="G3534" i="1"/>
  <c r="G3543" i="1"/>
  <c r="G3552" i="1"/>
  <c r="G3561" i="1"/>
  <c r="G3570" i="1"/>
  <c r="G3579" i="1"/>
  <c r="G3588" i="1"/>
  <c r="G3597" i="1"/>
  <c r="G3606" i="1"/>
  <c r="G3615" i="1"/>
  <c r="G3624" i="1"/>
  <c r="G3633" i="1"/>
  <c r="G3642" i="1"/>
  <c r="G3651" i="1"/>
  <c r="G3660" i="1"/>
  <c r="G3669" i="1"/>
  <c r="G3678" i="1"/>
  <c r="G3687" i="1"/>
  <c r="G3696" i="1"/>
  <c r="G3705" i="1"/>
  <c r="G3714" i="1"/>
  <c r="G3723" i="1"/>
  <c r="G3732" i="1"/>
  <c r="G3741" i="1"/>
  <c r="G3750" i="1"/>
  <c r="G3759" i="1"/>
  <c r="G3768" i="1"/>
  <c r="G3777" i="1"/>
  <c r="G3786" i="1"/>
  <c r="G3795" i="1"/>
  <c r="G3804" i="1"/>
  <c r="G3813" i="1"/>
  <c r="G3822" i="1"/>
  <c r="G3831" i="1"/>
  <c r="G3840" i="1"/>
  <c r="G3849" i="1"/>
  <c r="G3858" i="1"/>
  <c r="G3867" i="1"/>
  <c r="G3876" i="1"/>
  <c r="G3885" i="1"/>
  <c r="G3894" i="1"/>
  <c r="G3903" i="1"/>
  <c r="G3912" i="1"/>
  <c r="G3921" i="1"/>
  <c r="G3930" i="1"/>
  <c r="G3939" i="1"/>
  <c r="G3948" i="1"/>
  <c r="G3957" i="1"/>
  <c r="G3966" i="1"/>
  <c r="G3975" i="1"/>
  <c r="G3984" i="1"/>
  <c r="G3993" i="1"/>
  <c r="G4002" i="1"/>
  <c r="G4011" i="1"/>
  <c r="G4020" i="1"/>
  <c r="G4029" i="1"/>
  <c r="G4038" i="1"/>
  <c r="G4047" i="1"/>
  <c r="G4056" i="1"/>
  <c r="G4065" i="1"/>
  <c r="G4074" i="1"/>
  <c r="G4083" i="1"/>
  <c r="G4092" i="1"/>
  <c r="G4101" i="1"/>
  <c r="G4110" i="1"/>
  <c r="G4119" i="1"/>
  <c r="G4128" i="1"/>
  <c r="G4137" i="1"/>
  <c r="G4146" i="1"/>
  <c r="G4155" i="1"/>
  <c r="G4164" i="1"/>
  <c r="G4173" i="1"/>
  <c r="G4182" i="1"/>
  <c r="G4191" i="1"/>
  <c r="G4200" i="1"/>
  <c r="G4209" i="1"/>
  <c r="G4218" i="1"/>
  <c r="G4227" i="1"/>
  <c r="G4236" i="1"/>
  <c r="G4245" i="1"/>
  <c r="G4254" i="1"/>
  <c r="G4263" i="1"/>
  <c r="G4272" i="1"/>
  <c r="G4281" i="1"/>
  <c r="G4290" i="1"/>
  <c r="G4299" i="1"/>
  <c r="G4308" i="1"/>
  <c r="G4317" i="1"/>
  <c r="G4326" i="1"/>
  <c r="G4335" i="1"/>
  <c r="G4344" i="1"/>
  <c r="G4353" i="1"/>
  <c r="G4362" i="1"/>
  <c r="G4371" i="1"/>
  <c r="G4380" i="1"/>
  <c r="G4389" i="1"/>
  <c r="G4398" i="1"/>
  <c r="G4407" i="1"/>
  <c r="G4416" i="1"/>
  <c r="G4425" i="1"/>
  <c r="G4434" i="1"/>
  <c r="G4443" i="1"/>
  <c r="G4452" i="1"/>
  <c r="G4461" i="1"/>
  <c r="G4470" i="1"/>
  <c r="G4479" i="1"/>
  <c r="G4488" i="1"/>
  <c r="G4497" i="1"/>
  <c r="G4506" i="1"/>
  <c r="G4515" i="1"/>
  <c r="G4524" i="1"/>
  <c r="G4533" i="1"/>
  <c r="G4542" i="1"/>
  <c r="G4551" i="1"/>
  <c r="G4560" i="1"/>
  <c r="G4569" i="1"/>
  <c r="G4578" i="1"/>
  <c r="G4587" i="1"/>
  <c r="G4596" i="1"/>
  <c r="G4605" i="1"/>
  <c r="G4614" i="1"/>
  <c r="G4623" i="1"/>
  <c r="G4632" i="1"/>
  <c r="G4641" i="1"/>
  <c r="G4650" i="1"/>
  <c r="G4659" i="1"/>
  <c r="G4668" i="1"/>
  <c r="G4677" i="1"/>
  <c r="G4686" i="1"/>
  <c r="G4695" i="1"/>
  <c r="G4704" i="1"/>
  <c r="G4713" i="1"/>
  <c r="G4722" i="1"/>
  <c r="G4731" i="1"/>
  <c r="G4740" i="1"/>
  <c r="G4749" i="1"/>
  <c r="G4758" i="1"/>
  <c r="G4767" i="1"/>
  <c r="G4776" i="1"/>
  <c r="G4785" i="1"/>
  <c r="G4794" i="1"/>
  <c r="G4803" i="1"/>
  <c r="G4812" i="1"/>
  <c r="G4821" i="1"/>
  <c r="G4830" i="1"/>
  <c r="G4839" i="1"/>
  <c r="G4848" i="1"/>
  <c r="G4857" i="1"/>
  <c r="G4866" i="1"/>
  <c r="G4875" i="1"/>
  <c r="G4884" i="1"/>
  <c r="G4893" i="1"/>
  <c r="G4902" i="1"/>
  <c r="G4911" i="1"/>
  <c r="G4920" i="1"/>
  <c r="G4929" i="1"/>
  <c r="G4938" i="1"/>
  <c r="G4947" i="1"/>
  <c r="G4956" i="1"/>
  <c r="G4965" i="1"/>
  <c r="G4974" i="1"/>
  <c r="G4983" i="1"/>
  <c r="G4992" i="1"/>
  <c r="G5001" i="1"/>
  <c r="G5010" i="1"/>
  <c r="G5019" i="1"/>
  <c r="G5028" i="1"/>
  <c r="G5037" i="1"/>
  <c r="G5046" i="1"/>
  <c r="G5055" i="1"/>
  <c r="G5064" i="1"/>
  <c r="G5073" i="1"/>
  <c r="G5082" i="1"/>
  <c r="G5091" i="1"/>
  <c r="G5100" i="1"/>
  <c r="G5109" i="1"/>
  <c r="G5118" i="1"/>
  <c r="G5127" i="1"/>
  <c r="G5136" i="1"/>
  <c r="G5145" i="1"/>
  <c r="G5154" i="1"/>
  <c r="G5163" i="1"/>
  <c r="G5172" i="1"/>
  <c r="G5181" i="1"/>
  <c r="G5190" i="1"/>
  <c r="G1637" i="1"/>
  <c r="G1646" i="1"/>
  <c r="G1655" i="1"/>
  <c r="G1664" i="1"/>
  <c r="G1673" i="1"/>
  <c r="G1682" i="1"/>
  <c r="G1691" i="1"/>
  <c r="G1700" i="1"/>
  <c r="G1709" i="1"/>
  <c r="G1718" i="1"/>
  <c r="G1727" i="1"/>
  <c r="G1736" i="1"/>
  <c r="G1745" i="1"/>
  <c r="G1754" i="1"/>
  <c r="G1763" i="1"/>
  <c r="G1772" i="1"/>
  <c r="G1781" i="1"/>
  <c r="G1790" i="1"/>
  <c r="G1799" i="1"/>
  <c r="G1808" i="1"/>
  <c r="G1817" i="1"/>
  <c r="G1826" i="1"/>
  <c r="G1835" i="1"/>
  <c r="G1844" i="1"/>
  <c r="G1853" i="1"/>
  <c r="G1862" i="1"/>
  <c r="G1871" i="1"/>
  <c r="G1880" i="1"/>
  <c r="G1889" i="1"/>
  <c r="G1898" i="1"/>
  <c r="G1907" i="1"/>
  <c r="G1916" i="1"/>
  <c r="G1925" i="1"/>
  <c r="G1934" i="1"/>
  <c r="G1943" i="1"/>
  <c r="G1952" i="1"/>
  <c r="G1961" i="1"/>
  <c r="G1970" i="1"/>
  <c r="G1979" i="1"/>
  <c r="G1988" i="1"/>
  <c r="G1997" i="1"/>
  <c r="G2007" i="1"/>
  <c r="G2017" i="1"/>
  <c r="G2028" i="1"/>
  <c r="G2039" i="1"/>
  <c r="G2050" i="1"/>
  <c r="G2061" i="1"/>
  <c r="G2072" i="1"/>
  <c r="G2083" i="1"/>
  <c r="G2094" i="1"/>
  <c r="G2105" i="1"/>
  <c r="G2116" i="1"/>
  <c r="G2127" i="1"/>
  <c r="G2138" i="1"/>
  <c r="G2149" i="1"/>
  <c r="G2160" i="1"/>
  <c r="G2171" i="1"/>
  <c r="G2182" i="1"/>
  <c r="G2193" i="1"/>
  <c r="G2204" i="1"/>
  <c r="G2215" i="1"/>
  <c r="G2226" i="1"/>
  <c r="G2237" i="1"/>
  <c r="G2248" i="1"/>
  <c r="G2259" i="1"/>
  <c r="G2270" i="1"/>
  <c r="G2281" i="1"/>
  <c r="G2292" i="1"/>
  <c r="G2303" i="1"/>
  <c r="G2314" i="1"/>
  <c r="G2325" i="1"/>
  <c r="G2336" i="1"/>
  <c r="G2347" i="1"/>
  <c r="G2358" i="1"/>
  <c r="G2369" i="1"/>
  <c r="G2380" i="1"/>
  <c r="G2391" i="1"/>
  <c r="G2402" i="1"/>
  <c r="G2413" i="1"/>
  <c r="G2424" i="1"/>
  <c r="G2435" i="1"/>
  <c r="G2446" i="1"/>
  <c r="G2457" i="1"/>
  <c r="G2468" i="1"/>
  <c r="G2479" i="1"/>
  <c r="G2490" i="1"/>
  <c r="G2501" i="1"/>
  <c r="G2512" i="1"/>
  <c r="G2523" i="1"/>
  <c r="G2534" i="1"/>
  <c r="G2545" i="1"/>
  <c r="G2556" i="1"/>
  <c r="G2567" i="1"/>
  <c r="G2578" i="1"/>
  <c r="G2589" i="1"/>
  <c r="G2600" i="1"/>
  <c r="G2611" i="1"/>
  <c r="G2622" i="1"/>
  <c r="G2633" i="1"/>
  <c r="G2644" i="1"/>
  <c r="G2655" i="1"/>
  <c r="G2666" i="1"/>
  <c r="G2677" i="1"/>
  <c r="G2688" i="1"/>
  <c r="G2699" i="1"/>
  <c r="G2710" i="1"/>
  <c r="G2721" i="1"/>
  <c r="G2732" i="1"/>
  <c r="G2743" i="1"/>
  <c r="G2754" i="1"/>
  <c r="G2765" i="1"/>
  <c r="G2776" i="1"/>
  <c r="G2787" i="1"/>
  <c r="G2798" i="1"/>
  <c r="G2809" i="1"/>
  <c r="G2820" i="1"/>
  <c r="G2831" i="1"/>
  <c r="G2842" i="1"/>
  <c r="G2853" i="1"/>
  <c r="G2864" i="1"/>
  <c r="G2875" i="1"/>
  <c r="G2886" i="1"/>
  <c r="G2897" i="1"/>
  <c r="G2908" i="1"/>
  <c r="G2919" i="1"/>
  <c r="G2930" i="1"/>
  <c r="G2941" i="1"/>
  <c r="G2952" i="1"/>
  <c r="G2963" i="1"/>
  <c r="G2974" i="1"/>
  <c r="G2985" i="1"/>
  <c r="G2996" i="1"/>
  <c r="G3007" i="1"/>
  <c r="G3018" i="1"/>
  <c r="G3029" i="1"/>
  <c r="G3040" i="1"/>
  <c r="G3051" i="1"/>
  <c r="G3062" i="1"/>
  <c r="G3073" i="1"/>
  <c r="G3084" i="1"/>
  <c r="G3095" i="1"/>
  <c r="G3106" i="1"/>
  <c r="G3117" i="1"/>
  <c r="G3128" i="1"/>
  <c r="G3139" i="1"/>
  <c r="G3150" i="1"/>
  <c r="G3161" i="1"/>
  <c r="G3172" i="1"/>
  <c r="G3183" i="1"/>
  <c r="G3194" i="1"/>
  <c r="G3205" i="1"/>
  <c r="G3216" i="1"/>
  <c r="G3227" i="1"/>
  <c r="G3238" i="1"/>
  <c r="G3249" i="1"/>
  <c r="G3260" i="1"/>
  <c r="G3271" i="1"/>
  <c r="G3282" i="1"/>
  <c r="G3293" i="1"/>
  <c r="G3304" i="1"/>
  <c r="G3315" i="1"/>
  <c r="G3326" i="1"/>
  <c r="G3337" i="1"/>
  <c r="G3348" i="1"/>
  <c r="G3359" i="1"/>
  <c r="G3370" i="1"/>
  <c r="G3381" i="1"/>
  <c r="G3392" i="1"/>
  <c r="G3403" i="1"/>
  <c r="G3414" i="1"/>
  <c r="G3425" i="1"/>
  <c r="G3436" i="1"/>
  <c r="G3447" i="1"/>
  <c r="G3458" i="1"/>
  <c r="G3469" i="1"/>
  <c r="G3480" i="1"/>
  <c r="G3491" i="1"/>
  <c r="G3502" i="1"/>
  <c r="G3513" i="1"/>
  <c r="G3524" i="1"/>
  <c r="G3535" i="1"/>
  <c r="G3544" i="1"/>
  <c r="G3553" i="1"/>
  <c r="G3562" i="1"/>
  <c r="G3571" i="1"/>
  <c r="G3580" i="1"/>
  <c r="G3589" i="1"/>
  <c r="G3598" i="1"/>
  <c r="G3607" i="1"/>
  <c r="G3616" i="1"/>
  <c r="G3625" i="1"/>
  <c r="G3634" i="1"/>
  <c r="G3643" i="1"/>
  <c r="G3652" i="1"/>
  <c r="G3661" i="1"/>
  <c r="G3670" i="1"/>
  <c r="G3679" i="1"/>
  <c r="G3688" i="1"/>
  <c r="G3697" i="1"/>
  <c r="G3706" i="1"/>
  <c r="G3715" i="1"/>
  <c r="G3724" i="1"/>
  <c r="G3733" i="1"/>
  <c r="G3742" i="1"/>
  <c r="G3751" i="1"/>
  <c r="G3760" i="1"/>
  <c r="G3769" i="1"/>
  <c r="G3778" i="1"/>
  <c r="G3787" i="1"/>
  <c r="G3796" i="1"/>
  <c r="G3805" i="1"/>
  <c r="G3814" i="1"/>
  <c r="G3823" i="1"/>
  <c r="G3832" i="1"/>
  <c r="G3841" i="1"/>
  <c r="G3850" i="1"/>
  <c r="G3859" i="1"/>
  <c r="G3868" i="1"/>
  <c r="G3877" i="1"/>
  <c r="G3886" i="1"/>
  <c r="G3895" i="1"/>
  <c r="G3904" i="1"/>
  <c r="G3913" i="1"/>
  <c r="G3922" i="1"/>
  <c r="G3931" i="1"/>
  <c r="G3940" i="1"/>
  <c r="G3949" i="1"/>
  <c r="G3958" i="1"/>
  <c r="G3967" i="1"/>
  <c r="G3976" i="1"/>
  <c r="G3985" i="1"/>
  <c r="G3994" i="1"/>
  <c r="G4003" i="1"/>
  <c r="G4012" i="1"/>
  <c r="G4021" i="1"/>
  <c r="G4030" i="1"/>
  <c r="G4039" i="1"/>
  <c r="G4048" i="1"/>
  <c r="G4057" i="1"/>
  <c r="G4066" i="1"/>
  <c r="G4075" i="1"/>
  <c r="G4084" i="1"/>
  <c r="G4093" i="1"/>
  <c r="G4102" i="1"/>
  <c r="G4111" i="1"/>
  <c r="G4120" i="1"/>
  <c r="G4129" i="1"/>
  <c r="G4138" i="1"/>
  <c r="G4147" i="1"/>
  <c r="G4156" i="1"/>
  <c r="G4165" i="1"/>
  <c r="G4174" i="1"/>
  <c r="G4183" i="1"/>
  <c r="G4192" i="1"/>
  <c r="G4201" i="1"/>
  <c r="G4210" i="1"/>
  <c r="G4219" i="1"/>
  <c r="G4228" i="1"/>
  <c r="G4237" i="1"/>
  <c r="G4246" i="1"/>
  <c r="G4255" i="1"/>
  <c r="G4264" i="1"/>
  <c r="G4273" i="1"/>
  <c r="G4282" i="1"/>
  <c r="G4291" i="1"/>
  <c r="G4300" i="1"/>
  <c r="G4309" i="1"/>
  <c r="G4318" i="1"/>
  <c r="G4327" i="1"/>
  <c r="G4336" i="1"/>
  <c r="G4345" i="1"/>
  <c r="G4354" i="1"/>
  <c r="G4363" i="1"/>
  <c r="G4372" i="1"/>
  <c r="G4381" i="1"/>
  <c r="G4390" i="1"/>
  <c r="G4399" i="1"/>
  <c r="G4408" i="1"/>
  <c r="G4417" i="1"/>
  <c r="G4426" i="1"/>
  <c r="G4435" i="1"/>
  <c r="G4444" i="1"/>
  <c r="G4453" i="1"/>
  <c r="G4462" i="1"/>
  <c r="G4471" i="1"/>
  <c r="G4480" i="1"/>
  <c r="G4489" i="1"/>
  <c r="G4498" i="1"/>
  <c r="G4507" i="1"/>
  <c r="G4516" i="1"/>
  <c r="G4525" i="1"/>
  <c r="G4534" i="1"/>
  <c r="G4543" i="1"/>
  <c r="G4552" i="1"/>
  <c r="G4561" i="1"/>
  <c r="G4570" i="1"/>
  <c r="G4579" i="1"/>
  <c r="G4588" i="1"/>
  <c r="G4597" i="1"/>
  <c r="G4606" i="1"/>
  <c r="G4615" i="1"/>
  <c r="G4624" i="1"/>
  <c r="G4633" i="1"/>
  <c r="G4642" i="1"/>
  <c r="G4651" i="1"/>
  <c r="G4660" i="1"/>
  <c r="G4669" i="1"/>
  <c r="G4678" i="1"/>
  <c r="G4687" i="1"/>
  <c r="G4696" i="1"/>
  <c r="G4705" i="1"/>
  <c r="G4714" i="1"/>
  <c r="G4723" i="1"/>
  <c r="G4732" i="1"/>
  <c r="G4741" i="1"/>
  <c r="G4750" i="1"/>
  <c r="G4759" i="1"/>
  <c r="G4768" i="1"/>
  <c r="G4777" i="1"/>
  <c r="G4786" i="1"/>
  <c r="G4795" i="1"/>
  <c r="G4804" i="1"/>
  <c r="G4813" i="1"/>
  <c r="G4822" i="1"/>
  <c r="G4831" i="1"/>
  <c r="G4840" i="1"/>
  <c r="G4849" i="1"/>
  <c r="G4858" i="1"/>
  <c r="G4867" i="1"/>
  <c r="G4876" i="1"/>
  <c r="G4885" i="1"/>
  <c r="G4894" i="1"/>
  <c r="G4903" i="1"/>
  <c r="G4912" i="1"/>
  <c r="G4921" i="1"/>
  <c r="G4930" i="1"/>
  <c r="G4939" i="1"/>
  <c r="G4948" i="1"/>
  <c r="G4957" i="1"/>
  <c r="G4966" i="1"/>
  <c r="G4975" i="1"/>
  <c r="G4984" i="1"/>
  <c r="G4993" i="1"/>
  <c r="G5002" i="1"/>
  <c r="G5011" i="1"/>
  <c r="G5020" i="1"/>
  <c r="G5029" i="1"/>
  <c r="G5038" i="1"/>
  <c r="G5047" i="1"/>
  <c r="G5056" i="1"/>
  <c r="G5065" i="1"/>
  <c r="G5074" i="1"/>
  <c r="G5083" i="1"/>
  <c r="G5092" i="1"/>
  <c r="G5101" i="1"/>
  <c r="G5110" i="1"/>
  <c r="G5119" i="1"/>
  <c r="G5128" i="1"/>
  <c r="G5137" i="1"/>
  <c r="G5146" i="1"/>
  <c r="G5155" i="1"/>
  <c r="G5164" i="1"/>
  <c r="G5173" i="1"/>
  <c r="G5182" i="1"/>
  <c r="G5191" i="1"/>
  <c r="G1638" i="1"/>
  <c r="G1647" i="1"/>
  <c r="G1656" i="1"/>
  <c r="G1665" i="1"/>
  <c r="G1674" i="1"/>
  <c r="G1683" i="1"/>
  <c r="G1692" i="1"/>
  <c r="G1701" i="1"/>
  <c r="G1710" i="1"/>
  <c r="G1719" i="1"/>
  <c r="G1728" i="1"/>
  <c r="G1737" i="1"/>
  <c r="G1746" i="1"/>
  <c r="G1755" i="1"/>
  <c r="G1764" i="1"/>
  <c r="G1773" i="1"/>
  <c r="G1782" i="1"/>
  <c r="G1791" i="1"/>
  <c r="G1800" i="1"/>
  <c r="G1809" i="1"/>
  <c r="G1818" i="1"/>
  <c r="G1827" i="1"/>
  <c r="G1836" i="1"/>
  <c r="G1845" i="1"/>
  <c r="G1854" i="1"/>
  <c r="G1863" i="1"/>
  <c r="G1872" i="1"/>
  <c r="G1881" i="1"/>
  <c r="G1890" i="1"/>
  <c r="G1899" i="1"/>
  <c r="G1908" i="1"/>
  <c r="G1917" i="1"/>
  <c r="G1926" i="1"/>
  <c r="G1935" i="1"/>
  <c r="G1944" i="1"/>
  <c r="G1953" i="1"/>
  <c r="G1962" i="1"/>
  <c r="G1971" i="1"/>
  <c r="G1980" i="1"/>
  <c r="G1989" i="1"/>
  <c r="G1998" i="1"/>
  <c r="G2008" i="1"/>
  <c r="G2018" i="1"/>
  <c r="G2029" i="1"/>
  <c r="G2040" i="1"/>
  <c r="G2051" i="1"/>
  <c r="G2062" i="1"/>
  <c r="G2073" i="1"/>
  <c r="G2084" i="1"/>
  <c r="G2095" i="1"/>
  <c r="G2106" i="1"/>
  <c r="G2117" i="1"/>
  <c r="G2128" i="1"/>
  <c r="G2139" i="1"/>
  <c r="G2150" i="1"/>
  <c r="G2161" i="1"/>
  <c r="G2172" i="1"/>
  <c r="G2183" i="1"/>
  <c r="G2194" i="1"/>
  <c r="G2205" i="1"/>
  <c r="G2216" i="1"/>
  <c r="G2227" i="1"/>
  <c r="G2238" i="1"/>
  <c r="G2249" i="1"/>
  <c r="G2260" i="1"/>
  <c r="G2271" i="1"/>
  <c r="G2282" i="1"/>
  <c r="G2293" i="1"/>
  <c r="G2304" i="1"/>
  <c r="G2315" i="1"/>
  <c r="G2326" i="1"/>
  <c r="G2337" i="1"/>
  <c r="G2348" i="1"/>
  <c r="G2359" i="1"/>
  <c r="G2370" i="1"/>
  <c r="G2381" i="1"/>
  <c r="G2392" i="1"/>
  <c r="G2403" i="1"/>
  <c r="G2414" i="1"/>
  <c r="G2425" i="1"/>
  <c r="G2436" i="1"/>
  <c r="G2447" i="1"/>
  <c r="G2458" i="1"/>
  <c r="G2469" i="1"/>
  <c r="G2480" i="1"/>
  <c r="G2491" i="1"/>
  <c r="G2502" i="1"/>
  <c r="G2513" i="1"/>
  <c r="G2524" i="1"/>
  <c r="G2535" i="1"/>
  <c r="G2546" i="1"/>
  <c r="G2557" i="1"/>
  <c r="G2568" i="1"/>
  <c r="G2579" i="1"/>
  <c r="G2590" i="1"/>
  <c r="G2601" i="1"/>
  <c r="G2612" i="1"/>
  <c r="G2623" i="1"/>
  <c r="G2634" i="1"/>
  <c r="G2645" i="1"/>
  <c r="G2656" i="1"/>
  <c r="G2667" i="1"/>
  <c r="G2678" i="1"/>
  <c r="G2689" i="1"/>
  <c r="G2700" i="1"/>
  <c r="G2711" i="1"/>
  <c r="G2722" i="1"/>
  <c r="G2733" i="1"/>
  <c r="G2744" i="1"/>
  <c r="G2755" i="1"/>
  <c r="G2766" i="1"/>
  <c r="G2777" i="1"/>
  <c r="G2788" i="1"/>
  <c r="G2799" i="1"/>
  <c r="G2810" i="1"/>
  <c r="G2821" i="1"/>
  <c r="G2832" i="1"/>
  <c r="G2843" i="1"/>
  <c r="G2854" i="1"/>
  <c r="G2865" i="1"/>
  <c r="G2876" i="1"/>
  <c r="G2887" i="1"/>
  <c r="G2898" i="1"/>
  <c r="G2909" i="1"/>
  <c r="G2920" i="1"/>
  <c r="G2931" i="1"/>
  <c r="G2942" i="1"/>
  <c r="G2953" i="1"/>
  <c r="G2964" i="1"/>
  <c r="G2975" i="1"/>
  <c r="G2986" i="1"/>
  <c r="G2997" i="1"/>
  <c r="G3008" i="1"/>
  <c r="G3019" i="1"/>
  <c r="G3030" i="1"/>
  <c r="G3041" i="1"/>
  <c r="G3052" i="1"/>
  <c r="G3063" i="1"/>
  <c r="G3074" i="1"/>
  <c r="G3085" i="1"/>
  <c r="G3096" i="1"/>
  <c r="G3107" i="1"/>
  <c r="G3118" i="1"/>
  <c r="G3129" i="1"/>
  <c r="G3140" i="1"/>
  <c r="G3151" i="1"/>
  <c r="G3162" i="1"/>
  <c r="G3173" i="1"/>
  <c r="G3184" i="1"/>
  <c r="G3195" i="1"/>
  <c r="G3206" i="1"/>
  <c r="G3217" i="1"/>
  <c r="G3228" i="1"/>
  <c r="G3239" i="1"/>
  <c r="G3250" i="1"/>
  <c r="G3261" i="1"/>
  <c r="G3272" i="1"/>
  <c r="G3283" i="1"/>
  <c r="G3294" i="1"/>
  <c r="G3305" i="1"/>
  <c r="G3316" i="1"/>
  <c r="G3327" i="1"/>
  <c r="G3338" i="1"/>
  <c r="G3349" i="1"/>
  <c r="G3360" i="1"/>
  <c r="G3371" i="1"/>
  <c r="G3382" i="1"/>
  <c r="G3393" i="1"/>
  <c r="G3404" i="1"/>
  <c r="G3415" i="1"/>
  <c r="G3426" i="1"/>
  <c r="G3437" i="1"/>
  <c r="G3448" i="1"/>
  <c r="G3459" i="1"/>
  <c r="G3470" i="1"/>
  <c r="G3481" i="1"/>
  <c r="G3492" i="1"/>
  <c r="G3503" i="1"/>
  <c r="G3514" i="1"/>
  <c r="G3525" i="1"/>
  <c r="G3536" i="1"/>
  <c r="G3545" i="1"/>
  <c r="G3554" i="1"/>
  <c r="G3563" i="1"/>
  <c r="G3572" i="1"/>
  <c r="G3581" i="1"/>
  <c r="G3590" i="1"/>
  <c r="G3599" i="1"/>
  <c r="G3608" i="1"/>
  <c r="G3617" i="1"/>
  <c r="G3626" i="1"/>
  <c r="G3635" i="1"/>
  <c r="G3644" i="1"/>
  <c r="G3653" i="1"/>
  <c r="G3662" i="1"/>
  <c r="G3671" i="1"/>
  <c r="G3680" i="1"/>
  <c r="G3689" i="1"/>
  <c r="G3698" i="1"/>
  <c r="G3707" i="1"/>
  <c r="G3716" i="1"/>
  <c r="G3725" i="1"/>
  <c r="G3734" i="1"/>
  <c r="G3743" i="1"/>
  <c r="G3752" i="1"/>
  <c r="G3761" i="1"/>
  <c r="G3770" i="1"/>
  <c r="G3779" i="1"/>
  <c r="G3788" i="1"/>
  <c r="G3797" i="1"/>
  <c r="G3806" i="1"/>
  <c r="G3815" i="1"/>
  <c r="G3824" i="1"/>
  <c r="G3833" i="1"/>
  <c r="G3842" i="1"/>
  <c r="G3851" i="1"/>
  <c r="G3860" i="1"/>
  <c r="G3869" i="1"/>
  <c r="G3878" i="1"/>
  <c r="G3887" i="1"/>
  <c r="G3896" i="1"/>
  <c r="G3905" i="1"/>
  <c r="G3914" i="1"/>
  <c r="G3923" i="1"/>
  <c r="G3932" i="1"/>
  <c r="G3941" i="1"/>
  <c r="G3950" i="1"/>
  <c r="G3959" i="1"/>
  <c r="G3968" i="1"/>
  <c r="G3977" i="1"/>
  <c r="G3986" i="1"/>
  <c r="G3995" i="1"/>
  <c r="G4004" i="1"/>
  <c r="G4013" i="1"/>
  <c r="G4022" i="1"/>
  <c r="G4031" i="1"/>
  <c r="G4040" i="1"/>
  <c r="G4049" i="1"/>
  <c r="G4058" i="1"/>
  <c r="G4067" i="1"/>
  <c r="G4076" i="1"/>
  <c r="G4085" i="1"/>
  <c r="G4094" i="1"/>
  <c r="G4103" i="1"/>
  <c r="G4112" i="1"/>
  <c r="G4121" i="1"/>
  <c r="G4130" i="1"/>
  <c r="G4139" i="1"/>
  <c r="G4148" i="1"/>
  <c r="G4157" i="1"/>
  <c r="G4166" i="1"/>
  <c r="G4175" i="1"/>
  <c r="G4184" i="1"/>
  <c r="G4193" i="1"/>
  <c r="G4202" i="1"/>
  <c r="G4211" i="1"/>
  <c r="G4220" i="1"/>
  <c r="G4229" i="1"/>
  <c r="G4238" i="1"/>
  <c r="G4247" i="1"/>
  <c r="G4256" i="1"/>
  <c r="G4265" i="1"/>
  <c r="G4274" i="1"/>
  <c r="G4283" i="1"/>
  <c r="G4292" i="1"/>
  <c r="G4301" i="1"/>
  <c r="G4310" i="1"/>
  <c r="G4319" i="1"/>
  <c r="G4328" i="1"/>
  <c r="G4337" i="1"/>
  <c r="G4346" i="1"/>
  <c r="G4355" i="1"/>
  <c r="G4364" i="1"/>
  <c r="G4373" i="1"/>
  <c r="G4382" i="1"/>
  <c r="G4391" i="1"/>
  <c r="G4400" i="1"/>
  <c r="G4409" i="1"/>
  <c r="G4418" i="1"/>
  <c r="G4427" i="1"/>
  <c r="G4436" i="1"/>
  <c r="G4445" i="1"/>
  <c r="G4454" i="1"/>
  <c r="G4463" i="1"/>
  <c r="G4472" i="1"/>
  <c r="G4481" i="1"/>
  <c r="G4490" i="1"/>
  <c r="G4499" i="1"/>
  <c r="G4508" i="1"/>
  <c r="G4517" i="1"/>
  <c r="G4526" i="1"/>
  <c r="G4535" i="1"/>
  <c r="G4544" i="1"/>
  <c r="G4553" i="1"/>
  <c r="G4562" i="1"/>
  <c r="G4571" i="1"/>
  <c r="G4580" i="1"/>
  <c r="G4589" i="1"/>
  <c r="G4598" i="1"/>
  <c r="G4607" i="1"/>
  <c r="G4616" i="1"/>
  <c r="G4625" i="1"/>
  <c r="G4634" i="1"/>
  <c r="G4643" i="1"/>
  <c r="G4652" i="1"/>
  <c r="G4661" i="1"/>
  <c r="G4670" i="1"/>
  <c r="G4679" i="1"/>
  <c r="G4688" i="1"/>
  <c r="G4697" i="1"/>
  <c r="G4706" i="1"/>
  <c r="G4715" i="1"/>
  <c r="G4724" i="1"/>
  <c r="G4733" i="1"/>
  <c r="G4742" i="1"/>
  <c r="G4751" i="1"/>
  <c r="G4760" i="1"/>
  <c r="G4769" i="1"/>
  <c r="G4778" i="1"/>
  <c r="G4787" i="1"/>
  <c r="G4796" i="1"/>
  <c r="G4805" i="1"/>
  <c r="G4814" i="1"/>
  <c r="G4823" i="1"/>
  <c r="G4832" i="1"/>
  <c r="G4841" i="1"/>
  <c r="G4850" i="1"/>
  <c r="G4859" i="1"/>
  <c r="G4868" i="1"/>
  <c r="G4877" i="1"/>
  <c r="G4886" i="1"/>
  <c r="G4895" i="1"/>
  <c r="G4904" i="1"/>
  <c r="G4913" i="1"/>
  <c r="G4922" i="1"/>
  <c r="G4931" i="1"/>
  <c r="G4940" i="1"/>
  <c r="G4949" i="1"/>
  <c r="G4958" i="1"/>
  <c r="G4967" i="1"/>
  <c r="G4976" i="1"/>
  <c r="G4985" i="1"/>
  <c r="G4994" i="1"/>
  <c r="G5003" i="1"/>
  <c r="G5012" i="1"/>
  <c r="G5021" i="1"/>
  <c r="G5030" i="1"/>
  <c r="G5039" i="1"/>
  <c r="G5048" i="1"/>
  <c r="G5057" i="1"/>
  <c r="G5066" i="1"/>
  <c r="G5075" i="1"/>
  <c r="G5084" i="1"/>
  <c r="G5093" i="1"/>
  <c r="G5102" i="1"/>
  <c r="G5111" i="1"/>
  <c r="G5120" i="1"/>
  <c r="G5129" i="1"/>
  <c r="G5138" i="1"/>
  <c r="G5147" i="1"/>
  <c r="G5156" i="1"/>
  <c r="G5165" i="1"/>
  <c r="G5174" i="1"/>
  <c r="G5183" i="1"/>
  <c r="G5192" i="1"/>
  <c r="G5193" i="1"/>
  <c r="G5206" i="1"/>
  <c r="G5219" i="1"/>
  <c r="G5232" i="1"/>
  <c r="G5245" i="1"/>
  <c r="G5258" i="1"/>
  <c r="G5271" i="1"/>
  <c r="G5284" i="1"/>
  <c r="G5297" i="1"/>
  <c r="G5310" i="1"/>
  <c r="G5323" i="1"/>
  <c r="G5336" i="1"/>
  <c r="G5349" i="1"/>
  <c r="G5362" i="1"/>
  <c r="G5375" i="1"/>
  <c r="G5388" i="1"/>
  <c r="G5401" i="1"/>
  <c r="G5414" i="1"/>
  <c r="G5427" i="1"/>
  <c r="G5440" i="1"/>
  <c r="G5453" i="1"/>
  <c r="G5466" i="1"/>
  <c r="G5479" i="1"/>
  <c r="G5492" i="1"/>
  <c r="G5505" i="1"/>
  <c r="G5518" i="1"/>
  <c r="G5531" i="1"/>
  <c r="G5544" i="1"/>
  <c r="G5557" i="1"/>
  <c r="G5570" i="1"/>
  <c r="G5583" i="1"/>
  <c r="G5596" i="1"/>
  <c r="G5609" i="1"/>
  <c r="G5622" i="1"/>
  <c r="G5635" i="1"/>
  <c r="G5648" i="1"/>
  <c r="G5661" i="1"/>
  <c r="G5674" i="1"/>
  <c r="G5687" i="1"/>
  <c r="G5700" i="1"/>
  <c r="G5713" i="1"/>
  <c r="G5726" i="1"/>
  <c r="G5739" i="1"/>
  <c r="G5752" i="1"/>
  <c r="G5765" i="1"/>
  <c r="G5778" i="1"/>
  <c r="G5791" i="1"/>
  <c r="G5804" i="1"/>
  <c r="G5817" i="1"/>
  <c r="G5830" i="1"/>
  <c r="G5843" i="1"/>
  <c r="G5856" i="1"/>
  <c r="G5869" i="1"/>
  <c r="G5882" i="1"/>
  <c r="G5895" i="1"/>
  <c r="G5908" i="1"/>
  <c r="G5921" i="1"/>
  <c r="G5934" i="1"/>
  <c r="G5947" i="1"/>
  <c r="G5960" i="1"/>
  <c r="G5973" i="1"/>
  <c r="G5986" i="1"/>
  <c r="G5999" i="1"/>
  <c r="G6012" i="1"/>
  <c r="G6025" i="1"/>
  <c r="G6038" i="1"/>
  <c r="G6051" i="1"/>
  <c r="G6064" i="1"/>
  <c r="G6077" i="1"/>
  <c r="G6090" i="1"/>
  <c r="G6103" i="1"/>
  <c r="G6116" i="1"/>
  <c r="G6129" i="1"/>
  <c r="G6142" i="1"/>
  <c r="G6155" i="1"/>
  <c r="G6168" i="1"/>
  <c r="G6181" i="1"/>
  <c r="G6194" i="1"/>
  <c r="G6207" i="1"/>
  <c r="G6220" i="1"/>
  <c r="G6233" i="1"/>
  <c r="G6246" i="1"/>
  <c r="G6259" i="1"/>
  <c r="G6272" i="1"/>
  <c r="G6285" i="1"/>
  <c r="G6298" i="1"/>
  <c r="G6311" i="1"/>
  <c r="G6324" i="1"/>
  <c r="G6337" i="1"/>
  <c r="G6350" i="1"/>
  <c r="G6363" i="1"/>
  <c r="G6376" i="1"/>
  <c r="G6389" i="1"/>
  <c r="G6402" i="1"/>
  <c r="G6415" i="1"/>
  <c r="G6428" i="1"/>
  <c r="G6441" i="1"/>
  <c r="G6453" i="1"/>
  <c r="G6465" i="1"/>
  <c r="G6477" i="1"/>
  <c r="G6489" i="1"/>
  <c r="G6501" i="1"/>
  <c r="G6513" i="1"/>
  <c r="G6525" i="1"/>
  <c r="G6537" i="1"/>
  <c r="G6549" i="1"/>
  <c r="G6561" i="1"/>
  <c r="G6573" i="1"/>
  <c r="G6584" i="1"/>
  <c r="G6595" i="1"/>
  <c r="G6606" i="1"/>
  <c r="G6617" i="1"/>
  <c r="G6628" i="1"/>
  <c r="G6639" i="1"/>
  <c r="G6650" i="1"/>
  <c r="G6661" i="1"/>
  <c r="G6672" i="1"/>
  <c r="G6683" i="1"/>
  <c r="G6694" i="1"/>
  <c r="G6705" i="1"/>
  <c r="G6716" i="1"/>
  <c r="G6727" i="1"/>
  <c r="G6738" i="1"/>
  <c r="G6749" i="1"/>
  <c r="G6760" i="1"/>
  <c r="G6771" i="1"/>
  <c r="G6782" i="1"/>
  <c r="G6793" i="1"/>
  <c r="G6804" i="1"/>
  <c r="G6815" i="1"/>
  <c r="G6826" i="1"/>
  <c r="G6837" i="1"/>
  <c r="G6848" i="1"/>
  <c r="G6859" i="1"/>
  <c r="G6870" i="1"/>
  <c r="G6881" i="1"/>
  <c r="G6892" i="1"/>
  <c r="G6903" i="1"/>
  <c r="G6914" i="1"/>
  <c r="G6925" i="1"/>
  <c r="G6936" i="1"/>
  <c r="G6947" i="1"/>
  <c r="G6958" i="1"/>
  <c r="G6969" i="1"/>
  <c r="G6980" i="1"/>
  <c r="G6991" i="1"/>
  <c r="G7002" i="1"/>
  <c r="G7013" i="1"/>
  <c r="G7024" i="1"/>
  <c r="G7035" i="1"/>
  <c r="G7046" i="1"/>
  <c r="G7057" i="1"/>
  <c r="G7068" i="1"/>
  <c r="G7079" i="1"/>
  <c r="G7090" i="1"/>
  <c r="G7101" i="1"/>
  <c r="G7112" i="1"/>
  <c r="G7123" i="1"/>
  <c r="G7134" i="1"/>
  <c r="G7145" i="1"/>
  <c r="G7156" i="1"/>
  <c r="G7167" i="1"/>
  <c r="G7178" i="1"/>
  <c r="G7189" i="1"/>
  <c r="G7200" i="1"/>
  <c r="G7211" i="1"/>
  <c r="G7222" i="1"/>
  <c r="G7233" i="1"/>
  <c r="G7244" i="1"/>
  <c r="G7255" i="1"/>
  <c r="G7266" i="1"/>
  <c r="G7277" i="1"/>
  <c r="G7288" i="1"/>
  <c r="G7299" i="1"/>
  <c r="G7310" i="1"/>
  <c r="G7321" i="1"/>
  <c r="G7332" i="1"/>
  <c r="G7343" i="1"/>
  <c r="G7354" i="1"/>
  <c r="G7365" i="1"/>
  <c r="G7376" i="1"/>
  <c r="G7387" i="1"/>
  <c r="G7398" i="1"/>
  <c r="G7409" i="1"/>
  <c r="G7420" i="1"/>
  <c r="G7431" i="1"/>
  <c r="G7442" i="1"/>
  <c r="G7453" i="1"/>
  <c r="G7464" i="1"/>
  <c r="G7475" i="1"/>
  <c r="G7486" i="1"/>
  <c r="G7497" i="1"/>
  <c r="G7508" i="1"/>
  <c r="G7519" i="1"/>
  <c r="G7530" i="1"/>
  <c r="G7541" i="1"/>
  <c r="G7552" i="1"/>
  <c r="G7563" i="1"/>
  <c r="G7574" i="1"/>
  <c r="G7585" i="1"/>
  <c r="G7596" i="1"/>
  <c r="G7607" i="1"/>
  <c r="G7618" i="1"/>
  <c r="G7629" i="1"/>
  <c r="G7640" i="1"/>
  <c r="G7651" i="1"/>
  <c r="G7662" i="1"/>
  <c r="G7673" i="1"/>
  <c r="G7684" i="1"/>
  <c r="G7695" i="1"/>
  <c r="G7706" i="1"/>
  <c r="G7717" i="1"/>
  <c r="G7728" i="1"/>
  <c r="G7739" i="1"/>
  <c r="G7750" i="1"/>
  <c r="G7761" i="1"/>
  <c r="G7772" i="1"/>
  <c r="G7783" i="1"/>
  <c r="G7794" i="1"/>
  <c r="G7805" i="1"/>
  <c r="G7816" i="1"/>
  <c r="G7827" i="1"/>
  <c r="G7838" i="1"/>
  <c r="G7849" i="1"/>
  <c r="G7860" i="1"/>
  <c r="G7871" i="1"/>
  <c r="G7882" i="1"/>
  <c r="G7893" i="1"/>
  <c r="G7904" i="1"/>
  <c r="G7915" i="1"/>
  <c r="G7926" i="1"/>
  <c r="G7937" i="1"/>
  <c r="G7948" i="1"/>
  <c r="G7959" i="1"/>
  <c r="G7970" i="1"/>
  <c r="G7981" i="1"/>
  <c r="G7992" i="1"/>
  <c r="G8003" i="1"/>
  <c r="G8014" i="1"/>
  <c r="G8025" i="1"/>
  <c r="G8036" i="1"/>
  <c r="G8047" i="1"/>
  <c r="G8058" i="1"/>
  <c r="G8069" i="1"/>
  <c r="G8080" i="1"/>
  <c r="G8091" i="1"/>
  <c r="G8102" i="1"/>
  <c r="G8113" i="1"/>
  <c r="G8124" i="1"/>
  <c r="G8135" i="1"/>
  <c r="G8146" i="1"/>
  <c r="G8157" i="1"/>
  <c r="G8168" i="1"/>
  <c r="G8179" i="1"/>
  <c r="G8190" i="1"/>
  <c r="G8201" i="1"/>
  <c r="G8212" i="1"/>
  <c r="G8223" i="1"/>
  <c r="G8234" i="1"/>
  <c r="G8245" i="1"/>
  <c r="G8256" i="1"/>
  <c r="G8267" i="1"/>
  <c r="G8278" i="1"/>
  <c r="G8289" i="1"/>
  <c r="G8300" i="1"/>
  <c r="G8311" i="1"/>
  <c r="G8322" i="1"/>
  <c r="G8333" i="1"/>
  <c r="G8344" i="1"/>
  <c r="G8355" i="1"/>
  <c r="G8366" i="1"/>
  <c r="G8377" i="1"/>
  <c r="G8388" i="1"/>
  <c r="G8399" i="1"/>
  <c r="G8410" i="1"/>
  <c r="G8421" i="1"/>
  <c r="G8432" i="1"/>
  <c r="G8443" i="1"/>
  <c r="G8454" i="1"/>
  <c r="G8465" i="1"/>
  <c r="G8476" i="1"/>
  <c r="G8487" i="1"/>
  <c r="G8498" i="1"/>
  <c r="G8509" i="1"/>
  <c r="G8520" i="1"/>
  <c r="G8531" i="1"/>
  <c r="G8542" i="1"/>
  <c r="G8553" i="1"/>
  <c r="G8564" i="1"/>
  <c r="G8575" i="1"/>
  <c r="G8586" i="1"/>
  <c r="G8597" i="1"/>
  <c r="G8608" i="1"/>
  <c r="G8619" i="1"/>
  <c r="G8630" i="1"/>
  <c r="G8641" i="1"/>
  <c r="G8652" i="1"/>
  <c r="G8663" i="1"/>
  <c r="G8674" i="1"/>
  <c r="G8685" i="1"/>
  <c r="G8696" i="1"/>
  <c r="G8707" i="1"/>
  <c r="G8718" i="1"/>
  <c r="G8729" i="1"/>
  <c r="G8740" i="1"/>
  <c r="G8751" i="1"/>
  <c r="G8762" i="1"/>
  <c r="G8773" i="1"/>
  <c r="G8784" i="1"/>
  <c r="G8795" i="1"/>
  <c r="G8806" i="1"/>
  <c r="G8817" i="1"/>
  <c r="G8828" i="1"/>
  <c r="G8839" i="1"/>
  <c r="G8850" i="1"/>
  <c r="G8861" i="1"/>
  <c r="G8872" i="1"/>
  <c r="G8883" i="1"/>
  <c r="G8894" i="1"/>
  <c r="G8905" i="1"/>
  <c r="G8917" i="1"/>
  <c r="G8929" i="1"/>
  <c r="G8941" i="1"/>
  <c r="G8953" i="1"/>
  <c r="G8965" i="1"/>
  <c r="G8977" i="1"/>
  <c r="G8989" i="1"/>
  <c r="G9001" i="1"/>
  <c r="G9013" i="1"/>
  <c r="G9025" i="1"/>
  <c r="G9037" i="1"/>
  <c r="G9049" i="1"/>
  <c r="G9061" i="1"/>
  <c r="G9073" i="1"/>
  <c r="G9085" i="1"/>
  <c r="G9097" i="1"/>
  <c r="G9109" i="1"/>
  <c r="G9121" i="1"/>
  <c r="G9133" i="1"/>
  <c r="G9145" i="1"/>
  <c r="G9157" i="1"/>
  <c r="G9169" i="1"/>
  <c r="G9181" i="1"/>
  <c r="G9193" i="1"/>
  <c r="G9205" i="1"/>
  <c r="G9217" i="1"/>
  <c r="G9229" i="1"/>
  <c r="G9241" i="1"/>
  <c r="G9253" i="1"/>
  <c r="G9265" i="1"/>
  <c r="G9277" i="1"/>
  <c r="G9289" i="1"/>
  <c r="G9301" i="1"/>
  <c r="G9313" i="1"/>
  <c r="G9325" i="1"/>
  <c r="G9337" i="1"/>
  <c r="G9349" i="1"/>
  <c r="G9361" i="1"/>
  <c r="G9373" i="1"/>
  <c r="G9385" i="1"/>
  <c r="G9397" i="1"/>
  <c r="G9409" i="1"/>
  <c r="G9421" i="1"/>
  <c r="G9433" i="1"/>
  <c r="G9445" i="1"/>
  <c r="G5194" i="1"/>
  <c r="G5207" i="1"/>
  <c r="G5220" i="1"/>
  <c r="G5233" i="1"/>
  <c r="G5246" i="1"/>
  <c r="G5259" i="1"/>
  <c r="G5272" i="1"/>
  <c r="G5285" i="1"/>
  <c r="G5298" i="1"/>
  <c r="G5311" i="1"/>
  <c r="G5324" i="1"/>
  <c r="G5337" i="1"/>
  <c r="G5350" i="1"/>
  <c r="G5363" i="1"/>
  <c r="G5376" i="1"/>
  <c r="G5389" i="1"/>
  <c r="G5402" i="1"/>
  <c r="G5415" i="1"/>
  <c r="G5428" i="1"/>
  <c r="G5441" i="1"/>
  <c r="G5454" i="1"/>
  <c r="G5467" i="1"/>
  <c r="G5480" i="1"/>
  <c r="G5493" i="1"/>
  <c r="G5506" i="1"/>
  <c r="G5519" i="1"/>
  <c r="G5532" i="1"/>
  <c r="G5545" i="1"/>
  <c r="G5558" i="1"/>
  <c r="G5571" i="1"/>
  <c r="G5584" i="1"/>
  <c r="G5597" i="1"/>
  <c r="G5610" i="1"/>
  <c r="G5623" i="1"/>
  <c r="G5636" i="1"/>
  <c r="G5649" i="1"/>
  <c r="G5662" i="1"/>
  <c r="G5675" i="1"/>
  <c r="G5688" i="1"/>
  <c r="G5701" i="1"/>
  <c r="G5714" i="1"/>
  <c r="G5727" i="1"/>
  <c r="G5740" i="1"/>
  <c r="G5753" i="1"/>
  <c r="G5766" i="1"/>
  <c r="G5779" i="1"/>
  <c r="G5792" i="1"/>
  <c r="G5805" i="1"/>
  <c r="G5818" i="1"/>
  <c r="G5831" i="1"/>
  <c r="G5844" i="1"/>
  <c r="G5857" i="1"/>
  <c r="G5870" i="1"/>
  <c r="G5883" i="1"/>
  <c r="G5896" i="1"/>
  <c r="G5909" i="1"/>
  <c r="G5922" i="1"/>
  <c r="G5935" i="1"/>
  <c r="G5948" i="1"/>
  <c r="G5961" i="1"/>
  <c r="G5974" i="1"/>
  <c r="G5987" i="1"/>
  <c r="G6000" i="1"/>
  <c r="G6013" i="1"/>
  <c r="G6026" i="1"/>
  <c r="G6039" i="1"/>
  <c r="G6052" i="1"/>
  <c r="G6065" i="1"/>
  <c r="G6078" i="1"/>
  <c r="G6091" i="1"/>
  <c r="G6104" i="1"/>
  <c r="G6117" i="1"/>
  <c r="G6130" i="1"/>
  <c r="G6143" i="1"/>
  <c r="G6156" i="1"/>
  <c r="G6169" i="1"/>
  <c r="G6182" i="1"/>
  <c r="G6195" i="1"/>
  <c r="G6208" i="1"/>
  <c r="G6221" i="1"/>
  <c r="G6234" i="1"/>
  <c r="G6247" i="1"/>
  <c r="G6260" i="1"/>
  <c r="G6273" i="1"/>
  <c r="G6286" i="1"/>
  <c r="G6299" i="1"/>
  <c r="G6312" i="1"/>
  <c r="G6325" i="1"/>
  <c r="G6338" i="1"/>
  <c r="G6351" i="1"/>
  <c r="G6364" i="1"/>
  <c r="G6377" i="1"/>
  <c r="G6390" i="1"/>
  <c r="G6403" i="1"/>
  <c r="G6416" i="1"/>
  <c r="G6429" i="1"/>
  <c r="G6442" i="1"/>
  <c r="G6454" i="1"/>
  <c r="G6466" i="1"/>
  <c r="G6478" i="1"/>
  <c r="G6490" i="1"/>
  <c r="G6502" i="1"/>
  <c r="G6514" i="1"/>
  <c r="G6526" i="1"/>
  <c r="G6538" i="1"/>
  <c r="G6550" i="1"/>
  <c r="G6562" i="1"/>
  <c r="G6574" i="1"/>
  <c r="G6585" i="1"/>
  <c r="G6596" i="1"/>
  <c r="G6607" i="1"/>
  <c r="G6618" i="1"/>
  <c r="G6629" i="1"/>
  <c r="G6640" i="1"/>
  <c r="G6651" i="1"/>
  <c r="G6662" i="1"/>
  <c r="G6673" i="1"/>
  <c r="G6684" i="1"/>
  <c r="G6695" i="1"/>
  <c r="G6706" i="1"/>
  <c r="G6717" i="1"/>
  <c r="G6728" i="1"/>
  <c r="G6739" i="1"/>
  <c r="G6750" i="1"/>
  <c r="G6761" i="1"/>
  <c r="G6772" i="1"/>
  <c r="G6783" i="1"/>
  <c r="G6794" i="1"/>
  <c r="G6805" i="1"/>
  <c r="G6816" i="1"/>
  <c r="G6827" i="1"/>
  <c r="G6838" i="1"/>
  <c r="G6849" i="1"/>
  <c r="G6860" i="1"/>
  <c r="G6871" i="1"/>
  <c r="G6882" i="1"/>
  <c r="G6893" i="1"/>
  <c r="G6904" i="1"/>
  <c r="G6915" i="1"/>
  <c r="G6926" i="1"/>
  <c r="G6937" i="1"/>
  <c r="G6948" i="1"/>
  <c r="G6959" i="1"/>
  <c r="G6970" i="1"/>
  <c r="G6981" i="1"/>
  <c r="G6992" i="1"/>
  <c r="G7003" i="1"/>
  <c r="G7014" i="1"/>
  <c r="G7025" i="1"/>
  <c r="G7036" i="1"/>
  <c r="G7047" i="1"/>
  <c r="G7058" i="1"/>
  <c r="G7069" i="1"/>
  <c r="G7080" i="1"/>
  <c r="G7091" i="1"/>
  <c r="G7102" i="1"/>
  <c r="G7113" i="1"/>
  <c r="G7124" i="1"/>
  <c r="G7135" i="1"/>
  <c r="G7146" i="1"/>
  <c r="G7157" i="1"/>
  <c r="G7168" i="1"/>
  <c r="G7179" i="1"/>
  <c r="G7190" i="1"/>
  <c r="G7201" i="1"/>
  <c r="G7212" i="1"/>
  <c r="G7223" i="1"/>
  <c r="G7234" i="1"/>
  <c r="G7245" i="1"/>
  <c r="G7256" i="1"/>
  <c r="G7267" i="1"/>
  <c r="G7278" i="1"/>
  <c r="G7289" i="1"/>
  <c r="G7300" i="1"/>
  <c r="G7311" i="1"/>
  <c r="G7322" i="1"/>
  <c r="G7333" i="1"/>
  <c r="G7344" i="1"/>
  <c r="G7355" i="1"/>
  <c r="G7366" i="1"/>
  <c r="G7377" i="1"/>
  <c r="G7388" i="1"/>
  <c r="G7399" i="1"/>
  <c r="G7410" i="1"/>
  <c r="G7421" i="1"/>
  <c r="G7432" i="1"/>
  <c r="G7443" i="1"/>
  <c r="G7454" i="1"/>
  <c r="G7465" i="1"/>
  <c r="G7476" i="1"/>
  <c r="G7487" i="1"/>
  <c r="G7498" i="1"/>
  <c r="G7509" i="1"/>
  <c r="G7520" i="1"/>
  <c r="G7531" i="1"/>
  <c r="G7542" i="1"/>
  <c r="G7553" i="1"/>
  <c r="G7564" i="1"/>
  <c r="G7575" i="1"/>
  <c r="G7586" i="1"/>
  <c r="G7597" i="1"/>
  <c r="G7608" i="1"/>
  <c r="G7619" i="1"/>
  <c r="G7630" i="1"/>
  <c r="G7641" i="1"/>
  <c r="G7652" i="1"/>
  <c r="G7663" i="1"/>
  <c r="G7674" i="1"/>
  <c r="G7685" i="1"/>
  <c r="G7696" i="1"/>
  <c r="G7707" i="1"/>
  <c r="G7718" i="1"/>
  <c r="G7729" i="1"/>
  <c r="G7740" i="1"/>
  <c r="G7751" i="1"/>
  <c r="G7762" i="1"/>
  <c r="G7773" i="1"/>
  <c r="G7784" i="1"/>
  <c r="G7795" i="1"/>
  <c r="G7806" i="1"/>
  <c r="G7817" i="1"/>
  <c r="G7828" i="1"/>
  <c r="G7839" i="1"/>
  <c r="G7850" i="1"/>
  <c r="G7861" i="1"/>
  <c r="G7872" i="1"/>
  <c r="G7883" i="1"/>
  <c r="G7894" i="1"/>
  <c r="G7905" i="1"/>
  <c r="G7916" i="1"/>
  <c r="G7927" i="1"/>
  <c r="G7938" i="1"/>
  <c r="G7949" i="1"/>
  <c r="G7960" i="1"/>
  <c r="G7971" i="1"/>
  <c r="G7982" i="1"/>
  <c r="G7993" i="1"/>
  <c r="G8004" i="1"/>
  <c r="G8015" i="1"/>
  <c r="G8026" i="1"/>
  <c r="G8037" i="1"/>
  <c r="G8048" i="1"/>
  <c r="G8059" i="1"/>
  <c r="G8070" i="1"/>
  <c r="G8081" i="1"/>
  <c r="G8092" i="1"/>
  <c r="G8103" i="1"/>
  <c r="G8114" i="1"/>
  <c r="G8125" i="1"/>
  <c r="G8136" i="1"/>
  <c r="G8147" i="1"/>
  <c r="G8158" i="1"/>
  <c r="G8169" i="1"/>
  <c r="G8180" i="1"/>
  <c r="G8191" i="1"/>
  <c r="G8202" i="1"/>
  <c r="G8213" i="1"/>
  <c r="G8224" i="1"/>
  <c r="G8235" i="1"/>
  <c r="G8246" i="1"/>
  <c r="G8257" i="1"/>
  <c r="G8268" i="1"/>
  <c r="G8279" i="1"/>
  <c r="G8290" i="1"/>
  <c r="G8301" i="1"/>
  <c r="G8312" i="1"/>
  <c r="G8323" i="1"/>
  <c r="G8334" i="1"/>
  <c r="G8345" i="1"/>
  <c r="G8356" i="1"/>
  <c r="G8367" i="1"/>
  <c r="G8378" i="1"/>
  <c r="G8389" i="1"/>
  <c r="G8400" i="1"/>
  <c r="G8411" i="1"/>
  <c r="G8422" i="1"/>
  <c r="G8433" i="1"/>
  <c r="G8444" i="1"/>
  <c r="G8455" i="1"/>
  <c r="G8466" i="1"/>
  <c r="G8477" i="1"/>
  <c r="G8488" i="1"/>
  <c r="G8499" i="1"/>
  <c r="G8510" i="1"/>
  <c r="G8521" i="1"/>
  <c r="G8532" i="1"/>
  <c r="G8543" i="1"/>
  <c r="G8554" i="1"/>
  <c r="G8565" i="1"/>
  <c r="G8576" i="1"/>
  <c r="G8587" i="1"/>
  <c r="G8598" i="1"/>
  <c r="G8609" i="1"/>
  <c r="G8620" i="1"/>
  <c r="G8631" i="1"/>
  <c r="G8642" i="1"/>
  <c r="G8653" i="1"/>
  <c r="G8664" i="1"/>
  <c r="G8675" i="1"/>
  <c r="G8686" i="1"/>
  <c r="G8697" i="1"/>
  <c r="G8708" i="1"/>
  <c r="G8719" i="1"/>
  <c r="G8730" i="1"/>
  <c r="G8741" i="1"/>
  <c r="G8752" i="1"/>
  <c r="G8763" i="1"/>
  <c r="G8774" i="1"/>
  <c r="G8785" i="1"/>
  <c r="G8796" i="1"/>
  <c r="G8807" i="1"/>
  <c r="G8818" i="1"/>
  <c r="G8829" i="1"/>
  <c r="G8840" i="1"/>
  <c r="G8851" i="1"/>
  <c r="G8862" i="1"/>
  <c r="G8873" i="1"/>
  <c r="G8884" i="1"/>
  <c r="G8895" i="1"/>
  <c r="G8906" i="1"/>
  <c r="G8918" i="1"/>
  <c r="G8930" i="1"/>
  <c r="G8942" i="1"/>
  <c r="G8954" i="1"/>
  <c r="G8966" i="1"/>
  <c r="G8978" i="1"/>
  <c r="G8990" i="1"/>
  <c r="G9002" i="1"/>
  <c r="G9014" i="1"/>
  <c r="G9026" i="1"/>
  <c r="G9038" i="1"/>
  <c r="G9050" i="1"/>
  <c r="G9062" i="1"/>
  <c r="G9074" i="1"/>
  <c r="G9086" i="1"/>
  <c r="G9098" i="1"/>
  <c r="G9110" i="1"/>
  <c r="G9122" i="1"/>
  <c r="G9134" i="1"/>
  <c r="G9146" i="1"/>
  <c r="G9158" i="1"/>
  <c r="G9170" i="1"/>
  <c r="G9182" i="1"/>
  <c r="G9194" i="1"/>
  <c r="G9206" i="1"/>
  <c r="G9218" i="1"/>
  <c r="G9230" i="1"/>
  <c r="G9242" i="1"/>
  <c r="G9254" i="1"/>
  <c r="G9266" i="1"/>
  <c r="G9278" i="1"/>
  <c r="G9290" i="1"/>
  <c r="G9302" i="1"/>
  <c r="G9314" i="1"/>
  <c r="G9326" i="1"/>
  <c r="G9338" i="1"/>
  <c r="G9350" i="1"/>
  <c r="G9362" i="1"/>
  <c r="G9374" i="1"/>
  <c r="G9386" i="1"/>
  <c r="G9398" i="1"/>
  <c r="G9410" i="1"/>
  <c r="G9422" i="1"/>
  <c r="G9434" i="1"/>
  <c r="G9446" i="1"/>
  <c r="G5195" i="1"/>
  <c r="G5208" i="1"/>
  <c r="G5221" i="1"/>
  <c r="G5234" i="1"/>
  <c r="G5247" i="1"/>
  <c r="G5260" i="1"/>
  <c r="G5273" i="1"/>
  <c r="G5286" i="1"/>
  <c r="G5299" i="1"/>
  <c r="G5312" i="1"/>
  <c r="G5325" i="1"/>
  <c r="G5338" i="1"/>
  <c r="G5351" i="1"/>
  <c r="G5364" i="1"/>
  <c r="G5377" i="1"/>
  <c r="G5390" i="1"/>
  <c r="G5403" i="1"/>
  <c r="G5416" i="1"/>
  <c r="G5429" i="1"/>
  <c r="G5442" i="1"/>
  <c r="G5455" i="1"/>
  <c r="G5468" i="1"/>
  <c r="G5481" i="1"/>
  <c r="G5494" i="1"/>
  <c r="G5507" i="1"/>
  <c r="G5520" i="1"/>
  <c r="G5533" i="1"/>
  <c r="G5546" i="1"/>
  <c r="G5559" i="1"/>
  <c r="G5572" i="1"/>
  <c r="G5585" i="1"/>
  <c r="G5598" i="1"/>
  <c r="G5611" i="1"/>
  <c r="G5624" i="1"/>
  <c r="G5637" i="1"/>
  <c r="G5650" i="1"/>
  <c r="G5663" i="1"/>
  <c r="G5676" i="1"/>
  <c r="G5689" i="1"/>
  <c r="G5702" i="1"/>
  <c r="G5715" i="1"/>
  <c r="G5728" i="1"/>
  <c r="G5741" i="1"/>
  <c r="G5754" i="1"/>
  <c r="G5767" i="1"/>
  <c r="G5780" i="1"/>
  <c r="G5793" i="1"/>
  <c r="G5806" i="1"/>
  <c r="G5819" i="1"/>
  <c r="G5832" i="1"/>
  <c r="G5845" i="1"/>
  <c r="G5858" i="1"/>
  <c r="G5871" i="1"/>
  <c r="G5884" i="1"/>
  <c r="G5897" i="1"/>
  <c r="G5910" i="1"/>
  <c r="G5923" i="1"/>
  <c r="G5936" i="1"/>
  <c r="G5949" i="1"/>
  <c r="G5962" i="1"/>
  <c r="G5975" i="1"/>
  <c r="G5988" i="1"/>
  <c r="G6001" i="1"/>
  <c r="G6014" i="1"/>
  <c r="G6027" i="1"/>
  <c r="G6040" i="1"/>
  <c r="G6053" i="1"/>
  <c r="G6066" i="1"/>
  <c r="G6079" i="1"/>
  <c r="G6092" i="1"/>
  <c r="G6105" i="1"/>
  <c r="G6118" i="1"/>
  <c r="G6131" i="1"/>
  <c r="G6144" i="1"/>
  <c r="G6157" i="1"/>
  <c r="G6170" i="1"/>
  <c r="G6183" i="1"/>
  <c r="G6196" i="1"/>
  <c r="G6209" i="1"/>
  <c r="G6222" i="1"/>
  <c r="G6235" i="1"/>
  <c r="G6248" i="1"/>
  <c r="G6261" i="1"/>
  <c r="G6274" i="1"/>
  <c r="G6287" i="1"/>
  <c r="G6300" i="1"/>
  <c r="G6313" i="1"/>
  <c r="G6326" i="1"/>
  <c r="G6339" i="1"/>
  <c r="G6352" i="1"/>
  <c r="G6365" i="1"/>
  <c r="G6378" i="1"/>
  <c r="G6391" i="1"/>
  <c r="G6404" i="1"/>
  <c r="G6417" i="1"/>
  <c r="G6430" i="1"/>
  <c r="G6443" i="1"/>
  <c r="G6455" i="1"/>
  <c r="G6467" i="1"/>
  <c r="G6479" i="1"/>
  <c r="G6491" i="1"/>
  <c r="G6503" i="1"/>
  <c r="G6515" i="1"/>
  <c r="G6527" i="1"/>
  <c r="G6539" i="1"/>
  <c r="G6551" i="1"/>
  <c r="G6563" i="1"/>
  <c r="G6575" i="1"/>
  <c r="G6586" i="1"/>
  <c r="G6597" i="1"/>
  <c r="G6608" i="1"/>
  <c r="G6619" i="1"/>
  <c r="G6630" i="1"/>
  <c r="G6641" i="1"/>
  <c r="G6652" i="1"/>
  <c r="G6663" i="1"/>
  <c r="G6674" i="1"/>
  <c r="G6685" i="1"/>
  <c r="G6696" i="1"/>
  <c r="G6707" i="1"/>
  <c r="G6718" i="1"/>
  <c r="G6729" i="1"/>
  <c r="G6740" i="1"/>
  <c r="G6751" i="1"/>
  <c r="G6762" i="1"/>
  <c r="G6773" i="1"/>
  <c r="G6784" i="1"/>
  <c r="G6795" i="1"/>
  <c r="G6806" i="1"/>
  <c r="G6817" i="1"/>
  <c r="G6828" i="1"/>
  <c r="G6839" i="1"/>
  <c r="G6850" i="1"/>
  <c r="G6861" i="1"/>
  <c r="G6872" i="1"/>
  <c r="G6883" i="1"/>
  <c r="G6894" i="1"/>
  <c r="G6905" i="1"/>
  <c r="G6916" i="1"/>
  <c r="G6927" i="1"/>
  <c r="G6938" i="1"/>
  <c r="G6949" i="1"/>
  <c r="G6960" i="1"/>
  <c r="G6971" i="1"/>
  <c r="G6982" i="1"/>
  <c r="G6993" i="1"/>
  <c r="G7004" i="1"/>
  <c r="G7015" i="1"/>
  <c r="G7026" i="1"/>
  <c r="G7037" i="1"/>
  <c r="G7048" i="1"/>
  <c r="G7059" i="1"/>
  <c r="G7070" i="1"/>
  <c r="G7081" i="1"/>
  <c r="G7092" i="1"/>
  <c r="G7103" i="1"/>
  <c r="G7114" i="1"/>
  <c r="G7125" i="1"/>
  <c r="G7136" i="1"/>
  <c r="G7147" i="1"/>
  <c r="G7158" i="1"/>
  <c r="G7169" i="1"/>
  <c r="G7180" i="1"/>
  <c r="G7191" i="1"/>
  <c r="G7202" i="1"/>
  <c r="G7213" i="1"/>
  <c r="G7224" i="1"/>
  <c r="G7235" i="1"/>
  <c r="G7246" i="1"/>
  <c r="G7257" i="1"/>
  <c r="G7268" i="1"/>
  <c r="G7279" i="1"/>
  <c r="G7290" i="1"/>
  <c r="G7301" i="1"/>
  <c r="G7312" i="1"/>
  <c r="G7323" i="1"/>
  <c r="G7334" i="1"/>
  <c r="G7345" i="1"/>
  <c r="G7356" i="1"/>
  <c r="G7367" i="1"/>
  <c r="G7378" i="1"/>
  <c r="G7389" i="1"/>
  <c r="G7400" i="1"/>
  <c r="G7411" i="1"/>
  <c r="G7422" i="1"/>
  <c r="G7433" i="1"/>
  <c r="G7444" i="1"/>
  <c r="G7455" i="1"/>
  <c r="G7466" i="1"/>
  <c r="G7477" i="1"/>
  <c r="G7488" i="1"/>
  <c r="G7499" i="1"/>
  <c r="G7510" i="1"/>
  <c r="G7521" i="1"/>
  <c r="G7532" i="1"/>
  <c r="G7543" i="1"/>
  <c r="G7554" i="1"/>
  <c r="G7565" i="1"/>
  <c r="G7576" i="1"/>
  <c r="G7587" i="1"/>
  <c r="G7598" i="1"/>
  <c r="G7609" i="1"/>
  <c r="G7620" i="1"/>
  <c r="G7631" i="1"/>
  <c r="G7642" i="1"/>
  <c r="G7653" i="1"/>
  <c r="G7664" i="1"/>
  <c r="G7675" i="1"/>
  <c r="G7686" i="1"/>
  <c r="G7697" i="1"/>
  <c r="G7708" i="1"/>
  <c r="G7719" i="1"/>
  <c r="G7730" i="1"/>
  <c r="G7741" i="1"/>
  <c r="G7752" i="1"/>
  <c r="G7763" i="1"/>
  <c r="G7774" i="1"/>
  <c r="G7785" i="1"/>
  <c r="G7796" i="1"/>
  <c r="G7807" i="1"/>
  <c r="G7818" i="1"/>
  <c r="G7829" i="1"/>
  <c r="G7840" i="1"/>
  <c r="G7851" i="1"/>
  <c r="G7862" i="1"/>
  <c r="G7873" i="1"/>
  <c r="G7884" i="1"/>
  <c r="G7895" i="1"/>
  <c r="G7906" i="1"/>
  <c r="G7917" i="1"/>
  <c r="G7928" i="1"/>
  <c r="G7939" i="1"/>
  <c r="G7950" i="1"/>
  <c r="G7961" i="1"/>
  <c r="G7972" i="1"/>
  <c r="G7983" i="1"/>
  <c r="G7994" i="1"/>
  <c r="G8005" i="1"/>
  <c r="G8016" i="1"/>
  <c r="G8027" i="1"/>
  <c r="G8038" i="1"/>
  <c r="G8049" i="1"/>
  <c r="G8060" i="1"/>
  <c r="G8071" i="1"/>
  <c r="G8082" i="1"/>
  <c r="G8093" i="1"/>
  <c r="G8104" i="1"/>
  <c r="G8115" i="1"/>
  <c r="G8126" i="1"/>
  <c r="G8137" i="1"/>
  <c r="G8148" i="1"/>
  <c r="G8159" i="1"/>
  <c r="G8170" i="1"/>
  <c r="G8181" i="1"/>
  <c r="G8192" i="1"/>
  <c r="G8203" i="1"/>
  <c r="G8214" i="1"/>
  <c r="G8225" i="1"/>
  <c r="G8236" i="1"/>
  <c r="G8247" i="1"/>
  <c r="G8258" i="1"/>
  <c r="G8269" i="1"/>
  <c r="G8280" i="1"/>
  <c r="G8291" i="1"/>
  <c r="G8302" i="1"/>
  <c r="G8313" i="1"/>
  <c r="G8324" i="1"/>
  <c r="G8335" i="1"/>
  <c r="G8346" i="1"/>
  <c r="G8357" i="1"/>
  <c r="G8368" i="1"/>
  <c r="G8379" i="1"/>
  <c r="G8390" i="1"/>
  <c r="G8401" i="1"/>
  <c r="G8412" i="1"/>
  <c r="G8423" i="1"/>
  <c r="G8434" i="1"/>
  <c r="G8445" i="1"/>
  <c r="G8456" i="1"/>
  <c r="G8467" i="1"/>
  <c r="G8478" i="1"/>
  <c r="G8489" i="1"/>
  <c r="G8500" i="1"/>
  <c r="G8511" i="1"/>
  <c r="G8522" i="1"/>
  <c r="G8533" i="1"/>
  <c r="G8544" i="1"/>
  <c r="G8555" i="1"/>
  <c r="G8566" i="1"/>
  <c r="G8577" i="1"/>
  <c r="G8588" i="1"/>
  <c r="G8599" i="1"/>
  <c r="G8610" i="1"/>
  <c r="G8621" i="1"/>
  <c r="G8632" i="1"/>
  <c r="G8643" i="1"/>
  <c r="G8654" i="1"/>
  <c r="G8665" i="1"/>
  <c r="G8676" i="1"/>
  <c r="G8687" i="1"/>
  <c r="G8698" i="1"/>
  <c r="G8709" i="1"/>
  <c r="G8720" i="1"/>
  <c r="G8731" i="1"/>
  <c r="G8742" i="1"/>
  <c r="G8753" i="1"/>
  <c r="G8764" i="1"/>
  <c r="G8775" i="1"/>
  <c r="G8786" i="1"/>
  <c r="G8797" i="1"/>
  <c r="G8808" i="1"/>
  <c r="G8819" i="1"/>
  <c r="G8830" i="1"/>
  <c r="G8841" i="1"/>
  <c r="G8852" i="1"/>
  <c r="G8863" i="1"/>
  <c r="G8874" i="1"/>
  <c r="G8885" i="1"/>
  <c r="G8896" i="1"/>
  <c r="G8907" i="1"/>
  <c r="G8919" i="1"/>
  <c r="G8931" i="1"/>
  <c r="G8943" i="1"/>
  <c r="G8955" i="1"/>
  <c r="G8967" i="1"/>
  <c r="G8979" i="1"/>
  <c r="G8991" i="1"/>
  <c r="G9003" i="1"/>
  <c r="G9015" i="1"/>
  <c r="G9027" i="1"/>
  <c r="G9039" i="1"/>
  <c r="G9051" i="1"/>
  <c r="G9063" i="1"/>
  <c r="G9075" i="1"/>
  <c r="G9087" i="1"/>
  <c r="G9099" i="1"/>
  <c r="G9111" i="1"/>
  <c r="G9123" i="1"/>
  <c r="G9135" i="1"/>
  <c r="G9147" i="1"/>
  <c r="G9159" i="1"/>
  <c r="G9171" i="1"/>
  <c r="G9183" i="1"/>
  <c r="G9195" i="1"/>
  <c r="G9207" i="1"/>
  <c r="G9219" i="1"/>
  <c r="G9231" i="1"/>
  <c r="G9243" i="1"/>
  <c r="G9255" i="1"/>
  <c r="G9267" i="1"/>
  <c r="G9279" i="1"/>
  <c r="G9291" i="1"/>
  <c r="G9303" i="1"/>
  <c r="G9315" i="1"/>
  <c r="G9327" i="1"/>
  <c r="G9339" i="1"/>
  <c r="G9351" i="1"/>
  <c r="G9363" i="1"/>
  <c r="G9375" i="1"/>
  <c r="G9387" i="1"/>
  <c r="G9399" i="1"/>
  <c r="G9411" i="1"/>
  <c r="G9423" i="1"/>
  <c r="G9435" i="1"/>
  <c r="G9447" i="1"/>
  <c r="G5196" i="1"/>
  <c r="G5209" i="1"/>
  <c r="G5222" i="1"/>
  <c r="G5235" i="1"/>
  <c r="G5248" i="1"/>
  <c r="G5261" i="1"/>
  <c r="G5274" i="1"/>
  <c r="G5287" i="1"/>
  <c r="G5300" i="1"/>
  <c r="G5313" i="1"/>
  <c r="G5326" i="1"/>
  <c r="G5339" i="1"/>
  <c r="G5352" i="1"/>
  <c r="G5365" i="1"/>
  <c r="G5378" i="1"/>
  <c r="G5391" i="1"/>
  <c r="G5404" i="1"/>
  <c r="G5417" i="1"/>
  <c r="G5430" i="1"/>
  <c r="G5443" i="1"/>
  <c r="G5456" i="1"/>
  <c r="G5469" i="1"/>
  <c r="G5482" i="1"/>
  <c r="G5495" i="1"/>
  <c r="G5508" i="1"/>
  <c r="G5521" i="1"/>
  <c r="G5534" i="1"/>
  <c r="G5547" i="1"/>
  <c r="G5560" i="1"/>
  <c r="G5573" i="1"/>
  <c r="G5586" i="1"/>
  <c r="G5599" i="1"/>
  <c r="G5612" i="1"/>
  <c r="G5625" i="1"/>
  <c r="G5638" i="1"/>
  <c r="G5651" i="1"/>
  <c r="G5664" i="1"/>
  <c r="G5677" i="1"/>
  <c r="G5690" i="1"/>
  <c r="G5703" i="1"/>
  <c r="G5716" i="1"/>
  <c r="G5729" i="1"/>
  <c r="G5742" i="1"/>
  <c r="G5755" i="1"/>
  <c r="G5768" i="1"/>
  <c r="G5781" i="1"/>
  <c r="G5794" i="1"/>
  <c r="G5807" i="1"/>
  <c r="G5820" i="1"/>
  <c r="G5833" i="1"/>
  <c r="G5846" i="1"/>
  <c r="G5859" i="1"/>
  <c r="G5872" i="1"/>
  <c r="G5885" i="1"/>
  <c r="G5898" i="1"/>
  <c r="G5911" i="1"/>
  <c r="G5924" i="1"/>
  <c r="G5937" i="1"/>
  <c r="G5950" i="1"/>
  <c r="G5963" i="1"/>
  <c r="G5976" i="1"/>
  <c r="G5989" i="1"/>
  <c r="G6002" i="1"/>
  <c r="G6015" i="1"/>
  <c r="G6028" i="1"/>
  <c r="G6041" i="1"/>
  <c r="G6054" i="1"/>
  <c r="G6067" i="1"/>
  <c r="G6080" i="1"/>
  <c r="G6093" i="1"/>
  <c r="G6106" i="1"/>
  <c r="G6119" i="1"/>
  <c r="G6132" i="1"/>
  <c r="G6145" i="1"/>
  <c r="G6158" i="1"/>
  <c r="G6171" i="1"/>
  <c r="G6184" i="1"/>
  <c r="G6197" i="1"/>
  <c r="G6210" i="1"/>
  <c r="G6223" i="1"/>
  <c r="G6236" i="1"/>
  <c r="G6249" i="1"/>
  <c r="G6262" i="1"/>
  <c r="G6275" i="1"/>
  <c r="G6288" i="1"/>
  <c r="G6301" i="1"/>
  <c r="G6314" i="1"/>
  <c r="G6327" i="1"/>
  <c r="G6340" i="1"/>
  <c r="G6353" i="1"/>
  <c r="G6366" i="1"/>
  <c r="G6379" i="1"/>
  <c r="G6392" i="1"/>
  <c r="G6405" i="1"/>
  <c r="G6418" i="1"/>
  <c r="G6431" i="1"/>
  <c r="G6444" i="1"/>
  <c r="G6456" i="1"/>
  <c r="G6468" i="1"/>
  <c r="G6480" i="1"/>
  <c r="G6492" i="1"/>
  <c r="G6504" i="1"/>
  <c r="G6516" i="1"/>
  <c r="G6528" i="1"/>
  <c r="G6540" i="1"/>
  <c r="G6552" i="1"/>
  <c r="G6564" i="1"/>
  <c r="G6576" i="1"/>
  <c r="G6587" i="1"/>
  <c r="G6598" i="1"/>
  <c r="G6609" i="1"/>
  <c r="G6620" i="1"/>
  <c r="G6631" i="1"/>
  <c r="G6642" i="1"/>
  <c r="G6653" i="1"/>
  <c r="G6664" i="1"/>
  <c r="G6675" i="1"/>
  <c r="G6686" i="1"/>
  <c r="G6697" i="1"/>
  <c r="G6708" i="1"/>
  <c r="G6719" i="1"/>
  <c r="G6730" i="1"/>
  <c r="G6741" i="1"/>
  <c r="G6752" i="1"/>
  <c r="G6763" i="1"/>
  <c r="G6774" i="1"/>
  <c r="G6785" i="1"/>
  <c r="G6796" i="1"/>
  <c r="G6807" i="1"/>
  <c r="G6818" i="1"/>
  <c r="G6829" i="1"/>
  <c r="G6840" i="1"/>
  <c r="G6851" i="1"/>
  <c r="G6862" i="1"/>
  <c r="G6873" i="1"/>
  <c r="G6884" i="1"/>
  <c r="G6895" i="1"/>
  <c r="G6906" i="1"/>
  <c r="G6917" i="1"/>
  <c r="G6928" i="1"/>
  <c r="G6939" i="1"/>
  <c r="G6950" i="1"/>
  <c r="G6961" i="1"/>
  <c r="G6972" i="1"/>
  <c r="G6983" i="1"/>
  <c r="G6994" i="1"/>
  <c r="G7005" i="1"/>
  <c r="G7016" i="1"/>
  <c r="G7027" i="1"/>
  <c r="G7038" i="1"/>
  <c r="G7049" i="1"/>
  <c r="G7060" i="1"/>
  <c r="G7071" i="1"/>
  <c r="G7082" i="1"/>
  <c r="G7093" i="1"/>
  <c r="G7104" i="1"/>
  <c r="G7115" i="1"/>
  <c r="G7126" i="1"/>
  <c r="G7137" i="1"/>
  <c r="G7148" i="1"/>
  <c r="G7159" i="1"/>
  <c r="G7170" i="1"/>
  <c r="G7181" i="1"/>
  <c r="G7192" i="1"/>
  <c r="G7203" i="1"/>
  <c r="G7214" i="1"/>
  <c r="G7225" i="1"/>
  <c r="G7236" i="1"/>
  <c r="G7247" i="1"/>
  <c r="G7258" i="1"/>
  <c r="G7269" i="1"/>
  <c r="G7280" i="1"/>
  <c r="G7291" i="1"/>
  <c r="G7302" i="1"/>
  <c r="G7313" i="1"/>
  <c r="G7324" i="1"/>
  <c r="G7335" i="1"/>
  <c r="G7346" i="1"/>
  <c r="G7357" i="1"/>
  <c r="G7368" i="1"/>
  <c r="G7379" i="1"/>
  <c r="G7390" i="1"/>
  <c r="G7401" i="1"/>
  <c r="G7412" i="1"/>
  <c r="G7423" i="1"/>
  <c r="G7434" i="1"/>
  <c r="G7445" i="1"/>
  <c r="G7456" i="1"/>
  <c r="G7467" i="1"/>
  <c r="G7478" i="1"/>
  <c r="G7489" i="1"/>
  <c r="G7500" i="1"/>
  <c r="G7511" i="1"/>
  <c r="G7522" i="1"/>
  <c r="G7533" i="1"/>
  <c r="G7544" i="1"/>
  <c r="G7555" i="1"/>
  <c r="G7566" i="1"/>
  <c r="G7577" i="1"/>
  <c r="G7588" i="1"/>
  <c r="G7599" i="1"/>
  <c r="G7610" i="1"/>
  <c r="G7621" i="1"/>
  <c r="G7632" i="1"/>
  <c r="G7643" i="1"/>
  <c r="G7654" i="1"/>
  <c r="G7665" i="1"/>
  <c r="G7676" i="1"/>
  <c r="G7687" i="1"/>
  <c r="G7698" i="1"/>
  <c r="G7709" i="1"/>
  <c r="G7720" i="1"/>
  <c r="G7731" i="1"/>
  <c r="G7742" i="1"/>
  <c r="G7753" i="1"/>
  <c r="G7764" i="1"/>
  <c r="G7775" i="1"/>
  <c r="G7786" i="1"/>
  <c r="G7797" i="1"/>
  <c r="G7808" i="1"/>
  <c r="G7819" i="1"/>
  <c r="G7830" i="1"/>
  <c r="G7841" i="1"/>
  <c r="G7852" i="1"/>
  <c r="G7863" i="1"/>
  <c r="G7874" i="1"/>
  <c r="G7885" i="1"/>
  <c r="G7896" i="1"/>
  <c r="G7907" i="1"/>
  <c r="G7918" i="1"/>
  <c r="G7929" i="1"/>
  <c r="G7940" i="1"/>
  <c r="G7951" i="1"/>
  <c r="G7962" i="1"/>
  <c r="G7973" i="1"/>
  <c r="G7984" i="1"/>
  <c r="G7995" i="1"/>
  <c r="G8006" i="1"/>
  <c r="G8017" i="1"/>
  <c r="G8028" i="1"/>
  <c r="G8039" i="1"/>
  <c r="G8050" i="1"/>
  <c r="G8061" i="1"/>
  <c r="G8072" i="1"/>
  <c r="G8083" i="1"/>
  <c r="G8094" i="1"/>
  <c r="G8105" i="1"/>
  <c r="G8116" i="1"/>
  <c r="G8127" i="1"/>
  <c r="G8138" i="1"/>
  <c r="G8149" i="1"/>
  <c r="G8160" i="1"/>
  <c r="G8171" i="1"/>
  <c r="G8182" i="1"/>
  <c r="G8193" i="1"/>
  <c r="G8204" i="1"/>
  <c r="G8215" i="1"/>
  <c r="G8226" i="1"/>
  <c r="G8237" i="1"/>
  <c r="G8248" i="1"/>
  <c r="G8259" i="1"/>
  <c r="G8270" i="1"/>
  <c r="G8281" i="1"/>
  <c r="G8292" i="1"/>
  <c r="G8303" i="1"/>
  <c r="G8314" i="1"/>
  <c r="G8325" i="1"/>
  <c r="G8336" i="1"/>
  <c r="G8347" i="1"/>
  <c r="G8358" i="1"/>
  <c r="G8369" i="1"/>
  <c r="G8380" i="1"/>
  <c r="G8391" i="1"/>
  <c r="G8402" i="1"/>
  <c r="G8413" i="1"/>
  <c r="G8424" i="1"/>
  <c r="G8435" i="1"/>
  <c r="G8446" i="1"/>
  <c r="G8457" i="1"/>
  <c r="G8468" i="1"/>
  <c r="G8479" i="1"/>
  <c r="G8490" i="1"/>
  <c r="G8501" i="1"/>
  <c r="G8512" i="1"/>
  <c r="G8523" i="1"/>
  <c r="G8534" i="1"/>
  <c r="G8545" i="1"/>
  <c r="G8556" i="1"/>
  <c r="G8567" i="1"/>
  <c r="G8578" i="1"/>
  <c r="G8589" i="1"/>
  <c r="G8600" i="1"/>
  <c r="G8611" i="1"/>
  <c r="G8622" i="1"/>
  <c r="G8633" i="1"/>
  <c r="G8644" i="1"/>
  <c r="G8655" i="1"/>
  <c r="G8666" i="1"/>
  <c r="G8677" i="1"/>
  <c r="G8688" i="1"/>
  <c r="G8699" i="1"/>
  <c r="G8710" i="1"/>
  <c r="G8721" i="1"/>
  <c r="G8732" i="1"/>
  <c r="G8743" i="1"/>
  <c r="G8754" i="1"/>
  <c r="G8765" i="1"/>
  <c r="G8776" i="1"/>
  <c r="G8787" i="1"/>
  <c r="G8798" i="1"/>
  <c r="G8809" i="1"/>
  <c r="G8820" i="1"/>
  <c r="G8831" i="1"/>
  <c r="G8842" i="1"/>
  <c r="G8853" i="1"/>
  <c r="G8864" i="1"/>
  <c r="G8875" i="1"/>
  <c r="G8886" i="1"/>
  <c r="G8897" i="1"/>
  <c r="G8908" i="1"/>
  <c r="G8920" i="1"/>
  <c r="G8932" i="1"/>
  <c r="G8944" i="1"/>
  <c r="G8956" i="1"/>
  <c r="G8968" i="1"/>
  <c r="G8980" i="1"/>
  <c r="G8992" i="1"/>
  <c r="G9004" i="1"/>
  <c r="G9016" i="1"/>
  <c r="G9028" i="1"/>
  <c r="G9040" i="1"/>
  <c r="G9052" i="1"/>
  <c r="G9064" i="1"/>
  <c r="G9076" i="1"/>
  <c r="G9088" i="1"/>
  <c r="G9100" i="1"/>
  <c r="G9112" i="1"/>
  <c r="G9124" i="1"/>
  <c r="G9136" i="1"/>
  <c r="G9148" i="1"/>
  <c r="G9160" i="1"/>
  <c r="G9172" i="1"/>
  <c r="G9184" i="1"/>
  <c r="G9196" i="1"/>
  <c r="G9208" i="1"/>
  <c r="G9220" i="1"/>
  <c r="G9232" i="1"/>
  <c r="G9244" i="1"/>
  <c r="G9256" i="1"/>
  <c r="G9268" i="1"/>
  <c r="G9280" i="1"/>
  <c r="G9292" i="1"/>
  <c r="G9304" i="1"/>
  <c r="G9316" i="1"/>
  <c r="G9328" i="1"/>
  <c r="G9340" i="1"/>
  <c r="G9352" i="1"/>
  <c r="G9364" i="1"/>
  <c r="G9376" i="1"/>
  <c r="G9388" i="1"/>
  <c r="G9400" i="1"/>
  <c r="G9412" i="1"/>
  <c r="G9424" i="1"/>
  <c r="G9436" i="1"/>
  <c r="G9448" i="1"/>
  <c r="G5197" i="1"/>
  <c r="G5210" i="1"/>
  <c r="G5223" i="1"/>
  <c r="G5236" i="1"/>
  <c r="G5249" i="1"/>
  <c r="G5262" i="1"/>
  <c r="G5275" i="1"/>
  <c r="G5288" i="1"/>
  <c r="G5301" i="1"/>
  <c r="G5314" i="1"/>
  <c r="G5327" i="1"/>
  <c r="G5340" i="1"/>
  <c r="G5353" i="1"/>
  <c r="G5366" i="1"/>
  <c r="G5379" i="1"/>
  <c r="G5392" i="1"/>
  <c r="G5405" i="1"/>
  <c r="G5418" i="1"/>
  <c r="G5431" i="1"/>
  <c r="G5444" i="1"/>
  <c r="G5457" i="1"/>
  <c r="G5470" i="1"/>
  <c r="G5483" i="1"/>
  <c r="G5496" i="1"/>
  <c r="G5509" i="1"/>
  <c r="G5522" i="1"/>
  <c r="G5535" i="1"/>
  <c r="G5548" i="1"/>
  <c r="G5561" i="1"/>
  <c r="G5574" i="1"/>
  <c r="G5587" i="1"/>
  <c r="G5600" i="1"/>
  <c r="G5613" i="1"/>
  <c r="G5626" i="1"/>
  <c r="G5639" i="1"/>
  <c r="G5652" i="1"/>
  <c r="G5665" i="1"/>
  <c r="G5678" i="1"/>
  <c r="G5691" i="1"/>
  <c r="G5704" i="1"/>
  <c r="G5717" i="1"/>
  <c r="G5730" i="1"/>
  <c r="G5743" i="1"/>
  <c r="G5756" i="1"/>
  <c r="G5769" i="1"/>
  <c r="G5782" i="1"/>
  <c r="G5795" i="1"/>
  <c r="G5808" i="1"/>
  <c r="G5821" i="1"/>
  <c r="G5834" i="1"/>
  <c r="G5847" i="1"/>
  <c r="G5860" i="1"/>
  <c r="G5873" i="1"/>
  <c r="G5886" i="1"/>
  <c r="G5899" i="1"/>
  <c r="G5912" i="1"/>
  <c r="G5925" i="1"/>
  <c r="G5938" i="1"/>
  <c r="G5951" i="1"/>
  <c r="G5964" i="1"/>
  <c r="G5977" i="1"/>
  <c r="G5990" i="1"/>
  <c r="G6003" i="1"/>
  <c r="G6016" i="1"/>
  <c r="G6029" i="1"/>
  <c r="G6042" i="1"/>
  <c r="G6055" i="1"/>
  <c r="G6068" i="1"/>
  <c r="G6081" i="1"/>
  <c r="G6094" i="1"/>
  <c r="G6107" i="1"/>
  <c r="G6120" i="1"/>
  <c r="G6133" i="1"/>
  <c r="G6146" i="1"/>
  <c r="G6159" i="1"/>
  <c r="G6172" i="1"/>
  <c r="G6185" i="1"/>
  <c r="G6198" i="1"/>
  <c r="G6211" i="1"/>
  <c r="G6224" i="1"/>
  <c r="G6237" i="1"/>
  <c r="G6250" i="1"/>
  <c r="G6263" i="1"/>
  <c r="G6276" i="1"/>
  <c r="G6289" i="1"/>
  <c r="G6302" i="1"/>
  <c r="G6315" i="1"/>
  <c r="G6328" i="1"/>
  <c r="G6341" i="1"/>
  <c r="G6354" i="1"/>
  <c r="G6367" i="1"/>
  <c r="G6380" i="1"/>
  <c r="G6393" i="1"/>
  <c r="G6406" i="1"/>
  <c r="G6419" i="1"/>
  <c r="G6432" i="1"/>
  <c r="G5198" i="1"/>
  <c r="G5211" i="1"/>
  <c r="G5224" i="1"/>
  <c r="G5237" i="1"/>
  <c r="G5250" i="1"/>
  <c r="G5263" i="1"/>
  <c r="G5276" i="1"/>
  <c r="G5289" i="1"/>
  <c r="G5302" i="1"/>
  <c r="G5315" i="1"/>
  <c r="G5328" i="1"/>
  <c r="G5341" i="1"/>
  <c r="G5354" i="1"/>
  <c r="G5367" i="1"/>
  <c r="G5380" i="1"/>
  <c r="G5393" i="1"/>
  <c r="G5406" i="1"/>
  <c r="G5419" i="1"/>
  <c r="G5432" i="1"/>
  <c r="G5445" i="1"/>
  <c r="G5458" i="1"/>
  <c r="G5471" i="1"/>
  <c r="G5484" i="1"/>
  <c r="G5497" i="1"/>
  <c r="G5510" i="1"/>
  <c r="G5523" i="1"/>
  <c r="G5536" i="1"/>
  <c r="G5549" i="1"/>
  <c r="G5562" i="1"/>
  <c r="G5575" i="1"/>
  <c r="G5588" i="1"/>
  <c r="G5601" i="1"/>
  <c r="G5614" i="1"/>
  <c r="G5627" i="1"/>
  <c r="G5640" i="1"/>
  <c r="G5653" i="1"/>
  <c r="G5666" i="1"/>
  <c r="G5679" i="1"/>
  <c r="G5692" i="1"/>
  <c r="G5705" i="1"/>
  <c r="G5718" i="1"/>
  <c r="G5731" i="1"/>
  <c r="G5744" i="1"/>
  <c r="G5757" i="1"/>
  <c r="G5770" i="1"/>
  <c r="G5783" i="1"/>
  <c r="G5796" i="1"/>
  <c r="G5809" i="1"/>
  <c r="G5822" i="1"/>
  <c r="G5835" i="1"/>
  <c r="G5848" i="1"/>
  <c r="G5861" i="1"/>
  <c r="G5874" i="1"/>
  <c r="G5887" i="1"/>
  <c r="G5900" i="1"/>
  <c r="G5913" i="1"/>
  <c r="G5926" i="1"/>
  <c r="G5939" i="1"/>
  <c r="G5952" i="1"/>
  <c r="G5965" i="1"/>
  <c r="G5978" i="1"/>
  <c r="G5991" i="1"/>
  <c r="G6004" i="1"/>
  <c r="G6017" i="1"/>
  <c r="G6030" i="1"/>
  <c r="G6043" i="1"/>
  <c r="G6056" i="1"/>
  <c r="G6069" i="1"/>
  <c r="G6082" i="1"/>
  <c r="G6095" i="1"/>
  <c r="G6108" i="1"/>
  <c r="G6121" i="1"/>
  <c r="G6134" i="1"/>
  <c r="G6147" i="1"/>
  <c r="G6160" i="1"/>
  <c r="G6173" i="1"/>
  <c r="G6186" i="1"/>
  <c r="G6199" i="1"/>
  <c r="G6212" i="1"/>
  <c r="G6225" i="1"/>
  <c r="G6238" i="1"/>
  <c r="G6251" i="1"/>
  <c r="G6264" i="1"/>
  <c r="G6277" i="1"/>
  <c r="G6290" i="1"/>
  <c r="G6303" i="1"/>
  <c r="G6316" i="1"/>
  <c r="G6329" i="1"/>
  <c r="G6342" i="1"/>
  <c r="G6355" i="1"/>
  <c r="G6368" i="1"/>
  <c r="G6381" i="1"/>
  <c r="G6394" i="1"/>
  <c r="G6407" i="1"/>
  <c r="G6420" i="1"/>
  <c r="G6433" i="1"/>
  <c r="G6445" i="1"/>
  <c r="G6457" i="1"/>
  <c r="G6469" i="1"/>
  <c r="G6481" i="1"/>
  <c r="G6493" i="1"/>
  <c r="G6505" i="1"/>
  <c r="G6517" i="1"/>
  <c r="G6529" i="1"/>
  <c r="G6541" i="1"/>
  <c r="G6553" i="1"/>
  <c r="G6565" i="1"/>
  <c r="G6577" i="1"/>
  <c r="G6588" i="1"/>
  <c r="G6599" i="1"/>
  <c r="G6610" i="1"/>
  <c r="G6621" i="1"/>
  <c r="G6632" i="1"/>
  <c r="G6643" i="1"/>
  <c r="G6654" i="1"/>
  <c r="G6665" i="1"/>
  <c r="G6676" i="1"/>
  <c r="G6687" i="1"/>
  <c r="G6698" i="1"/>
  <c r="G6709" i="1"/>
  <c r="G6720" i="1"/>
  <c r="G6731" i="1"/>
  <c r="G6742" i="1"/>
  <c r="G6753" i="1"/>
  <c r="G6764" i="1"/>
  <c r="G6775" i="1"/>
  <c r="G6786" i="1"/>
  <c r="G6797" i="1"/>
  <c r="G6808" i="1"/>
  <c r="G6819" i="1"/>
  <c r="G6830" i="1"/>
  <c r="G6841" i="1"/>
  <c r="G6852" i="1"/>
  <c r="G6863" i="1"/>
  <c r="G6874" i="1"/>
  <c r="G6885" i="1"/>
  <c r="G6896" i="1"/>
  <c r="G6907" i="1"/>
  <c r="G6918" i="1"/>
  <c r="G6929" i="1"/>
  <c r="G6940" i="1"/>
  <c r="G6951" i="1"/>
  <c r="G6962" i="1"/>
  <c r="G6973" i="1"/>
  <c r="G6984" i="1"/>
  <c r="G6995" i="1"/>
  <c r="G7006" i="1"/>
  <c r="G7017" i="1"/>
  <c r="G7028" i="1"/>
  <c r="G7039" i="1"/>
  <c r="G7050" i="1"/>
  <c r="G7061" i="1"/>
  <c r="G7072" i="1"/>
  <c r="G7083" i="1"/>
  <c r="G7094" i="1"/>
  <c r="G7105" i="1"/>
  <c r="G7116" i="1"/>
  <c r="G7127" i="1"/>
  <c r="G7138" i="1"/>
  <c r="G7149" i="1"/>
  <c r="G7160" i="1"/>
  <c r="G7171" i="1"/>
  <c r="G7182" i="1"/>
  <c r="G7193" i="1"/>
  <c r="G7204" i="1"/>
  <c r="G7215" i="1"/>
  <c r="G7226" i="1"/>
  <c r="G7237" i="1"/>
  <c r="G7248" i="1"/>
  <c r="G7259" i="1"/>
  <c r="G7270" i="1"/>
  <c r="G7281" i="1"/>
  <c r="G7292" i="1"/>
  <c r="G7303" i="1"/>
  <c r="G7314" i="1"/>
  <c r="G7325" i="1"/>
  <c r="G7336" i="1"/>
  <c r="G7347" i="1"/>
  <c r="G7358" i="1"/>
  <c r="G7369" i="1"/>
  <c r="G7380" i="1"/>
  <c r="G7391" i="1"/>
  <c r="G7402" i="1"/>
  <c r="G7413" i="1"/>
  <c r="G7424" i="1"/>
  <c r="G7435" i="1"/>
  <c r="G7446" i="1"/>
  <c r="G7457" i="1"/>
  <c r="G7468" i="1"/>
  <c r="G7479" i="1"/>
  <c r="G7490" i="1"/>
  <c r="G7501" i="1"/>
  <c r="G7512" i="1"/>
  <c r="G7523" i="1"/>
  <c r="G7534" i="1"/>
  <c r="G7545" i="1"/>
  <c r="G7556" i="1"/>
  <c r="G7567" i="1"/>
  <c r="G7578" i="1"/>
  <c r="G7589" i="1"/>
  <c r="G7600" i="1"/>
  <c r="G7611" i="1"/>
  <c r="G7622" i="1"/>
  <c r="G7633" i="1"/>
  <c r="G7644" i="1"/>
  <c r="G7655" i="1"/>
  <c r="G7666" i="1"/>
  <c r="G7677" i="1"/>
  <c r="G7688" i="1"/>
  <c r="G7699" i="1"/>
  <c r="G7710" i="1"/>
  <c r="G7721" i="1"/>
  <c r="G7732" i="1"/>
  <c r="G7743" i="1"/>
  <c r="G7754" i="1"/>
  <c r="G7765" i="1"/>
  <c r="G7776" i="1"/>
  <c r="G7787" i="1"/>
  <c r="G7798" i="1"/>
  <c r="G7809" i="1"/>
  <c r="G7820" i="1"/>
  <c r="G7831" i="1"/>
  <c r="G7842" i="1"/>
  <c r="G7853" i="1"/>
  <c r="G7864" i="1"/>
  <c r="G7875" i="1"/>
  <c r="G7886" i="1"/>
  <c r="G7897" i="1"/>
  <c r="G7908" i="1"/>
  <c r="G7919" i="1"/>
  <c r="G7930" i="1"/>
  <c r="G7941" i="1"/>
  <c r="G7952" i="1"/>
  <c r="G7963" i="1"/>
  <c r="G7974" i="1"/>
  <c r="G7985" i="1"/>
  <c r="G7996" i="1"/>
  <c r="G8007" i="1"/>
  <c r="G8018" i="1"/>
  <c r="G8029" i="1"/>
  <c r="G8040" i="1"/>
  <c r="G8051" i="1"/>
  <c r="G8062" i="1"/>
  <c r="G8073" i="1"/>
  <c r="G8084" i="1"/>
  <c r="G8095" i="1"/>
  <c r="G8106" i="1"/>
  <c r="G8117" i="1"/>
  <c r="G8128" i="1"/>
  <c r="G8139" i="1"/>
  <c r="G8150" i="1"/>
  <c r="G8161" i="1"/>
  <c r="G8172" i="1"/>
  <c r="G8183" i="1"/>
  <c r="G8194" i="1"/>
  <c r="G8205" i="1"/>
  <c r="G8216" i="1"/>
  <c r="G8227" i="1"/>
  <c r="G8238" i="1"/>
  <c r="G8249" i="1"/>
  <c r="G8260" i="1"/>
  <c r="G8271" i="1"/>
  <c r="G8282" i="1"/>
  <c r="G8293" i="1"/>
  <c r="G8304" i="1"/>
  <c r="G8315" i="1"/>
  <c r="G8326" i="1"/>
  <c r="G8337" i="1"/>
  <c r="G8348" i="1"/>
  <c r="G8359" i="1"/>
  <c r="G8370" i="1"/>
  <c r="G8381" i="1"/>
  <c r="G8392" i="1"/>
  <c r="G8403" i="1"/>
  <c r="G8414" i="1"/>
  <c r="G8425" i="1"/>
  <c r="G8436" i="1"/>
  <c r="G8447" i="1"/>
  <c r="G8458" i="1"/>
  <c r="G8469" i="1"/>
  <c r="G8480" i="1"/>
  <c r="G8491" i="1"/>
  <c r="G8502" i="1"/>
  <c r="G8513" i="1"/>
  <c r="G8524" i="1"/>
  <c r="G8535" i="1"/>
  <c r="G8546" i="1"/>
  <c r="G8557" i="1"/>
  <c r="G8568" i="1"/>
  <c r="G8579" i="1"/>
  <c r="G8590" i="1"/>
  <c r="G8601" i="1"/>
  <c r="G8612" i="1"/>
  <c r="G8623" i="1"/>
  <c r="G8634" i="1"/>
  <c r="G8645" i="1"/>
  <c r="G8656" i="1"/>
  <c r="G8667" i="1"/>
  <c r="G8678" i="1"/>
  <c r="G8689" i="1"/>
  <c r="G8700" i="1"/>
  <c r="G8711" i="1"/>
  <c r="G8722" i="1"/>
  <c r="G8733" i="1"/>
  <c r="G8744" i="1"/>
  <c r="G8755" i="1"/>
  <c r="G8766" i="1"/>
  <c r="G8777" i="1"/>
  <c r="G8788" i="1"/>
  <c r="G8799" i="1"/>
  <c r="G8810" i="1"/>
  <c r="G8821" i="1"/>
  <c r="G8832" i="1"/>
  <c r="G8843" i="1"/>
  <c r="G8854" i="1"/>
  <c r="G8865" i="1"/>
  <c r="G8876" i="1"/>
  <c r="G8887" i="1"/>
  <c r="G8898" i="1"/>
  <c r="G8909" i="1"/>
  <c r="G8921" i="1"/>
  <c r="G8933" i="1"/>
  <c r="G8945" i="1"/>
  <c r="G8957" i="1"/>
  <c r="G8969" i="1"/>
  <c r="G8981" i="1"/>
  <c r="G8993" i="1"/>
  <c r="G9005" i="1"/>
  <c r="G9017" i="1"/>
  <c r="G9029" i="1"/>
  <c r="G9041" i="1"/>
  <c r="G9053" i="1"/>
  <c r="G9065" i="1"/>
  <c r="G9077" i="1"/>
  <c r="G9089" i="1"/>
  <c r="G9101" i="1"/>
  <c r="G9113" i="1"/>
  <c r="G9125" i="1"/>
  <c r="G9137" i="1"/>
  <c r="G9149" i="1"/>
  <c r="G9161" i="1"/>
  <c r="G9173" i="1"/>
  <c r="G9185" i="1"/>
  <c r="G9197" i="1"/>
  <c r="G9209" i="1"/>
  <c r="G9221" i="1"/>
  <c r="G9233" i="1"/>
  <c r="G9245" i="1"/>
  <c r="G9257" i="1"/>
  <c r="G9269" i="1"/>
  <c r="G9281" i="1"/>
  <c r="G9293" i="1"/>
  <c r="G9305" i="1"/>
  <c r="G9317" i="1"/>
  <c r="G9329" i="1"/>
  <c r="G9341" i="1"/>
  <c r="G9353" i="1"/>
  <c r="G9365" i="1"/>
  <c r="G9377" i="1"/>
  <c r="G9389" i="1"/>
  <c r="G9401" i="1"/>
  <c r="G9413" i="1"/>
  <c r="G9425" i="1"/>
  <c r="G9437" i="1"/>
  <c r="G9449" i="1"/>
  <c r="G5199" i="1"/>
  <c r="G5212" i="1"/>
  <c r="G5225" i="1"/>
  <c r="G5238" i="1"/>
  <c r="G5251" i="1"/>
  <c r="G5264" i="1"/>
  <c r="G5277" i="1"/>
  <c r="G5290" i="1"/>
  <c r="G5303" i="1"/>
  <c r="G5316" i="1"/>
  <c r="G5329" i="1"/>
  <c r="G5342" i="1"/>
  <c r="G5355" i="1"/>
  <c r="G5368" i="1"/>
  <c r="G5381" i="1"/>
  <c r="G5394" i="1"/>
  <c r="G5407" i="1"/>
  <c r="G5420" i="1"/>
  <c r="G5433" i="1"/>
  <c r="G5446" i="1"/>
  <c r="G5459" i="1"/>
  <c r="G5472" i="1"/>
  <c r="G5485" i="1"/>
  <c r="G5498" i="1"/>
  <c r="G5511" i="1"/>
  <c r="G5524" i="1"/>
  <c r="G5537" i="1"/>
  <c r="G5550" i="1"/>
  <c r="G5563" i="1"/>
  <c r="G5576" i="1"/>
  <c r="G5589" i="1"/>
  <c r="G5602" i="1"/>
  <c r="G5615" i="1"/>
  <c r="G5628" i="1"/>
  <c r="G5641" i="1"/>
  <c r="G5654" i="1"/>
  <c r="G5667" i="1"/>
  <c r="G5680" i="1"/>
  <c r="G5693" i="1"/>
  <c r="G5706" i="1"/>
  <c r="G5719" i="1"/>
  <c r="G5732" i="1"/>
  <c r="G5745" i="1"/>
  <c r="G5758" i="1"/>
  <c r="G5771" i="1"/>
  <c r="G5784" i="1"/>
  <c r="G5797" i="1"/>
  <c r="G5810" i="1"/>
  <c r="G5823" i="1"/>
  <c r="G5836" i="1"/>
  <c r="G5849" i="1"/>
  <c r="G5862" i="1"/>
  <c r="G5875" i="1"/>
  <c r="G5888" i="1"/>
  <c r="G5901" i="1"/>
  <c r="G5914" i="1"/>
  <c r="G5927" i="1"/>
  <c r="G5940" i="1"/>
  <c r="G5953" i="1"/>
  <c r="G5966" i="1"/>
  <c r="G5979" i="1"/>
  <c r="G5992" i="1"/>
  <c r="G6005" i="1"/>
  <c r="G6018" i="1"/>
  <c r="G6031" i="1"/>
  <c r="G6044" i="1"/>
  <c r="G6057" i="1"/>
  <c r="G6070" i="1"/>
  <c r="G6083" i="1"/>
  <c r="G6096" i="1"/>
  <c r="G6109" i="1"/>
  <c r="G6122" i="1"/>
  <c r="G6135" i="1"/>
  <c r="G6148" i="1"/>
  <c r="G6161" i="1"/>
  <c r="G6174" i="1"/>
  <c r="G6187" i="1"/>
  <c r="G6200" i="1"/>
  <c r="G6213" i="1"/>
  <c r="G6226" i="1"/>
  <c r="G6239" i="1"/>
  <c r="G6252" i="1"/>
  <c r="G6265" i="1"/>
  <c r="G6278" i="1"/>
  <c r="G6291" i="1"/>
  <c r="G6304" i="1"/>
  <c r="G6317" i="1"/>
  <c r="G6330" i="1"/>
  <c r="G6343" i="1"/>
  <c r="G6356" i="1"/>
  <c r="G6369" i="1"/>
  <c r="G6382" i="1"/>
  <c r="G6395" i="1"/>
  <c r="G6408" i="1"/>
  <c r="G6421" i="1"/>
  <c r="G6434" i="1"/>
  <c r="G6446" i="1"/>
  <c r="G6458" i="1"/>
  <c r="G6470" i="1"/>
  <c r="G6482" i="1"/>
  <c r="G6494" i="1"/>
  <c r="G6506" i="1"/>
  <c r="G6518" i="1"/>
  <c r="G6530" i="1"/>
  <c r="G6542" i="1"/>
  <c r="G6554" i="1"/>
  <c r="G6566" i="1"/>
  <c r="G6578" i="1"/>
  <c r="G6589" i="1"/>
  <c r="G6600" i="1"/>
  <c r="G6611" i="1"/>
  <c r="G6622" i="1"/>
  <c r="G6633" i="1"/>
  <c r="G6644" i="1"/>
  <c r="G6655" i="1"/>
  <c r="G6666" i="1"/>
  <c r="G6677" i="1"/>
  <c r="G6688" i="1"/>
  <c r="G6699" i="1"/>
  <c r="G6710" i="1"/>
  <c r="G6721" i="1"/>
  <c r="G6732" i="1"/>
  <c r="G6743" i="1"/>
  <c r="G6754" i="1"/>
  <c r="G6765" i="1"/>
  <c r="G6776" i="1"/>
  <c r="G6787" i="1"/>
  <c r="G6798" i="1"/>
  <c r="G6809" i="1"/>
  <c r="G6820" i="1"/>
  <c r="G6831" i="1"/>
  <c r="G6842" i="1"/>
  <c r="G6853" i="1"/>
  <c r="G6864" i="1"/>
  <c r="G6875" i="1"/>
  <c r="G6886" i="1"/>
  <c r="G6897" i="1"/>
  <c r="G6908" i="1"/>
  <c r="G6919" i="1"/>
  <c r="G6930" i="1"/>
  <c r="G6941" i="1"/>
  <c r="G6952" i="1"/>
  <c r="G6963" i="1"/>
  <c r="G6974" i="1"/>
  <c r="G6985" i="1"/>
  <c r="G6996" i="1"/>
  <c r="G7007" i="1"/>
  <c r="G7018" i="1"/>
  <c r="G7029" i="1"/>
  <c r="G7040" i="1"/>
  <c r="G7051" i="1"/>
  <c r="G7062" i="1"/>
  <c r="G7073" i="1"/>
  <c r="G7084" i="1"/>
  <c r="G7095" i="1"/>
  <c r="G7106" i="1"/>
  <c r="G7117" i="1"/>
  <c r="G7128" i="1"/>
  <c r="G7139" i="1"/>
  <c r="G7150" i="1"/>
  <c r="G7161" i="1"/>
  <c r="G7172" i="1"/>
  <c r="G7183" i="1"/>
  <c r="G7194" i="1"/>
  <c r="G7205" i="1"/>
  <c r="G7216" i="1"/>
  <c r="G7227" i="1"/>
  <c r="G7238" i="1"/>
  <c r="G7249" i="1"/>
  <c r="G7260" i="1"/>
  <c r="G7271" i="1"/>
  <c r="G7282" i="1"/>
  <c r="G7293" i="1"/>
  <c r="G7304" i="1"/>
  <c r="G7315" i="1"/>
  <c r="G7326" i="1"/>
  <c r="G7337" i="1"/>
  <c r="G7348" i="1"/>
  <c r="G7359" i="1"/>
  <c r="G7370" i="1"/>
  <c r="G7381" i="1"/>
  <c r="G7392" i="1"/>
  <c r="G7403" i="1"/>
  <c r="G7414" i="1"/>
  <c r="G7425" i="1"/>
  <c r="G7436" i="1"/>
  <c r="G7447" i="1"/>
  <c r="G7458" i="1"/>
  <c r="G7469" i="1"/>
  <c r="G7480" i="1"/>
  <c r="G7491" i="1"/>
  <c r="G7502" i="1"/>
  <c r="G7513" i="1"/>
  <c r="G7524" i="1"/>
  <c r="G7535" i="1"/>
  <c r="G7546" i="1"/>
  <c r="G7557" i="1"/>
  <c r="G7568" i="1"/>
  <c r="G7579" i="1"/>
  <c r="G7590" i="1"/>
  <c r="G7601" i="1"/>
  <c r="G7612" i="1"/>
  <c r="G7623" i="1"/>
  <c r="G7634" i="1"/>
  <c r="G7645" i="1"/>
  <c r="G7656" i="1"/>
  <c r="G7667" i="1"/>
  <c r="G7678" i="1"/>
  <c r="G7689" i="1"/>
  <c r="G7700" i="1"/>
  <c r="G7711" i="1"/>
  <c r="G7722" i="1"/>
  <c r="G7733" i="1"/>
  <c r="G7744" i="1"/>
  <c r="G7755" i="1"/>
  <c r="G7766" i="1"/>
  <c r="G7777" i="1"/>
  <c r="G7788" i="1"/>
  <c r="G7799" i="1"/>
  <c r="G7810" i="1"/>
  <c r="G7821" i="1"/>
  <c r="G7832" i="1"/>
  <c r="G7843" i="1"/>
  <c r="G7854" i="1"/>
  <c r="G7865" i="1"/>
  <c r="G7876" i="1"/>
  <c r="G7887" i="1"/>
  <c r="G7898" i="1"/>
  <c r="G7909" i="1"/>
  <c r="G7920" i="1"/>
  <c r="G7931" i="1"/>
  <c r="G7942" i="1"/>
  <c r="G7953" i="1"/>
  <c r="G7964" i="1"/>
  <c r="G7975" i="1"/>
  <c r="G7986" i="1"/>
  <c r="G7997" i="1"/>
  <c r="G8008" i="1"/>
  <c r="G8019" i="1"/>
  <c r="G8030" i="1"/>
  <c r="G8041" i="1"/>
  <c r="G8052" i="1"/>
  <c r="G8063" i="1"/>
  <c r="G8074" i="1"/>
  <c r="G8085" i="1"/>
  <c r="G8096" i="1"/>
  <c r="G8107" i="1"/>
  <c r="G8118" i="1"/>
  <c r="G8129" i="1"/>
  <c r="G8140" i="1"/>
  <c r="G8151" i="1"/>
  <c r="G8162" i="1"/>
  <c r="G8173" i="1"/>
  <c r="G8184" i="1"/>
  <c r="G8195" i="1"/>
  <c r="G8206" i="1"/>
  <c r="G8217" i="1"/>
  <c r="G8228" i="1"/>
  <c r="G8239" i="1"/>
  <c r="G8250" i="1"/>
  <c r="G8261" i="1"/>
  <c r="G8272" i="1"/>
  <c r="G8283" i="1"/>
  <c r="G8294" i="1"/>
  <c r="G8305" i="1"/>
  <c r="G8316" i="1"/>
  <c r="G8327" i="1"/>
  <c r="G8338" i="1"/>
  <c r="G8349" i="1"/>
  <c r="G8360" i="1"/>
  <c r="G8371" i="1"/>
  <c r="G8382" i="1"/>
  <c r="G8393" i="1"/>
  <c r="G8404" i="1"/>
  <c r="G8415" i="1"/>
  <c r="G8426" i="1"/>
  <c r="G8437" i="1"/>
  <c r="G8448" i="1"/>
  <c r="G8459" i="1"/>
  <c r="G8470" i="1"/>
  <c r="G8481" i="1"/>
  <c r="G8492" i="1"/>
  <c r="G8503" i="1"/>
  <c r="G8514" i="1"/>
  <c r="G8525" i="1"/>
  <c r="G8536" i="1"/>
  <c r="G8547" i="1"/>
  <c r="G8558" i="1"/>
  <c r="G8569" i="1"/>
  <c r="G8580" i="1"/>
  <c r="G8591" i="1"/>
  <c r="G8602" i="1"/>
  <c r="G8613" i="1"/>
  <c r="G8624" i="1"/>
  <c r="G8635" i="1"/>
  <c r="G8646" i="1"/>
  <c r="G8657" i="1"/>
  <c r="G8668" i="1"/>
  <c r="G8679" i="1"/>
  <c r="G8690" i="1"/>
  <c r="G8701" i="1"/>
  <c r="G8712" i="1"/>
  <c r="G8723" i="1"/>
  <c r="G8734" i="1"/>
  <c r="G8745" i="1"/>
  <c r="G8756" i="1"/>
  <c r="G8767" i="1"/>
  <c r="G8778" i="1"/>
  <c r="G8789" i="1"/>
  <c r="G8800" i="1"/>
  <c r="G8811" i="1"/>
  <c r="G8822" i="1"/>
  <c r="G8833" i="1"/>
  <c r="G8844" i="1"/>
  <c r="G8855" i="1"/>
  <c r="G8866" i="1"/>
  <c r="G8877" i="1"/>
  <c r="G8888" i="1"/>
  <c r="G8899" i="1"/>
  <c r="G8910" i="1"/>
  <c r="G8922" i="1"/>
  <c r="G8934" i="1"/>
  <c r="G8946" i="1"/>
  <c r="G8958" i="1"/>
  <c r="G8970" i="1"/>
  <c r="G8982" i="1"/>
  <c r="G8994" i="1"/>
  <c r="G9006" i="1"/>
  <c r="G9018" i="1"/>
  <c r="G9030" i="1"/>
  <c r="G9042" i="1"/>
  <c r="G9054" i="1"/>
  <c r="G9066" i="1"/>
  <c r="G9078" i="1"/>
  <c r="G9090" i="1"/>
  <c r="G9102" i="1"/>
  <c r="G9114" i="1"/>
  <c r="G9126" i="1"/>
  <c r="G9138" i="1"/>
  <c r="G9150" i="1"/>
  <c r="G9162" i="1"/>
  <c r="G9174" i="1"/>
  <c r="G9186" i="1"/>
  <c r="G9198" i="1"/>
  <c r="G9210" i="1"/>
  <c r="G9222" i="1"/>
  <c r="G9234" i="1"/>
  <c r="G9246" i="1"/>
  <c r="G9258" i="1"/>
  <c r="G9270" i="1"/>
  <c r="G9282" i="1"/>
  <c r="G9294" i="1"/>
  <c r="G9306" i="1"/>
  <c r="G9318" i="1"/>
  <c r="G9330" i="1"/>
  <c r="G9342" i="1"/>
  <c r="G9354" i="1"/>
  <c r="G9366" i="1"/>
  <c r="G9378" i="1"/>
  <c r="G9390" i="1"/>
  <c r="G9402" i="1"/>
  <c r="G9414" i="1"/>
  <c r="G9426" i="1"/>
  <c r="G9438" i="1"/>
  <c r="G9450" i="1"/>
  <c r="G5200" i="1"/>
  <c r="G5213" i="1"/>
  <c r="G5226" i="1"/>
  <c r="G5239" i="1"/>
  <c r="G5252" i="1"/>
  <c r="G5265" i="1"/>
  <c r="G5278" i="1"/>
  <c r="G5291" i="1"/>
  <c r="G5304" i="1"/>
  <c r="G5317" i="1"/>
  <c r="G5330" i="1"/>
  <c r="G5343" i="1"/>
  <c r="G5356" i="1"/>
  <c r="G5369" i="1"/>
  <c r="G5382" i="1"/>
  <c r="G5395" i="1"/>
  <c r="G5408" i="1"/>
  <c r="G5421" i="1"/>
  <c r="G5434" i="1"/>
  <c r="G5447" i="1"/>
  <c r="G5460" i="1"/>
  <c r="G5473" i="1"/>
  <c r="G5486" i="1"/>
  <c r="G5499" i="1"/>
  <c r="G5512" i="1"/>
  <c r="G5525" i="1"/>
  <c r="G5538" i="1"/>
  <c r="G5551" i="1"/>
  <c r="G5564" i="1"/>
  <c r="G5577" i="1"/>
  <c r="G5590" i="1"/>
  <c r="G5603" i="1"/>
  <c r="G5616" i="1"/>
  <c r="G5629" i="1"/>
  <c r="G5642" i="1"/>
  <c r="G5655" i="1"/>
  <c r="G5668" i="1"/>
  <c r="G5681" i="1"/>
  <c r="G5694" i="1"/>
  <c r="G5707" i="1"/>
  <c r="G5720" i="1"/>
  <c r="G5733" i="1"/>
  <c r="G5746" i="1"/>
  <c r="G5759" i="1"/>
  <c r="G5772" i="1"/>
  <c r="G5785" i="1"/>
  <c r="G5798" i="1"/>
  <c r="G5811" i="1"/>
  <c r="G5824" i="1"/>
  <c r="G5837" i="1"/>
  <c r="G5850" i="1"/>
  <c r="G5863" i="1"/>
  <c r="G5876" i="1"/>
  <c r="G5889" i="1"/>
  <c r="G5902" i="1"/>
  <c r="G5915" i="1"/>
  <c r="G5928" i="1"/>
  <c r="G5941" i="1"/>
  <c r="G5954" i="1"/>
  <c r="G5967" i="1"/>
  <c r="G5980" i="1"/>
  <c r="G5993" i="1"/>
  <c r="G6006" i="1"/>
  <c r="G6019" i="1"/>
  <c r="G6032" i="1"/>
  <c r="G6045" i="1"/>
  <c r="G6058" i="1"/>
  <c r="G6071" i="1"/>
  <c r="G6084" i="1"/>
  <c r="G6097" i="1"/>
  <c r="G6110" i="1"/>
  <c r="G6123" i="1"/>
  <c r="G6136" i="1"/>
  <c r="G6149" i="1"/>
  <c r="G6162" i="1"/>
  <c r="G6175" i="1"/>
  <c r="G6188" i="1"/>
  <c r="G6201" i="1"/>
  <c r="G6214" i="1"/>
  <c r="G6227" i="1"/>
  <c r="G6240" i="1"/>
  <c r="G6253" i="1"/>
  <c r="G6266" i="1"/>
  <c r="G6279" i="1"/>
  <c r="G6292" i="1"/>
  <c r="G6305" i="1"/>
  <c r="G6318" i="1"/>
  <c r="G6331" i="1"/>
  <c r="G6344" i="1"/>
  <c r="G6357" i="1"/>
  <c r="G6370" i="1"/>
  <c r="G6383" i="1"/>
  <c r="G6396" i="1"/>
  <c r="G6409" i="1"/>
  <c r="G6422" i="1"/>
  <c r="G6435" i="1"/>
  <c r="G6447" i="1"/>
  <c r="G6459" i="1"/>
  <c r="G6471" i="1"/>
  <c r="G6483" i="1"/>
  <c r="G6495" i="1"/>
  <c r="G6507" i="1"/>
  <c r="G6519" i="1"/>
  <c r="G6531" i="1"/>
  <c r="G6543" i="1"/>
  <c r="G6555" i="1"/>
  <c r="G6567" i="1"/>
  <c r="G6579" i="1"/>
  <c r="G6590" i="1"/>
  <c r="G6601" i="1"/>
  <c r="G6612" i="1"/>
  <c r="G6623" i="1"/>
  <c r="G6634" i="1"/>
  <c r="G6645" i="1"/>
  <c r="G6656" i="1"/>
  <c r="G6667" i="1"/>
  <c r="G6678" i="1"/>
  <c r="G6689" i="1"/>
  <c r="G6700" i="1"/>
  <c r="G6711" i="1"/>
  <c r="G6722" i="1"/>
  <c r="G6733" i="1"/>
  <c r="G6744" i="1"/>
  <c r="G6755" i="1"/>
  <c r="G6766" i="1"/>
  <c r="G6777" i="1"/>
  <c r="G6788" i="1"/>
  <c r="G6799" i="1"/>
  <c r="G6810" i="1"/>
  <c r="G6821" i="1"/>
  <c r="G6832" i="1"/>
  <c r="G6843" i="1"/>
  <c r="G6854" i="1"/>
  <c r="G6865" i="1"/>
  <c r="G6876" i="1"/>
  <c r="G6887" i="1"/>
  <c r="G6898" i="1"/>
  <c r="G6909" i="1"/>
  <c r="G6920" i="1"/>
  <c r="G6931" i="1"/>
  <c r="G6942" i="1"/>
  <c r="G6953" i="1"/>
  <c r="G6964" i="1"/>
  <c r="G6975" i="1"/>
  <c r="G6986" i="1"/>
  <c r="G6997" i="1"/>
  <c r="G7008" i="1"/>
  <c r="G7019" i="1"/>
  <c r="G7030" i="1"/>
  <c r="G7041" i="1"/>
  <c r="G7052" i="1"/>
  <c r="G7063" i="1"/>
  <c r="G7074" i="1"/>
  <c r="G7085" i="1"/>
  <c r="G7096" i="1"/>
  <c r="G7107" i="1"/>
  <c r="G7118" i="1"/>
  <c r="G7129" i="1"/>
  <c r="G7140" i="1"/>
  <c r="G7151" i="1"/>
  <c r="G7162" i="1"/>
  <c r="G7173" i="1"/>
  <c r="G7184" i="1"/>
  <c r="G7195" i="1"/>
  <c r="G7206" i="1"/>
  <c r="G7217" i="1"/>
  <c r="G7228" i="1"/>
  <c r="G7239" i="1"/>
  <c r="G7250" i="1"/>
  <c r="G7261" i="1"/>
  <c r="G7272" i="1"/>
  <c r="G7283" i="1"/>
  <c r="G7294" i="1"/>
  <c r="G7305" i="1"/>
  <c r="G7316" i="1"/>
  <c r="G7327" i="1"/>
  <c r="G7338" i="1"/>
  <c r="G7349" i="1"/>
  <c r="G7360" i="1"/>
  <c r="G7371" i="1"/>
  <c r="G7382" i="1"/>
  <c r="G7393" i="1"/>
  <c r="G7404" i="1"/>
  <c r="G7415" i="1"/>
  <c r="G7426" i="1"/>
  <c r="G7437" i="1"/>
  <c r="G7448" i="1"/>
  <c r="G7459" i="1"/>
  <c r="G7470" i="1"/>
  <c r="G7481" i="1"/>
  <c r="G7492" i="1"/>
  <c r="G7503" i="1"/>
  <c r="G7514" i="1"/>
  <c r="G7525" i="1"/>
  <c r="G7536" i="1"/>
  <c r="G7547" i="1"/>
  <c r="G7558" i="1"/>
  <c r="G7569" i="1"/>
  <c r="G7580" i="1"/>
  <c r="G7591" i="1"/>
  <c r="G7602" i="1"/>
  <c r="G7613" i="1"/>
  <c r="G7624" i="1"/>
  <c r="G7635" i="1"/>
  <c r="G7646" i="1"/>
  <c r="G7657" i="1"/>
  <c r="G7668" i="1"/>
  <c r="G7679" i="1"/>
  <c r="G7690" i="1"/>
  <c r="G7701" i="1"/>
  <c r="G7712" i="1"/>
  <c r="G7723" i="1"/>
  <c r="G7734" i="1"/>
  <c r="G7745" i="1"/>
  <c r="G7756" i="1"/>
  <c r="G7767" i="1"/>
  <c r="G7778" i="1"/>
  <c r="G7789" i="1"/>
  <c r="G7800" i="1"/>
  <c r="G7811" i="1"/>
  <c r="G7822" i="1"/>
  <c r="G7833" i="1"/>
  <c r="G7844" i="1"/>
  <c r="G7855" i="1"/>
  <c r="G7866" i="1"/>
  <c r="G7877" i="1"/>
  <c r="G7888" i="1"/>
  <c r="G7899" i="1"/>
  <c r="G7910" i="1"/>
  <c r="G7921" i="1"/>
  <c r="G7932" i="1"/>
  <c r="G7943" i="1"/>
  <c r="G7954" i="1"/>
  <c r="G7965" i="1"/>
  <c r="G7976" i="1"/>
  <c r="G7987" i="1"/>
  <c r="G7998" i="1"/>
  <c r="G8009" i="1"/>
  <c r="G8020" i="1"/>
  <c r="G8031" i="1"/>
  <c r="G8042" i="1"/>
  <c r="G8053" i="1"/>
  <c r="G8064" i="1"/>
  <c r="G8075" i="1"/>
  <c r="G8086" i="1"/>
  <c r="G8097" i="1"/>
  <c r="G8108" i="1"/>
  <c r="G8119" i="1"/>
  <c r="G8130" i="1"/>
  <c r="G8141" i="1"/>
  <c r="G8152" i="1"/>
  <c r="G8163" i="1"/>
  <c r="G8174" i="1"/>
  <c r="G8185" i="1"/>
  <c r="G8196" i="1"/>
  <c r="G8207" i="1"/>
  <c r="G8218" i="1"/>
  <c r="G8229" i="1"/>
  <c r="G8240" i="1"/>
  <c r="G8251" i="1"/>
  <c r="G8262" i="1"/>
  <c r="G8273" i="1"/>
  <c r="G8284" i="1"/>
  <c r="G8295" i="1"/>
  <c r="G8306" i="1"/>
  <c r="G8317" i="1"/>
  <c r="G8328" i="1"/>
  <c r="G8339" i="1"/>
  <c r="G8350" i="1"/>
  <c r="G8361" i="1"/>
  <c r="G8372" i="1"/>
  <c r="G8383" i="1"/>
  <c r="G8394" i="1"/>
  <c r="G8405" i="1"/>
  <c r="G8416" i="1"/>
  <c r="G8427" i="1"/>
  <c r="G8438" i="1"/>
  <c r="G8449" i="1"/>
  <c r="G8460" i="1"/>
  <c r="G8471" i="1"/>
  <c r="G8482" i="1"/>
  <c r="G8493" i="1"/>
  <c r="G8504" i="1"/>
  <c r="G8515" i="1"/>
  <c r="G8526" i="1"/>
  <c r="G8537" i="1"/>
  <c r="G8548" i="1"/>
  <c r="G8559" i="1"/>
  <c r="G8570" i="1"/>
  <c r="G8581" i="1"/>
  <c r="G8592" i="1"/>
  <c r="G8603" i="1"/>
  <c r="G8614" i="1"/>
  <c r="G8625" i="1"/>
  <c r="G8636" i="1"/>
  <c r="G8647" i="1"/>
  <c r="G8658" i="1"/>
  <c r="G8669" i="1"/>
  <c r="G8680" i="1"/>
  <c r="G8691" i="1"/>
  <c r="G8702" i="1"/>
  <c r="G8713" i="1"/>
  <c r="G8724" i="1"/>
  <c r="G8735" i="1"/>
  <c r="G8746" i="1"/>
  <c r="G8757" i="1"/>
  <c r="G8768" i="1"/>
  <c r="G8779" i="1"/>
  <c r="G8790" i="1"/>
  <c r="G8801" i="1"/>
  <c r="G8812" i="1"/>
  <c r="G8823" i="1"/>
  <c r="G8834" i="1"/>
  <c r="G8845" i="1"/>
  <c r="G8856" i="1"/>
  <c r="G8867" i="1"/>
  <c r="G8878" i="1"/>
  <c r="G8889" i="1"/>
  <c r="G8900" i="1"/>
  <c r="G8911" i="1"/>
  <c r="G8923" i="1"/>
  <c r="G8935" i="1"/>
  <c r="G8947" i="1"/>
  <c r="G8959" i="1"/>
  <c r="G8971" i="1"/>
  <c r="G8983" i="1"/>
  <c r="G8995" i="1"/>
  <c r="G9007" i="1"/>
  <c r="G9019" i="1"/>
  <c r="G9031" i="1"/>
  <c r="G9043" i="1"/>
  <c r="G9055" i="1"/>
  <c r="G9067" i="1"/>
  <c r="G9079" i="1"/>
  <c r="G9091" i="1"/>
  <c r="G9103" i="1"/>
  <c r="G9115" i="1"/>
  <c r="G9127" i="1"/>
  <c r="G9139" i="1"/>
  <c r="G9151" i="1"/>
  <c r="G9163" i="1"/>
  <c r="G9175" i="1"/>
  <c r="G9187" i="1"/>
  <c r="G9199" i="1"/>
  <c r="G9211" i="1"/>
  <c r="G9223" i="1"/>
  <c r="G9235" i="1"/>
  <c r="G9247" i="1"/>
  <c r="G9259" i="1"/>
  <c r="G9271" i="1"/>
  <c r="G9283" i="1"/>
  <c r="G9295" i="1"/>
  <c r="G9307" i="1"/>
  <c r="G9319" i="1"/>
  <c r="G9331" i="1"/>
  <c r="G9343" i="1"/>
  <c r="G9355" i="1"/>
  <c r="G9367" i="1"/>
  <c r="G9379" i="1"/>
  <c r="G9391" i="1"/>
  <c r="G9403" i="1"/>
  <c r="G9415" i="1"/>
  <c r="G9427" i="1"/>
  <c r="G9439" i="1"/>
  <c r="G9451" i="1"/>
  <c r="G5201" i="1"/>
  <c r="G5214" i="1"/>
  <c r="G5227" i="1"/>
  <c r="G5240" i="1"/>
  <c r="G5253" i="1"/>
  <c r="G5266" i="1"/>
  <c r="G5279" i="1"/>
  <c r="G5292" i="1"/>
  <c r="G5305" i="1"/>
  <c r="G5318" i="1"/>
  <c r="G5331" i="1"/>
  <c r="G5344" i="1"/>
  <c r="G5357" i="1"/>
  <c r="G5370" i="1"/>
  <c r="G5383" i="1"/>
  <c r="G5396" i="1"/>
  <c r="G5409" i="1"/>
  <c r="G5422" i="1"/>
  <c r="G5435" i="1"/>
  <c r="G5448" i="1"/>
  <c r="G5461" i="1"/>
  <c r="G5474" i="1"/>
  <c r="G5487" i="1"/>
  <c r="G5500" i="1"/>
  <c r="G5513" i="1"/>
  <c r="G5526" i="1"/>
  <c r="G5539" i="1"/>
  <c r="G5552" i="1"/>
  <c r="G5565" i="1"/>
  <c r="G5578" i="1"/>
  <c r="G5591" i="1"/>
  <c r="G5604" i="1"/>
  <c r="G5617" i="1"/>
  <c r="G5630" i="1"/>
  <c r="G5643" i="1"/>
  <c r="G5656" i="1"/>
  <c r="G5669" i="1"/>
  <c r="G5682" i="1"/>
  <c r="G5695" i="1"/>
  <c r="G5708" i="1"/>
  <c r="G5721" i="1"/>
  <c r="G5734" i="1"/>
  <c r="G5747" i="1"/>
  <c r="G5760" i="1"/>
  <c r="G5773" i="1"/>
  <c r="G5786" i="1"/>
  <c r="G5799" i="1"/>
  <c r="G5812" i="1"/>
  <c r="G5825" i="1"/>
  <c r="G5838" i="1"/>
  <c r="G5851" i="1"/>
  <c r="G5864" i="1"/>
  <c r="G5877" i="1"/>
  <c r="G5890" i="1"/>
  <c r="G5903" i="1"/>
  <c r="G5916" i="1"/>
  <c r="G5929" i="1"/>
  <c r="G5942" i="1"/>
  <c r="G5955" i="1"/>
  <c r="G5968" i="1"/>
  <c r="G5981" i="1"/>
  <c r="G5994" i="1"/>
  <c r="G6007" i="1"/>
  <c r="G6020" i="1"/>
  <c r="G6033" i="1"/>
  <c r="G6046" i="1"/>
  <c r="G6059" i="1"/>
  <c r="G6072" i="1"/>
  <c r="G6085" i="1"/>
  <c r="G6098" i="1"/>
  <c r="G6111" i="1"/>
  <c r="G6124" i="1"/>
  <c r="G6137" i="1"/>
  <c r="G6150" i="1"/>
  <c r="G6163" i="1"/>
  <c r="G6176" i="1"/>
  <c r="G6189" i="1"/>
  <c r="G6202" i="1"/>
  <c r="G6215" i="1"/>
  <c r="G6228" i="1"/>
  <c r="G6241" i="1"/>
  <c r="G6254" i="1"/>
  <c r="G6267" i="1"/>
  <c r="G6280" i="1"/>
  <c r="G6293" i="1"/>
  <c r="G6306" i="1"/>
  <c r="G6319" i="1"/>
  <c r="G6332" i="1"/>
  <c r="G6345" i="1"/>
  <c r="G6358" i="1"/>
  <c r="G6371" i="1"/>
  <c r="G6384" i="1"/>
  <c r="G6397" i="1"/>
  <c r="G6410" i="1"/>
  <c r="G6423" i="1"/>
  <c r="G6436" i="1"/>
  <c r="G6448" i="1"/>
  <c r="G6460" i="1"/>
  <c r="G6472" i="1"/>
  <c r="G6484" i="1"/>
  <c r="G6496" i="1"/>
  <c r="G6508" i="1"/>
  <c r="G6520" i="1"/>
  <c r="G6532" i="1"/>
  <c r="G6544" i="1"/>
  <c r="G6556" i="1"/>
  <c r="G6568" i="1"/>
  <c r="G6580" i="1"/>
  <c r="G6591" i="1"/>
  <c r="G6602" i="1"/>
  <c r="G6613" i="1"/>
  <c r="G6624" i="1"/>
  <c r="G6635" i="1"/>
  <c r="G6646" i="1"/>
  <c r="G6657" i="1"/>
  <c r="G6668" i="1"/>
  <c r="G6679" i="1"/>
  <c r="G6690" i="1"/>
  <c r="G6701" i="1"/>
  <c r="G6712" i="1"/>
  <c r="G6723" i="1"/>
  <c r="G6734" i="1"/>
  <c r="G6745" i="1"/>
  <c r="G6756" i="1"/>
  <c r="G6767" i="1"/>
  <c r="G6778" i="1"/>
  <c r="G6789" i="1"/>
  <c r="G6800" i="1"/>
  <c r="G6811" i="1"/>
  <c r="G6822" i="1"/>
  <c r="G6833" i="1"/>
  <c r="G6844" i="1"/>
  <c r="G6855" i="1"/>
  <c r="G6866" i="1"/>
  <c r="G6877" i="1"/>
  <c r="G6888" i="1"/>
  <c r="G6899" i="1"/>
  <c r="G6910" i="1"/>
  <c r="G6921" i="1"/>
  <c r="G6932" i="1"/>
  <c r="G6943" i="1"/>
  <c r="G6954" i="1"/>
  <c r="G6965" i="1"/>
  <c r="G6976" i="1"/>
  <c r="G6987" i="1"/>
  <c r="G6998" i="1"/>
  <c r="G7009" i="1"/>
  <c r="G7020" i="1"/>
  <c r="G7031" i="1"/>
  <c r="G7042" i="1"/>
  <c r="G7053" i="1"/>
  <c r="G7064" i="1"/>
  <c r="G7075" i="1"/>
  <c r="G7086" i="1"/>
  <c r="G7097" i="1"/>
  <c r="G7108" i="1"/>
  <c r="G7119" i="1"/>
  <c r="G7130" i="1"/>
  <c r="G7141" i="1"/>
  <c r="G7152" i="1"/>
  <c r="G7163" i="1"/>
  <c r="G7174" i="1"/>
  <c r="G7185" i="1"/>
  <c r="G7196" i="1"/>
  <c r="G7207" i="1"/>
  <c r="G7218" i="1"/>
  <c r="G7229" i="1"/>
  <c r="G7240" i="1"/>
  <c r="G7251" i="1"/>
  <c r="G7262" i="1"/>
  <c r="G7273" i="1"/>
  <c r="G7284" i="1"/>
  <c r="G7295" i="1"/>
  <c r="G7306" i="1"/>
  <c r="G7317" i="1"/>
  <c r="G7328" i="1"/>
  <c r="G7339" i="1"/>
  <c r="G7350" i="1"/>
  <c r="G7361" i="1"/>
  <c r="G7372" i="1"/>
  <c r="G7383" i="1"/>
  <c r="G7394" i="1"/>
  <c r="G7405" i="1"/>
  <c r="G7416" i="1"/>
  <c r="G7427" i="1"/>
  <c r="G7438" i="1"/>
  <c r="G7449" i="1"/>
  <c r="G7460" i="1"/>
  <c r="G7471" i="1"/>
  <c r="G7482" i="1"/>
  <c r="G7493" i="1"/>
  <c r="G7504" i="1"/>
  <c r="G7515" i="1"/>
  <c r="G7526" i="1"/>
  <c r="G7537" i="1"/>
  <c r="G7548" i="1"/>
  <c r="G7559" i="1"/>
  <c r="G7570" i="1"/>
  <c r="G7581" i="1"/>
  <c r="G7592" i="1"/>
  <c r="G7603" i="1"/>
  <c r="G7614" i="1"/>
  <c r="G7625" i="1"/>
  <c r="G7636" i="1"/>
  <c r="G7647" i="1"/>
  <c r="G7658" i="1"/>
  <c r="G7669" i="1"/>
  <c r="G7680" i="1"/>
  <c r="G7691" i="1"/>
  <c r="G7702" i="1"/>
  <c r="G7713" i="1"/>
  <c r="G7724" i="1"/>
  <c r="G7735" i="1"/>
  <c r="G7746" i="1"/>
  <c r="G7757" i="1"/>
  <c r="G7768" i="1"/>
  <c r="G7779" i="1"/>
  <c r="G7790" i="1"/>
  <c r="G7801" i="1"/>
  <c r="G7812" i="1"/>
  <c r="G7823" i="1"/>
  <c r="G7834" i="1"/>
  <c r="G7845" i="1"/>
  <c r="G7856" i="1"/>
  <c r="G7867" i="1"/>
  <c r="G7878" i="1"/>
  <c r="G7889" i="1"/>
  <c r="G7900" i="1"/>
  <c r="G7911" i="1"/>
  <c r="G7922" i="1"/>
  <c r="G7933" i="1"/>
  <c r="G7944" i="1"/>
  <c r="G7955" i="1"/>
  <c r="G7966" i="1"/>
  <c r="G7977" i="1"/>
  <c r="G7988" i="1"/>
  <c r="G7999" i="1"/>
  <c r="G8010" i="1"/>
  <c r="G8021" i="1"/>
  <c r="G8032" i="1"/>
  <c r="G8043" i="1"/>
  <c r="G8054" i="1"/>
  <c r="G8065" i="1"/>
  <c r="G8076" i="1"/>
  <c r="G8087" i="1"/>
  <c r="G8098" i="1"/>
  <c r="G8109" i="1"/>
  <c r="G8120" i="1"/>
  <c r="G8131" i="1"/>
  <c r="G8142" i="1"/>
  <c r="G8153" i="1"/>
  <c r="G8164" i="1"/>
  <c r="G8175" i="1"/>
  <c r="G8186" i="1"/>
  <c r="G8197" i="1"/>
  <c r="G8208" i="1"/>
  <c r="G8219" i="1"/>
  <c r="G8230" i="1"/>
  <c r="G8241" i="1"/>
  <c r="G8252" i="1"/>
  <c r="G8263" i="1"/>
  <c r="G8274" i="1"/>
  <c r="G8285" i="1"/>
  <c r="G8296" i="1"/>
  <c r="G8307" i="1"/>
  <c r="G8318" i="1"/>
  <c r="G8329" i="1"/>
  <c r="G8340" i="1"/>
  <c r="G8351" i="1"/>
  <c r="G8362" i="1"/>
  <c r="G8373" i="1"/>
  <c r="G8384" i="1"/>
  <c r="G8395" i="1"/>
  <c r="G8406" i="1"/>
  <c r="G8417" i="1"/>
  <c r="G8428" i="1"/>
  <c r="G8439" i="1"/>
  <c r="G8450" i="1"/>
  <c r="G8461" i="1"/>
  <c r="G8472" i="1"/>
  <c r="G8483" i="1"/>
  <c r="G8494" i="1"/>
  <c r="G8505" i="1"/>
  <c r="G8516" i="1"/>
  <c r="G8527" i="1"/>
  <c r="G8538" i="1"/>
  <c r="G8549" i="1"/>
  <c r="G8560" i="1"/>
  <c r="G8571" i="1"/>
  <c r="G8582" i="1"/>
  <c r="G8593" i="1"/>
  <c r="G8604" i="1"/>
  <c r="G8615" i="1"/>
  <c r="G8626" i="1"/>
  <c r="G8637" i="1"/>
  <c r="G8648" i="1"/>
  <c r="G8659" i="1"/>
  <c r="G8670" i="1"/>
  <c r="G8681" i="1"/>
  <c r="G8692" i="1"/>
  <c r="G8703" i="1"/>
  <c r="G8714" i="1"/>
  <c r="G8725" i="1"/>
  <c r="G8736" i="1"/>
  <c r="G8747" i="1"/>
  <c r="G8758" i="1"/>
  <c r="G8769" i="1"/>
  <c r="G8780" i="1"/>
  <c r="G8791" i="1"/>
  <c r="G8802" i="1"/>
  <c r="G8813" i="1"/>
  <c r="G8824" i="1"/>
  <c r="G8835" i="1"/>
  <c r="G8846" i="1"/>
  <c r="G8857" i="1"/>
  <c r="G8868" i="1"/>
  <c r="G8879" i="1"/>
  <c r="G8890" i="1"/>
  <c r="G8901" i="1"/>
  <c r="G8912" i="1"/>
  <c r="G8924" i="1"/>
  <c r="G8936" i="1"/>
  <c r="G8948" i="1"/>
  <c r="G8960" i="1"/>
  <c r="G8972" i="1"/>
  <c r="G8984" i="1"/>
  <c r="G8996" i="1"/>
  <c r="G9008" i="1"/>
  <c r="G9020" i="1"/>
  <c r="G9032" i="1"/>
  <c r="G9044" i="1"/>
  <c r="G9056" i="1"/>
  <c r="G9068" i="1"/>
  <c r="G9080" i="1"/>
  <c r="G9092" i="1"/>
  <c r="G9104" i="1"/>
  <c r="G9116" i="1"/>
  <c r="G9128" i="1"/>
  <c r="G9140" i="1"/>
  <c r="G9152" i="1"/>
  <c r="G9164" i="1"/>
  <c r="G9176" i="1"/>
  <c r="G9188" i="1"/>
  <c r="G9200" i="1"/>
  <c r="G9212" i="1"/>
  <c r="G9224" i="1"/>
  <c r="G9236" i="1"/>
  <c r="G9248" i="1"/>
  <c r="G9260" i="1"/>
  <c r="G9272" i="1"/>
  <c r="G9284" i="1"/>
  <c r="G9296" i="1"/>
  <c r="G9308" i="1"/>
  <c r="G9320" i="1"/>
  <c r="G9332" i="1"/>
  <c r="G9344" i="1"/>
  <c r="G9356" i="1"/>
  <c r="G9368" i="1"/>
  <c r="G9380" i="1"/>
  <c r="G9392" i="1"/>
  <c r="G9404" i="1"/>
  <c r="G9416" i="1"/>
  <c r="G9428" i="1"/>
  <c r="G9440" i="1"/>
  <c r="G9452" i="1"/>
  <c r="G5202" i="1"/>
  <c r="G5215" i="1"/>
  <c r="G5228" i="1"/>
  <c r="G5241" i="1"/>
  <c r="G5254" i="1"/>
  <c r="G5267" i="1"/>
  <c r="G5280" i="1"/>
  <c r="G5293" i="1"/>
  <c r="G5306" i="1"/>
  <c r="G5319" i="1"/>
  <c r="G5332" i="1"/>
  <c r="G5345" i="1"/>
  <c r="G5358" i="1"/>
  <c r="G5371" i="1"/>
  <c r="G5384" i="1"/>
  <c r="G5397" i="1"/>
  <c r="G5410" i="1"/>
  <c r="G5423" i="1"/>
  <c r="G5436" i="1"/>
  <c r="G5449" i="1"/>
  <c r="G5462" i="1"/>
  <c r="G5475" i="1"/>
  <c r="G5488" i="1"/>
  <c r="G5501" i="1"/>
  <c r="G5514" i="1"/>
  <c r="G5527" i="1"/>
  <c r="G5540" i="1"/>
  <c r="G5553" i="1"/>
  <c r="G5566" i="1"/>
  <c r="G5579" i="1"/>
  <c r="G5592" i="1"/>
  <c r="G5605" i="1"/>
  <c r="G5618" i="1"/>
  <c r="G5631" i="1"/>
  <c r="G5644" i="1"/>
  <c r="G5657" i="1"/>
  <c r="G5670" i="1"/>
  <c r="G5683" i="1"/>
  <c r="G5696" i="1"/>
  <c r="G5709" i="1"/>
  <c r="G5722" i="1"/>
  <c r="G5735" i="1"/>
  <c r="G5748" i="1"/>
  <c r="G5761" i="1"/>
  <c r="G5774" i="1"/>
  <c r="G5787" i="1"/>
  <c r="G5800" i="1"/>
  <c r="G5813" i="1"/>
  <c r="G5826" i="1"/>
  <c r="G5839" i="1"/>
  <c r="G5852" i="1"/>
  <c r="G5865" i="1"/>
  <c r="G5878" i="1"/>
  <c r="G5891" i="1"/>
  <c r="G5904" i="1"/>
  <c r="G5917" i="1"/>
  <c r="G5930" i="1"/>
  <c r="G5943" i="1"/>
  <c r="G5956" i="1"/>
  <c r="G5969" i="1"/>
  <c r="G5982" i="1"/>
  <c r="G5995" i="1"/>
  <c r="G6008" i="1"/>
  <c r="G6021" i="1"/>
  <c r="G6034" i="1"/>
  <c r="G6047" i="1"/>
  <c r="G6060" i="1"/>
  <c r="G6073" i="1"/>
  <c r="G6086" i="1"/>
  <c r="G6099" i="1"/>
  <c r="G6112" i="1"/>
  <c r="G6125" i="1"/>
  <c r="G6138" i="1"/>
  <c r="G6151" i="1"/>
  <c r="G6164" i="1"/>
  <c r="G6177" i="1"/>
  <c r="G6190" i="1"/>
  <c r="G6203" i="1"/>
  <c r="G6216" i="1"/>
  <c r="G6229" i="1"/>
  <c r="G6242" i="1"/>
  <c r="G6255" i="1"/>
  <c r="G6268" i="1"/>
  <c r="G6281" i="1"/>
  <c r="G6294" i="1"/>
  <c r="G6307" i="1"/>
  <c r="G6320" i="1"/>
  <c r="G6333" i="1"/>
  <c r="G6346" i="1"/>
  <c r="G6359" i="1"/>
  <c r="G6372" i="1"/>
  <c r="G6385" i="1"/>
  <c r="G6398" i="1"/>
  <c r="G6411" i="1"/>
  <c r="G6424" i="1"/>
  <c r="G6437" i="1"/>
  <c r="G6449" i="1"/>
  <c r="G6461" i="1"/>
  <c r="G6473" i="1"/>
  <c r="G6485" i="1"/>
  <c r="G6497" i="1"/>
  <c r="G6509" i="1"/>
  <c r="G6521" i="1"/>
  <c r="G6533" i="1"/>
  <c r="G6545" i="1"/>
  <c r="G6557" i="1"/>
  <c r="G6569" i="1"/>
  <c r="G5203" i="1"/>
  <c r="G5216" i="1"/>
  <c r="G5229" i="1"/>
  <c r="G5242" i="1"/>
  <c r="G5255" i="1"/>
  <c r="G5268" i="1"/>
  <c r="G5281" i="1"/>
  <c r="G5294" i="1"/>
  <c r="G5307" i="1"/>
  <c r="G5320" i="1"/>
  <c r="G5333" i="1"/>
  <c r="G5346" i="1"/>
  <c r="G5359" i="1"/>
  <c r="G5372" i="1"/>
  <c r="G5385" i="1"/>
  <c r="G5398" i="1"/>
  <c r="G5411" i="1"/>
  <c r="G5424" i="1"/>
  <c r="G5437" i="1"/>
  <c r="G5450" i="1"/>
  <c r="G5463" i="1"/>
  <c r="G5476" i="1"/>
  <c r="G5489" i="1"/>
  <c r="G5502" i="1"/>
  <c r="G5515" i="1"/>
  <c r="G5528" i="1"/>
  <c r="G5541" i="1"/>
  <c r="G5554" i="1"/>
  <c r="G5567" i="1"/>
  <c r="G5580" i="1"/>
  <c r="G5593" i="1"/>
  <c r="G5606" i="1"/>
  <c r="G5619" i="1"/>
  <c r="G5632" i="1"/>
  <c r="G5645" i="1"/>
  <c r="G5658" i="1"/>
  <c r="G5671" i="1"/>
  <c r="G5684" i="1"/>
  <c r="G5697" i="1"/>
  <c r="G5710" i="1"/>
  <c r="G5723" i="1"/>
  <c r="G5736" i="1"/>
  <c r="G5749" i="1"/>
  <c r="G5762" i="1"/>
  <c r="G5775" i="1"/>
  <c r="G5788" i="1"/>
  <c r="G5801" i="1"/>
  <c r="G5814" i="1"/>
  <c r="G5827" i="1"/>
  <c r="G5840" i="1"/>
  <c r="G5853" i="1"/>
  <c r="G5866" i="1"/>
  <c r="G5879" i="1"/>
  <c r="G5892" i="1"/>
  <c r="G5905" i="1"/>
  <c r="G5918" i="1"/>
  <c r="G5931" i="1"/>
  <c r="G5944" i="1"/>
  <c r="G5957" i="1"/>
  <c r="G5970" i="1"/>
  <c r="G5983" i="1"/>
  <c r="G5996" i="1"/>
  <c r="G6009" i="1"/>
  <c r="G6022" i="1"/>
  <c r="G6035" i="1"/>
  <c r="G6048" i="1"/>
  <c r="G6061" i="1"/>
  <c r="G6074" i="1"/>
  <c r="G6087" i="1"/>
  <c r="G6100" i="1"/>
  <c r="G6113" i="1"/>
  <c r="G6126" i="1"/>
  <c r="G6139" i="1"/>
  <c r="G6152" i="1"/>
  <c r="G6165" i="1"/>
  <c r="G6178" i="1"/>
  <c r="G6191" i="1"/>
  <c r="G6204" i="1"/>
  <c r="G6217" i="1"/>
  <c r="G6230" i="1"/>
  <c r="G6243" i="1"/>
  <c r="G6256" i="1"/>
  <c r="G6269" i="1"/>
  <c r="G6282" i="1"/>
  <c r="G6295" i="1"/>
  <c r="G6308" i="1"/>
  <c r="G6321" i="1"/>
  <c r="G6334" i="1"/>
  <c r="G6347" i="1"/>
  <c r="G6360" i="1"/>
  <c r="G6373" i="1"/>
  <c r="G6386" i="1"/>
  <c r="G6399" i="1"/>
  <c r="G6412" i="1"/>
  <c r="G6425" i="1"/>
  <c r="G6438" i="1"/>
  <c r="G6450" i="1"/>
  <c r="G6462" i="1"/>
  <c r="G6474" i="1"/>
  <c r="G6486" i="1"/>
  <c r="G6498" i="1"/>
  <c r="G6510" i="1"/>
  <c r="G6522" i="1"/>
  <c r="G6534" i="1"/>
  <c r="G6546" i="1"/>
  <c r="G6558" i="1"/>
  <c r="G6570" i="1"/>
  <c r="G6581" i="1"/>
  <c r="G6592" i="1"/>
  <c r="G6603" i="1"/>
  <c r="G6614" i="1"/>
  <c r="G6625" i="1"/>
  <c r="G6636" i="1"/>
  <c r="G6647" i="1"/>
  <c r="G6658" i="1"/>
  <c r="G6669" i="1"/>
  <c r="G6680" i="1"/>
  <c r="G6691" i="1"/>
  <c r="G6702" i="1"/>
  <c r="G6713" i="1"/>
  <c r="G6724" i="1"/>
  <c r="G6735" i="1"/>
  <c r="G6746" i="1"/>
  <c r="G6757" i="1"/>
  <c r="G6768" i="1"/>
  <c r="G6779" i="1"/>
  <c r="G6790" i="1"/>
  <c r="G6801" i="1"/>
  <c r="G6812" i="1"/>
  <c r="G6823" i="1"/>
  <c r="G6834" i="1"/>
  <c r="G6845" i="1"/>
  <c r="G6856" i="1"/>
  <c r="G6867" i="1"/>
  <c r="G6878" i="1"/>
  <c r="G6889" i="1"/>
  <c r="G6900" i="1"/>
  <c r="G6911" i="1"/>
  <c r="G6922" i="1"/>
  <c r="G6933" i="1"/>
  <c r="G6944" i="1"/>
  <c r="G6955" i="1"/>
  <c r="G6966" i="1"/>
  <c r="G6977" i="1"/>
  <c r="G6988" i="1"/>
  <c r="G6999" i="1"/>
  <c r="G7010" i="1"/>
  <c r="G7021" i="1"/>
  <c r="G7032" i="1"/>
  <c r="G7043" i="1"/>
  <c r="G7054" i="1"/>
  <c r="G7065" i="1"/>
  <c r="G7076" i="1"/>
  <c r="G7087" i="1"/>
  <c r="G7098" i="1"/>
  <c r="G7109" i="1"/>
  <c r="G7120" i="1"/>
  <c r="G7131" i="1"/>
  <c r="G7142" i="1"/>
  <c r="G7153" i="1"/>
  <c r="G7164" i="1"/>
  <c r="G7175" i="1"/>
  <c r="G7186" i="1"/>
  <c r="G7197" i="1"/>
  <c r="G7208" i="1"/>
  <c r="G7219" i="1"/>
  <c r="G7230" i="1"/>
  <c r="G7241" i="1"/>
  <c r="G7252" i="1"/>
  <c r="G7263" i="1"/>
  <c r="G7274" i="1"/>
  <c r="G7285" i="1"/>
  <c r="G7296" i="1"/>
  <c r="G7307" i="1"/>
  <c r="G7318" i="1"/>
  <c r="G7329" i="1"/>
  <c r="G7340" i="1"/>
  <c r="G7351" i="1"/>
  <c r="G7362" i="1"/>
  <c r="G7373" i="1"/>
  <c r="G7384" i="1"/>
  <c r="G7395" i="1"/>
  <c r="G7406" i="1"/>
  <c r="G7417" i="1"/>
  <c r="G7428" i="1"/>
  <c r="G7439" i="1"/>
  <c r="G7450" i="1"/>
  <c r="G7461" i="1"/>
  <c r="G7472" i="1"/>
  <c r="G7483" i="1"/>
  <c r="G7494" i="1"/>
  <c r="G7505" i="1"/>
  <c r="G7516" i="1"/>
  <c r="G7527" i="1"/>
  <c r="G7538" i="1"/>
  <c r="G7549" i="1"/>
  <c r="G7560" i="1"/>
  <c r="G7571" i="1"/>
  <c r="G7582" i="1"/>
  <c r="G7593" i="1"/>
  <c r="G7604" i="1"/>
  <c r="G7615" i="1"/>
  <c r="G7626" i="1"/>
  <c r="G7637" i="1"/>
  <c r="G7648" i="1"/>
  <c r="G7659" i="1"/>
  <c r="G7670" i="1"/>
  <c r="G7681" i="1"/>
  <c r="G7692" i="1"/>
  <c r="G7703" i="1"/>
  <c r="G7714" i="1"/>
  <c r="G7725" i="1"/>
  <c r="G7736" i="1"/>
  <c r="G7747" i="1"/>
  <c r="G7758" i="1"/>
  <c r="G7769" i="1"/>
  <c r="G7780" i="1"/>
  <c r="G7791" i="1"/>
  <c r="G7802" i="1"/>
  <c r="G7813" i="1"/>
  <c r="G7824" i="1"/>
  <c r="G7835" i="1"/>
  <c r="G7846" i="1"/>
  <c r="G7857" i="1"/>
  <c r="G7868" i="1"/>
  <c r="G7879" i="1"/>
  <c r="G7890" i="1"/>
  <c r="G7901" i="1"/>
  <c r="G7912" i="1"/>
  <c r="G7923" i="1"/>
  <c r="G7934" i="1"/>
  <c r="G7945" i="1"/>
  <c r="G7956" i="1"/>
  <c r="G7967" i="1"/>
  <c r="G7978" i="1"/>
  <c r="G7989" i="1"/>
  <c r="G8000" i="1"/>
  <c r="G8011" i="1"/>
  <c r="G8022" i="1"/>
  <c r="G8033" i="1"/>
  <c r="G8044" i="1"/>
  <c r="G8055" i="1"/>
  <c r="G8066" i="1"/>
  <c r="G8077" i="1"/>
  <c r="G8088" i="1"/>
  <c r="G8099" i="1"/>
  <c r="G8110" i="1"/>
  <c r="G8121" i="1"/>
  <c r="G8132" i="1"/>
  <c r="G8143" i="1"/>
  <c r="G8154" i="1"/>
  <c r="G8165" i="1"/>
  <c r="G8176" i="1"/>
  <c r="G8187" i="1"/>
  <c r="G8198" i="1"/>
  <c r="G8209" i="1"/>
  <c r="G8220" i="1"/>
  <c r="G8231" i="1"/>
  <c r="G8242" i="1"/>
  <c r="G8253" i="1"/>
  <c r="G8264" i="1"/>
  <c r="G8275" i="1"/>
  <c r="G8286" i="1"/>
  <c r="G8297" i="1"/>
  <c r="G8308" i="1"/>
  <c r="G8319" i="1"/>
  <c r="G8330" i="1"/>
  <c r="G8341" i="1"/>
  <c r="G8352" i="1"/>
  <c r="G8363" i="1"/>
  <c r="G8374" i="1"/>
  <c r="G8385" i="1"/>
  <c r="G8396" i="1"/>
  <c r="G8407" i="1"/>
  <c r="G8418" i="1"/>
  <c r="G8429" i="1"/>
  <c r="G8440" i="1"/>
  <c r="G8451" i="1"/>
  <c r="G8462" i="1"/>
  <c r="G8473" i="1"/>
  <c r="G8484" i="1"/>
  <c r="G8495" i="1"/>
  <c r="G8506" i="1"/>
  <c r="G8517" i="1"/>
  <c r="G8528" i="1"/>
  <c r="G8539" i="1"/>
  <c r="G8550" i="1"/>
  <c r="G8561" i="1"/>
  <c r="G8572" i="1"/>
  <c r="G8583" i="1"/>
  <c r="G8594" i="1"/>
  <c r="G8605" i="1"/>
  <c r="G8616" i="1"/>
  <c r="G8627" i="1"/>
  <c r="G8638" i="1"/>
  <c r="G8649" i="1"/>
  <c r="G8660" i="1"/>
  <c r="G8671" i="1"/>
  <c r="G8682" i="1"/>
  <c r="G8693" i="1"/>
  <c r="G8704" i="1"/>
  <c r="G8715" i="1"/>
  <c r="G8726" i="1"/>
  <c r="G8737" i="1"/>
  <c r="G8748" i="1"/>
  <c r="G8759" i="1"/>
  <c r="G8770" i="1"/>
  <c r="G8781" i="1"/>
  <c r="G8792" i="1"/>
  <c r="G8803" i="1"/>
  <c r="G8814" i="1"/>
  <c r="G8825" i="1"/>
  <c r="G8836" i="1"/>
  <c r="G8847" i="1"/>
  <c r="G8858" i="1"/>
  <c r="G8869" i="1"/>
  <c r="G8880" i="1"/>
  <c r="G8891" i="1"/>
  <c r="G8902" i="1"/>
  <c r="G8913" i="1"/>
  <c r="G8925" i="1"/>
  <c r="G8937" i="1"/>
  <c r="G8949" i="1"/>
  <c r="G8961" i="1"/>
  <c r="G8973" i="1"/>
  <c r="G8985" i="1"/>
  <c r="G8997" i="1"/>
  <c r="G9009" i="1"/>
  <c r="G9021" i="1"/>
  <c r="G9033" i="1"/>
  <c r="G9045" i="1"/>
  <c r="G9057" i="1"/>
  <c r="G9069" i="1"/>
  <c r="G9081" i="1"/>
  <c r="G9093" i="1"/>
  <c r="G9105" i="1"/>
  <c r="G9117" i="1"/>
  <c r="G9129" i="1"/>
  <c r="G9141" i="1"/>
  <c r="G9153" i="1"/>
  <c r="G9165" i="1"/>
  <c r="G9177" i="1"/>
  <c r="G9189" i="1"/>
  <c r="G9201" i="1"/>
  <c r="G9213" i="1"/>
  <c r="G9225" i="1"/>
  <c r="G9237" i="1"/>
  <c r="G9249" i="1"/>
  <c r="G9261" i="1"/>
  <c r="G9273" i="1"/>
  <c r="G9285" i="1"/>
  <c r="G9297" i="1"/>
  <c r="G9309" i="1"/>
  <c r="G9321" i="1"/>
  <c r="G9333" i="1"/>
  <c r="G9345" i="1"/>
  <c r="G9357" i="1"/>
  <c r="G9369" i="1"/>
  <c r="G9381" i="1"/>
  <c r="G9393" i="1"/>
  <c r="G9405" i="1"/>
  <c r="G9417" i="1"/>
  <c r="G9429" i="1"/>
  <c r="G9441" i="1"/>
  <c r="G9453" i="1"/>
  <c r="G5204" i="1"/>
  <c r="G5217" i="1"/>
  <c r="G5230" i="1"/>
  <c r="G5243" i="1"/>
  <c r="G5256" i="1"/>
  <c r="G5269" i="1"/>
  <c r="G5282" i="1"/>
  <c r="G5295" i="1"/>
  <c r="G5308" i="1"/>
  <c r="G5321" i="1"/>
  <c r="G5334" i="1"/>
  <c r="G5347" i="1"/>
  <c r="G5360" i="1"/>
  <c r="G5373" i="1"/>
  <c r="G5386" i="1"/>
  <c r="G5399" i="1"/>
  <c r="G5412" i="1"/>
  <c r="G5425" i="1"/>
  <c r="G5438" i="1"/>
  <c r="G5451" i="1"/>
  <c r="G5464" i="1"/>
  <c r="G5477" i="1"/>
  <c r="G5490" i="1"/>
  <c r="G5503" i="1"/>
  <c r="G5516" i="1"/>
  <c r="G5529" i="1"/>
  <c r="G5542" i="1"/>
  <c r="G5555" i="1"/>
  <c r="G5568" i="1"/>
  <c r="G5581" i="1"/>
  <c r="G5594" i="1"/>
  <c r="G5607" i="1"/>
  <c r="G5620" i="1"/>
  <c r="G5633" i="1"/>
  <c r="G5646" i="1"/>
  <c r="G5659" i="1"/>
  <c r="G5672" i="1"/>
  <c r="G5685" i="1"/>
  <c r="G5698" i="1"/>
  <c r="G5711" i="1"/>
  <c r="G5724" i="1"/>
  <c r="G5737" i="1"/>
  <c r="G5750" i="1"/>
  <c r="G5763" i="1"/>
  <c r="G5776" i="1"/>
  <c r="G5789" i="1"/>
  <c r="G5802" i="1"/>
  <c r="G5815" i="1"/>
  <c r="G5828" i="1"/>
  <c r="G5841" i="1"/>
  <c r="G5854" i="1"/>
  <c r="G5867" i="1"/>
  <c r="G5880" i="1"/>
  <c r="G5893" i="1"/>
  <c r="G5906" i="1"/>
  <c r="G5919" i="1"/>
  <c r="G5932" i="1"/>
  <c r="G5945" i="1"/>
  <c r="G5958" i="1"/>
  <c r="G5971" i="1"/>
  <c r="G5984" i="1"/>
  <c r="G5997" i="1"/>
  <c r="G6010" i="1"/>
  <c r="G6023" i="1"/>
  <c r="G6036" i="1"/>
  <c r="G6049" i="1"/>
  <c r="G6062" i="1"/>
  <c r="G6075" i="1"/>
  <c r="G6088" i="1"/>
  <c r="G6101" i="1"/>
  <c r="G6114" i="1"/>
  <c r="G6127" i="1"/>
  <c r="G6140" i="1"/>
  <c r="G6153" i="1"/>
  <c r="G6166" i="1"/>
  <c r="G6179" i="1"/>
  <c r="G6192" i="1"/>
  <c r="G6205" i="1"/>
  <c r="G6218" i="1"/>
  <c r="G6231" i="1"/>
  <c r="G6244" i="1"/>
  <c r="G6257" i="1"/>
  <c r="G6270" i="1"/>
  <c r="G6283" i="1"/>
  <c r="G6296" i="1"/>
  <c r="G6309" i="1"/>
  <c r="G6322" i="1"/>
  <c r="G6335" i="1"/>
  <c r="G6348" i="1"/>
  <c r="G6361" i="1"/>
  <c r="G6374" i="1"/>
  <c r="G6387" i="1"/>
  <c r="G6400" i="1"/>
  <c r="G6413" i="1"/>
  <c r="G6426" i="1"/>
  <c r="G6439" i="1"/>
  <c r="G6451" i="1"/>
  <c r="G6463" i="1"/>
  <c r="G6475" i="1"/>
  <c r="G6487" i="1"/>
  <c r="G6499" i="1"/>
  <c r="G6511" i="1"/>
  <c r="G6523" i="1"/>
  <c r="G6535" i="1"/>
  <c r="G6547" i="1"/>
  <c r="G6559" i="1"/>
  <c r="G6571" i="1"/>
  <c r="G6582" i="1"/>
  <c r="G6593" i="1"/>
  <c r="G6604" i="1"/>
  <c r="G6615" i="1"/>
  <c r="G6626" i="1"/>
  <c r="G6637" i="1"/>
  <c r="G6648" i="1"/>
  <c r="G6659" i="1"/>
  <c r="G6670" i="1"/>
  <c r="G6681" i="1"/>
  <c r="G6692" i="1"/>
  <c r="G6703" i="1"/>
  <c r="G6714" i="1"/>
  <c r="G6725" i="1"/>
  <c r="G6736" i="1"/>
  <c r="G6747" i="1"/>
  <c r="G6758" i="1"/>
  <c r="G6769" i="1"/>
  <c r="G6780" i="1"/>
  <c r="G6791" i="1"/>
  <c r="G6802" i="1"/>
  <c r="G6813" i="1"/>
  <c r="G6824" i="1"/>
  <c r="G6835" i="1"/>
  <c r="G6846" i="1"/>
  <c r="G6857" i="1"/>
  <c r="G6868" i="1"/>
  <c r="G6879" i="1"/>
  <c r="G6890" i="1"/>
  <c r="G6901" i="1"/>
  <c r="G6912" i="1"/>
  <c r="G6923" i="1"/>
  <c r="G6934" i="1"/>
  <c r="G6945" i="1"/>
  <c r="G6956" i="1"/>
  <c r="G6967" i="1"/>
  <c r="G6978" i="1"/>
  <c r="G6989" i="1"/>
  <c r="G7000" i="1"/>
  <c r="G7011" i="1"/>
  <c r="G7022" i="1"/>
  <c r="G7033" i="1"/>
  <c r="G7044" i="1"/>
  <c r="G7055" i="1"/>
  <c r="G7066" i="1"/>
  <c r="G7077" i="1"/>
  <c r="G7088" i="1"/>
  <c r="G7099" i="1"/>
  <c r="G7110" i="1"/>
  <c r="G7121" i="1"/>
  <c r="G7132" i="1"/>
  <c r="G7143" i="1"/>
  <c r="G7154" i="1"/>
  <c r="G7165" i="1"/>
  <c r="G7176" i="1"/>
  <c r="G7187" i="1"/>
  <c r="G7198" i="1"/>
  <c r="G7209" i="1"/>
  <c r="G7220" i="1"/>
  <c r="G7231" i="1"/>
  <c r="G7242" i="1"/>
  <c r="G7253" i="1"/>
  <c r="G7264" i="1"/>
  <c r="G7275" i="1"/>
  <c r="G7286" i="1"/>
  <c r="G7297" i="1"/>
  <c r="G7308" i="1"/>
  <c r="G7319" i="1"/>
  <c r="G7330" i="1"/>
  <c r="G7341" i="1"/>
  <c r="G7352" i="1"/>
  <c r="G7363" i="1"/>
  <c r="G7374" i="1"/>
  <c r="G7385" i="1"/>
  <c r="G7396" i="1"/>
  <c r="G7407" i="1"/>
  <c r="G7418" i="1"/>
  <c r="G7429" i="1"/>
  <c r="G7440" i="1"/>
  <c r="G7451" i="1"/>
  <c r="G7462" i="1"/>
  <c r="G7473" i="1"/>
  <c r="G7484" i="1"/>
  <c r="G7495" i="1"/>
  <c r="G7506" i="1"/>
  <c r="G7517" i="1"/>
  <c r="G7528" i="1"/>
  <c r="G7539" i="1"/>
  <c r="G7550" i="1"/>
  <c r="G7561" i="1"/>
  <c r="G7572" i="1"/>
  <c r="G7583" i="1"/>
  <c r="G7594" i="1"/>
  <c r="G7605" i="1"/>
  <c r="G7616" i="1"/>
  <c r="G7627" i="1"/>
  <c r="G7638" i="1"/>
  <c r="G7649" i="1"/>
  <c r="G7660" i="1"/>
  <c r="G7671" i="1"/>
  <c r="G7682" i="1"/>
  <c r="G7693" i="1"/>
  <c r="G7704" i="1"/>
  <c r="G7715" i="1"/>
  <c r="G7726" i="1"/>
  <c r="G7737" i="1"/>
  <c r="G7748" i="1"/>
  <c r="G7759" i="1"/>
  <c r="G7770" i="1"/>
  <c r="G7781" i="1"/>
  <c r="G7792" i="1"/>
  <c r="G7803" i="1"/>
  <c r="G7814" i="1"/>
  <c r="G7825" i="1"/>
  <c r="G7836" i="1"/>
  <c r="G7847" i="1"/>
  <c r="G7858" i="1"/>
  <c r="G7869" i="1"/>
  <c r="G7880" i="1"/>
  <c r="G7891" i="1"/>
  <c r="G7902" i="1"/>
  <c r="G7913" i="1"/>
  <c r="G7924" i="1"/>
  <c r="G7935" i="1"/>
  <c r="G7946" i="1"/>
  <c r="G7957" i="1"/>
  <c r="G7968" i="1"/>
  <c r="G7979" i="1"/>
  <c r="G7990" i="1"/>
  <c r="G8001" i="1"/>
  <c r="G8012" i="1"/>
  <c r="G8023" i="1"/>
  <c r="G8034" i="1"/>
  <c r="G8045" i="1"/>
  <c r="G8056" i="1"/>
  <c r="G8067" i="1"/>
  <c r="G8078" i="1"/>
  <c r="G8089" i="1"/>
  <c r="G8100" i="1"/>
  <c r="G8111" i="1"/>
  <c r="G8122" i="1"/>
  <c r="G8133" i="1"/>
  <c r="G8144" i="1"/>
  <c r="G8155" i="1"/>
  <c r="G8166" i="1"/>
  <c r="G8177" i="1"/>
  <c r="G8188" i="1"/>
  <c r="G8199" i="1"/>
  <c r="G8210" i="1"/>
  <c r="G8221" i="1"/>
  <c r="G8232" i="1"/>
  <c r="G8243" i="1"/>
  <c r="G8254" i="1"/>
  <c r="G8265" i="1"/>
  <c r="G8276" i="1"/>
  <c r="G8287" i="1"/>
  <c r="G8298" i="1"/>
  <c r="G8309" i="1"/>
  <c r="G8320" i="1"/>
  <c r="G8331" i="1"/>
  <c r="G8342" i="1"/>
  <c r="G8353" i="1"/>
  <c r="G8364" i="1"/>
  <c r="G8375" i="1"/>
  <c r="G8386" i="1"/>
  <c r="G8397" i="1"/>
  <c r="G8408" i="1"/>
  <c r="G8419" i="1"/>
  <c r="G8430" i="1"/>
  <c r="G8441" i="1"/>
  <c r="G8452" i="1"/>
  <c r="G8463" i="1"/>
  <c r="G8474" i="1"/>
  <c r="G8485" i="1"/>
  <c r="G8496" i="1"/>
  <c r="G8507" i="1"/>
  <c r="G8518" i="1"/>
  <c r="G8529" i="1"/>
  <c r="G8540" i="1"/>
  <c r="G8551" i="1"/>
  <c r="G8562" i="1"/>
  <c r="G8573" i="1"/>
  <c r="G8584" i="1"/>
  <c r="G8595" i="1"/>
  <c r="G8606" i="1"/>
  <c r="G8617" i="1"/>
  <c r="G8628" i="1"/>
  <c r="G8639" i="1"/>
  <c r="G8650" i="1"/>
  <c r="G8661" i="1"/>
  <c r="G8672" i="1"/>
  <c r="G8683" i="1"/>
  <c r="G8694" i="1"/>
  <c r="G8705" i="1"/>
  <c r="G8716" i="1"/>
  <c r="G8727" i="1"/>
  <c r="G8738" i="1"/>
  <c r="G8749" i="1"/>
  <c r="G8760" i="1"/>
  <c r="G8771" i="1"/>
  <c r="G8782" i="1"/>
  <c r="G8793" i="1"/>
  <c r="G8804" i="1"/>
  <c r="G8815" i="1"/>
  <c r="G8826" i="1"/>
  <c r="G8837" i="1"/>
  <c r="G8848" i="1"/>
  <c r="G8859" i="1"/>
  <c r="G8870" i="1"/>
  <c r="G8881" i="1"/>
  <c r="G8892" i="1"/>
  <c r="G8903" i="1"/>
  <c r="G8914" i="1"/>
  <c r="G8926" i="1"/>
  <c r="G8938" i="1"/>
  <c r="G8950" i="1"/>
  <c r="G8962" i="1"/>
  <c r="G8974" i="1"/>
  <c r="G8986" i="1"/>
  <c r="G8998" i="1"/>
  <c r="G9010" i="1"/>
  <c r="G9022" i="1"/>
  <c r="G9034" i="1"/>
  <c r="G9046" i="1"/>
  <c r="G9058" i="1"/>
  <c r="G9070" i="1"/>
  <c r="G9082" i="1"/>
  <c r="G9094" i="1"/>
  <c r="G9106" i="1"/>
  <c r="G9118" i="1"/>
  <c r="G9130" i="1"/>
  <c r="G9142" i="1"/>
  <c r="G9154" i="1"/>
  <c r="G9166" i="1"/>
  <c r="G9178" i="1"/>
  <c r="G9190" i="1"/>
  <c r="G9202" i="1"/>
  <c r="G9214" i="1"/>
  <c r="G9226" i="1"/>
  <c r="G9238" i="1"/>
  <c r="G9250" i="1"/>
  <c r="G9262" i="1"/>
  <c r="G9274" i="1"/>
  <c r="G9286" i="1"/>
  <c r="G9298" i="1"/>
  <c r="G9310" i="1"/>
  <c r="G9322" i="1"/>
  <c r="G9334" i="1"/>
  <c r="G9346" i="1"/>
  <c r="G9358" i="1"/>
  <c r="G9370" i="1"/>
  <c r="G9382" i="1"/>
  <c r="G9394" i="1"/>
  <c r="G9406" i="1"/>
  <c r="G9418" i="1"/>
  <c r="G9430" i="1"/>
  <c r="G9442" i="1"/>
  <c r="G9454" i="1"/>
  <c r="G5205" i="1"/>
  <c r="G5218" i="1"/>
  <c r="G5231" i="1"/>
  <c r="G5244" i="1"/>
  <c r="G5257" i="1"/>
  <c r="G5270" i="1"/>
  <c r="G5283" i="1"/>
  <c r="G5296" i="1"/>
  <c r="G5309" i="1"/>
  <c r="G5322" i="1"/>
  <c r="G5335" i="1"/>
  <c r="G5348" i="1"/>
  <c r="G5361" i="1"/>
  <c r="G5374" i="1"/>
  <c r="G5387" i="1"/>
  <c r="G5400" i="1"/>
  <c r="G5413" i="1"/>
  <c r="G5426" i="1"/>
  <c r="G5439" i="1"/>
  <c r="G5452" i="1"/>
  <c r="G5465" i="1"/>
  <c r="G5478" i="1"/>
  <c r="G5491" i="1"/>
  <c r="G5504" i="1"/>
  <c r="G5517" i="1"/>
  <c r="G5530" i="1"/>
  <c r="G5543" i="1"/>
  <c r="G5556" i="1"/>
  <c r="G5569" i="1"/>
  <c r="G5582" i="1"/>
  <c r="G5595" i="1"/>
  <c r="G5608" i="1"/>
  <c r="G5621" i="1"/>
  <c r="G5634" i="1"/>
  <c r="G5647" i="1"/>
  <c r="G5660" i="1"/>
  <c r="G5673" i="1"/>
  <c r="G5686" i="1"/>
  <c r="G5699" i="1"/>
  <c r="G5712" i="1"/>
  <c r="G5725" i="1"/>
  <c r="G5738" i="1"/>
  <c r="G5751" i="1"/>
  <c r="G5764" i="1"/>
  <c r="G5777" i="1"/>
  <c r="G5790" i="1"/>
  <c r="G5803" i="1"/>
  <c r="G5816" i="1"/>
  <c r="G5829" i="1"/>
  <c r="G5842" i="1"/>
  <c r="G5855" i="1"/>
  <c r="G5868" i="1"/>
  <c r="G5881" i="1"/>
  <c r="G5894" i="1"/>
  <c r="G5907" i="1"/>
  <c r="G5920" i="1"/>
  <c r="G5933" i="1"/>
  <c r="G5946" i="1"/>
  <c r="G5959" i="1"/>
  <c r="G5972" i="1"/>
  <c r="G5985" i="1"/>
  <c r="G5998" i="1"/>
  <c r="G6011" i="1"/>
  <c r="G6024" i="1"/>
  <c r="G6037" i="1"/>
  <c r="G6050" i="1"/>
  <c r="G6063" i="1"/>
  <c r="G6076" i="1"/>
  <c r="G6089" i="1"/>
  <c r="G6102" i="1"/>
  <c r="G6115" i="1"/>
  <c r="G6128" i="1"/>
  <c r="G6141" i="1"/>
  <c r="G6154" i="1"/>
  <c r="G6167" i="1"/>
  <c r="G6180" i="1"/>
  <c r="G6193" i="1"/>
  <c r="G6206" i="1"/>
  <c r="G6219" i="1"/>
  <c r="G6232" i="1"/>
  <c r="G6245" i="1"/>
  <c r="G6258" i="1"/>
  <c r="G6271" i="1"/>
  <c r="G6284" i="1"/>
  <c r="G6297" i="1"/>
  <c r="G6310" i="1"/>
  <c r="G6323" i="1"/>
  <c r="G6336" i="1"/>
  <c r="G6349" i="1"/>
  <c r="G6362" i="1"/>
  <c r="G6375" i="1"/>
  <c r="G6388" i="1"/>
  <c r="G6401" i="1"/>
  <c r="G6414" i="1"/>
  <c r="G6427" i="1"/>
  <c r="G6440" i="1"/>
  <c r="G6452" i="1"/>
  <c r="G6464" i="1"/>
  <c r="G6476" i="1"/>
  <c r="G6488" i="1"/>
  <c r="G6500" i="1"/>
  <c r="G6512" i="1"/>
  <c r="G6524" i="1"/>
  <c r="G6536" i="1"/>
  <c r="G6548" i="1"/>
  <c r="G6560" i="1"/>
  <c r="G6572" i="1"/>
  <c r="G6583" i="1"/>
  <c r="G6594" i="1"/>
  <c r="G6605" i="1"/>
  <c r="G6616" i="1"/>
  <c r="G6627" i="1"/>
  <c r="G6638" i="1"/>
  <c r="G6649" i="1"/>
  <c r="G6660" i="1"/>
  <c r="G6671" i="1"/>
  <c r="G6682" i="1"/>
  <c r="G6693" i="1"/>
  <c r="G6704" i="1"/>
  <c r="G6715" i="1"/>
  <c r="G6726" i="1"/>
  <c r="G6737" i="1"/>
  <c r="G6748" i="1"/>
  <c r="G6759" i="1"/>
  <c r="G6770" i="1"/>
  <c r="G6781" i="1"/>
  <c r="G6792" i="1"/>
  <c r="G6803" i="1"/>
  <c r="G6814" i="1"/>
  <c r="G6825" i="1"/>
  <c r="G6836" i="1"/>
  <c r="G6847" i="1"/>
  <c r="G6858" i="1"/>
  <c r="G6869" i="1"/>
  <c r="G6880" i="1"/>
  <c r="G6891" i="1"/>
  <c r="G6902" i="1"/>
  <c r="G6913" i="1"/>
  <c r="G6924" i="1"/>
  <c r="G6935" i="1"/>
  <c r="G6946" i="1"/>
  <c r="G6957" i="1"/>
  <c r="G6968" i="1"/>
  <c r="G6979" i="1"/>
  <c r="G6990" i="1"/>
  <c r="G7001" i="1"/>
  <c r="G7012" i="1"/>
  <c r="G7023" i="1"/>
  <c r="G7034" i="1"/>
  <c r="G7045" i="1"/>
  <c r="G7056" i="1"/>
  <c r="G7067" i="1"/>
  <c r="G7078" i="1"/>
  <c r="G7089" i="1"/>
  <c r="G7100" i="1"/>
  <c r="G7111" i="1"/>
  <c r="G7122" i="1"/>
  <c r="G7133" i="1"/>
  <c r="G7144" i="1"/>
  <c r="G7155" i="1"/>
  <c r="G7166" i="1"/>
  <c r="G7177" i="1"/>
  <c r="G7188" i="1"/>
  <c r="G7199" i="1"/>
  <c r="G7210" i="1"/>
  <c r="G7221" i="1"/>
  <c r="G7232" i="1"/>
  <c r="G7243" i="1"/>
  <c r="G7254" i="1"/>
  <c r="G7265" i="1"/>
  <c r="G7276" i="1"/>
  <c r="G7287" i="1"/>
  <c r="G7298" i="1"/>
  <c r="G7309" i="1"/>
  <c r="G7320" i="1"/>
  <c r="G7331" i="1"/>
  <c r="G7342" i="1"/>
  <c r="G7353" i="1"/>
  <c r="G7364" i="1"/>
  <c r="G7375" i="1"/>
  <c r="G7386" i="1"/>
  <c r="G7397" i="1"/>
  <c r="G7408" i="1"/>
  <c r="G7419" i="1"/>
  <c r="G7430" i="1"/>
  <c r="G7441" i="1"/>
  <c r="G7452" i="1"/>
  <c r="G7463" i="1"/>
  <c r="G7474" i="1"/>
  <c r="G7485" i="1"/>
  <c r="G7496" i="1"/>
  <c r="G7507" i="1"/>
  <c r="G7518" i="1"/>
  <c r="G7529" i="1"/>
  <c r="G7540" i="1"/>
  <c r="G7551" i="1"/>
  <c r="G7562" i="1"/>
  <c r="G7573" i="1"/>
  <c r="G7584" i="1"/>
  <c r="G7595" i="1"/>
  <c r="G7606" i="1"/>
  <c r="G7617" i="1"/>
  <c r="G7628" i="1"/>
  <c r="G7639" i="1"/>
  <c r="G7650" i="1"/>
  <c r="G7661" i="1"/>
  <c r="G7672" i="1"/>
  <c r="G7683" i="1"/>
  <c r="G7694" i="1"/>
  <c r="G7705" i="1"/>
  <c r="G7716" i="1"/>
  <c r="G7727" i="1"/>
  <c r="G7738" i="1"/>
  <c r="G7749" i="1"/>
  <c r="G7760" i="1"/>
  <c r="G7771" i="1"/>
  <c r="G7782" i="1"/>
  <c r="G7793" i="1"/>
  <c r="G7804" i="1"/>
  <c r="G7815" i="1"/>
  <c r="G7826" i="1"/>
  <c r="G7837" i="1"/>
  <c r="G7848" i="1"/>
  <c r="G7859" i="1"/>
  <c r="G7870" i="1"/>
  <c r="G7881" i="1"/>
  <c r="G7892" i="1"/>
  <c r="G7903" i="1"/>
  <c r="G7914" i="1"/>
  <c r="G7925" i="1"/>
  <c r="G7936" i="1"/>
  <c r="G7947" i="1"/>
  <c r="G7958" i="1"/>
  <c r="G7969" i="1"/>
  <c r="G7980" i="1"/>
  <c r="G7991" i="1"/>
  <c r="G8002" i="1"/>
  <c r="G8013" i="1"/>
  <c r="G8024" i="1"/>
  <c r="G8035" i="1"/>
  <c r="G8046" i="1"/>
  <c r="G8057" i="1"/>
  <c r="G8068" i="1"/>
  <c r="G8079" i="1"/>
  <c r="G8090" i="1"/>
  <c r="G8101" i="1"/>
  <c r="G8112" i="1"/>
  <c r="G8123" i="1"/>
  <c r="G8134" i="1"/>
  <c r="G8145" i="1"/>
  <c r="G8156" i="1"/>
  <c r="G8167" i="1"/>
  <c r="G8178" i="1"/>
  <c r="G8189" i="1"/>
  <c r="G8200" i="1"/>
  <c r="G8211" i="1"/>
  <c r="G8222" i="1"/>
  <c r="G8233" i="1"/>
  <c r="G8244" i="1"/>
  <c r="G8255" i="1"/>
  <c r="G8266" i="1"/>
  <c r="G8277" i="1"/>
  <c r="G8288" i="1"/>
  <c r="G8299" i="1"/>
  <c r="G8310" i="1"/>
  <c r="G8321" i="1"/>
  <c r="G8332" i="1"/>
  <c r="G8343" i="1"/>
  <c r="G8354" i="1"/>
  <c r="G8365" i="1"/>
  <c r="G8376" i="1"/>
  <c r="G8387" i="1"/>
  <c r="G8398" i="1"/>
  <c r="G8409" i="1"/>
  <c r="G8420" i="1"/>
  <c r="G8431" i="1"/>
  <c r="G8442" i="1"/>
  <c r="G8453" i="1"/>
  <c r="G8464" i="1"/>
  <c r="G8475" i="1"/>
  <c r="G8486" i="1"/>
  <c r="G8497" i="1"/>
  <c r="G8508" i="1"/>
  <c r="G8519" i="1"/>
  <c r="G8530" i="1"/>
  <c r="G8541" i="1"/>
  <c r="G8552" i="1"/>
  <c r="G8563" i="1"/>
  <c r="G8574" i="1"/>
  <c r="G8585" i="1"/>
  <c r="G8596" i="1"/>
  <c r="G8607" i="1"/>
  <c r="G8618" i="1"/>
  <c r="G8629" i="1"/>
  <c r="G8640" i="1"/>
  <c r="G8651" i="1"/>
  <c r="G8662" i="1"/>
  <c r="G8673" i="1"/>
  <c r="G8684" i="1"/>
  <c r="G8695" i="1"/>
  <c r="G8706" i="1"/>
  <c r="G8717" i="1"/>
  <c r="G8728" i="1"/>
  <c r="G8739" i="1"/>
  <c r="G8750" i="1"/>
  <c r="G8761" i="1"/>
  <c r="G8772" i="1"/>
  <c r="G8783" i="1"/>
  <c r="G8794" i="1"/>
  <c r="G8805" i="1"/>
  <c r="G8816" i="1"/>
  <c r="G8827" i="1"/>
  <c r="G8838" i="1"/>
  <c r="G8849" i="1"/>
  <c r="G8860" i="1"/>
  <c r="G8871" i="1"/>
  <c r="G8882" i="1"/>
  <c r="G8893" i="1"/>
  <c r="G8904" i="1"/>
  <c r="G8915" i="1"/>
  <c r="G8927" i="1"/>
  <c r="G8939" i="1"/>
  <c r="G8951" i="1"/>
  <c r="G8963" i="1"/>
  <c r="G8975" i="1"/>
  <c r="G8987" i="1"/>
  <c r="G8999" i="1"/>
  <c r="G9011" i="1"/>
  <c r="G9023" i="1"/>
  <c r="G9035" i="1"/>
  <c r="G9047" i="1"/>
  <c r="G9059" i="1"/>
  <c r="G9071" i="1"/>
  <c r="G9083" i="1"/>
  <c r="G9095" i="1"/>
  <c r="G9107" i="1"/>
  <c r="G9119" i="1"/>
  <c r="G9131" i="1"/>
  <c r="G9143" i="1"/>
  <c r="G9155" i="1"/>
  <c r="G9167" i="1"/>
  <c r="G9179" i="1"/>
  <c r="G9191" i="1"/>
  <c r="G9203" i="1"/>
  <c r="G9215" i="1"/>
  <c r="G9227" i="1"/>
  <c r="G9239" i="1"/>
  <c r="G9251" i="1"/>
  <c r="G9263" i="1"/>
  <c r="G9275" i="1"/>
  <c r="G9287" i="1"/>
  <c r="G9299" i="1"/>
  <c r="G9311" i="1"/>
  <c r="G9323" i="1"/>
  <c r="G9335" i="1"/>
  <c r="G9347" i="1"/>
  <c r="G9359" i="1"/>
  <c r="G9371" i="1"/>
  <c r="G9383" i="1"/>
  <c r="G9395" i="1"/>
  <c r="G9407" i="1"/>
  <c r="G9419" i="1"/>
  <c r="G9431" i="1"/>
  <c r="G9443" i="1"/>
  <c r="G9455" i="1"/>
  <c r="G8916" i="1"/>
  <c r="G8928" i="1"/>
  <c r="G8940" i="1"/>
  <c r="G8952" i="1"/>
  <c r="G8964" i="1"/>
  <c r="G8976" i="1"/>
  <c r="G8988" i="1"/>
  <c r="G9000" i="1"/>
  <c r="G9012" i="1"/>
  <c r="G9024" i="1"/>
  <c r="G9036" i="1"/>
  <c r="G9048" i="1"/>
  <c r="G9060" i="1"/>
  <c r="G9072" i="1"/>
  <c r="G9084" i="1"/>
  <c r="G9096" i="1"/>
  <c r="G9108" i="1"/>
  <c r="G9120" i="1"/>
  <c r="G9132" i="1"/>
  <c r="G9144" i="1"/>
  <c r="G9156" i="1"/>
  <c r="G9168" i="1"/>
  <c r="G9180" i="1"/>
  <c r="G9192" i="1"/>
  <c r="G9204" i="1"/>
  <c r="G9216" i="1"/>
  <c r="G9228" i="1"/>
  <c r="G9240" i="1"/>
  <c r="G9252" i="1"/>
  <c r="G9264" i="1"/>
  <c r="G9276" i="1"/>
  <c r="G9288" i="1"/>
  <c r="G9300" i="1"/>
  <c r="G9312" i="1"/>
  <c r="G9324" i="1"/>
  <c r="G9336" i="1"/>
  <c r="G9348" i="1"/>
  <c r="G9360" i="1"/>
  <c r="G9372" i="1"/>
  <c r="G9384" i="1"/>
  <c r="G9396" i="1"/>
  <c r="G9408" i="1"/>
  <c r="G9420" i="1"/>
  <c r="G9432" i="1"/>
  <c r="G9444" i="1"/>
  <c r="G9456" i="1"/>
  <c r="G9457" i="1"/>
  <c r="G9465" i="1"/>
  <c r="G9473" i="1"/>
  <c r="G9481" i="1"/>
  <c r="G9489" i="1"/>
  <c r="G9497" i="1"/>
  <c r="G9505" i="1"/>
  <c r="G9513" i="1"/>
  <c r="G9521" i="1"/>
  <c r="G9529" i="1"/>
  <c r="G9537" i="1"/>
  <c r="G9545" i="1"/>
  <c r="G9553" i="1"/>
  <c r="G9561" i="1"/>
  <c r="G9569" i="1"/>
  <c r="G9577" i="1"/>
  <c r="G9585" i="1"/>
  <c r="G9593" i="1"/>
  <c r="G9601" i="1"/>
  <c r="G9609" i="1"/>
  <c r="G9617" i="1"/>
  <c r="G9625" i="1"/>
  <c r="G9633" i="1"/>
  <c r="G9641" i="1"/>
  <c r="G9649" i="1"/>
  <c r="G9657" i="1"/>
  <c r="G9665" i="1"/>
  <c r="G9673" i="1"/>
  <c r="G9681" i="1"/>
  <c r="G9690" i="1"/>
  <c r="G9698" i="1"/>
  <c r="G9706" i="1"/>
  <c r="G9714" i="1"/>
  <c r="G9722" i="1"/>
  <c r="G9730" i="1"/>
  <c r="G9738" i="1"/>
  <c r="G9746" i="1"/>
  <c r="G9754" i="1"/>
  <c r="G9762" i="1"/>
  <c r="G9770" i="1"/>
  <c r="G9778" i="1"/>
  <c r="G9786" i="1"/>
  <c r="G9794" i="1"/>
  <c r="G9802" i="1"/>
  <c r="G9810" i="1"/>
  <c r="G9818" i="1"/>
  <c r="G9826" i="1"/>
  <c r="G9834" i="1"/>
  <c r="G9842" i="1"/>
  <c r="G9850" i="1"/>
  <c r="G9858" i="1"/>
  <c r="G9866" i="1"/>
  <c r="G9875" i="1"/>
  <c r="G9884" i="1"/>
  <c r="G9893" i="1"/>
  <c r="G9902" i="1"/>
  <c r="G9911" i="1"/>
  <c r="G9920" i="1"/>
  <c r="G9929" i="1"/>
  <c r="G9938" i="1"/>
  <c r="G9947" i="1"/>
  <c r="G9956" i="1"/>
  <c r="G9965" i="1"/>
  <c r="G9974" i="1"/>
  <c r="G9983" i="1"/>
  <c r="G9992" i="1"/>
  <c r="G10001" i="1"/>
  <c r="G10010" i="1"/>
  <c r="G10019" i="1"/>
  <c r="G10028" i="1"/>
  <c r="G10037" i="1"/>
  <c r="G10046" i="1"/>
  <c r="G10055" i="1"/>
  <c r="G10064" i="1"/>
  <c r="G10073" i="1"/>
  <c r="G10082" i="1"/>
  <c r="G10091" i="1"/>
  <c r="G10100" i="1"/>
  <c r="G10109" i="1"/>
  <c r="G10118" i="1"/>
  <c r="G10127" i="1"/>
  <c r="G10136" i="1"/>
  <c r="G10145" i="1"/>
  <c r="G10154" i="1"/>
  <c r="G10163" i="1"/>
  <c r="G10172" i="1"/>
  <c r="G10181" i="1"/>
  <c r="G10190" i="1"/>
  <c r="G10199" i="1"/>
  <c r="G10208" i="1"/>
  <c r="G10218" i="1"/>
  <c r="G10228" i="1"/>
  <c r="G10238" i="1"/>
  <c r="G10248" i="1"/>
  <c r="G10258" i="1"/>
  <c r="G10268" i="1"/>
  <c r="G10278" i="1"/>
  <c r="G10288" i="1"/>
  <c r="G10298" i="1"/>
  <c r="G10308" i="1"/>
  <c r="G10318" i="1"/>
  <c r="G10327" i="1"/>
  <c r="G10336" i="1"/>
  <c r="G10345" i="1"/>
  <c r="G10354" i="1"/>
  <c r="G10363" i="1"/>
  <c r="G10372" i="1"/>
  <c r="G10381" i="1"/>
  <c r="G10390" i="1"/>
  <c r="G10399" i="1"/>
  <c r="G10408" i="1"/>
  <c r="G10417" i="1"/>
  <c r="G10426" i="1"/>
  <c r="G10435" i="1"/>
  <c r="G10444" i="1"/>
  <c r="G10453" i="1"/>
  <c r="G10462" i="1"/>
  <c r="G10471" i="1"/>
  <c r="G10480" i="1"/>
  <c r="G10489" i="1"/>
  <c r="G10498" i="1"/>
  <c r="G10507" i="1"/>
  <c r="G10516" i="1"/>
  <c r="G10525" i="1"/>
  <c r="G10534" i="1"/>
  <c r="G10543" i="1"/>
  <c r="G10552" i="1"/>
  <c r="G10561" i="1"/>
  <c r="G10570" i="1"/>
  <c r="G10579" i="1"/>
  <c r="G10588" i="1"/>
  <c r="G10597" i="1"/>
  <c r="G10606" i="1"/>
  <c r="G10615" i="1"/>
  <c r="G10624" i="1"/>
  <c r="G10633" i="1"/>
  <c r="G10642" i="1"/>
  <c r="G10651" i="1"/>
  <c r="G10660" i="1"/>
  <c r="G10669" i="1"/>
  <c r="G10678" i="1"/>
  <c r="G10687" i="1"/>
  <c r="G10696" i="1"/>
  <c r="G10705" i="1"/>
  <c r="G10714" i="1"/>
  <c r="G10723" i="1"/>
  <c r="G10732" i="1"/>
  <c r="G10741" i="1"/>
  <c r="G10750" i="1"/>
  <c r="G10759" i="1"/>
  <c r="G10768" i="1"/>
  <c r="G10777" i="1"/>
  <c r="G10786" i="1"/>
  <c r="G10795" i="1"/>
  <c r="G10804" i="1"/>
  <c r="G10813" i="1"/>
  <c r="G10822" i="1"/>
  <c r="G10830" i="1"/>
  <c r="G10838" i="1"/>
  <c r="G10846" i="1"/>
  <c r="G10854" i="1"/>
  <c r="G10862" i="1"/>
  <c r="G10870" i="1"/>
  <c r="G10878" i="1"/>
  <c r="G10886" i="1"/>
  <c r="G10894" i="1"/>
  <c r="G10902" i="1"/>
  <c r="G10910" i="1"/>
  <c r="G10918" i="1"/>
  <c r="G10926" i="1"/>
  <c r="G10934" i="1"/>
  <c r="G10942" i="1"/>
  <c r="G10950" i="1"/>
  <c r="G10958" i="1"/>
  <c r="G10966" i="1"/>
  <c r="G10974" i="1"/>
  <c r="G10982" i="1"/>
  <c r="G10990" i="1"/>
  <c r="G10998" i="1"/>
  <c r="G11006" i="1"/>
  <c r="G11014" i="1"/>
  <c r="G11022" i="1"/>
  <c r="G11030" i="1"/>
  <c r="G11038" i="1"/>
  <c r="G11046" i="1"/>
  <c r="G11054" i="1"/>
  <c r="G11062" i="1"/>
  <c r="G11070" i="1"/>
  <c r="G11078" i="1"/>
  <c r="G11087" i="1"/>
  <c r="G11096" i="1"/>
  <c r="G11105" i="1"/>
  <c r="G11114" i="1"/>
  <c r="G11123" i="1"/>
  <c r="G11132" i="1"/>
  <c r="G11141" i="1"/>
  <c r="G11150" i="1"/>
  <c r="G11159" i="1"/>
  <c r="G11168" i="1"/>
  <c r="G11177" i="1"/>
  <c r="G11186" i="1"/>
  <c r="G11195" i="1"/>
  <c r="G11204" i="1"/>
  <c r="G11213" i="1"/>
  <c r="G11222" i="1"/>
  <c r="G11231" i="1"/>
  <c r="G11240" i="1"/>
  <c r="G11249" i="1"/>
  <c r="G11258" i="1"/>
  <c r="G11267" i="1"/>
  <c r="G11276" i="1"/>
  <c r="G11285" i="1"/>
  <c r="G11294" i="1"/>
  <c r="G11303" i="1"/>
  <c r="G11312" i="1"/>
  <c r="G11321" i="1"/>
  <c r="G11330" i="1"/>
  <c r="G11339" i="1"/>
  <c r="G11348" i="1"/>
  <c r="G11357" i="1"/>
  <c r="G11366" i="1"/>
  <c r="G11375" i="1"/>
  <c r="G11384" i="1"/>
  <c r="G11393" i="1"/>
  <c r="G11402" i="1"/>
  <c r="G11411" i="1"/>
  <c r="G11420" i="1"/>
  <c r="G11429" i="1"/>
  <c r="G11438" i="1"/>
  <c r="G11447" i="1"/>
  <c r="G11456" i="1"/>
  <c r="G11465" i="1"/>
  <c r="G11474" i="1"/>
  <c r="G11483" i="1"/>
  <c r="G11492" i="1"/>
  <c r="G11501" i="1"/>
  <c r="G11510" i="1"/>
  <c r="G11519" i="1"/>
  <c r="G11528" i="1"/>
  <c r="G11537" i="1"/>
  <c r="G11546" i="1"/>
  <c r="G11555" i="1"/>
  <c r="G11564" i="1"/>
  <c r="G11573" i="1"/>
  <c r="G11582" i="1"/>
  <c r="G11591" i="1"/>
  <c r="G11600" i="1"/>
  <c r="G11609" i="1"/>
  <c r="G11618" i="1"/>
  <c r="G11627" i="1"/>
  <c r="G11636" i="1"/>
  <c r="G11645" i="1"/>
  <c r="G11654" i="1"/>
  <c r="G11663" i="1"/>
  <c r="G11672" i="1"/>
  <c r="G11681" i="1"/>
  <c r="G11690" i="1"/>
  <c r="G11699" i="1"/>
  <c r="G11708" i="1"/>
  <c r="G11717" i="1"/>
  <c r="G11726" i="1"/>
  <c r="G11735" i="1"/>
  <c r="G11744" i="1"/>
  <c r="G11753" i="1"/>
  <c r="G11762" i="1"/>
  <c r="G11771" i="1"/>
  <c r="G11780" i="1"/>
  <c r="G11789" i="1"/>
  <c r="G11798" i="1"/>
  <c r="G11807" i="1"/>
  <c r="G11816" i="1"/>
  <c r="G11825" i="1"/>
  <c r="G11834" i="1"/>
  <c r="G11843" i="1"/>
  <c r="G11852" i="1"/>
  <c r="G11861" i="1"/>
  <c r="G11870" i="1"/>
  <c r="G11879" i="1"/>
  <c r="G11888" i="1"/>
  <c r="G11897" i="1"/>
  <c r="G11906" i="1"/>
  <c r="G11915" i="1"/>
  <c r="G11924" i="1"/>
  <c r="G11933" i="1"/>
  <c r="G11942" i="1"/>
  <c r="G11951" i="1"/>
  <c r="G11960" i="1"/>
  <c r="G11969" i="1"/>
  <c r="G11978" i="1"/>
  <c r="G11987" i="1"/>
  <c r="G11996" i="1"/>
  <c r="G12005" i="1"/>
  <c r="G12014" i="1"/>
  <c r="G12023" i="1"/>
  <c r="G12032" i="1"/>
  <c r="G12041" i="1"/>
  <c r="G12050" i="1"/>
  <c r="G12059" i="1"/>
  <c r="G12068" i="1"/>
  <c r="G12077" i="1"/>
  <c r="G12086" i="1"/>
  <c r="G12095" i="1"/>
  <c r="G12104" i="1"/>
  <c r="G12113" i="1"/>
  <c r="G12122" i="1"/>
  <c r="G12131" i="1"/>
  <c r="G12140" i="1"/>
  <c r="G12149" i="1"/>
  <c r="G12158" i="1"/>
  <c r="G12167" i="1"/>
  <c r="G12176" i="1"/>
  <c r="G12185" i="1"/>
  <c r="G12194" i="1"/>
  <c r="G12203" i="1"/>
  <c r="G12212" i="1"/>
  <c r="G12221" i="1"/>
  <c r="G12230" i="1"/>
  <c r="G12239" i="1"/>
  <c r="G12248" i="1"/>
  <c r="G12257" i="1"/>
  <c r="G12266" i="1"/>
  <c r="G12275" i="1"/>
  <c r="G12284" i="1"/>
  <c r="G12293" i="1"/>
  <c r="G12302" i="1"/>
  <c r="G12311" i="1"/>
  <c r="G12320" i="1"/>
  <c r="G12329" i="1"/>
  <c r="G12338" i="1"/>
  <c r="G12347" i="1"/>
  <c r="G12356" i="1"/>
  <c r="G12365" i="1"/>
  <c r="G12374" i="1"/>
  <c r="G12383" i="1"/>
  <c r="G12392" i="1"/>
  <c r="G12401" i="1"/>
  <c r="G12410" i="1"/>
  <c r="G12419" i="1"/>
  <c r="G12428" i="1"/>
  <c r="G12437" i="1"/>
  <c r="G12446" i="1"/>
  <c r="G12455" i="1"/>
  <c r="G12464" i="1"/>
  <c r="G12473" i="1"/>
  <c r="G12482" i="1"/>
  <c r="G12491" i="1"/>
  <c r="G12500" i="1"/>
  <c r="G12509" i="1"/>
  <c r="G12518" i="1"/>
  <c r="G12527" i="1"/>
  <c r="G12536" i="1"/>
  <c r="G12545" i="1"/>
  <c r="G12554" i="1"/>
  <c r="G12563" i="1"/>
  <c r="G12572" i="1"/>
  <c r="G12581" i="1"/>
  <c r="G12590" i="1"/>
  <c r="G12599" i="1"/>
  <c r="G12608" i="1"/>
  <c r="G12617" i="1"/>
  <c r="G12626" i="1"/>
  <c r="G12635" i="1"/>
  <c r="G12644" i="1"/>
  <c r="G12653" i="1"/>
  <c r="G12662" i="1"/>
  <c r="G9867" i="1"/>
  <c r="G9876" i="1"/>
  <c r="G9885" i="1"/>
  <c r="G9894" i="1"/>
  <c r="G9903" i="1"/>
  <c r="G9912" i="1"/>
  <c r="G9921" i="1"/>
  <c r="G9930" i="1"/>
  <c r="G9939" i="1"/>
  <c r="G9948" i="1"/>
  <c r="G9957" i="1"/>
  <c r="G9966" i="1"/>
  <c r="G9975" i="1"/>
  <c r="G9984" i="1"/>
  <c r="G9993" i="1"/>
  <c r="G10002" i="1"/>
  <c r="G10011" i="1"/>
  <c r="G10020" i="1"/>
  <c r="G10029" i="1"/>
  <c r="G10038" i="1"/>
  <c r="G10047" i="1"/>
  <c r="G10056" i="1"/>
  <c r="G10065" i="1"/>
  <c r="G10074" i="1"/>
  <c r="G10083" i="1"/>
  <c r="G10092" i="1"/>
  <c r="G10101" i="1"/>
  <c r="G10110" i="1"/>
  <c r="G10119" i="1"/>
  <c r="G10128" i="1"/>
  <c r="G10137" i="1"/>
  <c r="G10146" i="1"/>
  <c r="G10155" i="1"/>
  <c r="G10164" i="1"/>
  <c r="G10173" i="1"/>
  <c r="G10182" i="1"/>
  <c r="G10191" i="1"/>
  <c r="G10200" i="1"/>
  <c r="G10209" i="1"/>
  <c r="G10219" i="1"/>
  <c r="G10229" i="1"/>
  <c r="G10239" i="1"/>
  <c r="G10249" i="1"/>
  <c r="G10259" i="1"/>
  <c r="G10269" i="1"/>
  <c r="G10279" i="1"/>
  <c r="G10289" i="1"/>
  <c r="G10299" i="1"/>
  <c r="G10309" i="1"/>
  <c r="G10319" i="1"/>
  <c r="G10328" i="1"/>
  <c r="G10337" i="1"/>
  <c r="G10346" i="1"/>
  <c r="G10355" i="1"/>
  <c r="G10364" i="1"/>
  <c r="G10373" i="1"/>
  <c r="G10382" i="1"/>
  <c r="G10391" i="1"/>
  <c r="G10400" i="1"/>
  <c r="G10409" i="1"/>
  <c r="G10418" i="1"/>
  <c r="G10427" i="1"/>
  <c r="G10436" i="1"/>
  <c r="G10445" i="1"/>
  <c r="G10454" i="1"/>
  <c r="G10463" i="1"/>
  <c r="G10472" i="1"/>
  <c r="G10481" i="1"/>
  <c r="G10490" i="1"/>
  <c r="G10499" i="1"/>
  <c r="G10508" i="1"/>
  <c r="G10517" i="1"/>
  <c r="G10526" i="1"/>
  <c r="G10535" i="1"/>
  <c r="G10544" i="1"/>
  <c r="G10553" i="1"/>
  <c r="G10562" i="1"/>
  <c r="G10571" i="1"/>
  <c r="G10580" i="1"/>
  <c r="G10589" i="1"/>
  <c r="G10598" i="1"/>
  <c r="G10607" i="1"/>
  <c r="G10616" i="1"/>
  <c r="G10625" i="1"/>
  <c r="G10634" i="1"/>
  <c r="G10643" i="1"/>
  <c r="G10652" i="1"/>
  <c r="G10661" i="1"/>
  <c r="G10670" i="1"/>
  <c r="G10679" i="1"/>
  <c r="G10688" i="1"/>
  <c r="G10697" i="1"/>
  <c r="G10706" i="1"/>
  <c r="G10715" i="1"/>
  <c r="G10724" i="1"/>
  <c r="G10733" i="1"/>
  <c r="G10742" i="1"/>
  <c r="G10751" i="1"/>
  <c r="G10760" i="1"/>
  <c r="G10769" i="1"/>
  <c r="G10778" i="1"/>
  <c r="G10787" i="1"/>
  <c r="G10796" i="1"/>
  <c r="G10805" i="1"/>
  <c r="G10814" i="1"/>
  <c r="G9458" i="1"/>
  <c r="G9466" i="1"/>
  <c r="G9474" i="1"/>
  <c r="G9482" i="1"/>
  <c r="G9490" i="1"/>
  <c r="G9498" i="1"/>
  <c r="D9506" i="1"/>
  <c r="G9506" i="1"/>
  <c r="G9514" i="1"/>
  <c r="G9522" i="1"/>
  <c r="G9530" i="1"/>
  <c r="G9538" i="1"/>
  <c r="G9546" i="1"/>
  <c r="G9554" i="1"/>
  <c r="G9562" i="1"/>
  <c r="D9570" i="1"/>
  <c r="G9570" i="1"/>
  <c r="G9578" i="1"/>
  <c r="G9586" i="1"/>
  <c r="G9594" i="1"/>
  <c r="G9602" i="1"/>
  <c r="G9610" i="1"/>
  <c r="G9618" i="1"/>
  <c r="G9626" i="1"/>
  <c r="G9634" i="1"/>
  <c r="G9642" i="1"/>
  <c r="G9650" i="1"/>
  <c r="G9658" i="1"/>
  <c r="G9666" i="1"/>
  <c r="G9674" i="1"/>
  <c r="G9682" i="1"/>
  <c r="G9691" i="1"/>
  <c r="G9699" i="1"/>
  <c r="G9707" i="1"/>
  <c r="G9715" i="1"/>
  <c r="G9723" i="1"/>
  <c r="G9731" i="1"/>
  <c r="G9739" i="1"/>
  <c r="G9747" i="1"/>
  <c r="G9755" i="1"/>
  <c r="G9763" i="1"/>
  <c r="G9771" i="1"/>
  <c r="G9779" i="1"/>
  <c r="G9787" i="1"/>
  <c r="G9795" i="1"/>
  <c r="G9803" i="1"/>
  <c r="G9811" i="1"/>
  <c r="D9819" i="1"/>
  <c r="G9819" i="1"/>
  <c r="G9827" i="1"/>
  <c r="G9835" i="1"/>
  <c r="G9843" i="1"/>
  <c r="G9851" i="1"/>
  <c r="G9859" i="1"/>
  <c r="G9868" i="1"/>
  <c r="G9877" i="1"/>
  <c r="G9886" i="1"/>
  <c r="D9895" i="1"/>
  <c r="G9895" i="1"/>
  <c r="G9904" i="1"/>
  <c r="G9913" i="1"/>
  <c r="G9922" i="1"/>
  <c r="G9931" i="1"/>
  <c r="G9940" i="1"/>
  <c r="G9949" i="1"/>
  <c r="G9958" i="1"/>
  <c r="G9967" i="1"/>
  <c r="G9976" i="1"/>
  <c r="G9985" i="1"/>
  <c r="G9994" i="1"/>
  <c r="G10003" i="1"/>
  <c r="G10012" i="1"/>
  <c r="G10021" i="1"/>
  <c r="G10030" i="1"/>
  <c r="G10039" i="1"/>
  <c r="G10048" i="1"/>
  <c r="G10057" i="1"/>
  <c r="G10066" i="1"/>
  <c r="G10075" i="1"/>
  <c r="G10084" i="1"/>
  <c r="G10093" i="1"/>
  <c r="G10102" i="1"/>
  <c r="G10111" i="1"/>
  <c r="G10120" i="1"/>
  <c r="G10129" i="1"/>
  <c r="G10138" i="1"/>
  <c r="G10147" i="1"/>
  <c r="G10156" i="1"/>
  <c r="G10165" i="1"/>
  <c r="G10174" i="1"/>
  <c r="G10183" i="1"/>
  <c r="G10192" i="1"/>
  <c r="G10201" i="1"/>
  <c r="G10210" i="1"/>
  <c r="G10220" i="1"/>
  <c r="G10230" i="1"/>
  <c r="G10240" i="1"/>
  <c r="G10250" i="1"/>
  <c r="G10260" i="1"/>
  <c r="G10270" i="1"/>
  <c r="G10280" i="1"/>
  <c r="G10290" i="1"/>
  <c r="G10300" i="1"/>
  <c r="G10310" i="1"/>
  <c r="G10320" i="1"/>
  <c r="G10329" i="1"/>
  <c r="G10338" i="1"/>
  <c r="G10347" i="1"/>
  <c r="G10356" i="1"/>
  <c r="G10365" i="1"/>
  <c r="G10374" i="1"/>
  <c r="G10383" i="1"/>
  <c r="G10392" i="1"/>
  <c r="D10401" i="1"/>
  <c r="G10401" i="1"/>
  <c r="G10410" i="1"/>
  <c r="G10419" i="1"/>
  <c r="G10428" i="1"/>
  <c r="G10437" i="1"/>
  <c r="G10446" i="1"/>
  <c r="G10455" i="1"/>
  <c r="G10464" i="1"/>
  <c r="G10473" i="1"/>
  <c r="G10482" i="1"/>
  <c r="G10491" i="1"/>
  <c r="G10500" i="1"/>
  <c r="G10509" i="1"/>
  <c r="G10518" i="1"/>
  <c r="G10527" i="1"/>
  <c r="G10536" i="1"/>
  <c r="G10545" i="1"/>
  <c r="G10554" i="1"/>
  <c r="G10563" i="1"/>
  <c r="G10572" i="1"/>
  <c r="G10581" i="1"/>
  <c r="G10590" i="1"/>
  <c r="G10599" i="1"/>
  <c r="G10608" i="1"/>
  <c r="D10617" i="1"/>
  <c r="G10617" i="1"/>
  <c r="G10626" i="1"/>
  <c r="G10635" i="1"/>
  <c r="G10644" i="1"/>
  <c r="D10653" i="1"/>
  <c r="G10653" i="1"/>
  <c r="D10662" i="1"/>
  <c r="G10662" i="1"/>
  <c r="G10671" i="1"/>
  <c r="G10680" i="1"/>
  <c r="G10689" i="1"/>
  <c r="G10698" i="1"/>
  <c r="G10707" i="1"/>
  <c r="G10716" i="1"/>
  <c r="G10725" i="1"/>
  <c r="G10734" i="1"/>
  <c r="G10743" i="1"/>
  <c r="G10752" i="1"/>
  <c r="G10761" i="1"/>
  <c r="G10770" i="1"/>
  <c r="G10779" i="1"/>
  <c r="G10788" i="1"/>
  <c r="G10797" i="1"/>
  <c r="G10806" i="1"/>
  <c r="G10815" i="1"/>
  <c r="G10823" i="1"/>
  <c r="G10831" i="1"/>
  <c r="G10839" i="1"/>
  <c r="G10847" i="1"/>
  <c r="G10855" i="1"/>
  <c r="G10863" i="1"/>
  <c r="D10871" i="1"/>
  <c r="E10871" i="1"/>
  <c r="G10871" i="1" s="1"/>
  <c r="G10879" i="1"/>
  <c r="G10887" i="1"/>
  <c r="G10895" i="1"/>
  <c r="G10903" i="1"/>
  <c r="G10911" i="1"/>
  <c r="G10919" i="1"/>
  <c r="G10927" i="1"/>
  <c r="G10935" i="1"/>
  <c r="G10943" i="1"/>
  <c r="G10951" i="1"/>
  <c r="G10959" i="1"/>
  <c r="G10967" i="1"/>
  <c r="G10975" i="1"/>
  <c r="G10983" i="1"/>
  <c r="E10991" i="1"/>
  <c r="G10991" i="1" s="1"/>
  <c r="G10999" i="1"/>
  <c r="G11007" i="1"/>
  <c r="G11015" i="1"/>
  <c r="G11023" i="1"/>
  <c r="G11031" i="1"/>
  <c r="G11039" i="1"/>
  <c r="G11047" i="1"/>
  <c r="G11055" i="1"/>
  <c r="G11063" i="1"/>
  <c r="G11071" i="1"/>
  <c r="G11079" i="1"/>
  <c r="G11088" i="1"/>
  <c r="G11097" i="1"/>
  <c r="G11106" i="1"/>
  <c r="G11115" i="1"/>
  <c r="G11124" i="1"/>
  <c r="G11133" i="1"/>
  <c r="G11142" i="1"/>
  <c r="D11151" i="1"/>
  <c r="G11151" i="1"/>
  <c r="G11160" i="1"/>
  <c r="D11169" i="1"/>
  <c r="G11169" i="1"/>
  <c r="G11178" i="1"/>
  <c r="G11187" i="1"/>
  <c r="G11196" i="1"/>
  <c r="D11205" i="1"/>
  <c r="E11205" i="1"/>
  <c r="G11205" i="1" s="1"/>
  <c r="G11214" i="1"/>
  <c r="G11223" i="1"/>
  <c r="G11232" i="1"/>
  <c r="G11241" i="1"/>
  <c r="G11250" i="1"/>
  <c r="G11259" i="1"/>
  <c r="G11268" i="1"/>
  <c r="G11277" i="1"/>
  <c r="G11286" i="1"/>
  <c r="G11295" i="1"/>
  <c r="G11304" i="1"/>
  <c r="G11313" i="1"/>
  <c r="G11322" i="1"/>
  <c r="G11331" i="1"/>
  <c r="G11340" i="1"/>
  <c r="G11349" i="1"/>
  <c r="G11358" i="1"/>
  <c r="G11367" i="1"/>
  <c r="G11376" i="1"/>
  <c r="G11385" i="1"/>
  <c r="G11394" i="1"/>
  <c r="G11403" i="1"/>
  <c r="D11412" i="1"/>
  <c r="E11412" i="1"/>
  <c r="G11412" i="1" s="1"/>
  <c r="G11421" i="1"/>
  <c r="G11430" i="1"/>
  <c r="G11439" i="1"/>
  <c r="G11448" i="1"/>
  <c r="G11457" i="1"/>
  <c r="G11466" i="1"/>
  <c r="G11475" i="1"/>
  <c r="G11484" i="1"/>
  <c r="G11493" i="1"/>
  <c r="G11502" i="1"/>
  <c r="G11511" i="1"/>
  <c r="D11520" i="1"/>
  <c r="G11520" i="1"/>
  <c r="G11529" i="1"/>
  <c r="G11538" i="1"/>
  <c r="G11547" i="1"/>
  <c r="G11556" i="1"/>
  <c r="G11565" i="1"/>
  <c r="G11574" i="1"/>
  <c r="G11583" i="1"/>
  <c r="G11592" i="1"/>
  <c r="G11601" i="1"/>
  <c r="G11610" i="1"/>
  <c r="G11619" i="1"/>
  <c r="G11628" i="1"/>
  <c r="D11637" i="1"/>
  <c r="E11637" i="1"/>
  <c r="G11637" i="1" s="1"/>
  <c r="G11646" i="1"/>
  <c r="G11655" i="1"/>
  <c r="G11664" i="1"/>
  <c r="D11673" i="1"/>
  <c r="G11673" i="1"/>
  <c r="G11682" i="1"/>
  <c r="G11691" i="1"/>
  <c r="G11700" i="1"/>
  <c r="D11709" i="1"/>
  <c r="G11709" i="1"/>
  <c r="G11718" i="1"/>
  <c r="G11727" i="1"/>
  <c r="G11736" i="1"/>
  <c r="G11745" i="1"/>
  <c r="G11754" i="1"/>
  <c r="G11763" i="1"/>
  <c r="G11772" i="1"/>
  <c r="G11781" i="1"/>
  <c r="G11790" i="1"/>
  <c r="G11799" i="1"/>
  <c r="G11808" i="1"/>
  <c r="G11817" i="1"/>
  <c r="D11826" i="1"/>
  <c r="G11826" i="1"/>
  <c r="G11835" i="1"/>
  <c r="G11844" i="1"/>
  <c r="G11853" i="1"/>
  <c r="G11862" i="1"/>
  <c r="G11871" i="1"/>
  <c r="G11880" i="1"/>
  <c r="G11889" i="1"/>
  <c r="G11898" i="1"/>
  <c r="G11907" i="1"/>
  <c r="G11916" i="1"/>
  <c r="G11925" i="1"/>
  <c r="G11934" i="1"/>
  <c r="G11943" i="1"/>
  <c r="G11952" i="1"/>
  <c r="G11961" i="1"/>
  <c r="G11970" i="1"/>
  <c r="G11979" i="1"/>
  <c r="G11988" i="1"/>
  <c r="G11997" i="1"/>
  <c r="G12006" i="1"/>
  <c r="G12015" i="1"/>
  <c r="G12024" i="1"/>
  <c r="G12033" i="1"/>
  <c r="G12042" i="1"/>
  <c r="G12051" i="1"/>
  <c r="G12060" i="1"/>
  <c r="G12069" i="1"/>
  <c r="G12078" i="1"/>
  <c r="G12087" i="1"/>
  <c r="D12096" i="1"/>
  <c r="G12096" i="1"/>
  <c r="G12105" i="1"/>
  <c r="G12114" i="1"/>
  <c r="G12123" i="1"/>
  <c r="G12132" i="1"/>
  <c r="G12141" i="1"/>
  <c r="G12150" i="1"/>
  <c r="G12159" i="1"/>
  <c r="G12168" i="1"/>
  <c r="G12177" i="1"/>
  <c r="G12186" i="1"/>
  <c r="G12195" i="1"/>
  <c r="G12204" i="1"/>
  <c r="G12213" i="1"/>
  <c r="G12222" i="1"/>
  <c r="G12231" i="1"/>
  <c r="G12240" i="1"/>
  <c r="G12249" i="1"/>
  <c r="G12258" i="1"/>
  <c r="G12267" i="1"/>
  <c r="G12276" i="1"/>
  <c r="G12285" i="1"/>
  <c r="G12294" i="1"/>
  <c r="G12303" i="1"/>
  <c r="G12312" i="1"/>
  <c r="G12321" i="1"/>
  <c r="G12330" i="1"/>
  <c r="G12339" i="1"/>
  <c r="G12348" i="1"/>
  <c r="G12357" i="1"/>
  <c r="G12366" i="1"/>
  <c r="G12375" i="1"/>
  <c r="G12384" i="1"/>
  <c r="G12393" i="1"/>
  <c r="G12402" i="1"/>
  <c r="G12411" i="1"/>
  <c r="G12420" i="1"/>
  <c r="G12429" i="1"/>
  <c r="G12438" i="1"/>
  <c r="G12447" i="1"/>
  <c r="G12456" i="1"/>
  <c r="G12465" i="1"/>
  <c r="G12474" i="1"/>
  <c r="G12483" i="1"/>
  <c r="G12492" i="1"/>
  <c r="G12501" i="1"/>
  <c r="G12510" i="1"/>
  <c r="G12519" i="1"/>
  <c r="G12528" i="1"/>
  <c r="G12537" i="1"/>
  <c r="G12546" i="1"/>
  <c r="G12555" i="1"/>
  <c r="G12564" i="1"/>
  <c r="G12573" i="1"/>
  <c r="G12582" i="1"/>
  <c r="G12591" i="1"/>
  <c r="G12600" i="1"/>
  <c r="G12609" i="1"/>
  <c r="G12618" i="1"/>
  <c r="G12627" i="1"/>
  <c r="G12636" i="1"/>
  <c r="G12645" i="1"/>
  <c r="G12654" i="1"/>
  <c r="G12663" i="1"/>
  <c r="G9459" i="1"/>
  <c r="G9467" i="1"/>
  <c r="G9475" i="1"/>
  <c r="G9483" i="1"/>
  <c r="G9491" i="1"/>
  <c r="G9499" i="1"/>
  <c r="G9507" i="1"/>
  <c r="G9515" i="1"/>
  <c r="G9523" i="1"/>
  <c r="G9531" i="1"/>
  <c r="G9539" i="1"/>
  <c r="G9547" i="1"/>
  <c r="G9555" i="1"/>
  <c r="G9563" i="1"/>
  <c r="G9571" i="1"/>
  <c r="G9579" i="1"/>
  <c r="G9587" i="1"/>
  <c r="G9595" i="1"/>
  <c r="G9603" i="1"/>
  <c r="G9611" i="1"/>
  <c r="G9619" i="1"/>
  <c r="G9627" i="1"/>
  <c r="G9635" i="1"/>
  <c r="G9643" i="1"/>
  <c r="G9651" i="1"/>
  <c r="G9659" i="1"/>
  <c r="G9667" i="1"/>
  <c r="G9675" i="1"/>
  <c r="G9683" i="1"/>
  <c r="G9692" i="1"/>
  <c r="G9700" i="1"/>
  <c r="G9708" i="1"/>
  <c r="G9716" i="1"/>
  <c r="G9724" i="1"/>
  <c r="G9732" i="1"/>
  <c r="G9740" i="1"/>
  <c r="G9748" i="1"/>
  <c r="G9756" i="1"/>
  <c r="G9764" i="1"/>
  <c r="G9772" i="1"/>
  <c r="G9780" i="1"/>
  <c r="G9788" i="1"/>
  <c r="G9796" i="1"/>
  <c r="G9804" i="1"/>
  <c r="G9812" i="1"/>
  <c r="G9820" i="1"/>
  <c r="G9828" i="1"/>
  <c r="G9836" i="1"/>
  <c r="G9844" i="1"/>
  <c r="G9852" i="1"/>
  <c r="G9860" i="1"/>
  <c r="G9869" i="1"/>
  <c r="G9878" i="1"/>
  <c r="G9887" i="1"/>
  <c r="G9896" i="1"/>
  <c r="G9905" i="1"/>
  <c r="G9914" i="1"/>
  <c r="G9923" i="1"/>
  <c r="G9932" i="1"/>
  <c r="G9941" i="1"/>
  <c r="G9950" i="1"/>
  <c r="G9959" i="1"/>
  <c r="G9968" i="1"/>
  <c r="G9977" i="1"/>
  <c r="G9986" i="1"/>
  <c r="G9995" i="1"/>
  <c r="G10004" i="1"/>
  <c r="G10013" i="1"/>
  <c r="G10022" i="1"/>
  <c r="G10031" i="1"/>
  <c r="G10040" i="1"/>
  <c r="G10049" i="1"/>
  <c r="G10058" i="1"/>
  <c r="G10067" i="1"/>
  <c r="G10076" i="1"/>
  <c r="G10085" i="1"/>
  <c r="G10094" i="1"/>
  <c r="G10103" i="1"/>
  <c r="G10112" i="1"/>
  <c r="G10121" i="1"/>
  <c r="G10130" i="1"/>
  <c r="G10139" i="1"/>
  <c r="G10148" i="1"/>
  <c r="G10157" i="1"/>
  <c r="G10166" i="1"/>
  <c r="G10175" i="1"/>
  <c r="G10184" i="1"/>
  <c r="G10193" i="1"/>
  <c r="G10202" i="1"/>
  <c r="G10211" i="1"/>
  <c r="G10221" i="1"/>
  <c r="G10231" i="1"/>
  <c r="G10241" i="1"/>
  <c r="G10251" i="1"/>
  <c r="G10261" i="1"/>
  <c r="G10271" i="1"/>
  <c r="G10281" i="1"/>
  <c r="G10291" i="1"/>
  <c r="G10301" i="1"/>
  <c r="G10311" i="1"/>
  <c r="G10321" i="1"/>
  <c r="G10330" i="1"/>
  <c r="G10339" i="1"/>
  <c r="G10348" i="1"/>
  <c r="G10357" i="1"/>
  <c r="G10366" i="1"/>
  <c r="G10375" i="1"/>
  <c r="G10384" i="1"/>
  <c r="G10393" i="1"/>
  <c r="G10402" i="1"/>
  <c r="G10411" i="1"/>
  <c r="G10420" i="1"/>
  <c r="G10429" i="1"/>
  <c r="G10438" i="1"/>
  <c r="G10447" i="1"/>
  <c r="G10456" i="1"/>
  <c r="G10465" i="1"/>
  <c r="G10474" i="1"/>
  <c r="G10483" i="1"/>
  <c r="G10492" i="1"/>
  <c r="G10501" i="1"/>
  <c r="G10510" i="1"/>
  <c r="G10519" i="1"/>
  <c r="G10528" i="1"/>
  <c r="G10537" i="1"/>
  <c r="G10546" i="1"/>
  <c r="G10555" i="1"/>
  <c r="G10564" i="1"/>
  <c r="G10573" i="1"/>
  <c r="G10582" i="1"/>
  <c r="G10591" i="1"/>
  <c r="G10600" i="1"/>
  <c r="D10609" i="1"/>
  <c r="G10609" i="1"/>
  <c r="G10618" i="1"/>
  <c r="G10627" i="1"/>
  <c r="G10636" i="1"/>
  <c r="G10645" i="1"/>
  <c r="G10654" i="1"/>
  <c r="G10663" i="1"/>
  <c r="G10672" i="1"/>
  <c r="G10681" i="1"/>
  <c r="G10690" i="1"/>
  <c r="G10699" i="1"/>
  <c r="G10708" i="1"/>
  <c r="G10717" i="1"/>
  <c r="G10726" i="1"/>
  <c r="G10735" i="1"/>
  <c r="G10744" i="1"/>
  <c r="G10753" i="1"/>
  <c r="G10762" i="1"/>
  <c r="G10771" i="1"/>
  <c r="G10780" i="1"/>
  <c r="G10789" i="1"/>
  <c r="G10798" i="1"/>
  <c r="G10807" i="1"/>
  <c r="G10816" i="1"/>
  <c r="G10824" i="1"/>
  <c r="G10832" i="1"/>
  <c r="G10840" i="1"/>
  <c r="G10848" i="1"/>
  <c r="G10856" i="1"/>
  <c r="G10864" i="1"/>
  <c r="G10872" i="1"/>
  <c r="G10880" i="1"/>
  <c r="G10888" i="1"/>
  <c r="G10896" i="1"/>
  <c r="G10904" i="1"/>
  <c r="G10912" i="1"/>
  <c r="G10920" i="1"/>
  <c r="G10928" i="1"/>
  <c r="G10936" i="1"/>
  <c r="G10944" i="1"/>
  <c r="G10952" i="1"/>
  <c r="G10960" i="1"/>
  <c r="G10968" i="1"/>
  <c r="G10976" i="1"/>
  <c r="G10984" i="1"/>
  <c r="G10992" i="1"/>
  <c r="G11000" i="1"/>
  <c r="G11008" i="1"/>
  <c r="G11016" i="1"/>
  <c r="G11024" i="1"/>
  <c r="G11032" i="1"/>
  <c r="G11040" i="1"/>
  <c r="G11048" i="1"/>
  <c r="G11056" i="1"/>
  <c r="G11064" i="1"/>
  <c r="G11072" i="1"/>
  <c r="G11080" i="1"/>
  <c r="G11089" i="1"/>
  <c r="G11098" i="1"/>
  <c r="G11107" i="1"/>
  <c r="G11116" i="1"/>
  <c r="G11125" i="1"/>
  <c r="G11134" i="1"/>
  <c r="G11143" i="1"/>
  <c r="G11152" i="1"/>
  <c r="G11161" i="1"/>
  <c r="G11170" i="1"/>
  <c r="G11179" i="1"/>
  <c r="G11188" i="1"/>
  <c r="G11197" i="1"/>
  <c r="D11206" i="1"/>
  <c r="G11206" i="1"/>
  <c r="G11215" i="1"/>
  <c r="G11224" i="1"/>
  <c r="G11233" i="1"/>
  <c r="G11242" i="1"/>
  <c r="G11251" i="1"/>
  <c r="G11260" i="1"/>
  <c r="G11269" i="1"/>
  <c r="G11278" i="1"/>
  <c r="G11287" i="1"/>
  <c r="G11296" i="1"/>
  <c r="G11305" i="1"/>
  <c r="G11314" i="1"/>
  <c r="G11323" i="1"/>
  <c r="G11332" i="1"/>
  <c r="G11341" i="1"/>
  <c r="G11350" i="1"/>
  <c r="G11359" i="1"/>
  <c r="G11368" i="1"/>
  <c r="G11377" i="1"/>
  <c r="G11386" i="1"/>
  <c r="G11395" i="1"/>
  <c r="G11404" i="1"/>
  <c r="G11413" i="1"/>
  <c r="G11422" i="1"/>
  <c r="G11431" i="1"/>
  <c r="G11440" i="1"/>
  <c r="G11449" i="1"/>
  <c r="G11458" i="1"/>
  <c r="G11467" i="1"/>
  <c r="G11476" i="1"/>
  <c r="G11485" i="1"/>
  <c r="G11494" i="1"/>
  <c r="G11503" i="1"/>
  <c r="G11512" i="1"/>
  <c r="G11521" i="1"/>
  <c r="G11530" i="1"/>
  <c r="G11539" i="1"/>
  <c r="G11548" i="1"/>
  <c r="G11557" i="1"/>
  <c r="G11566" i="1"/>
  <c r="G11575" i="1"/>
  <c r="G11584" i="1"/>
  <c r="G11593" i="1"/>
  <c r="G11602" i="1"/>
  <c r="G11611" i="1"/>
  <c r="G11620" i="1"/>
  <c r="G11629" i="1"/>
  <c r="G11638" i="1"/>
  <c r="G11647" i="1"/>
  <c r="G11656" i="1"/>
  <c r="G11665" i="1"/>
  <c r="G11674" i="1"/>
  <c r="G11683" i="1"/>
  <c r="G11692" i="1"/>
  <c r="G11701" i="1"/>
  <c r="G11710" i="1"/>
  <c r="G11719" i="1"/>
  <c r="G11728" i="1"/>
  <c r="G11737" i="1"/>
  <c r="G11746" i="1"/>
  <c r="G11755" i="1"/>
  <c r="G11764" i="1"/>
  <c r="G11773" i="1"/>
  <c r="G11782" i="1"/>
  <c r="G11791" i="1"/>
  <c r="G11800" i="1"/>
  <c r="G11809" i="1"/>
  <c r="G11818" i="1"/>
  <c r="G11827" i="1"/>
  <c r="G11836" i="1"/>
  <c r="G11845" i="1"/>
  <c r="G11854" i="1"/>
  <c r="G11863" i="1"/>
  <c r="G11872" i="1"/>
  <c r="G11881" i="1"/>
  <c r="G11890" i="1"/>
  <c r="G11899" i="1"/>
  <c r="G11908" i="1"/>
  <c r="G11917" i="1"/>
  <c r="G11926" i="1"/>
  <c r="G11935" i="1"/>
  <c r="G11944" i="1"/>
  <c r="G11953" i="1"/>
  <c r="G11962" i="1"/>
  <c r="G11971" i="1"/>
  <c r="G11980" i="1"/>
  <c r="G11989" i="1"/>
  <c r="G11998" i="1"/>
  <c r="G12007" i="1"/>
  <c r="G12016" i="1"/>
  <c r="G12025" i="1"/>
  <c r="G12034" i="1"/>
  <c r="G12043" i="1"/>
  <c r="G12052" i="1"/>
  <c r="G12061" i="1"/>
  <c r="G12070" i="1"/>
  <c r="G12079" i="1"/>
  <c r="G12088" i="1"/>
  <c r="G12097" i="1"/>
  <c r="G12106" i="1"/>
  <c r="G12115" i="1"/>
  <c r="G12124" i="1"/>
  <c r="G12133" i="1"/>
  <c r="G12142" i="1"/>
  <c r="G12151" i="1"/>
  <c r="G12160" i="1"/>
  <c r="G12169" i="1"/>
  <c r="G12178" i="1"/>
  <c r="G12187" i="1"/>
  <c r="G12196" i="1"/>
  <c r="G12205" i="1"/>
  <c r="G12214" i="1"/>
  <c r="G12223" i="1"/>
  <c r="G12232" i="1"/>
  <c r="G12241" i="1"/>
  <c r="G12250" i="1"/>
  <c r="G12259" i="1"/>
  <c r="G12268" i="1"/>
  <c r="G12277" i="1"/>
  <c r="G12286" i="1"/>
  <c r="G12295" i="1"/>
  <c r="G12304" i="1"/>
  <c r="G12313" i="1"/>
  <c r="G12322" i="1"/>
  <c r="G12331" i="1"/>
  <c r="G12340" i="1"/>
  <c r="G12349" i="1"/>
  <c r="G12358" i="1"/>
  <c r="G12367" i="1"/>
  <c r="G12376" i="1"/>
  <c r="G12385" i="1"/>
  <c r="G12394" i="1"/>
  <c r="G12403" i="1"/>
  <c r="G12412" i="1"/>
  <c r="G12421" i="1"/>
  <c r="G12430" i="1"/>
  <c r="G12439" i="1"/>
  <c r="D12448" i="1"/>
  <c r="G12448" i="1"/>
  <c r="G12457" i="1"/>
  <c r="G12466" i="1"/>
  <c r="G12475" i="1"/>
  <c r="G12484" i="1"/>
  <c r="D12493" i="1"/>
  <c r="G12493" i="1"/>
  <c r="G12502" i="1"/>
  <c r="G12511" i="1"/>
  <c r="G12520" i="1"/>
  <c r="G12529" i="1"/>
  <c r="G12538" i="1"/>
  <c r="G12547" i="1"/>
  <c r="G12556" i="1"/>
  <c r="G12565" i="1"/>
  <c r="G12574" i="1"/>
  <c r="G12583" i="1"/>
  <c r="G12592" i="1"/>
  <c r="G12601" i="1"/>
  <c r="G12610" i="1"/>
  <c r="G12619" i="1"/>
  <c r="G12628" i="1"/>
  <c r="G12637" i="1"/>
  <c r="G12646" i="1"/>
  <c r="G12655" i="1"/>
  <c r="G12664" i="1"/>
  <c r="G11081" i="1"/>
  <c r="G11090" i="1"/>
  <c r="G11099" i="1"/>
  <c r="G11108" i="1"/>
  <c r="G11117" i="1"/>
  <c r="G11126" i="1"/>
  <c r="G11135" i="1"/>
  <c r="G11144" i="1"/>
  <c r="G11153" i="1"/>
  <c r="G11162" i="1"/>
  <c r="G11171" i="1"/>
  <c r="G11180" i="1"/>
  <c r="G11189" i="1"/>
  <c r="G11198" i="1"/>
  <c r="G11207" i="1"/>
  <c r="G11216" i="1"/>
  <c r="G11225" i="1"/>
  <c r="G11234" i="1"/>
  <c r="G11243" i="1"/>
  <c r="G11252" i="1"/>
  <c r="G11261" i="1"/>
  <c r="G11270" i="1"/>
  <c r="G11279" i="1"/>
  <c r="G11288" i="1"/>
  <c r="G11297" i="1"/>
  <c r="G11306" i="1"/>
  <c r="G11315" i="1"/>
  <c r="G11324" i="1"/>
  <c r="G11333" i="1"/>
  <c r="G11342" i="1"/>
  <c r="G11351" i="1"/>
  <c r="G11360" i="1"/>
  <c r="G11369" i="1"/>
  <c r="G11378" i="1"/>
  <c r="G11387" i="1"/>
  <c r="G11396" i="1"/>
  <c r="G11405" i="1"/>
  <c r="G11414" i="1"/>
  <c r="G11423" i="1"/>
  <c r="G11432" i="1"/>
  <c r="G11441" i="1"/>
  <c r="G11450" i="1"/>
  <c r="G11459" i="1"/>
  <c r="G11468" i="1"/>
  <c r="G11477" i="1"/>
  <c r="G11486" i="1"/>
  <c r="G11495" i="1"/>
  <c r="G11504" i="1"/>
  <c r="G11513" i="1"/>
  <c r="G11522" i="1"/>
  <c r="G11531" i="1"/>
  <c r="G11540" i="1"/>
  <c r="G11549" i="1"/>
  <c r="G11558" i="1"/>
  <c r="G11567" i="1"/>
  <c r="G11576" i="1"/>
  <c r="G11585" i="1"/>
  <c r="G11594" i="1"/>
  <c r="G11603" i="1"/>
  <c r="G11612" i="1"/>
  <c r="G11621" i="1"/>
  <c r="G11630" i="1"/>
  <c r="G11639" i="1"/>
  <c r="G11648" i="1"/>
  <c r="G11657" i="1"/>
  <c r="G11666" i="1"/>
  <c r="G11675" i="1"/>
  <c r="G11684" i="1"/>
  <c r="G11693" i="1"/>
  <c r="G11702" i="1"/>
  <c r="G11711" i="1"/>
  <c r="G11720" i="1"/>
  <c r="G11729" i="1"/>
  <c r="G11738" i="1"/>
  <c r="G11747" i="1"/>
  <c r="G11756" i="1"/>
  <c r="G11765" i="1"/>
  <c r="G11774" i="1"/>
  <c r="G11783" i="1"/>
  <c r="G11792" i="1"/>
  <c r="G11801" i="1"/>
  <c r="G11810" i="1"/>
  <c r="G11819" i="1"/>
  <c r="G11828" i="1"/>
  <c r="G11837" i="1"/>
  <c r="G11846" i="1"/>
  <c r="G11855" i="1"/>
  <c r="G11864" i="1"/>
  <c r="G11873" i="1"/>
  <c r="G11882" i="1"/>
  <c r="G11891" i="1"/>
  <c r="G11900" i="1"/>
  <c r="G11909" i="1"/>
  <c r="G11918" i="1"/>
  <c r="G11927" i="1"/>
  <c r="G11936" i="1"/>
  <c r="G11945" i="1"/>
  <c r="G11954" i="1"/>
  <c r="G11963" i="1"/>
  <c r="G11972" i="1"/>
  <c r="G11981" i="1"/>
  <c r="G11990" i="1"/>
  <c r="G11999" i="1"/>
  <c r="G12008" i="1"/>
  <c r="G12017" i="1"/>
  <c r="G12026" i="1"/>
  <c r="G12035" i="1"/>
  <c r="G12044" i="1"/>
  <c r="G12053" i="1"/>
  <c r="G12062" i="1"/>
  <c r="G12071" i="1"/>
  <c r="G12080" i="1"/>
  <c r="G12089" i="1"/>
  <c r="G12098" i="1"/>
  <c r="G12107" i="1"/>
  <c r="G12116" i="1"/>
  <c r="G12125" i="1"/>
  <c r="G12134" i="1"/>
  <c r="G12143" i="1"/>
  <c r="G12152" i="1"/>
  <c r="G12161" i="1"/>
  <c r="G12170" i="1"/>
  <c r="G12179" i="1"/>
  <c r="G12188" i="1"/>
  <c r="G12197" i="1"/>
  <c r="G12206" i="1"/>
  <c r="G12215" i="1"/>
  <c r="G12224" i="1"/>
  <c r="G12233" i="1"/>
  <c r="G12242" i="1"/>
  <c r="G12251" i="1"/>
  <c r="G12260" i="1"/>
  <c r="G12269" i="1"/>
  <c r="G12278" i="1"/>
  <c r="G12287" i="1"/>
  <c r="G12296" i="1"/>
  <c r="G12305" i="1"/>
  <c r="G12314" i="1"/>
  <c r="G12323" i="1"/>
  <c r="G12332" i="1"/>
  <c r="G12341" i="1"/>
  <c r="G12350" i="1"/>
  <c r="G12359" i="1"/>
  <c r="G12368" i="1"/>
  <c r="G12377" i="1"/>
  <c r="G12386" i="1"/>
  <c r="G12395" i="1"/>
  <c r="G12404" i="1"/>
  <c r="G12413" i="1"/>
  <c r="G12422" i="1"/>
  <c r="G12431" i="1"/>
  <c r="G12440" i="1"/>
  <c r="G12449" i="1"/>
  <c r="G12458" i="1"/>
  <c r="G12467" i="1"/>
  <c r="G12476" i="1"/>
  <c r="G12485" i="1"/>
  <c r="G12494" i="1"/>
  <c r="G12503" i="1"/>
  <c r="G12512" i="1"/>
  <c r="G12521" i="1"/>
  <c r="G12530" i="1"/>
  <c r="G12539" i="1"/>
  <c r="G12548" i="1"/>
  <c r="G12557" i="1"/>
  <c r="G12566" i="1"/>
  <c r="G12575" i="1"/>
  <c r="G12584" i="1"/>
  <c r="G12593" i="1"/>
  <c r="G12602" i="1"/>
  <c r="G12611" i="1"/>
  <c r="G12620" i="1"/>
  <c r="G12629" i="1"/>
  <c r="G12638" i="1"/>
  <c r="G12647" i="1"/>
  <c r="G12656" i="1"/>
  <c r="G12665" i="1"/>
  <c r="G9684" i="1"/>
  <c r="G9460" i="1"/>
  <c r="G9468" i="1"/>
  <c r="G9476" i="1"/>
  <c r="G9484" i="1"/>
  <c r="G9492" i="1"/>
  <c r="G9500" i="1"/>
  <c r="G9508" i="1"/>
  <c r="G9516" i="1"/>
  <c r="G9524" i="1"/>
  <c r="G9532" i="1"/>
  <c r="G9540" i="1"/>
  <c r="G9548" i="1"/>
  <c r="G9556" i="1"/>
  <c r="G9564" i="1"/>
  <c r="G9572" i="1"/>
  <c r="G9580" i="1"/>
  <c r="G9588" i="1"/>
  <c r="G9596" i="1"/>
  <c r="G9604" i="1"/>
  <c r="G9612" i="1"/>
  <c r="G9620" i="1"/>
  <c r="G9628" i="1"/>
  <c r="G9636" i="1"/>
  <c r="G9644" i="1"/>
  <c r="G9652" i="1"/>
  <c r="G9660" i="1"/>
  <c r="G9668" i="1"/>
  <c r="G9676" i="1"/>
  <c r="G9685" i="1"/>
  <c r="G9693" i="1"/>
  <c r="G9701" i="1"/>
  <c r="G9709" i="1"/>
  <c r="G9717" i="1"/>
  <c r="G9725" i="1"/>
  <c r="G9733" i="1"/>
  <c r="G9741" i="1"/>
  <c r="G9749" i="1"/>
  <c r="G9757" i="1"/>
  <c r="G9765" i="1"/>
  <c r="G9773" i="1"/>
  <c r="G9781" i="1"/>
  <c r="G9789" i="1"/>
  <c r="G9797" i="1"/>
  <c r="G9805" i="1"/>
  <c r="G9813" i="1"/>
  <c r="G9821" i="1"/>
  <c r="G9829" i="1"/>
  <c r="G9837" i="1"/>
  <c r="G9845" i="1"/>
  <c r="G9853" i="1"/>
  <c r="G9861" i="1"/>
  <c r="G9870" i="1"/>
  <c r="G9879" i="1"/>
  <c r="G9888" i="1"/>
  <c r="G9897" i="1"/>
  <c r="G9906" i="1"/>
  <c r="G9915" i="1"/>
  <c r="G9924" i="1"/>
  <c r="G9933" i="1"/>
  <c r="G9942" i="1"/>
  <c r="G9951" i="1"/>
  <c r="G9960" i="1"/>
  <c r="G9969" i="1"/>
  <c r="G9978" i="1"/>
  <c r="G9987" i="1"/>
  <c r="G9996" i="1"/>
  <c r="G10005" i="1"/>
  <c r="G10014" i="1"/>
  <c r="G10023" i="1"/>
  <c r="G10032" i="1"/>
  <c r="G10041" i="1"/>
  <c r="G10050" i="1"/>
  <c r="G10059" i="1"/>
  <c r="G10068" i="1"/>
  <c r="G10077" i="1"/>
  <c r="G10086" i="1"/>
  <c r="G10095" i="1"/>
  <c r="G10104" i="1"/>
  <c r="G10113" i="1"/>
  <c r="G10122" i="1"/>
  <c r="G10131" i="1"/>
  <c r="G10140" i="1"/>
  <c r="G10149" i="1"/>
  <c r="G10158" i="1"/>
  <c r="G10167" i="1"/>
  <c r="G10176" i="1"/>
  <c r="G10185" i="1"/>
  <c r="G10194" i="1"/>
  <c r="G10203" i="1"/>
  <c r="G10212" i="1"/>
  <c r="G10222" i="1"/>
  <c r="G10232" i="1"/>
  <c r="G10242" i="1"/>
  <c r="G10252" i="1"/>
  <c r="G10262" i="1"/>
  <c r="G10272" i="1"/>
  <c r="G10282" i="1"/>
  <c r="G10292" i="1"/>
  <c r="G10302" i="1"/>
  <c r="G10312" i="1"/>
  <c r="G10322" i="1"/>
  <c r="G10331" i="1"/>
  <c r="G10340" i="1"/>
  <c r="G10349" i="1"/>
  <c r="G10358" i="1"/>
  <c r="G10367" i="1"/>
  <c r="G10376" i="1"/>
  <c r="G10385" i="1"/>
  <c r="G10394" i="1"/>
  <c r="G10403" i="1"/>
  <c r="G10412" i="1"/>
  <c r="G10421" i="1"/>
  <c r="G10430" i="1"/>
  <c r="G10439" i="1"/>
  <c r="G10448" i="1"/>
  <c r="G10457" i="1"/>
  <c r="G10466" i="1"/>
  <c r="G10475" i="1"/>
  <c r="G10484" i="1"/>
  <c r="G10493" i="1"/>
  <c r="G10502" i="1"/>
  <c r="G10511" i="1"/>
  <c r="G10520" i="1"/>
  <c r="G10529" i="1"/>
  <c r="G10538" i="1"/>
  <c r="G10547" i="1"/>
  <c r="G10556" i="1"/>
  <c r="G10565" i="1"/>
  <c r="G10574" i="1"/>
  <c r="G10583" i="1"/>
  <c r="G10592" i="1"/>
  <c r="G10601" i="1"/>
  <c r="G10610" i="1"/>
  <c r="G10619" i="1"/>
  <c r="G10628" i="1"/>
  <c r="G10637" i="1"/>
  <c r="G10646" i="1"/>
  <c r="G10655" i="1"/>
  <c r="G10664" i="1"/>
  <c r="G10673" i="1"/>
  <c r="G10682" i="1"/>
  <c r="G10691" i="1"/>
  <c r="G10700" i="1"/>
  <c r="G10709" i="1"/>
  <c r="G10718" i="1"/>
  <c r="G10727" i="1"/>
  <c r="G10736" i="1"/>
  <c r="G10745" i="1"/>
  <c r="G10754" i="1"/>
  <c r="G10763" i="1"/>
  <c r="G10772" i="1"/>
  <c r="G10781" i="1"/>
  <c r="G10790" i="1"/>
  <c r="G10799" i="1"/>
  <c r="G10808" i="1"/>
  <c r="G10817" i="1"/>
  <c r="G10825" i="1"/>
  <c r="G10833" i="1"/>
  <c r="G10841" i="1"/>
  <c r="G10849" i="1"/>
  <c r="G10857" i="1"/>
  <c r="G10865" i="1"/>
  <c r="G10873" i="1"/>
  <c r="G10881" i="1"/>
  <c r="G10889" i="1"/>
  <c r="G10897" i="1"/>
  <c r="G10905" i="1"/>
  <c r="G10913" i="1"/>
  <c r="G10921" i="1"/>
  <c r="G10929" i="1"/>
  <c r="G10937" i="1"/>
  <c r="G10945" i="1"/>
  <c r="G10953" i="1"/>
  <c r="G10961" i="1"/>
  <c r="G10969" i="1"/>
  <c r="G10977" i="1"/>
  <c r="G10985" i="1"/>
  <c r="G10993" i="1"/>
  <c r="G11001" i="1"/>
  <c r="G11009" i="1"/>
  <c r="G11017" i="1"/>
  <c r="G11025" i="1"/>
  <c r="G11033" i="1"/>
  <c r="G11041" i="1"/>
  <c r="G11049" i="1"/>
  <c r="G11057" i="1"/>
  <c r="G11065" i="1"/>
  <c r="G11073" i="1"/>
  <c r="G11082" i="1"/>
  <c r="G11091" i="1"/>
  <c r="G11100" i="1"/>
  <c r="G11109" i="1"/>
  <c r="G11118" i="1"/>
  <c r="G11127" i="1"/>
  <c r="G11136" i="1"/>
  <c r="G11145" i="1"/>
  <c r="G11154" i="1"/>
  <c r="G11163" i="1"/>
  <c r="G11172" i="1"/>
  <c r="G11181" i="1"/>
  <c r="G11190" i="1"/>
  <c r="G11199" i="1"/>
  <c r="G11208" i="1"/>
  <c r="G11217" i="1"/>
  <c r="G11226" i="1"/>
  <c r="G11235" i="1"/>
  <c r="G11244" i="1"/>
  <c r="G11253" i="1"/>
  <c r="G11262" i="1"/>
  <c r="G11271" i="1"/>
  <c r="G11280" i="1"/>
  <c r="G11289" i="1"/>
  <c r="G11298" i="1"/>
  <c r="G11307" i="1"/>
  <c r="G11316" i="1"/>
  <c r="G11325" i="1"/>
  <c r="G11334" i="1"/>
  <c r="G11343" i="1"/>
  <c r="G11352" i="1"/>
  <c r="G11361" i="1"/>
  <c r="G11370" i="1"/>
  <c r="G11379" i="1"/>
  <c r="G11388" i="1"/>
  <c r="G11397" i="1"/>
  <c r="G11406" i="1"/>
  <c r="G11415" i="1"/>
  <c r="G11424" i="1"/>
  <c r="G11433" i="1"/>
  <c r="G11442" i="1"/>
  <c r="G11451" i="1"/>
  <c r="G11460" i="1"/>
  <c r="G11469" i="1"/>
  <c r="G11478" i="1"/>
  <c r="G11487" i="1"/>
  <c r="G11496" i="1"/>
  <c r="G11505" i="1"/>
  <c r="G11514" i="1"/>
  <c r="G11523" i="1"/>
  <c r="G11532" i="1"/>
  <c r="G11541" i="1"/>
  <c r="G11550" i="1"/>
  <c r="G11559" i="1"/>
  <c r="G11568" i="1"/>
  <c r="G11577" i="1"/>
  <c r="G11586" i="1"/>
  <c r="G11595" i="1"/>
  <c r="G11604" i="1"/>
  <c r="G11613" i="1"/>
  <c r="G11622" i="1"/>
  <c r="G11631" i="1"/>
  <c r="G11640" i="1"/>
  <c r="G11649" i="1"/>
  <c r="G11658" i="1"/>
  <c r="G11667" i="1"/>
  <c r="G11676" i="1"/>
  <c r="G11685" i="1"/>
  <c r="G11694" i="1"/>
  <c r="G11703" i="1"/>
  <c r="G11712" i="1"/>
  <c r="G11721" i="1"/>
  <c r="G11730" i="1"/>
  <c r="G11739" i="1"/>
  <c r="G11748" i="1"/>
  <c r="G11757" i="1"/>
  <c r="G11766" i="1"/>
  <c r="G11775" i="1"/>
  <c r="G11784" i="1"/>
  <c r="G11793" i="1"/>
  <c r="G11802" i="1"/>
  <c r="G11811" i="1"/>
  <c r="G11820" i="1"/>
  <c r="G11829" i="1"/>
  <c r="G11838" i="1"/>
  <c r="G11847" i="1"/>
  <c r="G11856" i="1"/>
  <c r="G11865" i="1"/>
  <c r="G11874" i="1"/>
  <c r="G11883" i="1"/>
  <c r="G11892" i="1"/>
  <c r="G11901" i="1"/>
  <c r="G11910" i="1"/>
  <c r="G11919" i="1"/>
  <c r="G11928" i="1"/>
  <c r="G11937" i="1"/>
  <c r="G11946" i="1"/>
  <c r="G11955" i="1"/>
  <c r="G11964" i="1"/>
  <c r="G11973" i="1"/>
  <c r="G11982" i="1"/>
  <c r="G11991" i="1"/>
  <c r="G12000" i="1"/>
  <c r="G12009" i="1"/>
  <c r="G12018" i="1"/>
  <c r="G12027" i="1"/>
  <c r="G12036" i="1"/>
  <c r="G12045" i="1"/>
  <c r="G12054" i="1"/>
  <c r="G12063" i="1"/>
  <c r="G12072" i="1"/>
  <c r="G12081" i="1"/>
  <c r="G12090" i="1"/>
  <c r="G12099" i="1"/>
  <c r="G12108" i="1"/>
  <c r="G12117" i="1"/>
  <c r="G12126" i="1"/>
  <c r="G12135" i="1"/>
  <c r="G12144" i="1"/>
  <c r="G12153" i="1"/>
  <c r="G12162" i="1"/>
  <c r="G12171" i="1"/>
  <c r="G12180" i="1"/>
  <c r="G12189" i="1"/>
  <c r="G12198" i="1"/>
  <c r="G12207" i="1"/>
  <c r="G12216" i="1"/>
  <c r="G12225" i="1"/>
  <c r="G12234" i="1"/>
  <c r="G12243" i="1"/>
  <c r="G12252" i="1"/>
  <c r="G12261" i="1"/>
  <c r="G12270" i="1"/>
  <c r="G12279" i="1"/>
  <c r="G12288" i="1"/>
  <c r="G12297" i="1"/>
  <c r="G12306" i="1"/>
  <c r="G12315" i="1"/>
  <c r="G12324" i="1"/>
  <c r="G12333" i="1"/>
  <c r="G12342" i="1"/>
  <c r="G12351" i="1"/>
  <c r="G12360" i="1"/>
  <c r="G12369" i="1"/>
  <c r="G12378" i="1"/>
  <c r="G12387" i="1"/>
  <c r="G12396" i="1"/>
  <c r="G12405" i="1"/>
  <c r="G12414" i="1"/>
  <c r="G12423" i="1"/>
  <c r="G12432" i="1"/>
  <c r="G12441" i="1"/>
  <c r="G12450" i="1"/>
  <c r="G12459" i="1"/>
  <c r="G12468" i="1"/>
  <c r="G12477" i="1"/>
  <c r="G12486" i="1"/>
  <c r="G12495" i="1"/>
  <c r="G12504" i="1"/>
  <c r="G12513" i="1"/>
  <c r="G12522" i="1"/>
  <c r="G12531" i="1"/>
  <c r="G12540" i="1"/>
  <c r="G12549" i="1"/>
  <c r="G12558" i="1"/>
  <c r="G12567" i="1"/>
  <c r="G12576" i="1"/>
  <c r="G12585" i="1"/>
  <c r="G12594" i="1"/>
  <c r="G12603" i="1"/>
  <c r="G12612" i="1"/>
  <c r="G12621" i="1"/>
  <c r="G12630" i="1"/>
  <c r="G12639" i="1"/>
  <c r="G12648" i="1"/>
  <c r="G12657" i="1"/>
  <c r="G12666" i="1"/>
  <c r="G9461" i="1"/>
  <c r="G9469" i="1"/>
  <c r="G9477" i="1"/>
  <c r="G9485" i="1"/>
  <c r="G9493" i="1"/>
  <c r="G9501" i="1"/>
  <c r="G9509" i="1"/>
  <c r="G9517" i="1"/>
  <c r="G9525" i="1"/>
  <c r="G9533" i="1"/>
  <c r="G9541" i="1"/>
  <c r="G9549" i="1"/>
  <c r="G9557" i="1"/>
  <c r="G9565" i="1"/>
  <c r="G9573" i="1"/>
  <c r="G9581" i="1"/>
  <c r="G9589" i="1"/>
  <c r="G9597" i="1"/>
  <c r="G9605" i="1"/>
  <c r="G9613" i="1"/>
  <c r="G9621" i="1"/>
  <c r="G9629" i="1"/>
  <c r="G9637" i="1"/>
  <c r="G9645" i="1"/>
  <c r="G9653" i="1"/>
  <c r="G9661" i="1"/>
  <c r="G9669" i="1"/>
  <c r="G9677" i="1"/>
  <c r="G9686" i="1"/>
  <c r="G9694" i="1"/>
  <c r="G9702" i="1"/>
  <c r="G9710" i="1"/>
  <c r="G9718" i="1"/>
  <c r="G9726" i="1"/>
  <c r="G9734" i="1"/>
  <c r="G9742" i="1"/>
  <c r="G9750" i="1"/>
  <c r="G9758" i="1"/>
  <c r="G9766" i="1"/>
  <c r="G9774" i="1"/>
  <c r="G9782" i="1"/>
  <c r="G9790" i="1"/>
  <c r="G9798" i="1"/>
  <c r="G9806" i="1"/>
  <c r="G9814" i="1"/>
  <c r="G9822" i="1"/>
  <c r="G9830" i="1"/>
  <c r="G9838" i="1"/>
  <c r="G9846" i="1"/>
  <c r="G9854" i="1"/>
  <c r="G9862" i="1"/>
  <c r="G9871" i="1"/>
  <c r="G9880" i="1"/>
  <c r="G9889" i="1"/>
  <c r="G9898" i="1"/>
  <c r="G9907" i="1"/>
  <c r="G9916" i="1"/>
  <c r="G9925" i="1"/>
  <c r="G9934" i="1"/>
  <c r="G9943" i="1"/>
  <c r="G9952" i="1"/>
  <c r="G9961" i="1"/>
  <c r="G9970" i="1"/>
  <c r="G9979" i="1"/>
  <c r="G9988" i="1"/>
  <c r="G9997" i="1"/>
  <c r="G10006" i="1"/>
  <c r="G10015" i="1"/>
  <c r="G10024" i="1"/>
  <c r="G10033" i="1"/>
  <c r="G10042" i="1"/>
  <c r="G10051" i="1"/>
  <c r="G10060" i="1"/>
  <c r="G10069" i="1"/>
  <c r="G10078" i="1"/>
  <c r="G10087" i="1"/>
  <c r="G10096" i="1"/>
  <c r="G10105" i="1"/>
  <c r="G10114" i="1"/>
  <c r="G10123" i="1"/>
  <c r="G10132" i="1"/>
  <c r="G10141" i="1"/>
  <c r="G10150" i="1"/>
  <c r="G10159" i="1"/>
  <c r="G10168" i="1"/>
  <c r="G10177" i="1"/>
  <c r="G10186" i="1"/>
  <c r="G10195" i="1"/>
  <c r="G10204" i="1"/>
  <c r="G10213" i="1"/>
  <c r="G10223" i="1"/>
  <c r="G10233" i="1"/>
  <c r="G10243" i="1"/>
  <c r="G10253" i="1"/>
  <c r="G10263" i="1"/>
  <c r="G10273" i="1"/>
  <c r="G10283" i="1"/>
  <c r="G10293" i="1"/>
  <c r="G10303" i="1"/>
  <c r="G10313" i="1"/>
  <c r="G10323" i="1"/>
  <c r="G10332" i="1"/>
  <c r="G10341" i="1"/>
  <c r="G10350" i="1"/>
  <c r="G10359" i="1"/>
  <c r="G10368" i="1"/>
  <c r="G10377" i="1"/>
  <c r="G10386" i="1"/>
  <c r="G10395" i="1"/>
  <c r="G10404" i="1"/>
  <c r="G10413" i="1"/>
  <c r="G10422" i="1"/>
  <c r="G10431" i="1"/>
  <c r="G10440" i="1"/>
  <c r="G10449" i="1"/>
  <c r="G10458" i="1"/>
  <c r="G10467" i="1"/>
  <c r="G10476" i="1"/>
  <c r="G10485" i="1"/>
  <c r="G10494" i="1"/>
  <c r="G10503" i="1"/>
  <c r="G10512" i="1"/>
  <c r="G10521" i="1"/>
  <c r="G10530" i="1"/>
  <c r="G10539" i="1"/>
  <c r="G10548" i="1"/>
  <c r="G10557" i="1"/>
  <c r="G10566" i="1"/>
  <c r="G10575" i="1"/>
  <c r="G10584" i="1"/>
  <c r="G10593" i="1"/>
  <c r="G10602" i="1"/>
  <c r="G10611" i="1"/>
  <c r="G10620" i="1"/>
  <c r="G10629" i="1"/>
  <c r="G10638" i="1"/>
  <c r="G10647" i="1"/>
  <c r="G10656" i="1"/>
  <c r="G10665" i="1"/>
  <c r="G10674" i="1"/>
  <c r="G10683" i="1"/>
  <c r="G10692" i="1"/>
  <c r="G10701" i="1"/>
  <c r="G10710" i="1"/>
  <c r="G10719" i="1"/>
  <c r="G10728" i="1"/>
  <c r="G10737" i="1"/>
  <c r="G10746" i="1"/>
  <c r="G10755" i="1"/>
  <c r="G10764" i="1"/>
  <c r="G10773" i="1"/>
  <c r="G10782" i="1"/>
  <c r="G10791" i="1"/>
  <c r="G10800" i="1"/>
  <c r="G10809" i="1"/>
  <c r="G10818" i="1"/>
  <c r="G10826" i="1"/>
  <c r="G10834" i="1"/>
  <c r="G10842" i="1"/>
  <c r="G10850" i="1"/>
  <c r="G10858" i="1"/>
  <c r="G10866" i="1"/>
  <c r="G10874" i="1"/>
  <c r="G10882" i="1"/>
  <c r="G10890" i="1"/>
  <c r="G10898" i="1"/>
  <c r="G10906" i="1"/>
  <c r="G10914" i="1"/>
  <c r="G10922" i="1"/>
  <c r="G10930" i="1"/>
  <c r="G10938" i="1"/>
  <c r="G10946" i="1"/>
  <c r="G10954" i="1"/>
  <c r="G10962" i="1"/>
  <c r="G10970" i="1"/>
  <c r="G10978" i="1"/>
  <c r="G10986" i="1"/>
  <c r="G10994" i="1"/>
  <c r="G11002" i="1"/>
  <c r="G11010" i="1"/>
  <c r="G11018" i="1"/>
  <c r="G11026" i="1"/>
  <c r="G11034" i="1"/>
  <c r="G11042" i="1"/>
  <c r="G11050" i="1"/>
  <c r="G11058" i="1"/>
  <c r="G11066" i="1"/>
  <c r="G11074" i="1"/>
  <c r="G11083" i="1"/>
  <c r="G11092" i="1"/>
  <c r="G11101" i="1"/>
  <c r="G11110" i="1"/>
  <c r="G11119" i="1"/>
  <c r="G11128" i="1"/>
  <c r="G11137" i="1"/>
  <c r="G11146" i="1"/>
  <c r="G11155" i="1"/>
  <c r="G11164" i="1"/>
  <c r="G11173" i="1"/>
  <c r="G11182" i="1"/>
  <c r="G11191" i="1"/>
  <c r="G11200" i="1"/>
  <c r="G11209" i="1"/>
  <c r="G11218" i="1"/>
  <c r="G11227" i="1"/>
  <c r="G11236" i="1"/>
  <c r="G11245" i="1"/>
  <c r="G11254" i="1"/>
  <c r="G11263" i="1"/>
  <c r="G11272" i="1"/>
  <c r="G11281" i="1"/>
  <c r="G11290" i="1"/>
  <c r="G11299" i="1"/>
  <c r="G11308" i="1"/>
  <c r="G11317" i="1"/>
  <c r="G11326" i="1"/>
  <c r="G11335" i="1"/>
  <c r="G11344" i="1"/>
  <c r="G11353" i="1"/>
  <c r="G11362" i="1"/>
  <c r="G11371" i="1"/>
  <c r="G11380" i="1"/>
  <c r="G11389" i="1"/>
  <c r="G11398" i="1"/>
  <c r="G11407" i="1"/>
  <c r="G11416" i="1"/>
  <c r="G11425" i="1"/>
  <c r="G11434" i="1"/>
  <c r="G11443" i="1"/>
  <c r="G11452" i="1"/>
  <c r="G11461" i="1"/>
  <c r="G11470" i="1"/>
  <c r="G11479" i="1"/>
  <c r="G11488" i="1"/>
  <c r="G11497" i="1"/>
  <c r="G11506" i="1"/>
  <c r="G11515" i="1"/>
  <c r="G11524" i="1"/>
  <c r="G11533" i="1"/>
  <c r="G11542" i="1"/>
  <c r="G11551" i="1"/>
  <c r="G11560" i="1"/>
  <c r="G11569" i="1"/>
  <c r="G11578" i="1"/>
  <c r="G11587" i="1"/>
  <c r="G11596" i="1"/>
  <c r="G11605" i="1"/>
  <c r="G11614" i="1"/>
  <c r="G11623" i="1"/>
  <c r="G11632" i="1"/>
  <c r="G11641" i="1"/>
  <c r="G11650" i="1"/>
  <c r="G11659" i="1"/>
  <c r="G11668" i="1"/>
  <c r="G11677" i="1"/>
  <c r="G11686" i="1"/>
  <c r="G11695" i="1"/>
  <c r="G11704" i="1"/>
  <c r="G11713" i="1"/>
  <c r="G11722" i="1"/>
  <c r="G11731" i="1"/>
  <c r="G11740" i="1"/>
  <c r="G11749" i="1"/>
  <c r="G11758" i="1"/>
  <c r="G11767" i="1"/>
  <c r="G11776" i="1"/>
  <c r="G11785" i="1"/>
  <c r="G11794" i="1"/>
  <c r="G11803" i="1"/>
  <c r="G11812" i="1"/>
  <c r="G11821" i="1"/>
  <c r="G11830" i="1"/>
  <c r="G11839" i="1"/>
  <c r="G11848" i="1"/>
  <c r="G11857" i="1"/>
  <c r="G11866" i="1"/>
  <c r="G11875" i="1"/>
  <c r="G11884" i="1"/>
  <c r="G11893" i="1"/>
  <c r="G11902" i="1"/>
  <c r="G11911" i="1"/>
  <c r="G11920" i="1"/>
  <c r="G11929" i="1"/>
  <c r="G11938" i="1"/>
  <c r="G11947" i="1"/>
  <c r="G11956" i="1"/>
  <c r="G11965" i="1"/>
  <c r="G11974" i="1"/>
  <c r="G11983" i="1"/>
  <c r="G11992" i="1"/>
  <c r="G12001" i="1"/>
  <c r="G12010" i="1"/>
  <c r="G12019" i="1"/>
  <c r="G12028" i="1"/>
  <c r="G12037" i="1"/>
  <c r="G12046" i="1"/>
  <c r="G12055" i="1"/>
  <c r="G12064" i="1"/>
  <c r="G12073" i="1"/>
  <c r="G12082" i="1"/>
  <c r="G12091" i="1"/>
  <c r="G12100" i="1"/>
  <c r="G12109" i="1"/>
  <c r="G12118" i="1"/>
  <c r="G12127" i="1"/>
  <c r="G12136" i="1"/>
  <c r="G12145" i="1"/>
  <c r="G12154" i="1"/>
  <c r="G12163" i="1"/>
  <c r="G12172" i="1"/>
  <c r="G12181" i="1"/>
  <c r="G12190" i="1"/>
  <c r="G12199" i="1"/>
  <c r="G12208" i="1"/>
  <c r="G12217" i="1"/>
  <c r="G12226" i="1"/>
  <c r="G12235" i="1"/>
  <c r="G12244" i="1"/>
  <c r="G12253" i="1"/>
  <c r="G12262" i="1"/>
  <c r="G12271" i="1"/>
  <c r="G12280" i="1"/>
  <c r="G12289" i="1"/>
  <c r="G12298" i="1"/>
  <c r="G12307" i="1"/>
  <c r="G12316" i="1"/>
  <c r="G12325" i="1"/>
  <c r="G12334" i="1"/>
  <c r="G12343" i="1"/>
  <c r="G12352" i="1"/>
  <c r="G12361" i="1"/>
  <c r="G12370" i="1"/>
  <c r="G12379" i="1"/>
  <c r="G12388" i="1"/>
  <c r="G12397" i="1"/>
  <c r="G12406" i="1"/>
  <c r="G12415" i="1"/>
  <c r="G12424" i="1"/>
  <c r="G12433" i="1"/>
  <c r="G12442" i="1"/>
  <c r="G12451" i="1"/>
  <c r="G12460" i="1"/>
  <c r="G12469" i="1"/>
  <c r="G12478" i="1"/>
  <c r="G12487" i="1"/>
  <c r="G12496" i="1"/>
  <c r="G12505" i="1"/>
  <c r="G12514" i="1"/>
  <c r="G12523" i="1"/>
  <c r="G12532" i="1"/>
  <c r="G12541" i="1"/>
  <c r="G12550" i="1"/>
  <c r="G12559" i="1"/>
  <c r="G12568" i="1"/>
  <c r="G12577" i="1"/>
  <c r="G12586" i="1"/>
  <c r="G12595" i="1"/>
  <c r="G12604" i="1"/>
  <c r="G12613" i="1"/>
  <c r="G12622" i="1"/>
  <c r="G12631" i="1"/>
  <c r="G12640" i="1"/>
  <c r="G12649" i="1"/>
  <c r="G12658" i="1"/>
  <c r="G12667" i="1"/>
  <c r="G10214" i="1"/>
  <c r="G10224" i="1"/>
  <c r="G10234" i="1"/>
  <c r="G10244" i="1"/>
  <c r="G10254" i="1"/>
  <c r="G10264" i="1"/>
  <c r="G10274" i="1"/>
  <c r="G10284" i="1"/>
  <c r="G10294" i="1"/>
  <c r="G10304" i="1"/>
  <c r="G10314" i="1"/>
  <c r="G9462" i="1"/>
  <c r="G9470" i="1"/>
  <c r="G9478" i="1"/>
  <c r="G9486" i="1"/>
  <c r="G9494" i="1"/>
  <c r="G9502" i="1"/>
  <c r="G9510" i="1"/>
  <c r="G9518" i="1"/>
  <c r="G9526" i="1"/>
  <c r="G9534" i="1"/>
  <c r="G9542" i="1"/>
  <c r="G9550" i="1"/>
  <c r="G9558" i="1"/>
  <c r="G9566" i="1"/>
  <c r="G9574" i="1"/>
  <c r="G9582" i="1"/>
  <c r="G9590" i="1"/>
  <c r="G9598" i="1"/>
  <c r="G9606" i="1"/>
  <c r="G9614" i="1"/>
  <c r="G9622" i="1"/>
  <c r="G9630" i="1"/>
  <c r="G9638" i="1"/>
  <c r="G9646" i="1"/>
  <c r="G9654" i="1"/>
  <c r="G9662" i="1"/>
  <c r="G9670" i="1"/>
  <c r="G9678" i="1"/>
  <c r="G9687" i="1"/>
  <c r="G9695" i="1"/>
  <c r="G9703" i="1"/>
  <c r="G9711" i="1"/>
  <c r="G9719" i="1"/>
  <c r="G9727" i="1"/>
  <c r="G9735" i="1"/>
  <c r="G9743" i="1"/>
  <c r="G9751" i="1"/>
  <c r="G9759" i="1"/>
  <c r="G9767" i="1"/>
  <c r="G9775" i="1"/>
  <c r="G9783" i="1"/>
  <c r="G9791" i="1"/>
  <c r="G9799" i="1"/>
  <c r="G9807" i="1"/>
  <c r="G9815" i="1"/>
  <c r="G9823" i="1"/>
  <c r="G9831" i="1"/>
  <c r="G9839" i="1"/>
  <c r="G9847" i="1"/>
  <c r="G9855" i="1"/>
  <c r="G9863" i="1"/>
  <c r="G9872" i="1"/>
  <c r="G9881" i="1"/>
  <c r="G9890" i="1"/>
  <c r="G9899" i="1"/>
  <c r="G9908" i="1"/>
  <c r="G9917" i="1"/>
  <c r="G9926" i="1"/>
  <c r="G9935" i="1"/>
  <c r="G9944" i="1"/>
  <c r="G9953" i="1"/>
  <c r="G9962" i="1"/>
  <c r="G9971" i="1"/>
  <c r="G9980" i="1"/>
  <c r="G9989" i="1"/>
  <c r="G9998" i="1"/>
  <c r="G10007" i="1"/>
  <c r="G10016" i="1"/>
  <c r="G10025" i="1"/>
  <c r="G10034" i="1"/>
  <c r="G10043" i="1"/>
  <c r="G10052" i="1"/>
  <c r="G10061" i="1"/>
  <c r="G10070" i="1"/>
  <c r="G10079" i="1"/>
  <c r="G10088" i="1"/>
  <c r="G10097" i="1"/>
  <c r="G10106" i="1"/>
  <c r="G10115" i="1"/>
  <c r="G10124" i="1"/>
  <c r="G10133" i="1"/>
  <c r="G10142" i="1"/>
  <c r="G10151" i="1"/>
  <c r="G10160" i="1"/>
  <c r="G10169" i="1"/>
  <c r="G10178" i="1"/>
  <c r="G10187" i="1"/>
  <c r="G10196" i="1"/>
  <c r="G10205" i="1"/>
  <c r="G10215" i="1"/>
  <c r="G10225" i="1"/>
  <c r="G10235" i="1"/>
  <c r="G10245" i="1"/>
  <c r="G10255" i="1"/>
  <c r="G10265" i="1"/>
  <c r="G10275" i="1"/>
  <c r="G10285" i="1"/>
  <c r="G10295" i="1"/>
  <c r="G10305" i="1"/>
  <c r="G10315" i="1"/>
  <c r="G10324" i="1"/>
  <c r="G10333" i="1"/>
  <c r="G10342" i="1"/>
  <c r="G10351" i="1"/>
  <c r="G10360" i="1"/>
  <c r="G10369" i="1"/>
  <c r="G10378" i="1"/>
  <c r="G10387" i="1"/>
  <c r="G10396" i="1"/>
  <c r="G10405" i="1"/>
  <c r="G10414" i="1"/>
  <c r="G10423" i="1"/>
  <c r="G10432" i="1"/>
  <c r="G10441" i="1"/>
  <c r="G10450" i="1"/>
  <c r="G10459" i="1"/>
  <c r="G10468" i="1"/>
  <c r="G10477" i="1"/>
  <c r="G10486" i="1"/>
  <c r="G10495" i="1"/>
  <c r="G10504" i="1"/>
  <c r="G10513" i="1"/>
  <c r="G10522" i="1"/>
  <c r="G10531" i="1"/>
  <c r="G10540" i="1"/>
  <c r="G10549" i="1"/>
  <c r="G10558" i="1"/>
  <c r="G10567" i="1"/>
  <c r="G10576" i="1"/>
  <c r="G10585" i="1"/>
  <c r="G10594" i="1"/>
  <c r="G10603" i="1"/>
  <c r="G10612" i="1"/>
  <c r="G10621" i="1"/>
  <c r="G10630" i="1"/>
  <c r="G10639" i="1"/>
  <c r="G10648" i="1"/>
  <c r="G10657" i="1"/>
  <c r="G10666" i="1"/>
  <c r="G10675" i="1"/>
  <c r="G10684" i="1"/>
  <c r="G10693" i="1"/>
  <c r="G10702" i="1"/>
  <c r="G10711" i="1"/>
  <c r="G10720" i="1"/>
  <c r="G10729" i="1"/>
  <c r="G10738" i="1"/>
  <c r="G10747" i="1"/>
  <c r="G10756" i="1"/>
  <c r="G10765" i="1"/>
  <c r="G10774" i="1"/>
  <c r="G10783" i="1"/>
  <c r="G10792" i="1"/>
  <c r="G10801" i="1"/>
  <c r="G10810" i="1"/>
  <c r="G10819" i="1"/>
  <c r="G10827" i="1"/>
  <c r="G10835" i="1"/>
  <c r="G10843" i="1"/>
  <c r="G10851" i="1"/>
  <c r="G10859" i="1"/>
  <c r="G10867" i="1"/>
  <c r="G10875" i="1"/>
  <c r="G10883" i="1"/>
  <c r="G10891" i="1"/>
  <c r="G10899" i="1"/>
  <c r="G10907" i="1"/>
  <c r="G10915" i="1"/>
  <c r="G10923" i="1"/>
  <c r="G10931" i="1"/>
  <c r="G10939" i="1"/>
  <c r="G10947" i="1"/>
  <c r="G10955" i="1"/>
  <c r="G10963" i="1"/>
  <c r="G10971" i="1"/>
  <c r="G10979" i="1"/>
  <c r="G10987" i="1"/>
  <c r="G10995" i="1"/>
  <c r="G11003" i="1"/>
  <c r="G11011" i="1"/>
  <c r="G11019" i="1"/>
  <c r="G11027" i="1"/>
  <c r="G11035" i="1"/>
  <c r="G11043" i="1"/>
  <c r="G11051" i="1"/>
  <c r="G11059" i="1"/>
  <c r="G11067" i="1"/>
  <c r="G11075" i="1"/>
  <c r="G11084" i="1"/>
  <c r="G11093" i="1"/>
  <c r="G11102" i="1"/>
  <c r="G11111" i="1"/>
  <c r="G11120" i="1"/>
  <c r="G11129" i="1"/>
  <c r="G11138" i="1"/>
  <c r="G11147" i="1"/>
  <c r="G11156" i="1"/>
  <c r="G11165" i="1"/>
  <c r="G11174" i="1"/>
  <c r="G11183" i="1"/>
  <c r="G11192" i="1"/>
  <c r="G11201" i="1"/>
  <c r="G11210" i="1"/>
  <c r="G11219" i="1"/>
  <c r="G11228" i="1"/>
  <c r="G11237" i="1"/>
  <c r="G11246" i="1"/>
  <c r="G11255" i="1"/>
  <c r="G11264" i="1"/>
  <c r="G11273" i="1"/>
  <c r="G11282" i="1"/>
  <c r="G11291" i="1"/>
  <c r="G11300" i="1"/>
  <c r="G11309" i="1"/>
  <c r="G11318" i="1"/>
  <c r="G11327" i="1"/>
  <c r="G11336" i="1"/>
  <c r="G11345" i="1"/>
  <c r="G11354" i="1"/>
  <c r="G11363" i="1"/>
  <c r="G11372" i="1"/>
  <c r="G11381" i="1"/>
  <c r="G11390" i="1"/>
  <c r="G11399" i="1"/>
  <c r="G11408" i="1"/>
  <c r="G11417" i="1"/>
  <c r="G11426" i="1"/>
  <c r="G11435" i="1"/>
  <c r="G11444" i="1"/>
  <c r="G11453" i="1"/>
  <c r="G11462" i="1"/>
  <c r="G11471" i="1"/>
  <c r="G11480" i="1"/>
  <c r="G11489" i="1"/>
  <c r="G11498" i="1"/>
  <c r="G11507" i="1"/>
  <c r="G11516" i="1"/>
  <c r="G11525" i="1"/>
  <c r="G11534" i="1"/>
  <c r="G11543" i="1"/>
  <c r="G11552" i="1"/>
  <c r="G11561" i="1"/>
  <c r="G11570" i="1"/>
  <c r="G11579" i="1"/>
  <c r="G11588" i="1"/>
  <c r="G11597" i="1"/>
  <c r="G11606" i="1"/>
  <c r="G11615" i="1"/>
  <c r="G11624" i="1"/>
  <c r="G11633" i="1"/>
  <c r="G11642" i="1"/>
  <c r="G11651" i="1"/>
  <c r="G11660" i="1"/>
  <c r="G11669" i="1"/>
  <c r="G11678" i="1"/>
  <c r="G11687" i="1"/>
  <c r="G11696" i="1"/>
  <c r="G11705" i="1"/>
  <c r="G11714" i="1"/>
  <c r="G11723" i="1"/>
  <c r="G11732" i="1"/>
  <c r="G11741" i="1"/>
  <c r="G11750" i="1"/>
  <c r="G11759" i="1"/>
  <c r="G11768" i="1"/>
  <c r="G11777" i="1"/>
  <c r="G11786" i="1"/>
  <c r="G11795" i="1"/>
  <c r="G11804" i="1"/>
  <c r="G11813" i="1"/>
  <c r="G11822" i="1"/>
  <c r="G11831" i="1"/>
  <c r="G11840" i="1"/>
  <c r="G11849" i="1"/>
  <c r="G11858" i="1"/>
  <c r="G11867" i="1"/>
  <c r="G11876" i="1"/>
  <c r="G11885" i="1"/>
  <c r="G11894" i="1"/>
  <c r="G11903" i="1"/>
  <c r="G11912" i="1"/>
  <c r="G11921" i="1"/>
  <c r="G11930" i="1"/>
  <c r="G11939" i="1"/>
  <c r="G11948" i="1"/>
  <c r="G11957" i="1"/>
  <c r="G11966" i="1"/>
  <c r="G11975" i="1"/>
  <c r="G11984" i="1"/>
  <c r="G11993" i="1"/>
  <c r="G12002" i="1"/>
  <c r="G12011" i="1"/>
  <c r="G12020" i="1"/>
  <c r="G12029" i="1"/>
  <c r="G12038" i="1"/>
  <c r="G12047" i="1"/>
  <c r="G12056" i="1"/>
  <c r="G12065" i="1"/>
  <c r="G12074" i="1"/>
  <c r="G12083" i="1"/>
  <c r="G12092" i="1"/>
  <c r="G12101" i="1"/>
  <c r="G12110" i="1"/>
  <c r="G12119" i="1"/>
  <c r="G12128" i="1"/>
  <c r="G12137" i="1"/>
  <c r="G12146" i="1"/>
  <c r="G12155" i="1"/>
  <c r="G12164" i="1"/>
  <c r="G12173" i="1"/>
  <c r="G12182" i="1"/>
  <c r="G12191" i="1"/>
  <c r="G12200" i="1"/>
  <c r="G12209" i="1"/>
  <c r="G12218" i="1"/>
  <c r="G12227" i="1"/>
  <c r="G12236" i="1"/>
  <c r="G12245" i="1"/>
  <c r="G12254" i="1"/>
  <c r="G12263" i="1"/>
  <c r="G12272" i="1"/>
  <c r="G12281" i="1"/>
  <c r="G12290" i="1"/>
  <c r="G12299" i="1"/>
  <c r="G12308" i="1"/>
  <c r="G12317" i="1"/>
  <c r="G12326" i="1"/>
  <c r="G12335" i="1"/>
  <c r="G12344" i="1"/>
  <c r="G12353" i="1"/>
  <c r="G12362" i="1"/>
  <c r="G12371" i="1"/>
  <c r="G12380" i="1"/>
  <c r="G12389" i="1"/>
  <c r="G12398" i="1"/>
  <c r="G12407" i="1"/>
  <c r="G12416" i="1"/>
  <c r="G12425" i="1"/>
  <c r="G12434" i="1"/>
  <c r="G12443" i="1"/>
  <c r="G12452" i="1"/>
  <c r="G12461" i="1"/>
  <c r="G12470" i="1"/>
  <c r="G12479" i="1"/>
  <c r="G12488" i="1"/>
  <c r="G12497" i="1"/>
  <c r="G12506" i="1"/>
  <c r="G12515" i="1"/>
  <c r="G12524" i="1"/>
  <c r="G12533" i="1"/>
  <c r="G12542" i="1"/>
  <c r="G12551" i="1"/>
  <c r="G12560" i="1"/>
  <c r="G12569" i="1"/>
  <c r="G12578" i="1"/>
  <c r="G12587" i="1"/>
  <c r="G12596" i="1"/>
  <c r="G12605" i="1"/>
  <c r="G12614" i="1"/>
  <c r="G12623" i="1"/>
  <c r="G12632" i="1"/>
  <c r="G12641" i="1"/>
  <c r="G12650" i="1"/>
  <c r="G12659" i="1"/>
  <c r="G12668" i="1"/>
  <c r="G9463" i="1"/>
  <c r="G9471" i="1"/>
  <c r="G9479" i="1"/>
  <c r="G9487" i="1"/>
  <c r="G9495" i="1"/>
  <c r="G9503" i="1"/>
  <c r="G9511" i="1"/>
  <c r="G9519" i="1"/>
  <c r="G9527" i="1"/>
  <c r="G9535" i="1"/>
  <c r="G9543" i="1"/>
  <c r="G9551" i="1"/>
  <c r="G9559" i="1"/>
  <c r="G9567" i="1"/>
  <c r="G9575" i="1"/>
  <c r="G9583" i="1"/>
  <c r="G9591" i="1"/>
  <c r="G9599" i="1"/>
  <c r="G9607" i="1"/>
  <c r="G9615" i="1"/>
  <c r="G9623" i="1"/>
  <c r="G9631" i="1"/>
  <c r="G9639" i="1"/>
  <c r="G9647" i="1"/>
  <c r="G9655" i="1"/>
  <c r="G9663" i="1"/>
  <c r="G9671" i="1"/>
  <c r="G9679" i="1"/>
  <c r="G9688" i="1"/>
  <c r="G9696" i="1"/>
  <c r="G9704" i="1"/>
  <c r="G9712" i="1"/>
  <c r="G9720" i="1"/>
  <c r="G9728" i="1"/>
  <c r="G9736" i="1"/>
  <c r="G9744" i="1"/>
  <c r="G9752" i="1"/>
  <c r="G9760" i="1"/>
  <c r="G9768" i="1"/>
  <c r="G9776" i="1"/>
  <c r="G9784" i="1"/>
  <c r="G9792" i="1"/>
  <c r="G9800" i="1"/>
  <c r="G9808" i="1"/>
  <c r="G9816" i="1"/>
  <c r="G9824" i="1"/>
  <c r="G9832" i="1"/>
  <c r="G9840" i="1"/>
  <c r="G9848" i="1"/>
  <c r="G9856" i="1"/>
  <c r="G9864" i="1"/>
  <c r="G9873" i="1"/>
  <c r="G9882" i="1"/>
  <c r="G9891" i="1"/>
  <c r="G9900" i="1"/>
  <c r="G9909" i="1"/>
  <c r="G9918" i="1"/>
  <c r="G9927" i="1"/>
  <c r="G9936" i="1"/>
  <c r="G9945" i="1"/>
  <c r="G9954" i="1"/>
  <c r="G9963" i="1"/>
  <c r="G9972" i="1"/>
  <c r="G9981" i="1"/>
  <c r="G9990" i="1"/>
  <c r="G9999" i="1"/>
  <c r="G10008" i="1"/>
  <c r="G10017" i="1"/>
  <c r="G10026" i="1"/>
  <c r="G10035" i="1"/>
  <c r="G10044" i="1"/>
  <c r="G10053" i="1"/>
  <c r="G10062" i="1"/>
  <c r="G10071" i="1"/>
  <c r="G10080" i="1"/>
  <c r="G10089" i="1"/>
  <c r="G10098" i="1"/>
  <c r="G10107" i="1"/>
  <c r="G10116" i="1"/>
  <c r="G10125" i="1"/>
  <c r="G10134" i="1"/>
  <c r="G10143" i="1"/>
  <c r="G10152" i="1"/>
  <c r="G10161" i="1"/>
  <c r="G10170" i="1"/>
  <c r="G10179" i="1"/>
  <c r="G10188" i="1"/>
  <c r="G10197" i="1"/>
  <c r="G10206" i="1"/>
  <c r="G10216" i="1"/>
  <c r="G10226" i="1"/>
  <c r="G10236" i="1"/>
  <c r="G10246" i="1"/>
  <c r="G10256" i="1"/>
  <c r="G10266" i="1"/>
  <c r="G10276" i="1"/>
  <c r="G10286" i="1"/>
  <c r="G10296" i="1"/>
  <c r="G10306" i="1"/>
  <c r="G10316" i="1"/>
  <c r="G10325" i="1"/>
  <c r="G10334" i="1"/>
  <c r="G10343" i="1"/>
  <c r="G10352" i="1"/>
  <c r="G10361" i="1"/>
  <c r="G10370" i="1"/>
  <c r="G10379" i="1"/>
  <c r="G10388" i="1"/>
  <c r="G10397" i="1"/>
  <c r="G10406" i="1"/>
  <c r="G10415" i="1"/>
  <c r="G10424" i="1"/>
  <c r="G10433" i="1"/>
  <c r="G10442" i="1"/>
  <c r="G10451" i="1"/>
  <c r="G10460" i="1"/>
  <c r="G10469" i="1"/>
  <c r="G10478" i="1"/>
  <c r="G10487" i="1"/>
  <c r="G10496" i="1"/>
  <c r="G10505" i="1"/>
  <c r="G10514" i="1"/>
  <c r="G10523" i="1"/>
  <c r="G10532" i="1"/>
  <c r="G10541" i="1"/>
  <c r="G10550" i="1"/>
  <c r="G10559" i="1"/>
  <c r="G10568" i="1"/>
  <c r="G10577" i="1"/>
  <c r="G10586" i="1"/>
  <c r="G10595" i="1"/>
  <c r="G10604" i="1"/>
  <c r="G10613" i="1"/>
  <c r="G10622" i="1"/>
  <c r="G10631" i="1"/>
  <c r="G10640" i="1"/>
  <c r="G10649" i="1"/>
  <c r="G10658" i="1"/>
  <c r="G10667" i="1"/>
  <c r="G10676" i="1"/>
  <c r="G10685" i="1"/>
  <c r="G10694" i="1"/>
  <c r="G10703" i="1"/>
  <c r="G10712" i="1"/>
  <c r="G10721" i="1"/>
  <c r="G10730" i="1"/>
  <c r="G10739" i="1"/>
  <c r="G10748" i="1"/>
  <c r="G10757" i="1"/>
  <c r="G10766" i="1"/>
  <c r="G10775" i="1"/>
  <c r="G10784" i="1"/>
  <c r="G10793" i="1"/>
  <c r="G10802" i="1"/>
  <c r="G10811" i="1"/>
  <c r="G10820" i="1"/>
  <c r="G10828" i="1"/>
  <c r="G10836" i="1"/>
  <c r="G10844" i="1"/>
  <c r="G10852" i="1"/>
  <c r="G10860" i="1"/>
  <c r="G10868" i="1"/>
  <c r="G10876" i="1"/>
  <c r="G10884" i="1"/>
  <c r="G10892" i="1"/>
  <c r="G10900" i="1"/>
  <c r="G10908" i="1"/>
  <c r="G10916" i="1"/>
  <c r="G10924" i="1"/>
  <c r="G10932" i="1"/>
  <c r="G10940" i="1"/>
  <c r="G10948" i="1"/>
  <c r="G10956" i="1"/>
  <c r="G10964" i="1"/>
  <c r="G10972" i="1"/>
  <c r="G10980" i="1"/>
  <c r="G10988" i="1"/>
  <c r="G10996" i="1"/>
  <c r="G11004" i="1"/>
  <c r="G11012" i="1"/>
  <c r="G11020" i="1"/>
  <c r="G11028" i="1"/>
  <c r="G11036" i="1"/>
  <c r="G11044" i="1"/>
  <c r="G11052" i="1"/>
  <c r="G11060" i="1"/>
  <c r="G11068" i="1"/>
  <c r="G11076" i="1"/>
  <c r="G11085" i="1"/>
  <c r="G11094" i="1"/>
  <c r="G11103" i="1"/>
  <c r="G11112" i="1"/>
  <c r="G11121" i="1"/>
  <c r="G11130" i="1"/>
  <c r="G11139" i="1"/>
  <c r="G11148" i="1"/>
  <c r="G11157" i="1"/>
  <c r="G11166" i="1"/>
  <c r="G11175" i="1"/>
  <c r="G11184" i="1"/>
  <c r="G11193" i="1"/>
  <c r="G11202" i="1"/>
  <c r="G11211" i="1"/>
  <c r="G11220" i="1"/>
  <c r="G11229" i="1"/>
  <c r="G11238" i="1"/>
  <c r="G11247" i="1"/>
  <c r="G11256" i="1"/>
  <c r="G11265" i="1"/>
  <c r="G11274" i="1"/>
  <c r="G11283" i="1"/>
  <c r="G11292" i="1"/>
  <c r="G11301" i="1"/>
  <c r="G11310" i="1"/>
  <c r="G11319" i="1"/>
  <c r="G11328" i="1"/>
  <c r="G11337" i="1"/>
  <c r="G11346" i="1"/>
  <c r="G11355" i="1"/>
  <c r="G11364" i="1"/>
  <c r="G11373" i="1"/>
  <c r="G11382" i="1"/>
  <c r="G11391" i="1"/>
  <c r="G11400" i="1"/>
  <c r="G11409" i="1"/>
  <c r="G11418" i="1"/>
  <c r="G11427" i="1"/>
  <c r="G11436" i="1"/>
  <c r="G11445" i="1"/>
  <c r="G11454" i="1"/>
  <c r="G11463" i="1"/>
  <c r="G11472" i="1"/>
  <c r="G11481" i="1"/>
  <c r="G11490" i="1"/>
  <c r="G11499" i="1"/>
  <c r="G11508" i="1"/>
  <c r="G11517" i="1"/>
  <c r="G11526" i="1"/>
  <c r="G11535" i="1"/>
  <c r="G11544" i="1"/>
  <c r="G11553" i="1"/>
  <c r="G11562" i="1"/>
  <c r="G11571" i="1"/>
  <c r="G11580" i="1"/>
  <c r="G11589" i="1"/>
  <c r="G11598" i="1"/>
  <c r="G11607" i="1"/>
  <c r="G11616" i="1"/>
  <c r="G11625" i="1"/>
  <c r="G11634" i="1"/>
  <c r="G11643" i="1"/>
  <c r="G11652" i="1"/>
  <c r="G11661" i="1"/>
  <c r="G11670" i="1"/>
  <c r="G11679" i="1"/>
  <c r="G11688" i="1"/>
  <c r="G11697" i="1"/>
  <c r="G11706" i="1"/>
  <c r="G11715" i="1"/>
  <c r="G11724" i="1"/>
  <c r="G11733" i="1"/>
  <c r="G11742" i="1"/>
  <c r="G11751" i="1"/>
  <c r="G11760" i="1"/>
  <c r="G11769" i="1"/>
  <c r="G11778" i="1"/>
  <c r="G11787" i="1"/>
  <c r="G11796" i="1"/>
  <c r="G11805" i="1"/>
  <c r="G11814" i="1"/>
  <c r="G11823" i="1"/>
  <c r="G11832" i="1"/>
  <c r="G11841" i="1"/>
  <c r="G11850" i="1"/>
  <c r="G11859" i="1"/>
  <c r="G11868" i="1"/>
  <c r="G11877" i="1"/>
  <c r="G11886" i="1"/>
  <c r="G11895" i="1"/>
  <c r="G11904" i="1"/>
  <c r="G11913" i="1"/>
  <c r="G11922" i="1"/>
  <c r="G11931" i="1"/>
  <c r="G11940" i="1"/>
  <c r="G11949" i="1"/>
  <c r="G11958" i="1"/>
  <c r="G11967" i="1"/>
  <c r="G11976" i="1"/>
  <c r="G11985" i="1"/>
  <c r="G11994" i="1"/>
  <c r="G12003" i="1"/>
  <c r="G12012" i="1"/>
  <c r="G12021" i="1"/>
  <c r="G12030" i="1"/>
  <c r="G12039" i="1"/>
  <c r="G12048" i="1"/>
  <c r="G12057" i="1"/>
  <c r="G12066" i="1"/>
  <c r="G12075" i="1"/>
  <c r="G12084" i="1"/>
  <c r="G12093" i="1"/>
  <c r="G12102" i="1"/>
  <c r="G12111" i="1"/>
  <c r="G12120" i="1"/>
  <c r="G12129" i="1"/>
  <c r="G12138" i="1"/>
  <c r="G12147" i="1"/>
  <c r="G12156" i="1"/>
  <c r="G12165" i="1"/>
  <c r="G12174" i="1"/>
  <c r="G12183" i="1"/>
  <c r="G12192" i="1"/>
  <c r="G12201" i="1"/>
  <c r="G12210" i="1"/>
  <c r="G12219" i="1"/>
  <c r="G12228" i="1"/>
  <c r="G12237" i="1"/>
  <c r="G12246" i="1"/>
  <c r="G12255" i="1"/>
  <c r="G12264" i="1"/>
  <c r="G12273" i="1"/>
  <c r="G12282" i="1"/>
  <c r="G12291" i="1"/>
  <c r="G12300" i="1"/>
  <c r="G12309" i="1"/>
  <c r="G12318" i="1"/>
  <c r="G12327" i="1"/>
  <c r="G12336" i="1"/>
  <c r="G12345" i="1"/>
  <c r="G12354" i="1"/>
  <c r="G12363" i="1"/>
  <c r="G12372" i="1"/>
  <c r="G12381" i="1"/>
  <c r="G12390" i="1"/>
  <c r="G12399" i="1"/>
  <c r="G12408" i="1"/>
  <c r="G12417" i="1"/>
  <c r="G12426" i="1"/>
  <c r="G12435" i="1"/>
  <c r="G12444" i="1"/>
  <c r="G12453" i="1"/>
  <c r="G12462" i="1"/>
  <c r="G12471" i="1"/>
  <c r="G12480" i="1"/>
  <c r="G12489" i="1"/>
  <c r="G12498" i="1"/>
  <c r="G12507" i="1"/>
  <c r="G12516" i="1"/>
  <c r="G12525" i="1"/>
  <c r="G12534" i="1"/>
  <c r="G12543" i="1"/>
  <c r="G12552" i="1"/>
  <c r="G12561" i="1"/>
  <c r="G12570" i="1"/>
  <c r="G12579" i="1"/>
  <c r="G12588" i="1"/>
  <c r="G12597" i="1"/>
  <c r="G12606" i="1"/>
  <c r="G12615" i="1"/>
  <c r="G12624" i="1"/>
  <c r="G12633" i="1"/>
  <c r="G12642" i="1"/>
  <c r="G12651" i="1"/>
  <c r="G12660" i="1"/>
  <c r="G12669" i="1"/>
  <c r="G9464" i="1"/>
  <c r="G9472" i="1"/>
  <c r="G9480" i="1"/>
  <c r="G9488" i="1"/>
  <c r="G9496" i="1"/>
  <c r="G9504" i="1"/>
  <c r="G9512" i="1"/>
  <c r="G9520" i="1"/>
  <c r="G9528" i="1"/>
  <c r="G9536" i="1"/>
  <c r="G9544" i="1"/>
  <c r="G9552" i="1"/>
  <c r="G9560" i="1"/>
  <c r="G9568" i="1"/>
  <c r="G9576" i="1"/>
  <c r="G9584" i="1"/>
  <c r="G9592" i="1"/>
  <c r="G9600" i="1"/>
  <c r="G9608" i="1"/>
  <c r="G9616" i="1"/>
  <c r="G9624" i="1"/>
  <c r="G9632" i="1"/>
  <c r="G9640" i="1"/>
  <c r="G9648" i="1"/>
  <c r="G9656" i="1"/>
  <c r="G9664" i="1"/>
  <c r="G9672" i="1"/>
  <c r="G9680" i="1"/>
  <c r="G9689" i="1"/>
  <c r="G9697" i="1"/>
  <c r="G9705" i="1"/>
  <c r="G9713" i="1"/>
  <c r="G9721" i="1"/>
  <c r="G9729" i="1"/>
  <c r="G9737" i="1"/>
  <c r="G9745" i="1"/>
  <c r="G9753" i="1"/>
  <c r="G9761" i="1"/>
  <c r="G9769" i="1"/>
  <c r="G9777" i="1"/>
  <c r="G9785" i="1"/>
  <c r="G9793" i="1"/>
  <c r="G9801" i="1"/>
  <c r="G9809" i="1"/>
  <c r="G9817" i="1"/>
  <c r="G9825" i="1"/>
  <c r="G9833" i="1"/>
  <c r="G9841" i="1"/>
  <c r="G9849" i="1"/>
  <c r="G9857" i="1"/>
  <c r="G9865" i="1"/>
  <c r="G9874" i="1"/>
  <c r="G9883" i="1"/>
  <c r="G9892" i="1"/>
  <c r="G9901" i="1"/>
  <c r="G9910" i="1"/>
  <c r="G9919" i="1"/>
  <c r="G9928" i="1"/>
  <c r="G9937" i="1"/>
  <c r="G9946" i="1"/>
  <c r="G9955" i="1"/>
  <c r="G9964" i="1"/>
  <c r="G9973" i="1"/>
  <c r="G9982" i="1"/>
  <c r="G9991" i="1"/>
  <c r="G10000" i="1"/>
  <c r="G10009" i="1"/>
  <c r="G10018" i="1"/>
  <c r="G10027" i="1"/>
  <c r="G10036" i="1"/>
  <c r="G10045" i="1"/>
  <c r="G10054" i="1"/>
  <c r="G10063" i="1"/>
  <c r="G10072" i="1"/>
  <c r="G10081" i="1"/>
  <c r="G10090" i="1"/>
  <c r="G10099" i="1"/>
  <c r="G10108" i="1"/>
  <c r="G10117" i="1"/>
  <c r="G10126" i="1"/>
  <c r="G10135" i="1"/>
  <c r="G10144" i="1"/>
  <c r="G10153" i="1"/>
  <c r="G10162" i="1"/>
  <c r="G10171" i="1"/>
  <c r="G10180" i="1"/>
  <c r="G10189" i="1"/>
  <c r="G10198" i="1"/>
  <c r="G10207" i="1"/>
  <c r="G10217" i="1"/>
  <c r="G10227" i="1"/>
  <c r="G10237" i="1"/>
  <c r="G10247" i="1"/>
  <c r="G10257" i="1"/>
  <c r="G10267" i="1"/>
  <c r="G10277" i="1"/>
  <c r="G10287" i="1"/>
  <c r="G10297" i="1"/>
  <c r="G10307" i="1"/>
  <c r="G10317" i="1"/>
  <c r="G10326" i="1"/>
  <c r="G10335" i="1"/>
  <c r="G10344" i="1"/>
  <c r="G10353" i="1"/>
  <c r="G10362" i="1"/>
  <c r="G10371" i="1"/>
  <c r="G10380" i="1"/>
  <c r="G10389" i="1"/>
  <c r="G10398" i="1"/>
  <c r="G10407" i="1"/>
  <c r="G10416" i="1"/>
  <c r="G10425" i="1"/>
  <c r="G10434" i="1"/>
  <c r="G10443" i="1"/>
  <c r="G10452" i="1"/>
  <c r="G10461" i="1"/>
  <c r="G10470" i="1"/>
  <c r="G10479" i="1"/>
  <c r="G10488" i="1"/>
  <c r="G10497" i="1"/>
  <c r="G10506" i="1"/>
  <c r="G10515" i="1"/>
  <c r="G10524" i="1"/>
  <c r="G10533" i="1"/>
  <c r="G10542" i="1"/>
  <c r="G10551" i="1"/>
  <c r="G10560" i="1"/>
  <c r="G10569" i="1"/>
  <c r="G10578" i="1"/>
  <c r="G10587" i="1"/>
  <c r="G10596" i="1"/>
  <c r="G10605" i="1"/>
  <c r="G10614" i="1"/>
  <c r="G10623" i="1"/>
  <c r="G10632" i="1"/>
  <c r="G10641" i="1"/>
  <c r="G10650" i="1"/>
  <c r="G10659" i="1"/>
  <c r="G10668" i="1"/>
  <c r="G10677" i="1"/>
  <c r="G10686" i="1"/>
  <c r="G10695" i="1"/>
  <c r="G10704" i="1"/>
  <c r="G10713" i="1"/>
  <c r="G10722" i="1"/>
  <c r="G10731" i="1"/>
  <c r="G10740" i="1"/>
  <c r="G10749" i="1"/>
  <c r="G10758" i="1"/>
  <c r="G10767" i="1"/>
  <c r="G10776" i="1"/>
  <c r="G10785" i="1"/>
  <c r="G10794" i="1"/>
  <c r="G10803" i="1"/>
  <c r="G10812" i="1"/>
  <c r="G10821" i="1"/>
  <c r="G10829" i="1"/>
  <c r="G10837" i="1"/>
  <c r="G10845" i="1"/>
  <c r="G10853" i="1"/>
  <c r="G10861" i="1"/>
  <c r="G10869" i="1"/>
  <c r="G10877" i="1"/>
  <c r="G10885" i="1"/>
  <c r="G10893" i="1"/>
  <c r="G10901" i="1"/>
  <c r="G10909" i="1"/>
  <c r="G10917" i="1"/>
  <c r="G10925" i="1"/>
  <c r="G10933" i="1"/>
  <c r="G10941" i="1"/>
  <c r="G10949" i="1"/>
  <c r="G10957" i="1"/>
  <c r="G10965" i="1"/>
  <c r="G10973" i="1"/>
  <c r="G10981" i="1"/>
  <c r="G10989" i="1"/>
  <c r="G10997" i="1"/>
  <c r="G11005" i="1"/>
  <c r="G11013" i="1"/>
  <c r="G11021" i="1"/>
  <c r="G11029" i="1"/>
  <c r="G11037" i="1"/>
  <c r="G11045" i="1"/>
  <c r="G11053" i="1"/>
  <c r="G11061" i="1"/>
  <c r="G11069" i="1"/>
  <c r="G11077" i="1"/>
  <c r="G11086" i="1"/>
  <c r="G11095" i="1"/>
  <c r="G11104" i="1"/>
  <c r="G11113" i="1"/>
  <c r="G11122" i="1"/>
  <c r="G11131" i="1"/>
  <c r="G11140" i="1"/>
  <c r="G11149" i="1"/>
  <c r="G11158" i="1"/>
  <c r="G11167" i="1"/>
  <c r="G11176" i="1"/>
  <c r="G11185" i="1"/>
  <c r="G11194" i="1"/>
  <c r="G11203" i="1"/>
  <c r="G11212" i="1"/>
  <c r="G11221" i="1"/>
  <c r="G11230" i="1"/>
  <c r="G11239" i="1"/>
  <c r="G11248" i="1"/>
  <c r="G11257" i="1"/>
  <c r="G11266" i="1"/>
  <c r="G11275" i="1"/>
  <c r="G11284" i="1"/>
  <c r="G11293" i="1"/>
  <c r="G11302" i="1"/>
  <c r="G11311" i="1"/>
  <c r="G11320" i="1"/>
  <c r="G11329" i="1"/>
  <c r="G11338" i="1"/>
  <c r="G11347" i="1"/>
  <c r="G11356" i="1"/>
  <c r="G11365" i="1"/>
  <c r="G11374" i="1"/>
  <c r="G11383" i="1"/>
  <c r="G11392" i="1"/>
  <c r="G11401" i="1"/>
  <c r="G11410" i="1"/>
  <c r="G11419" i="1"/>
  <c r="G11428" i="1"/>
  <c r="G11437" i="1"/>
  <c r="G11446" i="1"/>
  <c r="G11455" i="1"/>
  <c r="G11464" i="1"/>
  <c r="G11473" i="1"/>
  <c r="G11482" i="1"/>
  <c r="G11491" i="1"/>
  <c r="G11500" i="1"/>
  <c r="G11509" i="1"/>
  <c r="G11518" i="1"/>
  <c r="G11527" i="1"/>
  <c r="G11536" i="1"/>
  <c r="G11545" i="1"/>
  <c r="G11554" i="1"/>
  <c r="G11563" i="1"/>
  <c r="G11572" i="1"/>
  <c r="G11581" i="1"/>
  <c r="G11590" i="1"/>
  <c r="G11599" i="1"/>
  <c r="G11608" i="1"/>
  <c r="G11617" i="1"/>
  <c r="G11626" i="1"/>
  <c r="G11635" i="1"/>
  <c r="G11644" i="1"/>
  <c r="G11653" i="1"/>
  <c r="G11662" i="1"/>
  <c r="G11671" i="1"/>
  <c r="G11680" i="1"/>
  <c r="G11689" i="1"/>
  <c r="G11698" i="1"/>
  <c r="G11707" i="1"/>
  <c r="G11716" i="1"/>
  <c r="G11725" i="1"/>
  <c r="G11734" i="1"/>
  <c r="G11743" i="1"/>
  <c r="G11752" i="1"/>
  <c r="G11761" i="1"/>
  <c r="G11770" i="1"/>
  <c r="G11779" i="1"/>
  <c r="G11788" i="1"/>
  <c r="G11797" i="1"/>
  <c r="G11806" i="1"/>
  <c r="G11815" i="1"/>
  <c r="G11824" i="1"/>
  <c r="G11833" i="1"/>
  <c r="G11842" i="1"/>
  <c r="G11851" i="1"/>
  <c r="G11860" i="1"/>
  <c r="G11869" i="1"/>
  <c r="G11878" i="1"/>
  <c r="G11887" i="1"/>
  <c r="G11896" i="1"/>
  <c r="G11905" i="1"/>
  <c r="G11914" i="1"/>
  <c r="G11923" i="1"/>
  <c r="G11932" i="1"/>
  <c r="G11941" i="1"/>
  <c r="G11950" i="1"/>
  <c r="G11959" i="1"/>
  <c r="G11968" i="1"/>
  <c r="G11977" i="1"/>
  <c r="G11986" i="1"/>
  <c r="G11995" i="1"/>
  <c r="G12004" i="1"/>
  <c r="G12013" i="1"/>
  <c r="G12022" i="1"/>
  <c r="G12031" i="1"/>
  <c r="G12040" i="1"/>
  <c r="G12049" i="1"/>
  <c r="G12058" i="1"/>
  <c r="G12067" i="1"/>
  <c r="G12076" i="1"/>
  <c r="G12085" i="1"/>
  <c r="G12094" i="1"/>
  <c r="G12103" i="1"/>
  <c r="G12112" i="1"/>
  <c r="G12121" i="1"/>
  <c r="G12130" i="1"/>
  <c r="G12139" i="1"/>
  <c r="G12148" i="1"/>
  <c r="G12157" i="1"/>
  <c r="G12166" i="1"/>
  <c r="G12175" i="1"/>
  <c r="G12184" i="1"/>
  <c r="G12193" i="1"/>
  <c r="G12202" i="1"/>
  <c r="G12211" i="1"/>
  <c r="G12220" i="1"/>
  <c r="G12229" i="1"/>
  <c r="G12238" i="1"/>
  <c r="G12247" i="1"/>
  <c r="G12256" i="1"/>
  <c r="G12265" i="1"/>
  <c r="G12274" i="1"/>
  <c r="G12283" i="1"/>
  <c r="G12292" i="1"/>
  <c r="G12301" i="1"/>
  <c r="G12310" i="1"/>
  <c r="G12319" i="1"/>
  <c r="G12328" i="1"/>
  <c r="G12337" i="1"/>
  <c r="G12346" i="1"/>
  <c r="G12355" i="1"/>
  <c r="G12364" i="1"/>
  <c r="G12373" i="1"/>
  <c r="G12382" i="1"/>
  <c r="G12391" i="1"/>
  <c r="G12400" i="1"/>
  <c r="G12409" i="1"/>
  <c r="G12418" i="1"/>
  <c r="G12427" i="1"/>
  <c r="G12436" i="1"/>
  <c r="G12445" i="1"/>
  <c r="G12454" i="1"/>
  <c r="G12463" i="1"/>
  <c r="G12472" i="1"/>
  <c r="G12481" i="1"/>
  <c r="G12490" i="1"/>
  <c r="G12499" i="1"/>
  <c r="G12508" i="1"/>
  <c r="G12517" i="1"/>
  <c r="G12526" i="1"/>
  <c r="G12535" i="1"/>
  <c r="G12544" i="1"/>
  <c r="G12553" i="1"/>
  <c r="G12562" i="1"/>
  <c r="G12571" i="1"/>
  <c r="G12580" i="1"/>
  <c r="G12589" i="1"/>
  <c r="G12598" i="1"/>
  <c r="G12607" i="1"/>
  <c r="G12616" i="1"/>
  <c r="G12625" i="1"/>
  <c r="G12634" i="1"/>
  <c r="G12643" i="1"/>
  <c r="G12652" i="1"/>
  <c r="G12661" i="1"/>
  <c r="G12670" i="1"/>
  <c r="G12671" i="1"/>
  <c r="G12682" i="1"/>
  <c r="G12693" i="1"/>
  <c r="G12704" i="1"/>
  <c r="G12715" i="1"/>
  <c r="G12726" i="1"/>
  <c r="G12737" i="1"/>
  <c r="G12748" i="1"/>
  <c r="G12759" i="1"/>
  <c r="G12770" i="1"/>
  <c r="G12781" i="1"/>
  <c r="G12792" i="1"/>
  <c r="G12803" i="1"/>
  <c r="G12814" i="1"/>
  <c r="G12825" i="1"/>
  <c r="G12836" i="1"/>
  <c r="G12847" i="1"/>
  <c r="G12858" i="1"/>
  <c r="G12869" i="1"/>
  <c r="G12880" i="1"/>
  <c r="G12891" i="1"/>
  <c r="G12902" i="1"/>
  <c r="G12913" i="1"/>
  <c r="G12924" i="1"/>
  <c r="G12935" i="1"/>
  <c r="G12946" i="1"/>
  <c r="G12957" i="1"/>
  <c r="G12968" i="1"/>
  <c r="G12979" i="1"/>
  <c r="G12990" i="1"/>
  <c r="G13001" i="1"/>
  <c r="G13012" i="1"/>
  <c r="G13023" i="1"/>
  <c r="G13034" i="1"/>
  <c r="G13045" i="1"/>
  <c r="G13056" i="1"/>
  <c r="G13067" i="1"/>
  <c r="G13078" i="1"/>
  <c r="G13089" i="1"/>
  <c r="G13100" i="1"/>
  <c r="G13111" i="1"/>
  <c r="G13122" i="1"/>
  <c r="G13133" i="1"/>
  <c r="G13144" i="1"/>
  <c r="G13155" i="1"/>
  <c r="G13166" i="1"/>
  <c r="G13177" i="1"/>
  <c r="G13188" i="1"/>
  <c r="G13199" i="1"/>
  <c r="G13210" i="1"/>
  <c r="G13221" i="1"/>
  <c r="G13232" i="1"/>
  <c r="G13243" i="1"/>
  <c r="G13254" i="1"/>
  <c r="G13265" i="1"/>
  <c r="G13276" i="1"/>
  <c r="G13287" i="1"/>
  <c r="G13298" i="1"/>
  <c r="G13309" i="1"/>
  <c r="G13320" i="1"/>
  <c r="G13331" i="1"/>
  <c r="G13342" i="1"/>
  <c r="G13353" i="1"/>
  <c r="G13364" i="1"/>
  <c r="G13375" i="1"/>
  <c r="G13386" i="1"/>
  <c r="G13397" i="1"/>
  <c r="G13408" i="1"/>
  <c r="G13419" i="1"/>
  <c r="G13430" i="1"/>
  <c r="G13441" i="1"/>
  <c r="G13452" i="1"/>
  <c r="G13463" i="1"/>
  <c r="G13474" i="1"/>
  <c r="G13485" i="1"/>
  <c r="G13496" i="1"/>
  <c r="G13507" i="1"/>
  <c r="G13518" i="1"/>
  <c r="G13529" i="1"/>
  <c r="G13540" i="1"/>
  <c r="G13551" i="1"/>
  <c r="G13562" i="1"/>
  <c r="G13573" i="1"/>
  <c r="G13584" i="1"/>
  <c r="G13595" i="1"/>
  <c r="G13606" i="1"/>
  <c r="G13617" i="1"/>
  <c r="G13628" i="1"/>
  <c r="G13639" i="1"/>
  <c r="G13650" i="1"/>
  <c r="G13661" i="1"/>
  <c r="G13672" i="1"/>
  <c r="G13683" i="1"/>
  <c r="G13694" i="1"/>
  <c r="G13705" i="1"/>
  <c r="G13716" i="1"/>
  <c r="G13727" i="1"/>
  <c r="G13738" i="1"/>
  <c r="G13749" i="1"/>
  <c r="G13760" i="1"/>
  <c r="G13771" i="1"/>
  <c r="G13782" i="1"/>
  <c r="G13793" i="1"/>
  <c r="G13804" i="1"/>
  <c r="G13815" i="1"/>
  <c r="G13826" i="1"/>
  <c r="G13837" i="1"/>
  <c r="G13848" i="1"/>
  <c r="G13859" i="1"/>
  <c r="G13870" i="1"/>
  <c r="G13881" i="1"/>
  <c r="G13892" i="1"/>
  <c r="G13903" i="1"/>
  <c r="G13914" i="1"/>
  <c r="G13925" i="1"/>
  <c r="G13936" i="1"/>
  <c r="G13947" i="1"/>
  <c r="G13958" i="1"/>
  <c r="G13969" i="1"/>
  <c r="G13980" i="1"/>
  <c r="G13991" i="1"/>
  <c r="G14002" i="1"/>
  <c r="G14013" i="1"/>
  <c r="G14024" i="1"/>
  <c r="G14035" i="1"/>
  <c r="G14046" i="1"/>
  <c r="G14057" i="1"/>
  <c r="G14068" i="1"/>
  <c r="G14079" i="1"/>
  <c r="G14090" i="1"/>
  <c r="G14101" i="1"/>
  <c r="G14112" i="1"/>
  <c r="G14123" i="1"/>
  <c r="G14134" i="1"/>
  <c r="G14145" i="1"/>
  <c r="G14156" i="1"/>
  <c r="G14167" i="1"/>
  <c r="G14178" i="1"/>
  <c r="G14189" i="1"/>
  <c r="G14200" i="1"/>
  <c r="G14211" i="1"/>
  <c r="G14222" i="1"/>
  <c r="G14233" i="1"/>
  <c r="G14244" i="1"/>
  <c r="G14255" i="1"/>
  <c r="G14266" i="1"/>
  <c r="G14277" i="1"/>
  <c r="G14288" i="1"/>
  <c r="G14299" i="1"/>
  <c r="G14310" i="1"/>
  <c r="G14321" i="1"/>
  <c r="G14332" i="1"/>
  <c r="G14343" i="1"/>
  <c r="G14354" i="1"/>
  <c r="G14365" i="1"/>
  <c r="G14376" i="1"/>
  <c r="G14387" i="1"/>
  <c r="G14398" i="1"/>
  <c r="G14409" i="1"/>
  <c r="G14420" i="1"/>
  <c r="G14431" i="1"/>
  <c r="G14442" i="1"/>
  <c r="G14453" i="1"/>
  <c r="G14464" i="1"/>
  <c r="G14475" i="1"/>
  <c r="G14486" i="1"/>
  <c r="G14497" i="1"/>
  <c r="G14508" i="1"/>
  <c r="G14519" i="1"/>
  <c r="G14530" i="1"/>
  <c r="G14541" i="1"/>
  <c r="G14552" i="1"/>
  <c r="G14563" i="1"/>
  <c r="G14574" i="1"/>
  <c r="G14585" i="1"/>
  <c r="G14596" i="1"/>
  <c r="G14607" i="1"/>
  <c r="G14618" i="1"/>
  <c r="G14629" i="1"/>
  <c r="G14640" i="1"/>
  <c r="G14651" i="1"/>
  <c r="G14662" i="1"/>
  <c r="G14673" i="1"/>
  <c r="G14684" i="1"/>
  <c r="G14695" i="1"/>
  <c r="G14706" i="1"/>
  <c r="G14717" i="1"/>
  <c r="G14728" i="1"/>
  <c r="G14739" i="1"/>
  <c r="G14750" i="1"/>
  <c r="G14761" i="1"/>
  <c r="G14772" i="1"/>
  <c r="G14783" i="1"/>
  <c r="G14794" i="1"/>
  <c r="G14805" i="1"/>
  <c r="G14816" i="1"/>
  <c r="G14827" i="1"/>
  <c r="G14838" i="1"/>
  <c r="G14849" i="1"/>
  <c r="G14860" i="1"/>
  <c r="G14871" i="1"/>
  <c r="G14882" i="1"/>
  <c r="G14893" i="1"/>
  <c r="G14904" i="1"/>
  <c r="G14915" i="1"/>
  <c r="G14926" i="1"/>
  <c r="G14937" i="1"/>
  <c r="G14948" i="1"/>
  <c r="G14959" i="1"/>
  <c r="G14970" i="1"/>
  <c r="G14981" i="1"/>
  <c r="G14992" i="1"/>
  <c r="G15003" i="1"/>
  <c r="G15014" i="1"/>
  <c r="G15025" i="1"/>
  <c r="G15036" i="1"/>
  <c r="G15047" i="1"/>
  <c r="G15058" i="1"/>
  <c r="G15069" i="1"/>
  <c r="G15080" i="1"/>
  <c r="G15091" i="1"/>
  <c r="G15102" i="1"/>
  <c r="G15113" i="1"/>
  <c r="G15124" i="1"/>
  <c r="G15135" i="1"/>
  <c r="G15146" i="1"/>
  <c r="G15157" i="1"/>
  <c r="G15168" i="1"/>
  <c r="G15179" i="1"/>
  <c r="G15190" i="1"/>
  <c r="G15201" i="1"/>
  <c r="G15212" i="1"/>
  <c r="G15223" i="1"/>
  <c r="G15234" i="1"/>
  <c r="G15245" i="1"/>
  <c r="G15256" i="1"/>
  <c r="G15267" i="1"/>
  <c r="G15278" i="1"/>
  <c r="G15289" i="1"/>
  <c r="G15300" i="1"/>
  <c r="G15311" i="1"/>
  <c r="G15322" i="1"/>
  <c r="G15333" i="1"/>
  <c r="G15344" i="1"/>
  <c r="G15355" i="1"/>
  <c r="G15366" i="1"/>
  <c r="G15377" i="1"/>
  <c r="G15388" i="1"/>
  <c r="G15399" i="1"/>
  <c r="G15410" i="1"/>
  <c r="G15421" i="1"/>
  <c r="G15432" i="1"/>
  <c r="G15443" i="1"/>
  <c r="G15454" i="1"/>
  <c r="G15465" i="1"/>
  <c r="G15476" i="1"/>
  <c r="G15487" i="1"/>
  <c r="G15498" i="1"/>
  <c r="G15509" i="1"/>
  <c r="G15520" i="1"/>
  <c r="G15531" i="1"/>
  <c r="G15542" i="1"/>
  <c r="G15553" i="1"/>
  <c r="G15564" i="1"/>
  <c r="G15575" i="1"/>
  <c r="G15586" i="1"/>
  <c r="G15597" i="1"/>
  <c r="G15608" i="1"/>
  <c r="G15619" i="1"/>
  <c r="G15630" i="1"/>
  <c r="G15641" i="1"/>
  <c r="G15652" i="1"/>
  <c r="G15663" i="1"/>
  <c r="G15674" i="1"/>
  <c r="G15685" i="1"/>
  <c r="G15696" i="1"/>
  <c r="G15707" i="1"/>
  <c r="G15718" i="1"/>
  <c r="G15729" i="1"/>
  <c r="G15740" i="1"/>
  <c r="G15751" i="1"/>
  <c r="G15762" i="1"/>
  <c r="G15773" i="1"/>
  <c r="G15795" i="1"/>
  <c r="G15806" i="1"/>
  <c r="G15817" i="1"/>
  <c r="G15828" i="1"/>
  <c r="G15839" i="1"/>
  <c r="G15850" i="1"/>
  <c r="G15861" i="1"/>
  <c r="G15872" i="1"/>
  <c r="G15883" i="1"/>
  <c r="G15894" i="1"/>
  <c r="G15905" i="1"/>
  <c r="G15916" i="1"/>
  <c r="G15927" i="1"/>
  <c r="G15938" i="1"/>
  <c r="G15949" i="1"/>
  <c r="G15960" i="1"/>
  <c r="G15971" i="1"/>
  <c r="G15982" i="1"/>
  <c r="G15993" i="1"/>
  <c r="G16004" i="1"/>
  <c r="G16015" i="1"/>
  <c r="G16026" i="1"/>
  <c r="G16037" i="1"/>
  <c r="G16048" i="1"/>
  <c r="G16059" i="1"/>
  <c r="G16070" i="1"/>
  <c r="G16081" i="1"/>
  <c r="G16092" i="1"/>
  <c r="G16103" i="1"/>
  <c r="G16114" i="1"/>
  <c r="G16125" i="1"/>
  <c r="G16136" i="1"/>
  <c r="G16147" i="1"/>
  <c r="G16158" i="1"/>
  <c r="G16169" i="1"/>
  <c r="G16180" i="1"/>
  <c r="G16191" i="1"/>
  <c r="G16202" i="1"/>
  <c r="G16213" i="1"/>
  <c r="G16224" i="1"/>
  <c r="G16235" i="1"/>
  <c r="G16246" i="1"/>
  <c r="G16257" i="1"/>
  <c r="G16268" i="1"/>
  <c r="G16279" i="1"/>
  <c r="G16290" i="1"/>
  <c r="G16301" i="1"/>
  <c r="G16312" i="1"/>
  <c r="G16323" i="1"/>
  <c r="G16334" i="1"/>
  <c r="G16345" i="1"/>
  <c r="G16356" i="1"/>
  <c r="G16367" i="1"/>
  <c r="G16378" i="1"/>
  <c r="G16389" i="1"/>
  <c r="G16400" i="1"/>
  <c r="G16411" i="1"/>
  <c r="G16422" i="1"/>
  <c r="G16433" i="1"/>
  <c r="G16444" i="1"/>
  <c r="G16455" i="1"/>
  <c r="G16466" i="1"/>
  <c r="G16477" i="1"/>
  <c r="G16488" i="1"/>
  <c r="G16499" i="1"/>
  <c r="G16510" i="1"/>
  <c r="G16521" i="1"/>
  <c r="G16532" i="1"/>
  <c r="G16543" i="1"/>
  <c r="G16554" i="1"/>
  <c r="G16565" i="1"/>
  <c r="G16576" i="1"/>
  <c r="G16587" i="1"/>
  <c r="G16598" i="1"/>
  <c r="G16609" i="1"/>
  <c r="G16620" i="1"/>
  <c r="G16631" i="1"/>
  <c r="G16642" i="1"/>
  <c r="G16653" i="1"/>
  <c r="G16664" i="1"/>
  <c r="G16675" i="1"/>
  <c r="G12672" i="1"/>
  <c r="G12683" i="1"/>
  <c r="G12694" i="1"/>
  <c r="G12705" i="1"/>
  <c r="G12716" i="1"/>
  <c r="G12727" i="1"/>
  <c r="G12738" i="1"/>
  <c r="G12749" i="1"/>
  <c r="G12760" i="1"/>
  <c r="G12771" i="1"/>
  <c r="G12782" i="1"/>
  <c r="G12793" i="1"/>
  <c r="G12804" i="1"/>
  <c r="G12815" i="1"/>
  <c r="G12826" i="1"/>
  <c r="G12837" i="1"/>
  <c r="G12848" i="1"/>
  <c r="G12859" i="1"/>
  <c r="G12870" i="1"/>
  <c r="G12881" i="1"/>
  <c r="G12892" i="1"/>
  <c r="G12903" i="1"/>
  <c r="G12914" i="1"/>
  <c r="G12925" i="1"/>
  <c r="G12936" i="1"/>
  <c r="G12947" i="1"/>
  <c r="G12958" i="1"/>
  <c r="G12969" i="1"/>
  <c r="G12980" i="1"/>
  <c r="G12991" i="1"/>
  <c r="G13002" i="1"/>
  <c r="G13013" i="1"/>
  <c r="G13024" i="1"/>
  <c r="G13035" i="1"/>
  <c r="G13046" i="1"/>
  <c r="G13057" i="1"/>
  <c r="G13068" i="1"/>
  <c r="G13079" i="1"/>
  <c r="G13090" i="1"/>
  <c r="G13101" i="1"/>
  <c r="G13112" i="1"/>
  <c r="G13123" i="1"/>
  <c r="G13134" i="1"/>
  <c r="G13145" i="1"/>
  <c r="G13156" i="1"/>
  <c r="G13167" i="1"/>
  <c r="G13178" i="1"/>
  <c r="G13189" i="1"/>
  <c r="G13200" i="1"/>
  <c r="G13211" i="1"/>
  <c r="G13222" i="1"/>
  <c r="G13233" i="1"/>
  <c r="G13244" i="1"/>
  <c r="G13255" i="1"/>
  <c r="G13266" i="1"/>
  <c r="G13277" i="1"/>
  <c r="G13288" i="1"/>
  <c r="G13299" i="1"/>
  <c r="G13310" i="1"/>
  <c r="G13321" i="1"/>
  <c r="G13332" i="1"/>
  <c r="G13343" i="1"/>
  <c r="G13354" i="1"/>
  <c r="G13365" i="1"/>
  <c r="G13376" i="1"/>
  <c r="G13387" i="1"/>
  <c r="G13398" i="1"/>
  <c r="G13409" i="1"/>
  <c r="G13420" i="1"/>
  <c r="G13431" i="1"/>
  <c r="G13442" i="1"/>
  <c r="G13453" i="1"/>
  <c r="G13464" i="1"/>
  <c r="G13475" i="1"/>
  <c r="G13486" i="1"/>
  <c r="G13497" i="1"/>
  <c r="G13508" i="1"/>
  <c r="G13519" i="1"/>
  <c r="G13530" i="1"/>
  <c r="G13541" i="1"/>
  <c r="G13552" i="1"/>
  <c r="G13563" i="1"/>
  <c r="G13574" i="1"/>
  <c r="G13585" i="1"/>
  <c r="G13596" i="1"/>
  <c r="G13607" i="1"/>
  <c r="G13618" i="1"/>
  <c r="G13629" i="1"/>
  <c r="G13640" i="1"/>
  <c r="G13651" i="1"/>
  <c r="G13662" i="1"/>
  <c r="G13673" i="1"/>
  <c r="G13684" i="1"/>
  <c r="G13695" i="1"/>
  <c r="G13706" i="1"/>
  <c r="G13717" i="1"/>
  <c r="G13728" i="1"/>
  <c r="G13739" i="1"/>
  <c r="G13750" i="1"/>
  <c r="G13761" i="1"/>
  <c r="G13772" i="1"/>
  <c r="G13783" i="1"/>
  <c r="G13794" i="1"/>
  <c r="G13805" i="1"/>
  <c r="G13816" i="1"/>
  <c r="G13827" i="1"/>
  <c r="G13838" i="1"/>
  <c r="G13849" i="1"/>
  <c r="G13860" i="1"/>
  <c r="G13871" i="1"/>
  <c r="G13882" i="1"/>
  <c r="G13893" i="1"/>
  <c r="G13904" i="1"/>
  <c r="G13915" i="1"/>
  <c r="G13926" i="1"/>
  <c r="G13937" i="1"/>
  <c r="G13948" i="1"/>
  <c r="G13959" i="1"/>
  <c r="G13970" i="1"/>
  <c r="G13981" i="1"/>
  <c r="G13992" i="1"/>
  <c r="G14003" i="1"/>
  <c r="G14014" i="1"/>
  <c r="G14025" i="1"/>
  <c r="G14036" i="1"/>
  <c r="G14047" i="1"/>
  <c r="G14058" i="1"/>
  <c r="G14069" i="1"/>
  <c r="G14080" i="1"/>
  <c r="G14091" i="1"/>
  <c r="G14102" i="1"/>
  <c r="G14113" i="1"/>
  <c r="G14124" i="1"/>
  <c r="G14135" i="1"/>
  <c r="G14146" i="1"/>
  <c r="G14157" i="1"/>
  <c r="G14168" i="1"/>
  <c r="G14179" i="1"/>
  <c r="G14190" i="1"/>
  <c r="G14201" i="1"/>
  <c r="G14212" i="1"/>
  <c r="G14223" i="1"/>
  <c r="G14234" i="1"/>
  <c r="G14245" i="1"/>
  <c r="G14256" i="1"/>
  <c r="G14267" i="1"/>
  <c r="G14278" i="1"/>
  <c r="G14289" i="1"/>
  <c r="G14300" i="1"/>
  <c r="G14311" i="1"/>
  <c r="G14322" i="1"/>
  <c r="G14333" i="1"/>
  <c r="G14344" i="1"/>
  <c r="G14355" i="1"/>
  <c r="G14366" i="1"/>
  <c r="G14377" i="1"/>
  <c r="G14388" i="1"/>
  <c r="G14399" i="1"/>
  <c r="G14410" i="1"/>
  <c r="G14421" i="1"/>
  <c r="G14432" i="1"/>
  <c r="G14443" i="1"/>
  <c r="G14454" i="1"/>
  <c r="G14465" i="1"/>
  <c r="G14476" i="1"/>
  <c r="G14487" i="1"/>
  <c r="G14498" i="1"/>
  <c r="G14509" i="1"/>
  <c r="G14520" i="1"/>
  <c r="G14531" i="1"/>
  <c r="G14542" i="1"/>
  <c r="G14553" i="1"/>
  <c r="G14564" i="1"/>
  <c r="G14575" i="1"/>
  <c r="G14586" i="1"/>
  <c r="G14597" i="1"/>
  <c r="G14608" i="1"/>
  <c r="G14619" i="1"/>
  <c r="G14630" i="1"/>
  <c r="G14641" i="1"/>
  <c r="G14652" i="1"/>
  <c r="G14663" i="1"/>
  <c r="G14674" i="1"/>
  <c r="G14685" i="1"/>
  <c r="G14696" i="1"/>
  <c r="G14707" i="1"/>
  <c r="G14718" i="1"/>
  <c r="G14729" i="1"/>
  <c r="G14740" i="1"/>
  <c r="G14751" i="1"/>
  <c r="G14762" i="1"/>
  <c r="G14773" i="1"/>
  <c r="G14784" i="1"/>
  <c r="G14795" i="1"/>
  <c r="G14806" i="1"/>
  <c r="G14817" i="1"/>
  <c r="G14828" i="1"/>
  <c r="G14839" i="1"/>
  <c r="G14850" i="1"/>
  <c r="G14861" i="1"/>
  <c r="G14872" i="1"/>
  <c r="G14883" i="1"/>
  <c r="G14894" i="1"/>
  <c r="G14905" i="1"/>
  <c r="G14916" i="1"/>
  <c r="G14927" i="1"/>
  <c r="G14938" i="1"/>
  <c r="G14949" i="1"/>
  <c r="G14960" i="1"/>
  <c r="G14971" i="1"/>
  <c r="G14982" i="1"/>
  <c r="G14993" i="1"/>
  <c r="G15004" i="1"/>
  <c r="G15015" i="1"/>
  <c r="G15026" i="1"/>
  <c r="G15037" i="1"/>
  <c r="G15048" i="1"/>
  <c r="G15059" i="1"/>
  <c r="G15070" i="1"/>
  <c r="G15081" i="1"/>
  <c r="G15092" i="1"/>
  <c r="G15103" i="1"/>
  <c r="G15114" i="1"/>
  <c r="G15125" i="1"/>
  <c r="G15136" i="1"/>
  <c r="G15147" i="1"/>
  <c r="G15158" i="1"/>
  <c r="G15169" i="1"/>
  <c r="G15180" i="1"/>
  <c r="G15191" i="1"/>
  <c r="G15202" i="1"/>
  <c r="G15213" i="1"/>
  <c r="G15224" i="1"/>
  <c r="G15235" i="1"/>
  <c r="G15246" i="1"/>
  <c r="G15257" i="1"/>
  <c r="G15268" i="1"/>
  <c r="G15279" i="1"/>
  <c r="G15290" i="1"/>
  <c r="G15301" i="1"/>
  <c r="G15312" i="1"/>
  <c r="G15323" i="1"/>
  <c r="G15334" i="1"/>
  <c r="G15345" i="1"/>
  <c r="G15356" i="1"/>
  <c r="G15367" i="1"/>
  <c r="G15378" i="1"/>
  <c r="G15389" i="1"/>
  <c r="G15400" i="1"/>
  <c r="G15411" i="1"/>
  <c r="G15422" i="1"/>
  <c r="G15433" i="1"/>
  <c r="G15444" i="1"/>
  <c r="G15455" i="1"/>
  <c r="G15466" i="1"/>
  <c r="G15477" i="1"/>
  <c r="G15488" i="1"/>
  <c r="G15499" i="1"/>
  <c r="G15510" i="1"/>
  <c r="G15521" i="1"/>
  <c r="G15532" i="1"/>
  <c r="G15543" i="1"/>
  <c r="G15554" i="1"/>
  <c r="G15565" i="1"/>
  <c r="G15576" i="1"/>
  <c r="G15587" i="1"/>
  <c r="G15598" i="1"/>
  <c r="G15609" i="1"/>
  <c r="G15620" i="1"/>
  <c r="G15631" i="1"/>
  <c r="G15642" i="1"/>
  <c r="G15653" i="1"/>
  <c r="G15664" i="1"/>
  <c r="G15675" i="1"/>
  <c r="G15686" i="1"/>
  <c r="G15697" i="1"/>
  <c r="G15708" i="1"/>
  <c r="G15719" i="1"/>
  <c r="G15730" i="1"/>
  <c r="G15741" i="1"/>
  <c r="G15752" i="1"/>
  <c r="G15763" i="1"/>
  <c r="G15774" i="1"/>
  <c r="G15785" i="1"/>
  <c r="G15796" i="1"/>
  <c r="G15807" i="1"/>
  <c r="G15818" i="1"/>
  <c r="G15829" i="1"/>
  <c r="G15840" i="1"/>
  <c r="G15851" i="1"/>
  <c r="G15862" i="1"/>
  <c r="G15873" i="1"/>
  <c r="G15884" i="1"/>
  <c r="G15895" i="1"/>
  <c r="G15906" i="1"/>
  <c r="G15917" i="1"/>
  <c r="G15928" i="1"/>
  <c r="G15939" i="1"/>
  <c r="G15950" i="1"/>
  <c r="G15961" i="1"/>
  <c r="G15972" i="1"/>
  <c r="G15983" i="1"/>
  <c r="G15994" i="1"/>
  <c r="G16005" i="1"/>
  <c r="G16016" i="1"/>
  <c r="G16027" i="1"/>
  <c r="G16038" i="1"/>
  <c r="G16049" i="1"/>
  <c r="G16060" i="1"/>
  <c r="G16071" i="1"/>
  <c r="G16082" i="1"/>
  <c r="G16093" i="1"/>
  <c r="G16104" i="1"/>
  <c r="G16115" i="1"/>
  <c r="G16126" i="1"/>
  <c r="G16137" i="1"/>
  <c r="G16148" i="1"/>
  <c r="G16159" i="1"/>
  <c r="G16170" i="1"/>
  <c r="G16181" i="1"/>
  <c r="G16192" i="1"/>
  <c r="G16203" i="1"/>
  <c r="G16214" i="1"/>
  <c r="G16225" i="1"/>
  <c r="G16236" i="1"/>
  <c r="G16247" i="1"/>
  <c r="G16258" i="1"/>
  <c r="G16269" i="1"/>
  <c r="G16280" i="1"/>
  <c r="G16291" i="1"/>
  <c r="G16302" i="1"/>
  <c r="G16313" i="1"/>
  <c r="G16324" i="1"/>
  <c r="G16335" i="1"/>
  <c r="G16346" i="1"/>
  <c r="G16357" i="1"/>
  <c r="G16368" i="1"/>
  <c r="G16379" i="1"/>
  <c r="G16390" i="1"/>
  <c r="G16401" i="1"/>
  <c r="G16412" i="1"/>
  <c r="G16423" i="1"/>
  <c r="G16434" i="1"/>
  <c r="G16445" i="1"/>
  <c r="G16456" i="1"/>
  <c r="G16467" i="1"/>
  <c r="G16478" i="1"/>
  <c r="G16489" i="1"/>
  <c r="G16500" i="1"/>
  <c r="G16511" i="1"/>
  <c r="G16522" i="1"/>
  <c r="G16533" i="1"/>
  <c r="G16544" i="1"/>
  <c r="G16555" i="1"/>
  <c r="G16566" i="1"/>
  <c r="G16577" i="1"/>
  <c r="G16588" i="1"/>
  <c r="G16599" i="1"/>
  <c r="G16610" i="1"/>
  <c r="G16621" i="1"/>
  <c r="G16632" i="1"/>
  <c r="G16643" i="1"/>
  <c r="G16654" i="1"/>
  <c r="G16665" i="1"/>
  <c r="G16676" i="1"/>
  <c r="G12673" i="1"/>
  <c r="G12684" i="1"/>
  <c r="G12695" i="1"/>
  <c r="G12706" i="1"/>
  <c r="G12717" i="1"/>
  <c r="G12728" i="1"/>
  <c r="G12739" i="1"/>
  <c r="G12750" i="1"/>
  <c r="G12761" i="1"/>
  <c r="G12772" i="1"/>
  <c r="G12783" i="1"/>
  <c r="G12794" i="1"/>
  <c r="G12805" i="1"/>
  <c r="G12816" i="1"/>
  <c r="G12827" i="1"/>
  <c r="G12838" i="1"/>
  <c r="G12849" i="1"/>
  <c r="G12860" i="1"/>
  <c r="G12871" i="1"/>
  <c r="G12882" i="1"/>
  <c r="G12893" i="1"/>
  <c r="G12904" i="1"/>
  <c r="G12915" i="1"/>
  <c r="G12926" i="1"/>
  <c r="G12937" i="1"/>
  <c r="G12948" i="1"/>
  <c r="G12959" i="1"/>
  <c r="G12970" i="1"/>
  <c r="G12981" i="1"/>
  <c r="G12992" i="1"/>
  <c r="G13003" i="1"/>
  <c r="G13014" i="1"/>
  <c r="G13025" i="1"/>
  <c r="G13036" i="1"/>
  <c r="G13047" i="1"/>
  <c r="G13058" i="1"/>
  <c r="G13069" i="1"/>
  <c r="G13080" i="1"/>
  <c r="G13091" i="1"/>
  <c r="G13102" i="1"/>
  <c r="G13113" i="1"/>
  <c r="G13124" i="1"/>
  <c r="G13135" i="1"/>
  <c r="G13146" i="1"/>
  <c r="G13157" i="1"/>
  <c r="G13168" i="1"/>
  <c r="G13179" i="1"/>
  <c r="G13190" i="1"/>
  <c r="G13201" i="1"/>
  <c r="G13212" i="1"/>
  <c r="G13223" i="1"/>
  <c r="G13234" i="1"/>
  <c r="G13245" i="1"/>
  <c r="G13256" i="1"/>
  <c r="G13267" i="1"/>
  <c r="G13278" i="1"/>
  <c r="G13289" i="1"/>
  <c r="G13300" i="1"/>
  <c r="G13311" i="1"/>
  <c r="G13322" i="1"/>
  <c r="G13333" i="1"/>
  <c r="G13344" i="1"/>
  <c r="G13355" i="1"/>
  <c r="G13366" i="1"/>
  <c r="G13377" i="1"/>
  <c r="G13388" i="1"/>
  <c r="G13399" i="1"/>
  <c r="G13410" i="1"/>
  <c r="G13421" i="1"/>
  <c r="G13432" i="1"/>
  <c r="G13443" i="1"/>
  <c r="G13454" i="1"/>
  <c r="G13465" i="1"/>
  <c r="G13476" i="1"/>
  <c r="G13487" i="1"/>
  <c r="G13498" i="1"/>
  <c r="G13509" i="1"/>
  <c r="G13520" i="1"/>
  <c r="G13531" i="1"/>
  <c r="G13542" i="1"/>
  <c r="G13553" i="1"/>
  <c r="G13564" i="1"/>
  <c r="G13575" i="1"/>
  <c r="G13586" i="1"/>
  <c r="G13597" i="1"/>
  <c r="G13608" i="1"/>
  <c r="G13619" i="1"/>
  <c r="G13630" i="1"/>
  <c r="G13641" i="1"/>
  <c r="G13652" i="1"/>
  <c r="G13663" i="1"/>
  <c r="G13674" i="1"/>
  <c r="G13685" i="1"/>
  <c r="G13696" i="1"/>
  <c r="G13707" i="1"/>
  <c r="G13718" i="1"/>
  <c r="G13729" i="1"/>
  <c r="G13740" i="1"/>
  <c r="G13751" i="1"/>
  <c r="G13762" i="1"/>
  <c r="G13773" i="1"/>
  <c r="G13784" i="1"/>
  <c r="G13795" i="1"/>
  <c r="G13806" i="1"/>
  <c r="G13817" i="1"/>
  <c r="G13828" i="1"/>
  <c r="G13839" i="1"/>
  <c r="G13850" i="1"/>
  <c r="G13861" i="1"/>
  <c r="G13872" i="1"/>
  <c r="G13883" i="1"/>
  <c r="G13894" i="1"/>
  <c r="G13905" i="1"/>
  <c r="G13916" i="1"/>
  <c r="G13927" i="1"/>
  <c r="G13938" i="1"/>
  <c r="G13949" i="1"/>
  <c r="G13960" i="1"/>
  <c r="G13971" i="1"/>
  <c r="G13982" i="1"/>
  <c r="G13993" i="1"/>
  <c r="G14004" i="1"/>
  <c r="G14015" i="1"/>
  <c r="G14026" i="1"/>
  <c r="G14037" i="1"/>
  <c r="G14048" i="1"/>
  <c r="G14059" i="1"/>
  <c r="G14070" i="1"/>
  <c r="G14081" i="1"/>
  <c r="G14092" i="1"/>
  <c r="G14103" i="1"/>
  <c r="G14114" i="1"/>
  <c r="G14125" i="1"/>
  <c r="G14136" i="1"/>
  <c r="G14147" i="1"/>
  <c r="G14158" i="1"/>
  <c r="G14169" i="1"/>
  <c r="G14180" i="1"/>
  <c r="G14191" i="1"/>
  <c r="G14202" i="1"/>
  <c r="G14213" i="1"/>
  <c r="G14224" i="1"/>
  <c r="G14235" i="1"/>
  <c r="G14246" i="1"/>
  <c r="G14257" i="1"/>
  <c r="G14268" i="1"/>
  <c r="G14279" i="1"/>
  <c r="G14290" i="1"/>
  <c r="G14301" i="1"/>
  <c r="G14312" i="1"/>
  <c r="G14323" i="1"/>
  <c r="G14334" i="1"/>
  <c r="G14345" i="1"/>
  <c r="G14356" i="1"/>
  <c r="G14367" i="1"/>
  <c r="G14378" i="1"/>
  <c r="G14389" i="1"/>
  <c r="G14400" i="1"/>
  <c r="G14411" i="1"/>
  <c r="G14422" i="1"/>
  <c r="G14433" i="1"/>
  <c r="G14444" i="1"/>
  <c r="G14455" i="1"/>
  <c r="G14466" i="1"/>
  <c r="G14477" i="1"/>
  <c r="G14488" i="1"/>
  <c r="G14499" i="1"/>
  <c r="G14510" i="1"/>
  <c r="G14521" i="1"/>
  <c r="G14532" i="1"/>
  <c r="G14543" i="1"/>
  <c r="G14554" i="1"/>
  <c r="G14565" i="1"/>
  <c r="G14576" i="1"/>
  <c r="G14587" i="1"/>
  <c r="G14598" i="1"/>
  <c r="G14609" i="1"/>
  <c r="G14620" i="1"/>
  <c r="G14631" i="1"/>
  <c r="G14642" i="1"/>
  <c r="G14653" i="1"/>
  <c r="G14664" i="1"/>
  <c r="G14675" i="1"/>
  <c r="G14686" i="1"/>
  <c r="G14697" i="1"/>
  <c r="G14708" i="1"/>
  <c r="G14719" i="1"/>
  <c r="G14730" i="1"/>
  <c r="G14741" i="1"/>
  <c r="G14752" i="1"/>
  <c r="G14763" i="1"/>
  <c r="G14774" i="1"/>
  <c r="G14785" i="1"/>
  <c r="G14796" i="1"/>
  <c r="G14807" i="1"/>
  <c r="G14818" i="1"/>
  <c r="G14829" i="1"/>
  <c r="G14840" i="1"/>
  <c r="G14851" i="1"/>
  <c r="G14862" i="1"/>
  <c r="G14873" i="1"/>
  <c r="G14884" i="1"/>
  <c r="G14895" i="1"/>
  <c r="G14906" i="1"/>
  <c r="G14917" i="1"/>
  <c r="G14928" i="1"/>
  <c r="G14939" i="1"/>
  <c r="G14950" i="1"/>
  <c r="G14961" i="1"/>
  <c r="G14972" i="1"/>
  <c r="G14983" i="1"/>
  <c r="G14994" i="1"/>
  <c r="G15005" i="1"/>
  <c r="G15016" i="1"/>
  <c r="G15027" i="1"/>
  <c r="G15038" i="1"/>
  <c r="G15049" i="1"/>
  <c r="G15060" i="1"/>
  <c r="G15071" i="1"/>
  <c r="G15082" i="1"/>
  <c r="G15093" i="1"/>
  <c r="G15104" i="1"/>
  <c r="G15115" i="1"/>
  <c r="G15126" i="1"/>
  <c r="G15137" i="1"/>
  <c r="G15148" i="1"/>
  <c r="G15159" i="1"/>
  <c r="G15170" i="1"/>
  <c r="G15181" i="1"/>
  <c r="G15192" i="1"/>
  <c r="G15203" i="1"/>
  <c r="G15214" i="1"/>
  <c r="G15225" i="1"/>
  <c r="G15236" i="1"/>
  <c r="G15247" i="1"/>
  <c r="G15258" i="1"/>
  <c r="G15269" i="1"/>
  <c r="G15280" i="1"/>
  <c r="G15291" i="1"/>
  <c r="G15302" i="1"/>
  <c r="G15313" i="1"/>
  <c r="G15324" i="1"/>
  <c r="G15335" i="1"/>
  <c r="G15346" i="1"/>
  <c r="G15357" i="1"/>
  <c r="G15368" i="1"/>
  <c r="G15379" i="1"/>
  <c r="G15390" i="1"/>
  <c r="G15401" i="1"/>
  <c r="G15412" i="1"/>
  <c r="G15423" i="1"/>
  <c r="G15434" i="1"/>
  <c r="G15445" i="1"/>
  <c r="G15456" i="1"/>
  <c r="G15467" i="1"/>
  <c r="G15478" i="1"/>
  <c r="G15489" i="1"/>
  <c r="G15500" i="1"/>
  <c r="G15511" i="1"/>
  <c r="G15522" i="1"/>
  <c r="G15533" i="1"/>
  <c r="G15544" i="1"/>
  <c r="G15555" i="1"/>
  <c r="G15566" i="1"/>
  <c r="G15577" i="1"/>
  <c r="G15588" i="1"/>
  <c r="G15599" i="1"/>
  <c r="G15610" i="1"/>
  <c r="G15621" i="1"/>
  <c r="G15632" i="1"/>
  <c r="G15643" i="1"/>
  <c r="G15654" i="1"/>
  <c r="G15665" i="1"/>
  <c r="G15676" i="1"/>
  <c r="G15687" i="1"/>
  <c r="G15698" i="1"/>
  <c r="G15709" i="1"/>
  <c r="G15720" i="1"/>
  <c r="G15731" i="1"/>
  <c r="G15742" i="1"/>
  <c r="G15753" i="1"/>
  <c r="G15764" i="1"/>
  <c r="G15775" i="1"/>
  <c r="G15786" i="1"/>
  <c r="G15797" i="1"/>
  <c r="G15808" i="1"/>
  <c r="G15819" i="1"/>
  <c r="G15830" i="1"/>
  <c r="G15841" i="1"/>
  <c r="G15852" i="1"/>
  <c r="G15863" i="1"/>
  <c r="G15874" i="1"/>
  <c r="G15885" i="1"/>
  <c r="G15896" i="1"/>
  <c r="G15907" i="1"/>
  <c r="G15918" i="1"/>
  <c r="G15929" i="1"/>
  <c r="G15940" i="1"/>
  <c r="G15951" i="1"/>
  <c r="G15962" i="1"/>
  <c r="G15973" i="1"/>
  <c r="G15984" i="1"/>
  <c r="G15995" i="1"/>
  <c r="G16006" i="1"/>
  <c r="G16017" i="1"/>
  <c r="G16028" i="1"/>
  <c r="G16039" i="1"/>
  <c r="G16050" i="1"/>
  <c r="G16061" i="1"/>
  <c r="G16072" i="1"/>
  <c r="G16083" i="1"/>
  <c r="G16094" i="1"/>
  <c r="G16105" i="1"/>
  <c r="G16116" i="1"/>
  <c r="G16127" i="1"/>
  <c r="G16138" i="1"/>
  <c r="G16149" i="1"/>
  <c r="G16160" i="1"/>
  <c r="G16171" i="1"/>
  <c r="G16182" i="1"/>
  <c r="G16193" i="1"/>
  <c r="G16204" i="1"/>
  <c r="G16215" i="1"/>
  <c r="G16226" i="1"/>
  <c r="G16237" i="1"/>
  <c r="G16248" i="1"/>
  <c r="G16259" i="1"/>
  <c r="G16270" i="1"/>
  <c r="G16281" i="1"/>
  <c r="G16292" i="1"/>
  <c r="G16303" i="1"/>
  <c r="G16314" i="1"/>
  <c r="G16325" i="1"/>
  <c r="G16336" i="1"/>
  <c r="G16347" i="1"/>
  <c r="G16358" i="1"/>
  <c r="G16369" i="1"/>
  <c r="G16380" i="1"/>
  <c r="G16391" i="1"/>
  <c r="G16402" i="1"/>
  <c r="G16413" i="1"/>
  <c r="G16424" i="1"/>
  <c r="G16435" i="1"/>
  <c r="G16446" i="1"/>
  <c r="G16457" i="1"/>
  <c r="G16468" i="1"/>
  <c r="G16479" i="1"/>
  <c r="G16490" i="1"/>
  <c r="G16501" i="1"/>
  <c r="G16512" i="1"/>
  <c r="G16523" i="1"/>
  <c r="G16534" i="1"/>
  <c r="G16545" i="1"/>
  <c r="G16556" i="1"/>
  <c r="G16567" i="1"/>
  <c r="G16578" i="1"/>
  <c r="G16589" i="1"/>
  <c r="G16600" i="1"/>
  <c r="G16611" i="1"/>
  <c r="G16622" i="1"/>
  <c r="G16633" i="1"/>
  <c r="G16644" i="1"/>
  <c r="G16655" i="1"/>
  <c r="G16666" i="1"/>
  <c r="G16677" i="1"/>
  <c r="G12674" i="1"/>
  <c r="G12685" i="1"/>
  <c r="G12696" i="1"/>
  <c r="G12707" i="1"/>
  <c r="G12718" i="1"/>
  <c r="G12729" i="1"/>
  <c r="G12740" i="1"/>
  <c r="G12751" i="1"/>
  <c r="G12762" i="1"/>
  <c r="G12773" i="1"/>
  <c r="G12784" i="1"/>
  <c r="G12795" i="1"/>
  <c r="G12806" i="1"/>
  <c r="G12817" i="1"/>
  <c r="G12828" i="1"/>
  <c r="G12839" i="1"/>
  <c r="G12850" i="1"/>
  <c r="G12861" i="1"/>
  <c r="G12872" i="1"/>
  <c r="G12883" i="1"/>
  <c r="G12894" i="1"/>
  <c r="G12905" i="1"/>
  <c r="G12916" i="1"/>
  <c r="G12927" i="1"/>
  <c r="G12938" i="1"/>
  <c r="G12949" i="1"/>
  <c r="G12960" i="1"/>
  <c r="G12971" i="1"/>
  <c r="G12982" i="1"/>
  <c r="G12993" i="1"/>
  <c r="G13004" i="1"/>
  <c r="G13015" i="1"/>
  <c r="G13026" i="1"/>
  <c r="G13037" i="1"/>
  <c r="G13048" i="1"/>
  <c r="G13059" i="1"/>
  <c r="G13070" i="1"/>
  <c r="G13081" i="1"/>
  <c r="G13092" i="1"/>
  <c r="G13103" i="1"/>
  <c r="G13114" i="1"/>
  <c r="G13125" i="1"/>
  <c r="G13136" i="1"/>
  <c r="G13147" i="1"/>
  <c r="G13158" i="1"/>
  <c r="G13169" i="1"/>
  <c r="G13180" i="1"/>
  <c r="G13191" i="1"/>
  <c r="G13202" i="1"/>
  <c r="G13213" i="1"/>
  <c r="G13224" i="1"/>
  <c r="G13235" i="1"/>
  <c r="G13246" i="1"/>
  <c r="G13257" i="1"/>
  <c r="G13268" i="1"/>
  <c r="G13279" i="1"/>
  <c r="G13290" i="1"/>
  <c r="G13301" i="1"/>
  <c r="G13312" i="1"/>
  <c r="G13323" i="1"/>
  <c r="G13334" i="1"/>
  <c r="G13345" i="1"/>
  <c r="G13356" i="1"/>
  <c r="G13367" i="1"/>
  <c r="G13378" i="1"/>
  <c r="G13389" i="1"/>
  <c r="G13400" i="1"/>
  <c r="G13411" i="1"/>
  <c r="G13422" i="1"/>
  <c r="G13433" i="1"/>
  <c r="G13444" i="1"/>
  <c r="G13455" i="1"/>
  <c r="G13466" i="1"/>
  <c r="G13477" i="1"/>
  <c r="G13488" i="1"/>
  <c r="G13499" i="1"/>
  <c r="G13510" i="1"/>
  <c r="G13521" i="1"/>
  <c r="G13532" i="1"/>
  <c r="G13543" i="1"/>
  <c r="G13554" i="1"/>
  <c r="G13565" i="1"/>
  <c r="G13576" i="1"/>
  <c r="G13587" i="1"/>
  <c r="G13598" i="1"/>
  <c r="G13609" i="1"/>
  <c r="G13620" i="1"/>
  <c r="G13631" i="1"/>
  <c r="G13642" i="1"/>
  <c r="G13653" i="1"/>
  <c r="G13664" i="1"/>
  <c r="G13675" i="1"/>
  <c r="G13686" i="1"/>
  <c r="G13697" i="1"/>
  <c r="G13708" i="1"/>
  <c r="G13719" i="1"/>
  <c r="G13730" i="1"/>
  <c r="G13741" i="1"/>
  <c r="G13752" i="1"/>
  <c r="G13763" i="1"/>
  <c r="G13774" i="1"/>
  <c r="G13785" i="1"/>
  <c r="G13796" i="1"/>
  <c r="G13807" i="1"/>
  <c r="G13818" i="1"/>
  <c r="G13829" i="1"/>
  <c r="G13840" i="1"/>
  <c r="G13851" i="1"/>
  <c r="G13862" i="1"/>
  <c r="G13873" i="1"/>
  <c r="G13884" i="1"/>
  <c r="G13895" i="1"/>
  <c r="G13906" i="1"/>
  <c r="G13917" i="1"/>
  <c r="G13928" i="1"/>
  <c r="G13939" i="1"/>
  <c r="G13950" i="1"/>
  <c r="G13961" i="1"/>
  <c r="G13972" i="1"/>
  <c r="G13983" i="1"/>
  <c r="G13994" i="1"/>
  <c r="G14005" i="1"/>
  <c r="G14016" i="1"/>
  <c r="G14027" i="1"/>
  <c r="G14038" i="1"/>
  <c r="G14049" i="1"/>
  <c r="G14060" i="1"/>
  <c r="G14071" i="1"/>
  <c r="G14082" i="1"/>
  <c r="G14093" i="1"/>
  <c r="G14104" i="1"/>
  <c r="G14115" i="1"/>
  <c r="G14126" i="1"/>
  <c r="G14137" i="1"/>
  <c r="G14148" i="1"/>
  <c r="G14159" i="1"/>
  <c r="G14170" i="1"/>
  <c r="G14181" i="1"/>
  <c r="G14192" i="1"/>
  <c r="G14203" i="1"/>
  <c r="G14214" i="1"/>
  <c r="G14225" i="1"/>
  <c r="G14236" i="1"/>
  <c r="G14247" i="1"/>
  <c r="G14258" i="1"/>
  <c r="G14269" i="1"/>
  <c r="G14280" i="1"/>
  <c r="G14291" i="1"/>
  <c r="G14302" i="1"/>
  <c r="G14313" i="1"/>
  <c r="G14324" i="1"/>
  <c r="G14335" i="1"/>
  <c r="G14346" i="1"/>
  <c r="G14357" i="1"/>
  <c r="G14368" i="1"/>
  <c r="G14379" i="1"/>
  <c r="G14390" i="1"/>
  <c r="G14401" i="1"/>
  <c r="G14412" i="1"/>
  <c r="G14423" i="1"/>
  <c r="G14434" i="1"/>
  <c r="G14445" i="1"/>
  <c r="G14456" i="1"/>
  <c r="G14467" i="1"/>
  <c r="G14478" i="1"/>
  <c r="G14489" i="1"/>
  <c r="G14500" i="1"/>
  <c r="G14511" i="1"/>
  <c r="G14522" i="1"/>
  <c r="G14533" i="1"/>
  <c r="G14544" i="1"/>
  <c r="G14555" i="1"/>
  <c r="G14566" i="1"/>
  <c r="G14577" i="1"/>
  <c r="G14588" i="1"/>
  <c r="G14599" i="1"/>
  <c r="G14610" i="1"/>
  <c r="G14621" i="1"/>
  <c r="G14632" i="1"/>
  <c r="G14643" i="1"/>
  <c r="G14654" i="1"/>
  <c r="G14665" i="1"/>
  <c r="G14676" i="1"/>
  <c r="G14687" i="1"/>
  <c r="G14698" i="1"/>
  <c r="G14709" i="1"/>
  <c r="G14720" i="1"/>
  <c r="G14731" i="1"/>
  <c r="G14742" i="1"/>
  <c r="G14753" i="1"/>
  <c r="G14764" i="1"/>
  <c r="G14775" i="1"/>
  <c r="G14786" i="1"/>
  <c r="G14797" i="1"/>
  <c r="G14808" i="1"/>
  <c r="G14819" i="1"/>
  <c r="G14830" i="1"/>
  <c r="G14841" i="1"/>
  <c r="G14852" i="1"/>
  <c r="G14863" i="1"/>
  <c r="G14874" i="1"/>
  <c r="G14885" i="1"/>
  <c r="G14896" i="1"/>
  <c r="G14907" i="1"/>
  <c r="G14918" i="1"/>
  <c r="G14929" i="1"/>
  <c r="G14940" i="1"/>
  <c r="G14951" i="1"/>
  <c r="G14962" i="1"/>
  <c r="G14973" i="1"/>
  <c r="G14984" i="1"/>
  <c r="G14995" i="1"/>
  <c r="G15006" i="1"/>
  <c r="G15017" i="1"/>
  <c r="G15028" i="1"/>
  <c r="G15039" i="1"/>
  <c r="G15050" i="1"/>
  <c r="G15061" i="1"/>
  <c r="G15072" i="1"/>
  <c r="G15083" i="1"/>
  <c r="G15094" i="1"/>
  <c r="G15105" i="1"/>
  <c r="G15116" i="1"/>
  <c r="G15127" i="1"/>
  <c r="G15138" i="1"/>
  <c r="G15149" i="1"/>
  <c r="G15160" i="1"/>
  <c r="G15171" i="1"/>
  <c r="G15182" i="1"/>
  <c r="G15193" i="1"/>
  <c r="G15204" i="1"/>
  <c r="G15215" i="1"/>
  <c r="G15226" i="1"/>
  <c r="G15237" i="1"/>
  <c r="G15248" i="1"/>
  <c r="G15259" i="1"/>
  <c r="G15270" i="1"/>
  <c r="G15281" i="1"/>
  <c r="G15292" i="1"/>
  <c r="G15303" i="1"/>
  <c r="G15314" i="1"/>
  <c r="G15325" i="1"/>
  <c r="G15336" i="1"/>
  <c r="G15347" i="1"/>
  <c r="G15358" i="1"/>
  <c r="G15369" i="1"/>
  <c r="G15380" i="1"/>
  <c r="G15391" i="1"/>
  <c r="G15402" i="1"/>
  <c r="G15413" i="1"/>
  <c r="G15424" i="1"/>
  <c r="G15435" i="1"/>
  <c r="G15446" i="1"/>
  <c r="G15457" i="1"/>
  <c r="G15468" i="1"/>
  <c r="G15479" i="1"/>
  <c r="G15490" i="1"/>
  <c r="G15501" i="1"/>
  <c r="G15512" i="1"/>
  <c r="G15523" i="1"/>
  <c r="G15534" i="1"/>
  <c r="G15545" i="1"/>
  <c r="G15556" i="1"/>
  <c r="G15567" i="1"/>
  <c r="G15578" i="1"/>
  <c r="G15589" i="1"/>
  <c r="G15600" i="1"/>
  <c r="G15611" i="1"/>
  <c r="G15622" i="1"/>
  <c r="G15633" i="1"/>
  <c r="G15644" i="1"/>
  <c r="G15655" i="1"/>
  <c r="G15666" i="1"/>
  <c r="G15677" i="1"/>
  <c r="G15688" i="1"/>
  <c r="G15699" i="1"/>
  <c r="G15710" i="1"/>
  <c r="G15721" i="1"/>
  <c r="G15732" i="1"/>
  <c r="G15743" i="1"/>
  <c r="G15754" i="1"/>
  <c r="G15765" i="1"/>
  <c r="G15776" i="1"/>
  <c r="G15787" i="1"/>
  <c r="G15798" i="1"/>
  <c r="G15809" i="1"/>
  <c r="G15820" i="1"/>
  <c r="G15831" i="1"/>
  <c r="G15842" i="1"/>
  <c r="G15853" i="1"/>
  <c r="G15864" i="1"/>
  <c r="G15875" i="1"/>
  <c r="G15886" i="1"/>
  <c r="G15897" i="1"/>
  <c r="G15908" i="1"/>
  <c r="G15919" i="1"/>
  <c r="G15930" i="1"/>
  <c r="G15941" i="1"/>
  <c r="G15952" i="1"/>
  <c r="G15963" i="1"/>
  <c r="G15974" i="1"/>
  <c r="G15985" i="1"/>
  <c r="G15996" i="1"/>
  <c r="G16007" i="1"/>
  <c r="G16018" i="1"/>
  <c r="G16029" i="1"/>
  <c r="G16040" i="1"/>
  <c r="G16051" i="1"/>
  <c r="G16062" i="1"/>
  <c r="G16073" i="1"/>
  <c r="G16084" i="1"/>
  <c r="G16095" i="1"/>
  <c r="G16106" i="1"/>
  <c r="G16117" i="1"/>
  <c r="G16128" i="1"/>
  <c r="G16139" i="1"/>
  <c r="G16150" i="1"/>
  <c r="G16161" i="1"/>
  <c r="G16172" i="1"/>
  <c r="G16183" i="1"/>
  <c r="G16194" i="1"/>
  <c r="G16205" i="1"/>
  <c r="G16216" i="1"/>
  <c r="G16227" i="1"/>
  <c r="G16238" i="1"/>
  <c r="G16249" i="1"/>
  <c r="G16260" i="1"/>
  <c r="G16271" i="1"/>
  <c r="G16282" i="1"/>
  <c r="G16293" i="1"/>
  <c r="G16304" i="1"/>
  <c r="G16315" i="1"/>
  <c r="G16326" i="1"/>
  <c r="G16337" i="1"/>
  <c r="G16348" i="1"/>
  <c r="G16359" i="1"/>
  <c r="G16370" i="1"/>
  <c r="G16381" i="1"/>
  <c r="G16392" i="1"/>
  <c r="G16403" i="1"/>
  <c r="G16414" i="1"/>
  <c r="G16425" i="1"/>
  <c r="G16436" i="1"/>
  <c r="G16447" i="1"/>
  <c r="G16458" i="1"/>
  <c r="G16469" i="1"/>
  <c r="G16480" i="1"/>
  <c r="G16491" i="1"/>
  <c r="G16502" i="1"/>
  <c r="G16513" i="1"/>
  <c r="G16524" i="1"/>
  <c r="G16535" i="1"/>
  <c r="G16546" i="1"/>
  <c r="G16557" i="1"/>
  <c r="G16568" i="1"/>
  <c r="G16579" i="1"/>
  <c r="G16590" i="1"/>
  <c r="G16601" i="1"/>
  <c r="G16612" i="1"/>
  <c r="G16623" i="1"/>
  <c r="G16634" i="1"/>
  <c r="G16645" i="1"/>
  <c r="G16656" i="1"/>
  <c r="G16667" i="1"/>
  <c r="G16678" i="1"/>
  <c r="G12675" i="1"/>
  <c r="G12686" i="1"/>
  <c r="G12697" i="1"/>
  <c r="G12708" i="1"/>
  <c r="G12719" i="1"/>
  <c r="G12730" i="1"/>
  <c r="G12741" i="1"/>
  <c r="G12752" i="1"/>
  <c r="G12763" i="1"/>
  <c r="G12774" i="1"/>
  <c r="G12785" i="1"/>
  <c r="G12796" i="1"/>
  <c r="G12807" i="1"/>
  <c r="G12818" i="1"/>
  <c r="G12829" i="1"/>
  <c r="G12840" i="1"/>
  <c r="G12851" i="1"/>
  <c r="G12862" i="1"/>
  <c r="G12873" i="1"/>
  <c r="G12884" i="1"/>
  <c r="G12895" i="1"/>
  <c r="G12906" i="1"/>
  <c r="G12917" i="1"/>
  <c r="G12928" i="1"/>
  <c r="G12939" i="1"/>
  <c r="G12950" i="1"/>
  <c r="G12961" i="1"/>
  <c r="G12972" i="1"/>
  <c r="G12983" i="1"/>
  <c r="G12994" i="1"/>
  <c r="G13005" i="1"/>
  <c r="G13016" i="1"/>
  <c r="G13027" i="1"/>
  <c r="G13038" i="1"/>
  <c r="G13049" i="1"/>
  <c r="G13060" i="1"/>
  <c r="G13071" i="1"/>
  <c r="G13082" i="1"/>
  <c r="G13093" i="1"/>
  <c r="G13104" i="1"/>
  <c r="G13115" i="1"/>
  <c r="G13126" i="1"/>
  <c r="G13137" i="1"/>
  <c r="G13148" i="1"/>
  <c r="G13159" i="1"/>
  <c r="G13170" i="1"/>
  <c r="G13181" i="1"/>
  <c r="G13192" i="1"/>
  <c r="G13203" i="1"/>
  <c r="G13214" i="1"/>
  <c r="G13225" i="1"/>
  <c r="G13236" i="1"/>
  <c r="G13247" i="1"/>
  <c r="G13258" i="1"/>
  <c r="G13269" i="1"/>
  <c r="G13280" i="1"/>
  <c r="G13291" i="1"/>
  <c r="G13302" i="1"/>
  <c r="G13313" i="1"/>
  <c r="G13324" i="1"/>
  <c r="G13335" i="1"/>
  <c r="G13346" i="1"/>
  <c r="G13357" i="1"/>
  <c r="G13368" i="1"/>
  <c r="G13379" i="1"/>
  <c r="G13390" i="1"/>
  <c r="G13401" i="1"/>
  <c r="G13412" i="1"/>
  <c r="G13423" i="1"/>
  <c r="G13434" i="1"/>
  <c r="G13445" i="1"/>
  <c r="G13456" i="1"/>
  <c r="G13467" i="1"/>
  <c r="G13478" i="1"/>
  <c r="G13489" i="1"/>
  <c r="G13500" i="1"/>
  <c r="G13511" i="1"/>
  <c r="G13522" i="1"/>
  <c r="G13533" i="1"/>
  <c r="G13544" i="1"/>
  <c r="G13555" i="1"/>
  <c r="G13566" i="1"/>
  <c r="G13577" i="1"/>
  <c r="G13588" i="1"/>
  <c r="G13599" i="1"/>
  <c r="G13610" i="1"/>
  <c r="G13621" i="1"/>
  <c r="G13632" i="1"/>
  <c r="G13643" i="1"/>
  <c r="G13654" i="1"/>
  <c r="G13665" i="1"/>
  <c r="G13676" i="1"/>
  <c r="G13687" i="1"/>
  <c r="G13698" i="1"/>
  <c r="G13709" i="1"/>
  <c r="G13720" i="1"/>
  <c r="G13731" i="1"/>
  <c r="G13742" i="1"/>
  <c r="G13753" i="1"/>
  <c r="G13764" i="1"/>
  <c r="G13775" i="1"/>
  <c r="G13786" i="1"/>
  <c r="G13797" i="1"/>
  <c r="G13808" i="1"/>
  <c r="G13819" i="1"/>
  <c r="G13830" i="1"/>
  <c r="G13841" i="1"/>
  <c r="G13852" i="1"/>
  <c r="G13863" i="1"/>
  <c r="G13874" i="1"/>
  <c r="G13885" i="1"/>
  <c r="G13896" i="1"/>
  <c r="G13907" i="1"/>
  <c r="G13918" i="1"/>
  <c r="G13929" i="1"/>
  <c r="G13940" i="1"/>
  <c r="G13951" i="1"/>
  <c r="G13962" i="1"/>
  <c r="G13973" i="1"/>
  <c r="G13984" i="1"/>
  <c r="G13995" i="1"/>
  <c r="G14006" i="1"/>
  <c r="G14017" i="1"/>
  <c r="G14028" i="1"/>
  <c r="G14039" i="1"/>
  <c r="G14050" i="1"/>
  <c r="G14061" i="1"/>
  <c r="G14072" i="1"/>
  <c r="G14083" i="1"/>
  <c r="G14094" i="1"/>
  <c r="G14105" i="1"/>
  <c r="G14116" i="1"/>
  <c r="G14127" i="1"/>
  <c r="G14138" i="1"/>
  <c r="G14149" i="1"/>
  <c r="G14160" i="1"/>
  <c r="G14171" i="1"/>
  <c r="G14182" i="1"/>
  <c r="G14193" i="1"/>
  <c r="G14204" i="1"/>
  <c r="G14215" i="1"/>
  <c r="G14226" i="1"/>
  <c r="G14237" i="1"/>
  <c r="G14248" i="1"/>
  <c r="G14259" i="1"/>
  <c r="G14270" i="1"/>
  <c r="G14281" i="1"/>
  <c r="G14292" i="1"/>
  <c r="G14303" i="1"/>
  <c r="G14314" i="1"/>
  <c r="G14325" i="1"/>
  <c r="G14336" i="1"/>
  <c r="G14347" i="1"/>
  <c r="G14358" i="1"/>
  <c r="G14369" i="1"/>
  <c r="G14380" i="1"/>
  <c r="G14391" i="1"/>
  <c r="G14402" i="1"/>
  <c r="G14413" i="1"/>
  <c r="G14424" i="1"/>
  <c r="G14435" i="1"/>
  <c r="G14446" i="1"/>
  <c r="G14457" i="1"/>
  <c r="G14468" i="1"/>
  <c r="G14479" i="1"/>
  <c r="G14490" i="1"/>
  <c r="G14501" i="1"/>
  <c r="G14512" i="1"/>
  <c r="G14523" i="1"/>
  <c r="G14534" i="1"/>
  <c r="G14545" i="1"/>
  <c r="G14556" i="1"/>
  <c r="G14567" i="1"/>
  <c r="G14578" i="1"/>
  <c r="G14589" i="1"/>
  <c r="G14600" i="1"/>
  <c r="G14611" i="1"/>
  <c r="G14622" i="1"/>
  <c r="G14633" i="1"/>
  <c r="G14644" i="1"/>
  <c r="G14655" i="1"/>
  <c r="G14666" i="1"/>
  <c r="G14677" i="1"/>
  <c r="G14688" i="1"/>
  <c r="G14699" i="1"/>
  <c r="G14710" i="1"/>
  <c r="G14721" i="1"/>
  <c r="G14732" i="1"/>
  <c r="G14743" i="1"/>
  <c r="G14754" i="1"/>
  <c r="G14765" i="1"/>
  <c r="G14776" i="1"/>
  <c r="G14787" i="1"/>
  <c r="G14798" i="1"/>
  <c r="G14809" i="1"/>
  <c r="G14820" i="1"/>
  <c r="G14831" i="1"/>
  <c r="G14842" i="1"/>
  <c r="G14853" i="1"/>
  <c r="G14864" i="1"/>
  <c r="G14875" i="1"/>
  <c r="G14886" i="1"/>
  <c r="G14897" i="1"/>
  <c r="G14908" i="1"/>
  <c r="G14919" i="1"/>
  <c r="G14930" i="1"/>
  <c r="G14941" i="1"/>
  <c r="G14952" i="1"/>
  <c r="G14963" i="1"/>
  <c r="G14974" i="1"/>
  <c r="G14985" i="1"/>
  <c r="G14996" i="1"/>
  <c r="G15007" i="1"/>
  <c r="G15018" i="1"/>
  <c r="G15029" i="1"/>
  <c r="G15040" i="1"/>
  <c r="G15051" i="1"/>
  <c r="G15062" i="1"/>
  <c r="G15073" i="1"/>
  <c r="G15084" i="1"/>
  <c r="G15095" i="1"/>
  <c r="G15106" i="1"/>
  <c r="G15117" i="1"/>
  <c r="G15128" i="1"/>
  <c r="G15139" i="1"/>
  <c r="G15150" i="1"/>
  <c r="G15161" i="1"/>
  <c r="G15172" i="1"/>
  <c r="G15183" i="1"/>
  <c r="G15194" i="1"/>
  <c r="G15205" i="1"/>
  <c r="G15216" i="1"/>
  <c r="G15227" i="1"/>
  <c r="G15238" i="1"/>
  <c r="G15249" i="1"/>
  <c r="G15260" i="1"/>
  <c r="G15271" i="1"/>
  <c r="G15282" i="1"/>
  <c r="G15293" i="1"/>
  <c r="G15304" i="1"/>
  <c r="G15315" i="1"/>
  <c r="G15326" i="1"/>
  <c r="G15337" i="1"/>
  <c r="G15348" i="1"/>
  <c r="G15359" i="1"/>
  <c r="G15370" i="1"/>
  <c r="G15381" i="1"/>
  <c r="G15392" i="1"/>
  <c r="G15403" i="1"/>
  <c r="G15414" i="1"/>
  <c r="G15425" i="1"/>
  <c r="G15436" i="1"/>
  <c r="G15447" i="1"/>
  <c r="G15458" i="1"/>
  <c r="G15469" i="1"/>
  <c r="G15480" i="1"/>
  <c r="G15491" i="1"/>
  <c r="G15502" i="1"/>
  <c r="G15513" i="1"/>
  <c r="G15524" i="1"/>
  <c r="G15535" i="1"/>
  <c r="G15546" i="1"/>
  <c r="G15557" i="1"/>
  <c r="G15568" i="1"/>
  <c r="G15579" i="1"/>
  <c r="G15590" i="1"/>
  <c r="G15601" i="1"/>
  <c r="G15612" i="1"/>
  <c r="G15623" i="1"/>
  <c r="G15634" i="1"/>
  <c r="G15645" i="1"/>
  <c r="G15656" i="1"/>
  <c r="G15667" i="1"/>
  <c r="G15678" i="1"/>
  <c r="G15689" i="1"/>
  <c r="G15700" i="1"/>
  <c r="G15711" i="1"/>
  <c r="G15722" i="1"/>
  <c r="G15733" i="1"/>
  <c r="G15744" i="1"/>
  <c r="G15755" i="1"/>
  <c r="G15766" i="1"/>
  <c r="G15777" i="1"/>
  <c r="G15788" i="1"/>
  <c r="G15799" i="1"/>
  <c r="G15810" i="1"/>
  <c r="G15821" i="1"/>
  <c r="G15832" i="1"/>
  <c r="G15843" i="1"/>
  <c r="G15854" i="1"/>
  <c r="G15865" i="1"/>
  <c r="G15876" i="1"/>
  <c r="G15887" i="1"/>
  <c r="G15898" i="1"/>
  <c r="G15909" i="1"/>
  <c r="G15920" i="1"/>
  <c r="G15931" i="1"/>
  <c r="G15942" i="1"/>
  <c r="G15953" i="1"/>
  <c r="G15964" i="1"/>
  <c r="G15975" i="1"/>
  <c r="G15986" i="1"/>
  <c r="G15997" i="1"/>
  <c r="G16008" i="1"/>
  <c r="G16019" i="1"/>
  <c r="G16030" i="1"/>
  <c r="G16041" i="1"/>
  <c r="G16052" i="1"/>
  <c r="G16063" i="1"/>
  <c r="G16074" i="1"/>
  <c r="G16085" i="1"/>
  <c r="G16096" i="1"/>
  <c r="G16107" i="1"/>
  <c r="G16118" i="1"/>
  <c r="G16129" i="1"/>
  <c r="G16140" i="1"/>
  <c r="G16151" i="1"/>
  <c r="G16162" i="1"/>
  <c r="G16173" i="1"/>
  <c r="G16184" i="1"/>
  <c r="G16195" i="1"/>
  <c r="G16206" i="1"/>
  <c r="G16217" i="1"/>
  <c r="G16228" i="1"/>
  <c r="G16239" i="1"/>
  <c r="G16250" i="1"/>
  <c r="G16261" i="1"/>
  <c r="G16272" i="1"/>
  <c r="G16283" i="1"/>
  <c r="G16294" i="1"/>
  <c r="G16305" i="1"/>
  <c r="G16316" i="1"/>
  <c r="G16327" i="1"/>
  <c r="G16338" i="1"/>
  <c r="G16349" i="1"/>
  <c r="G16360" i="1"/>
  <c r="G16371" i="1"/>
  <c r="G16382" i="1"/>
  <c r="G16393" i="1"/>
  <c r="G16404" i="1"/>
  <c r="G16415" i="1"/>
  <c r="G16426" i="1"/>
  <c r="G16437" i="1"/>
  <c r="G16448" i="1"/>
  <c r="G16459" i="1"/>
  <c r="G16470" i="1"/>
  <c r="G16481" i="1"/>
  <c r="G16492" i="1"/>
  <c r="G16503" i="1"/>
  <c r="G16514" i="1"/>
  <c r="G16525" i="1"/>
  <c r="G16536" i="1"/>
  <c r="G16547" i="1"/>
  <c r="G16558" i="1"/>
  <c r="G16569" i="1"/>
  <c r="G16580" i="1"/>
  <c r="G16591" i="1"/>
  <c r="G16602" i="1"/>
  <c r="G16613" i="1"/>
  <c r="G16624" i="1"/>
  <c r="G16635" i="1"/>
  <c r="G16646" i="1"/>
  <c r="G16657" i="1"/>
  <c r="G16668" i="1"/>
  <c r="G16679" i="1"/>
  <c r="G12676" i="1"/>
  <c r="G12687" i="1"/>
  <c r="G12698" i="1"/>
  <c r="G12709" i="1"/>
  <c r="G12720" i="1"/>
  <c r="G12731" i="1"/>
  <c r="G12742" i="1"/>
  <c r="G12753" i="1"/>
  <c r="G12764" i="1"/>
  <c r="G12775" i="1"/>
  <c r="G12786" i="1"/>
  <c r="G12797" i="1"/>
  <c r="G12808" i="1"/>
  <c r="G12819" i="1"/>
  <c r="G12830" i="1"/>
  <c r="G12841" i="1"/>
  <c r="G12852" i="1"/>
  <c r="G12863" i="1"/>
  <c r="G12874" i="1"/>
  <c r="G12885" i="1"/>
  <c r="G12896" i="1"/>
  <c r="G12907" i="1"/>
  <c r="G12918" i="1"/>
  <c r="G12929" i="1"/>
  <c r="G12940" i="1"/>
  <c r="G12951" i="1"/>
  <c r="G12962" i="1"/>
  <c r="G12973" i="1"/>
  <c r="G12984" i="1"/>
  <c r="G12995" i="1"/>
  <c r="G13006" i="1"/>
  <c r="G13017" i="1"/>
  <c r="G13028" i="1"/>
  <c r="G13039" i="1"/>
  <c r="G13050" i="1"/>
  <c r="G13061" i="1"/>
  <c r="G13072" i="1"/>
  <c r="G13083" i="1"/>
  <c r="G13094" i="1"/>
  <c r="G13105" i="1"/>
  <c r="G13116" i="1"/>
  <c r="G13127" i="1"/>
  <c r="G13138" i="1"/>
  <c r="G13149" i="1"/>
  <c r="G13160" i="1"/>
  <c r="G13171" i="1"/>
  <c r="G13182" i="1"/>
  <c r="G13193" i="1"/>
  <c r="G13204" i="1"/>
  <c r="G13215" i="1"/>
  <c r="G13226" i="1"/>
  <c r="G13237" i="1"/>
  <c r="G13248" i="1"/>
  <c r="G13259" i="1"/>
  <c r="G13270" i="1"/>
  <c r="G13281" i="1"/>
  <c r="G13292" i="1"/>
  <c r="G13303" i="1"/>
  <c r="G13314" i="1"/>
  <c r="G13325" i="1"/>
  <c r="G13336" i="1"/>
  <c r="G13347" i="1"/>
  <c r="G13358" i="1"/>
  <c r="G13369" i="1"/>
  <c r="G13380" i="1"/>
  <c r="G13391" i="1"/>
  <c r="G13402" i="1"/>
  <c r="G13413" i="1"/>
  <c r="G13424" i="1"/>
  <c r="G13435" i="1"/>
  <c r="G13446" i="1"/>
  <c r="G13457" i="1"/>
  <c r="G13468" i="1"/>
  <c r="G13479" i="1"/>
  <c r="G13490" i="1"/>
  <c r="G13501" i="1"/>
  <c r="G13512" i="1"/>
  <c r="G13523" i="1"/>
  <c r="G13534" i="1"/>
  <c r="G13545" i="1"/>
  <c r="G13556" i="1"/>
  <c r="G13567" i="1"/>
  <c r="G13578" i="1"/>
  <c r="G13589" i="1"/>
  <c r="G13600" i="1"/>
  <c r="G13611" i="1"/>
  <c r="G13622" i="1"/>
  <c r="G13633" i="1"/>
  <c r="G13644" i="1"/>
  <c r="G13655" i="1"/>
  <c r="G13666" i="1"/>
  <c r="G13677" i="1"/>
  <c r="G13688" i="1"/>
  <c r="G13699" i="1"/>
  <c r="G13710" i="1"/>
  <c r="G13721" i="1"/>
  <c r="G13732" i="1"/>
  <c r="G13743" i="1"/>
  <c r="G13754" i="1"/>
  <c r="G13765" i="1"/>
  <c r="G13776" i="1"/>
  <c r="G13787" i="1"/>
  <c r="G13798" i="1"/>
  <c r="G13809" i="1"/>
  <c r="G13820" i="1"/>
  <c r="G13831" i="1"/>
  <c r="G13842" i="1"/>
  <c r="G13853" i="1"/>
  <c r="G13864" i="1"/>
  <c r="G13875" i="1"/>
  <c r="G13886" i="1"/>
  <c r="G13897" i="1"/>
  <c r="G13908" i="1"/>
  <c r="G13919" i="1"/>
  <c r="G13930" i="1"/>
  <c r="G13941" i="1"/>
  <c r="G13952" i="1"/>
  <c r="G13963" i="1"/>
  <c r="G13974" i="1"/>
  <c r="G13985" i="1"/>
  <c r="G13996" i="1"/>
  <c r="G14007" i="1"/>
  <c r="G14018" i="1"/>
  <c r="G14029" i="1"/>
  <c r="G14040" i="1"/>
  <c r="G14051" i="1"/>
  <c r="G14062" i="1"/>
  <c r="G14073" i="1"/>
  <c r="G14084" i="1"/>
  <c r="G14095" i="1"/>
  <c r="G14106" i="1"/>
  <c r="G14117" i="1"/>
  <c r="G14128" i="1"/>
  <c r="G14139" i="1"/>
  <c r="G14150" i="1"/>
  <c r="G14161" i="1"/>
  <c r="G14172" i="1"/>
  <c r="G14183" i="1"/>
  <c r="G14194" i="1"/>
  <c r="G14205" i="1"/>
  <c r="G14216" i="1"/>
  <c r="G14227" i="1"/>
  <c r="G14238" i="1"/>
  <c r="G14249" i="1"/>
  <c r="G14260" i="1"/>
  <c r="G14271" i="1"/>
  <c r="G14282" i="1"/>
  <c r="G14293" i="1"/>
  <c r="G14304" i="1"/>
  <c r="G14315" i="1"/>
  <c r="G14326" i="1"/>
  <c r="G14337" i="1"/>
  <c r="G14348" i="1"/>
  <c r="G14359" i="1"/>
  <c r="G14370" i="1"/>
  <c r="G14381" i="1"/>
  <c r="G14392" i="1"/>
  <c r="G14403" i="1"/>
  <c r="G14414" i="1"/>
  <c r="G14425" i="1"/>
  <c r="G14436" i="1"/>
  <c r="G14447" i="1"/>
  <c r="G14458" i="1"/>
  <c r="G14469" i="1"/>
  <c r="G14480" i="1"/>
  <c r="G14491" i="1"/>
  <c r="G14502" i="1"/>
  <c r="G14513" i="1"/>
  <c r="G14524" i="1"/>
  <c r="G14535" i="1"/>
  <c r="G14546" i="1"/>
  <c r="G14557" i="1"/>
  <c r="G14568" i="1"/>
  <c r="G14579" i="1"/>
  <c r="G14590" i="1"/>
  <c r="G14601" i="1"/>
  <c r="G14612" i="1"/>
  <c r="G14623" i="1"/>
  <c r="G14634" i="1"/>
  <c r="G14645" i="1"/>
  <c r="G14656" i="1"/>
  <c r="G14667" i="1"/>
  <c r="G14678" i="1"/>
  <c r="G14689" i="1"/>
  <c r="G14700" i="1"/>
  <c r="G14711" i="1"/>
  <c r="G14722" i="1"/>
  <c r="G14733" i="1"/>
  <c r="G14744" i="1"/>
  <c r="G14755" i="1"/>
  <c r="G14766" i="1"/>
  <c r="G14777" i="1"/>
  <c r="G14788" i="1"/>
  <c r="G14799" i="1"/>
  <c r="G14810" i="1"/>
  <c r="G14821" i="1"/>
  <c r="G14832" i="1"/>
  <c r="G14843" i="1"/>
  <c r="G14854" i="1"/>
  <c r="G14865" i="1"/>
  <c r="G14876" i="1"/>
  <c r="G14887" i="1"/>
  <c r="G14898" i="1"/>
  <c r="G14909" i="1"/>
  <c r="G14920" i="1"/>
  <c r="G14931" i="1"/>
  <c r="G14942" i="1"/>
  <c r="G14953" i="1"/>
  <c r="G14964" i="1"/>
  <c r="G14975" i="1"/>
  <c r="G14986" i="1"/>
  <c r="G14997" i="1"/>
  <c r="G15008" i="1"/>
  <c r="G15019" i="1"/>
  <c r="G15030" i="1"/>
  <c r="G15041" i="1"/>
  <c r="G15052" i="1"/>
  <c r="G15063" i="1"/>
  <c r="G15074" i="1"/>
  <c r="G15085" i="1"/>
  <c r="G15096" i="1"/>
  <c r="G15107" i="1"/>
  <c r="G15118" i="1"/>
  <c r="G15129" i="1"/>
  <c r="G15140" i="1"/>
  <c r="G15151" i="1"/>
  <c r="G15162" i="1"/>
  <c r="G15173" i="1"/>
  <c r="G15184" i="1"/>
  <c r="G15195" i="1"/>
  <c r="G15206" i="1"/>
  <c r="G15217" i="1"/>
  <c r="G15228" i="1"/>
  <c r="G15239" i="1"/>
  <c r="G15250" i="1"/>
  <c r="G15261" i="1"/>
  <c r="G15272" i="1"/>
  <c r="G15283" i="1"/>
  <c r="G15294" i="1"/>
  <c r="G15305" i="1"/>
  <c r="G15316" i="1"/>
  <c r="G15327" i="1"/>
  <c r="G15338" i="1"/>
  <c r="G15349" i="1"/>
  <c r="G15360" i="1"/>
  <c r="G15371" i="1"/>
  <c r="G15382" i="1"/>
  <c r="G15393" i="1"/>
  <c r="G15404" i="1"/>
  <c r="G15415" i="1"/>
  <c r="G15426" i="1"/>
  <c r="G15437" i="1"/>
  <c r="G15448" i="1"/>
  <c r="G15459" i="1"/>
  <c r="G15470" i="1"/>
  <c r="G15481" i="1"/>
  <c r="G15492" i="1"/>
  <c r="G15503" i="1"/>
  <c r="G15514" i="1"/>
  <c r="G15525" i="1"/>
  <c r="G15536" i="1"/>
  <c r="G15547" i="1"/>
  <c r="G15558" i="1"/>
  <c r="G15569" i="1"/>
  <c r="G15580" i="1"/>
  <c r="G15591" i="1"/>
  <c r="G15602" i="1"/>
  <c r="G15613" i="1"/>
  <c r="G15624" i="1"/>
  <c r="G15635" i="1"/>
  <c r="G15646" i="1"/>
  <c r="G15657" i="1"/>
  <c r="G15668" i="1"/>
  <c r="G15679" i="1"/>
  <c r="G15690" i="1"/>
  <c r="G15701" i="1"/>
  <c r="G15712" i="1"/>
  <c r="G15723" i="1"/>
  <c r="G15734" i="1"/>
  <c r="G15745" i="1"/>
  <c r="G15756" i="1"/>
  <c r="G15767" i="1"/>
  <c r="G15778" i="1"/>
  <c r="G15789" i="1"/>
  <c r="G15800" i="1"/>
  <c r="G15811" i="1"/>
  <c r="G15822" i="1"/>
  <c r="G15833" i="1"/>
  <c r="G15844" i="1"/>
  <c r="G15855" i="1"/>
  <c r="G15866" i="1"/>
  <c r="G15877" i="1"/>
  <c r="G15888" i="1"/>
  <c r="G15899" i="1"/>
  <c r="G15910" i="1"/>
  <c r="G15921" i="1"/>
  <c r="G15932" i="1"/>
  <c r="G15943" i="1"/>
  <c r="G15954" i="1"/>
  <c r="G15965" i="1"/>
  <c r="G15976" i="1"/>
  <c r="G15987" i="1"/>
  <c r="G15998" i="1"/>
  <c r="G16009" i="1"/>
  <c r="G16020" i="1"/>
  <c r="G16031" i="1"/>
  <c r="G16042" i="1"/>
  <c r="G16053" i="1"/>
  <c r="G16064" i="1"/>
  <c r="G16075" i="1"/>
  <c r="G16086" i="1"/>
  <c r="G16097" i="1"/>
  <c r="G16108" i="1"/>
  <c r="G16119" i="1"/>
  <c r="G16130" i="1"/>
  <c r="G16141" i="1"/>
  <c r="G16152" i="1"/>
  <c r="G16163" i="1"/>
  <c r="G16174" i="1"/>
  <c r="G16185" i="1"/>
  <c r="G16196" i="1"/>
  <c r="G16207" i="1"/>
  <c r="G16218" i="1"/>
  <c r="G16229" i="1"/>
  <c r="G16240" i="1"/>
  <c r="G16251" i="1"/>
  <c r="G16262" i="1"/>
  <c r="G16273" i="1"/>
  <c r="G16284" i="1"/>
  <c r="G16295" i="1"/>
  <c r="G16306" i="1"/>
  <c r="G16317" i="1"/>
  <c r="G16328" i="1"/>
  <c r="G16339" i="1"/>
  <c r="G16350" i="1"/>
  <c r="G16361" i="1"/>
  <c r="G16372" i="1"/>
  <c r="G16383" i="1"/>
  <c r="G16394" i="1"/>
  <c r="G16405" i="1"/>
  <c r="G16416" i="1"/>
  <c r="G16427" i="1"/>
  <c r="G16438" i="1"/>
  <c r="G16449" i="1"/>
  <c r="G16460" i="1"/>
  <c r="G16471" i="1"/>
  <c r="G16482" i="1"/>
  <c r="G16493" i="1"/>
  <c r="G16504" i="1"/>
  <c r="G16515" i="1"/>
  <c r="G16526" i="1"/>
  <c r="G16537" i="1"/>
  <c r="G16548" i="1"/>
  <c r="G16559" i="1"/>
  <c r="G16570" i="1"/>
  <c r="G16581" i="1"/>
  <c r="G16592" i="1"/>
  <c r="G16603" i="1"/>
  <c r="G16614" i="1"/>
  <c r="G16625" i="1"/>
  <c r="G16636" i="1"/>
  <c r="G16647" i="1"/>
  <c r="G16658" i="1"/>
  <c r="G16669" i="1"/>
  <c r="G16680" i="1"/>
  <c r="G12677" i="1"/>
  <c r="G12688" i="1"/>
  <c r="G12699" i="1"/>
  <c r="G12710" i="1"/>
  <c r="G12721" i="1"/>
  <c r="G12732" i="1"/>
  <c r="G12743" i="1"/>
  <c r="G12754" i="1"/>
  <c r="G12765" i="1"/>
  <c r="G12776" i="1"/>
  <c r="G12787" i="1"/>
  <c r="G12798" i="1"/>
  <c r="G12809" i="1"/>
  <c r="G12820" i="1"/>
  <c r="G12831" i="1"/>
  <c r="G12842" i="1"/>
  <c r="G12853" i="1"/>
  <c r="G12864" i="1"/>
  <c r="G12875" i="1"/>
  <c r="G12886" i="1"/>
  <c r="G12897" i="1"/>
  <c r="G12908" i="1"/>
  <c r="G12919" i="1"/>
  <c r="G12930" i="1"/>
  <c r="G12941" i="1"/>
  <c r="G12952" i="1"/>
  <c r="G12963" i="1"/>
  <c r="G12974" i="1"/>
  <c r="G12985" i="1"/>
  <c r="G12996" i="1"/>
  <c r="G13007" i="1"/>
  <c r="G13018" i="1"/>
  <c r="G13029" i="1"/>
  <c r="G13040" i="1"/>
  <c r="G13051" i="1"/>
  <c r="G13062" i="1"/>
  <c r="G13073" i="1"/>
  <c r="G13084" i="1"/>
  <c r="G13095" i="1"/>
  <c r="G13106" i="1"/>
  <c r="G13117" i="1"/>
  <c r="G13128" i="1"/>
  <c r="G13139" i="1"/>
  <c r="G13150" i="1"/>
  <c r="G13161" i="1"/>
  <c r="G13172" i="1"/>
  <c r="G13183" i="1"/>
  <c r="G13194" i="1"/>
  <c r="G13205" i="1"/>
  <c r="G13216" i="1"/>
  <c r="G13227" i="1"/>
  <c r="G13238" i="1"/>
  <c r="G13249" i="1"/>
  <c r="G13260" i="1"/>
  <c r="G13271" i="1"/>
  <c r="G13282" i="1"/>
  <c r="G13293" i="1"/>
  <c r="G13304" i="1"/>
  <c r="G13315" i="1"/>
  <c r="G13326" i="1"/>
  <c r="G13337" i="1"/>
  <c r="G13348" i="1"/>
  <c r="G13359" i="1"/>
  <c r="G13370" i="1"/>
  <c r="G13381" i="1"/>
  <c r="G13392" i="1"/>
  <c r="G13403" i="1"/>
  <c r="G13414" i="1"/>
  <c r="G13425" i="1"/>
  <c r="G13436" i="1"/>
  <c r="G13447" i="1"/>
  <c r="G13458" i="1"/>
  <c r="G13469" i="1"/>
  <c r="G13480" i="1"/>
  <c r="G13491" i="1"/>
  <c r="G13502" i="1"/>
  <c r="G13513" i="1"/>
  <c r="G13524" i="1"/>
  <c r="G13535" i="1"/>
  <c r="G13546" i="1"/>
  <c r="G13557" i="1"/>
  <c r="G13568" i="1"/>
  <c r="G13579" i="1"/>
  <c r="G13590" i="1"/>
  <c r="G13601" i="1"/>
  <c r="G13612" i="1"/>
  <c r="G13623" i="1"/>
  <c r="G13634" i="1"/>
  <c r="G13645" i="1"/>
  <c r="G13656" i="1"/>
  <c r="G13667" i="1"/>
  <c r="G13678" i="1"/>
  <c r="G13689" i="1"/>
  <c r="G13700" i="1"/>
  <c r="G13711" i="1"/>
  <c r="G13722" i="1"/>
  <c r="G13733" i="1"/>
  <c r="G13744" i="1"/>
  <c r="G13755" i="1"/>
  <c r="G13766" i="1"/>
  <c r="G13777" i="1"/>
  <c r="G13788" i="1"/>
  <c r="G13799" i="1"/>
  <c r="G13810" i="1"/>
  <c r="G13821" i="1"/>
  <c r="G13832" i="1"/>
  <c r="G13843" i="1"/>
  <c r="G13854" i="1"/>
  <c r="G13865" i="1"/>
  <c r="G13876" i="1"/>
  <c r="G13887" i="1"/>
  <c r="G13898" i="1"/>
  <c r="G13909" i="1"/>
  <c r="G13920" i="1"/>
  <c r="G13931" i="1"/>
  <c r="G13942" i="1"/>
  <c r="G13953" i="1"/>
  <c r="G13964" i="1"/>
  <c r="G13975" i="1"/>
  <c r="G13986" i="1"/>
  <c r="G13997" i="1"/>
  <c r="G14008" i="1"/>
  <c r="G14019" i="1"/>
  <c r="G14030" i="1"/>
  <c r="G14041" i="1"/>
  <c r="G14052" i="1"/>
  <c r="G14063" i="1"/>
  <c r="G14074" i="1"/>
  <c r="G14085" i="1"/>
  <c r="G14096" i="1"/>
  <c r="G14107" i="1"/>
  <c r="G14118" i="1"/>
  <c r="G14129" i="1"/>
  <c r="G14140" i="1"/>
  <c r="G14151" i="1"/>
  <c r="G14162" i="1"/>
  <c r="G14173" i="1"/>
  <c r="G14184" i="1"/>
  <c r="G14195" i="1"/>
  <c r="G14206" i="1"/>
  <c r="G14217" i="1"/>
  <c r="G14228" i="1"/>
  <c r="G14239" i="1"/>
  <c r="G14250" i="1"/>
  <c r="G14261" i="1"/>
  <c r="G14272" i="1"/>
  <c r="G14283" i="1"/>
  <c r="G14294" i="1"/>
  <c r="G14305" i="1"/>
  <c r="G14316" i="1"/>
  <c r="G14327" i="1"/>
  <c r="G14338" i="1"/>
  <c r="G14349" i="1"/>
  <c r="G14360" i="1"/>
  <c r="G14371" i="1"/>
  <c r="G14382" i="1"/>
  <c r="G14393" i="1"/>
  <c r="G14404" i="1"/>
  <c r="G14415" i="1"/>
  <c r="G14426" i="1"/>
  <c r="G14437" i="1"/>
  <c r="G14448" i="1"/>
  <c r="G14459" i="1"/>
  <c r="G14470" i="1"/>
  <c r="G14481" i="1"/>
  <c r="G14492" i="1"/>
  <c r="G14503" i="1"/>
  <c r="G14514" i="1"/>
  <c r="G14525" i="1"/>
  <c r="G14536" i="1"/>
  <c r="G14547" i="1"/>
  <c r="G14558" i="1"/>
  <c r="G14569" i="1"/>
  <c r="G14580" i="1"/>
  <c r="G14591" i="1"/>
  <c r="G14602" i="1"/>
  <c r="G14613" i="1"/>
  <c r="G14624" i="1"/>
  <c r="G14635" i="1"/>
  <c r="G14646" i="1"/>
  <c r="G14657" i="1"/>
  <c r="G14668" i="1"/>
  <c r="G14679" i="1"/>
  <c r="G14690" i="1"/>
  <c r="G14701" i="1"/>
  <c r="G14712" i="1"/>
  <c r="G14723" i="1"/>
  <c r="G14734" i="1"/>
  <c r="G14745" i="1"/>
  <c r="G14756" i="1"/>
  <c r="G14767" i="1"/>
  <c r="G14778" i="1"/>
  <c r="G14789" i="1"/>
  <c r="G14800" i="1"/>
  <c r="G14811" i="1"/>
  <c r="G14822" i="1"/>
  <c r="G14833" i="1"/>
  <c r="G14844" i="1"/>
  <c r="G14855" i="1"/>
  <c r="G14866" i="1"/>
  <c r="G14877" i="1"/>
  <c r="G14888" i="1"/>
  <c r="G14899" i="1"/>
  <c r="G14910" i="1"/>
  <c r="G14921" i="1"/>
  <c r="G14932" i="1"/>
  <c r="G14943" i="1"/>
  <c r="G14954" i="1"/>
  <c r="G14965" i="1"/>
  <c r="G14976" i="1"/>
  <c r="G14987" i="1"/>
  <c r="G14998" i="1"/>
  <c r="G15009" i="1"/>
  <c r="G15020" i="1"/>
  <c r="G15031" i="1"/>
  <c r="G15042" i="1"/>
  <c r="G15053" i="1"/>
  <c r="G15064" i="1"/>
  <c r="G15075" i="1"/>
  <c r="G15086" i="1"/>
  <c r="G15097" i="1"/>
  <c r="G15108" i="1"/>
  <c r="G15119" i="1"/>
  <c r="G15130" i="1"/>
  <c r="G15141" i="1"/>
  <c r="G15152" i="1"/>
  <c r="G15163" i="1"/>
  <c r="G15174" i="1"/>
  <c r="G15185" i="1"/>
  <c r="G15196" i="1"/>
  <c r="G15207" i="1"/>
  <c r="G15218" i="1"/>
  <c r="G15229" i="1"/>
  <c r="G15240" i="1"/>
  <c r="G15251" i="1"/>
  <c r="G15262" i="1"/>
  <c r="G15273" i="1"/>
  <c r="G15284" i="1"/>
  <c r="G15295" i="1"/>
  <c r="G15306" i="1"/>
  <c r="G15317" i="1"/>
  <c r="G15328" i="1"/>
  <c r="G15339" i="1"/>
  <c r="G15350" i="1"/>
  <c r="G15361" i="1"/>
  <c r="G15372" i="1"/>
  <c r="G15383" i="1"/>
  <c r="G15394" i="1"/>
  <c r="G15405" i="1"/>
  <c r="G15416" i="1"/>
  <c r="G15427" i="1"/>
  <c r="G15438" i="1"/>
  <c r="G15449" i="1"/>
  <c r="G15460" i="1"/>
  <c r="G15471" i="1"/>
  <c r="G15482" i="1"/>
  <c r="G15493" i="1"/>
  <c r="G15504" i="1"/>
  <c r="G15515" i="1"/>
  <c r="G15526" i="1"/>
  <c r="G15537" i="1"/>
  <c r="G15548" i="1"/>
  <c r="G15559" i="1"/>
  <c r="G15570" i="1"/>
  <c r="G15581" i="1"/>
  <c r="G15592" i="1"/>
  <c r="G15603" i="1"/>
  <c r="G15614" i="1"/>
  <c r="G15625" i="1"/>
  <c r="G15636" i="1"/>
  <c r="G15647" i="1"/>
  <c r="G15658" i="1"/>
  <c r="G15669" i="1"/>
  <c r="G15680" i="1"/>
  <c r="G15691" i="1"/>
  <c r="G15702" i="1"/>
  <c r="G15713" i="1"/>
  <c r="G15724" i="1"/>
  <c r="G15735" i="1"/>
  <c r="G15746" i="1"/>
  <c r="G15757" i="1"/>
  <c r="G15768" i="1"/>
  <c r="G15779" i="1"/>
  <c r="G15790" i="1"/>
  <c r="G15801" i="1"/>
  <c r="G15812" i="1"/>
  <c r="G15823" i="1"/>
  <c r="G15834" i="1"/>
  <c r="G15845" i="1"/>
  <c r="G15856" i="1"/>
  <c r="G15867" i="1"/>
  <c r="G15878" i="1"/>
  <c r="G15889" i="1"/>
  <c r="G15900" i="1"/>
  <c r="G15911" i="1"/>
  <c r="G15922" i="1"/>
  <c r="G15933" i="1"/>
  <c r="G15944" i="1"/>
  <c r="G15955" i="1"/>
  <c r="G15966" i="1"/>
  <c r="G15977" i="1"/>
  <c r="G15988" i="1"/>
  <c r="G15999" i="1"/>
  <c r="G16010" i="1"/>
  <c r="G16021" i="1"/>
  <c r="G16032" i="1"/>
  <c r="G16043" i="1"/>
  <c r="G16054" i="1"/>
  <c r="G16065" i="1"/>
  <c r="G16076" i="1"/>
  <c r="G16087" i="1"/>
  <c r="G16098" i="1"/>
  <c r="G16109" i="1"/>
  <c r="G16120" i="1"/>
  <c r="G16131" i="1"/>
  <c r="G16142" i="1"/>
  <c r="G16153" i="1"/>
  <c r="G16164" i="1"/>
  <c r="G16175" i="1"/>
  <c r="G16186" i="1"/>
  <c r="G16197" i="1"/>
  <c r="G16208" i="1"/>
  <c r="G16219" i="1"/>
  <c r="G16230" i="1"/>
  <c r="G16241" i="1"/>
  <c r="G16252" i="1"/>
  <c r="G16263" i="1"/>
  <c r="G16274" i="1"/>
  <c r="G16285" i="1"/>
  <c r="G16296" i="1"/>
  <c r="G16307" i="1"/>
  <c r="G16318" i="1"/>
  <c r="G16329" i="1"/>
  <c r="G16340" i="1"/>
  <c r="G16351" i="1"/>
  <c r="G16362" i="1"/>
  <c r="G16373" i="1"/>
  <c r="G16384" i="1"/>
  <c r="G16395" i="1"/>
  <c r="G16406" i="1"/>
  <c r="G16417" i="1"/>
  <c r="G16428" i="1"/>
  <c r="G16439" i="1"/>
  <c r="G16450" i="1"/>
  <c r="G16461" i="1"/>
  <c r="G16472" i="1"/>
  <c r="G16483" i="1"/>
  <c r="G16494" i="1"/>
  <c r="G16505" i="1"/>
  <c r="G16516" i="1"/>
  <c r="G16527" i="1"/>
  <c r="G16538" i="1"/>
  <c r="G16549" i="1"/>
  <c r="G16560" i="1"/>
  <c r="G16571" i="1"/>
  <c r="G16582" i="1"/>
  <c r="G16593" i="1"/>
  <c r="G16604" i="1"/>
  <c r="G16615" i="1"/>
  <c r="G16626" i="1"/>
  <c r="G16637" i="1"/>
  <c r="G16648" i="1"/>
  <c r="G16659" i="1"/>
  <c r="G16670" i="1"/>
  <c r="G16681" i="1"/>
  <c r="G12678" i="1"/>
  <c r="G12689" i="1"/>
  <c r="G12700" i="1"/>
  <c r="G12711" i="1"/>
  <c r="G12722" i="1"/>
  <c r="G12733" i="1"/>
  <c r="G12744" i="1"/>
  <c r="G12755" i="1"/>
  <c r="G12766" i="1"/>
  <c r="G12777" i="1"/>
  <c r="G12788" i="1"/>
  <c r="G12799" i="1"/>
  <c r="G12810" i="1"/>
  <c r="G12821" i="1"/>
  <c r="G12832" i="1"/>
  <c r="G12843" i="1"/>
  <c r="G12854" i="1"/>
  <c r="G12865" i="1"/>
  <c r="G12876" i="1"/>
  <c r="G12887" i="1"/>
  <c r="G12898" i="1"/>
  <c r="G12909" i="1"/>
  <c r="G12920" i="1"/>
  <c r="G12931" i="1"/>
  <c r="G12942" i="1"/>
  <c r="G12953" i="1"/>
  <c r="G12964" i="1"/>
  <c r="G12975" i="1"/>
  <c r="G12986" i="1"/>
  <c r="G12997" i="1"/>
  <c r="G13008" i="1"/>
  <c r="G13019" i="1"/>
  <c r="G13030" i="1"/>
  <c r="G13041" i="1"/>
  <c r="G13052" i="1"/>
  <c r="G13063" i="1"/>
  <c r="G13074" i="1"/>
  <c r="G13085" i="1"/>
  <c r="G13096" i="1"/>
  <c r="G13107" i="1"/>
  <c r="G13118" i="1"/>
  <c r="G13129" i="1"/>
  <c r="G13140" i="1"/>
  <c r="G13151" i="1"/>
  <c r="G13162" i="1"/>
  <c r="G13173" i="1"/>
  <c r="G13184" i="1"/>
  <c r="G13195" i="1"/>
  <c r="G13206" i="1"/>
  <c r="G13217" i="1"/>
  <c r="G13228" i="1"/>
  <c r="G13239" i="1"/>
  <c r="G13250" i="1"/>
  <c r="G13261" i="1"/>
  <c r="G13272" i="1"/>
  <c r="G13283" i="1"/>
  <c r="G13294" i="1"/>
  <c r="G13305" i="1"/>
  <c r="G13316" i="1"/>
  <c r="G13327" i="1"/>
  <c r="G13338" i="1"/>
  <c r="G13349" i="1"/>
  <c r="G13360" i="1"/>
  <c r="G13371" i="1"/>
  <c r="G13382" i="1"/>
  <c r="G13393" i="1"/>
  <c r="G13404" i="1"/>
  <c r="G13415" i="1"/>
  <c r="G13426" i="1"/>
  <c r="G13437" i="1"/>
  <c r="G13448" i="1"/>
  <c r="G13459" i="1"/>
  <c r="G13470" i="1"/>
  <c r="G13481" i="1"/>
  <c r="G13492" i="1"/>
  <c r="G13503" i="1"/>
  <c r="G13514" i="1"/>
  <c r="G13525" i="1"/>
  <c r="G13536" i="1"/>
  <c r="G13547" i="1"/>
  <c r="G13558" i="1"/>
  <c r="G13569" i="1"/>
  <c r="G13580" i="1"/>
  <c r="G13591" i="1"/>
  <c r="G13602" i="1"/>
  <c r="G13613" i="1"/>
  <c r="G13624" i="1"/>
  <c r="G13635" i="1"/>
  <c r="G13646" i="1"/>
  <c r="G13657" i="1"/>
  <c r="G13668" i="1"/>
  <c r="G13679" i="1"/>
  <c r="G13690" i="1"/>
  <c r="G13701" i="1"/>
  <c r="G13712" i="1"/>
  <c r="G13723" i="1"/>
  <c r="G13734" i="1"/>
  <c r="G13745" i="1"/>
  <c r="G13756" i="1"/>
  <c r="G13767" i="1"/>
  <c r="G13778" i="1"/>
  <c r="G13789" i="1"/>
  <c r="G13800" i="1"/>
  <c r="G13811" i="1"/>
  <c r="G13822" i="1"/>
  <c r="G13833" i="1"/>
  <c r="G13844" i="1"/>
  <c r="G13855" i="1"/>
  <c r="G13866" i="1"/>
  <c r="G13877" i="1"/>
  <c r="G13888" i="1"/>
  <c r="G13899" i="1"/>
  <c r="G13910" i="1"/>
  <c r="G13921" i="1"/>
  <c r="G13932" i="1"/>
  <c r="G13943" i="1"/>
  <c r="G13954" i="1"/>
  <c r="G13965" i="1"/>
  <c r="G13976" i="1"/>
  <c r="G13987" i="1"/>
  <c r="G13998" i="1"/>
  <c r="G14009" i="1"/>
  <c r="G14020" i="1"/>
  <c r="G14031" i="1"/>
  <c r="G14042" i="1"/>
  <c r="G14053" i="1"/>
  <c r="G14064" i="1"/>
  <c r="G14075" i="1"/>
  <c r="G14086" i="1"/>
  <c r="G14097" i="1"/>
  <c r="G14108" i="1"/>
  <c r="G14119" i="1"/>
  <c r="G14130" i="1"/>
  <c r="G14141" i="1"/>
  <c r="G14152" i="1"/>
  <c r="G14163" i="1"/>
  <c r="G14174" i="1"/>
  <c r="G14185" i="1"/>
  <c r="G14196" i="1"/>
  <c r="G14207" i="1"/>
  <c r="G14218" i="1"/>
  <c r="G14229" i="1"/>
  <c r="G14240" i="1"/>
  <c r="G14251" i="1"/>
  <c r="G14262" i="1"/>
  <c r="G14273" i="1"/>
  <c r="G14284" i="1"/>
  <c r="G14295" i="1"/>
  <c r="G14306" i="1"/>
  <c r="G14317" i="1"/>
  <c r="G14328" i="1"/>
  <c r="G14339" i="1"/>
  <c r="G14350" i="1"/>
  <c r="G14361" i="1"/>
  <c r="G14372" i="1"/>
  <c r="G14383" i="1"/>
  <c r="G14394" i="1"/>
  <c r="G14405" i="1"/>
  <c r="G14416" i="1"/>
  <c r="G14427" i="1"/>
  <c r="G14438" i="1"/>
  <c r="G14449" i="1"/>
  <c r="G14460" i="1"/>
  <c r="G14471" i="1"/>
  <c r="G14482" i="1"/>
  <c r="G14493" i="1"/>
  <c r="G14504" i="1"/>
  <c r="G14515" i="1"/>
  <c r="G14526" i="1"/>
  <c r="G14537" i="1"/>
  <c r="G14548" i="1"/>
  <c r="G14559" i="1"/>
  <c r="G14570" i="1"/>
  <c r="G14581" i="1"/>
  <c r="G14592" i="1"/>
  <c r="G14603" i="1"/>
  <c r="G14614" i="1"/>
  <c r="G14625" i="1"/>
  <c r="G14636" i="1"/>
  <c r="G14647" i="1"/>
  <c r="G14658" i="1"/>
  <c r="G14669" i="1"/>
  <c r="G14680" i="1"/>
  <c r="G14691" i="1"/>
  <c r="G14702" i="1"/>
  <c r="G14713" i="1"/>
  <c r="G14724" i="1"/>
  <c r="G14735" i="1"/>
  <c r="G14746" i="1"/>
  <c r="G14757" i="1"/>
  <c r="G14768" i="1"/>
  <c r="G14779" i="1"/>
  <c r="G14790" i="1"/>
  <c r="G14801" i="1"/>
  <c r="G14812" i="1"/>
  <c r="G14823" i="1"/>
  <c r="G14834" i="1"/>
  <c r="G14845" i="1"/>
  <c r="G14856" i="1"/>
  <c r="G14867" i="1"/>
  <c r="G14878" i="1"/>
  <c r="G14889" i="1"/>
  <c r="G14900" i="1"/>
  <c r="G14911" i="1"/>
  <c r="G14922" i="1"/>
  <c r="G14933" i="1"/>
  <c r="G14944" i="1"/>
  <c r="G14955" i="1"/>
  <c r="G14966" i="1"/>
  <c r="G14977" i="1"/>
  <c r="G14988" i="1"/>
  <c r="G14999" i="1"/>
  <c r="G15010" i="1"/>
  <c r="G15021" i="1"/>
  <c r="G15032" i="1"/>
  <c r="G15043" i="1"/>
  <c r="G15054" i="1"/>
  <c r="G15065" i="1"/>
  <c r="G15076" i="1"/>
  <c r="G15087" i="1"/>
  <c r="G15098" i="1"/>
  <c r="G15109" i="1"/>
  <c r="G15120" i="1"/>
  <c r="G15131" i="1"/>
  <c r="G15142" i="1"/>
  <c r="G15153" i="1"/>
  <c r="G15164" i="1"/>
  <c r="G15175" i="1"/>
  <c r="G15186" i="1"/>
  <c r="G15197" i="1"/>
  <c r="G15208" i="1"/>
  <c r="G15219" i="1"/>
  <c r="G15230" i="1"/>
  <c r="G15241" i="1"/>
  <c r="G15252" i="1"/>
  <c r="G15263" i="1"/>
  <c r="G15274" i="1"/>
  <c r="G15285" i="1"/>
  <c r="G15296" i="1"/>
  <c r="G15307" i="1"/>
  <c r="G15318" i="1"/>
  <c r="G15329" i="1"/>
  <c r="G15340" i="1"/>
  <c r="G15351" i="1"/>
  <c r="G15362" i="1"/>
  <c r="G15373" i="1"/>
  <c r="G15384" i="1"/>
  <c r="G15395" i="1"/>
  <c r="G15406" i="1"/>
  <c r="G15417" i="1"/>
  <c r="G15428" i="1"/>
  <c r="G15439" i="1"/>
  <c r="G15450" i="1"/>
  <c r="G15461" i="1"/>
  <c r="G15472" i="1"/>
  <c r="G15483" i="1"/>
  <c r="G15494" i="1"/>
  <c r="G15505" i="1"/>
  <c r="G15516" i="1"/>
  <c r="G15527" i="1"/>
  <c r="G15538" i="1"/>
  <c r="G15549" i="1"/>
  <c r="G15560" i="1"/>
  <c r="G15571" i="1"/>
  <c r="G15582" i="1"/>
  <c r="G15593" i="1"/>
  <c r="G15604" i="1"/>
  <c r="G15615" i="1"/>
  <c r="G15626" i="1"/>
  <c r="G15637" i="1"/>
  <c r="G15648" i="1"/>
  <c r="G15659" i="1"/>
  <c r="G15670" i="1"/>
  <c r="G15681" i="1"/>
  <c r="G15692" i="1"/>
  <c r="G15703" i="1"/>
  <c r="G15714" i="1"/>
  <c r="G15725" i="1"/>
  <c r="G15736" i="1"/>
  <c r="G15747" i="1"/>
  <c r="G15758" i="1"/>
  <c r="G15769" i="1"/>
  <c r="G15780" i="1"/>
  <c r="G15791" i="1"/>
  <c r="G15802" i="1"/>
  <c r="G15813" i="1"/>
  <c r="G15824" i="1"/>
  <c r="G15835" i="1"/>
  <c r="G15846" i="1"/>
  <c r="G15857" i="1"/>
  <c r="G15868" i="1"/>
  <c r="G15879" i="1"/>
  <c r="G15890" i="1"/>
  <c r="G15901" i="1"/>
  <c r="G15912" i="1"/>
  <c r="G15923" i="1"/>
  <c r="G15934" i="1"/>
  <c r="G15945" i="1"/>
  <c r="G15956" i="1"/>
  <c r="G15967" i="1"/>
  <c r="G15978" i="1"/>
  <c r="G15989" i="1"/>
  <c r="G16000" i="1"/>
  <c r="G16011" i="1"/>
  <c r="G16022" i="1"/>
  <c r="G16033" i="1"/>
  <c r="G16044" i="1"/>
  <c r="G16055" i="1"/>
  <c r="G16066" i="1"/>
  <c r="G16077" i="1"/>
  <c r="G16088" i="1"/>
  <c r="G16099" i="1"/>
  <c r="G16110" i="1"/>
  <c r="G16121" i="1"/>
  <c r="G16132" i="1"/>
  <c r="G16143" i="1"/>
  <c r="G16154" i="1"/>
  <c r="G16165" i="1"/>
  <c r="G16176" i="1"/>
  <c r="G16187" i="1"/>
  <c r="G16198" i="1"/>
  <c r="G16209" i="1"/>
  <c r="G16220" i="1"/>
  <c r="G16231" i="1"/>
  <c r="G16242" i="1"/>
  <c r="G16253" i="1"/>
  <c r="G16264" i="1"/>
  <c r="G16275" i="1"/>
  <c r="G16286" i="1"/>
  <c r="G16297" i="1"/>
  <c r="G16308" i="1"/>
  <c r="G16319" i="1"/>
  <c r="G16330" i="1"/>
  <c r="G16341" i="1"/>
  <c r="G16352" i="1"/>
  <c r="G16363" i="1"/>
  <c r="G16374" i="1"/>
  <c r="G16385" i="1"/>
  <c r="G16396" i="1"/>
  <c r="G16407" i="1"/>
  <c r="G16418" i="1"/>
  <c r="G16429" i="1"/>
  <c r="G16440" i="1"/>
  <c r="G16451" i="1"/>
  <c r="G16462" i="1"/>
  <c r="G16473" i="1"/>
  <c r="G16484" i="1"/>
  <c r="G16495" i="1"/>
  <c r="G16506" i="1"/>
  <c r="G16517" i="1"/>
  <c r="G16528" i="1"/>
  <c r="G16539" i="1"/>
  <c r="G16550" i="1"/>
  <c r="G16561" i="1"/>
  <c r="G16572" i="1"/>
  <c r="G16583" i="1"/>
  <c r="G16594" i="1"/>
  <c r="G16605" i="1"/>
  <c r="G16616" i="1"/>
  <c r="G16627" i="1"/>
  <c r="G16638" i="1"/>
  <c r="G16649" i="1"/>
  <c r="G16660" i="1"/>
  <c r="G16671" i="1"/>
  <c r="G16682" i="1"/>
  <c r="G12679" i="1"/>
  <c r="G12690" i="1"/>
  <c r="G12701" i="1"/>
  <c r="G12712" i="1"/>
  <c r="G12723" i="1"/>
  <c r="G12734" i="1"/>
  <c r="G12745" i="1"/>
  <c r="G12756" i="1"/>
  <c r="G12767" i="1"/>
  <c r="G12778" i="1"/>
  <c r="G12789" i="1"/>
  <c r="G12800" i="1"/>
  <c r="G12811" i="1"/>
  <c r="G12822" i="1"/>
  <c r="G12833" i="1"/>
  <c r="G12844" i="1"/>
  <c r="G12855" i="1"/>
  <c r="G12866" i="1"/>
  <c r="G12877" i="1"/>
  <c r="G12888" i="1"/>
  <c r="G12899" i="1"/>
  <c r="G12910" i="1"/>
  <c r="G12921" i="1"/>
  <c r="G12932" i="1"/>
  <c r="G12943" i="1"/>
  <c r="G12954" i="1"/>
  <c r="G12965" i="1"/>
  <c r="G12976" i="1"/>
  <c r="G12987" i="1"/>
  <c r="G12998" i="1"/>
  <c r="G13009" i="1"/>
  <c r="G13020" i="1"/>
  <c r="G13031" i="1"/>
  <c r="G13042" i="1"/>
  <c r="G13053" i="1"/>
  <c r="G13064" i="1"/>
  <c r="G13075" i="1"/>
  <c r="G13086" i="1"/>
  <c r="G13097" i="1"/>
  <c r="G13108" i="1"/>
  <c r="G13119" i="1"/>
  <c r="G13130" i="1"/>
  <c r="G13141" i="1"/>
  <c r="G13152" i="1"/>
  <c r="G13163" i="1"/>
  <c r="G13174" i="1"/>
  <c r="G13185" i="1"/>
  <c r="G13196" i="1"/>
  <c r="G13207" i="1"/>
  <c r="G13218" i="1"/>
  <c r="G13229" i="1"/>
  <c r="G13240" i="1"/>
  <c r="G13251" i="1"/>
  <c r="G13262" i="1"/>
  <c r="G13273" i="1"/>
  <c r="G13284" i="1"/>
  <c r="G13295" i="1"/>
  <c r="G13306" i="1"/>
  <c r="G13317" i="1"/>
  <c r="G13328" i="1"/>
  <c r="G13339" i="1"/>
  <c r="G13350" i="1"/>
  <c r="G13361" i="1"/>
  <c r="G13372" i="1"/>
  <c r="G13383" i="1"/>
  <c r="G13394" i="1"/>
  <c r="G13405" i="1"/>
  <c r="G13416" i="1"/>
  <c r="G13427" i="1"/>
  <c r="G13438" i="1"/>
  <c r="G13449" i="1"/>
  <c r="G13460" i="1"/>
  <c r="G13471" i="1"/>
  <c r="G13482" i="1"/>
  <c r="G13493" i="1"/>
  <c r="G13504" i="1"/>
  <c r="G13515" i="1"/>
  <c r="G13526" i="1"/>
  <c r="G13537" i="1"/>
  <c r="G13548" i="1"/>
  <c r="G13559" i="1"/>
  <c r="G13570" i="1"/>
  <c r="G13581" i="1"/>
  <c r="G13592" i="1"/>
  <c r="G13603" i="1"/>
  <c r="G13614" i="1"/>
  <c r="G13625" i="1"/>
  <c r="G13636" i="1"/>
  <c r="G13647" i="1"/>
  <c r="G13658" i="1"/>
  <c r="G13669" i="1"/>
  <c r="G13680" i="1"/>
  <c r="G13691" i="1"/>
  <c r="G13702" i="1"/>
  <c r="G13713" i="1"/>
  <c r="G13724" i="1"/>
  <c r="G13735" i="1"/>
  <c r="G13746" i="1"/>
  <c r="G13757" i="1"/>
  <c r="G13768" i="1"/>
  <c r="G13779" i="1"/>
  <c r="G13790" i="1"/>
  <c r="G13801" i="1"/>
  <c r="G13812" i="1"/>
  <c r="G13823" i="1"/>
  <c r="G13834" i="1"/>
  <c r="G13845" i="1"/>
  <c r="G13856" i="1"/>
  <c r="G13867" i="1"/>
  <c r="G13878" i="1"/>
  <c r="G13889" i="1"/>
  <c r="G13900" i="1"/>
  <c r="G13911" i="1"/>
  <c r="G13922" i="1"/>
  <c r="G13933" i="1"/>
  <c r="G13944" i="1"/>
  <c r="G13955" i="1"/>
  <c r="G13966" i="1"/>
  <c r="G13977" i="1"/>
  <c r="G13988" i="1"/>
  <c r="G13999" i="1"/>
  <c r="G14010" i="1"/>
  <c r="G14021" i="1"/>
  <c r="G14032" i="1"/>
  <c r="G14043" i="1"/>
  <c r="G14054" i="1"/>
  <c r="G14065" i="1"/>
  <c r="G14076" i="1"/>
  <c r="G14087" i="1"/>
  <c r="G14098" i="1"/>
  <c r="G14109" i="1"/>
  <c r="G14120" i="1"/>
  <c r="G14131" i="1"/>
  <c r="G14142" i="1"/>
  <c r="G14153" i="1"/>
  <c r="G14164" i="1"/>
  <c r="G14175" i="1"/>
  <c r="G14186" i="1"/>
  <c r="G14197" i="1"/>
  <c r="G14208" i="1"/>
  <c r="G14219" i="1"/>
  <c r="G14230" i="1"/>
  <c r="G14241" i="1"/>
  <c r="G14252" i="1"/>
  <c r="G14263" i="1"/>
  <c r="G14274" i="1"/>
  <c r="G14285" i="1"/>
  <c r="G14296" i="1"/>
  <c r="G14307" i="1"/>
  <c r="G14318" i="1"/>
  <c r="G14329" i="1"/>
  <c r="G14340" i="1"/>
  <c r="G14351" i="1"/>
  <c r="G14362" i="1"/>
  <c r="G14373" i="1"/>
  <c r="G14384" i="1"/>
  <c r="G14395" i="1"/>
  <c r="G14406" i="1"/>
  <c r="G14417" i="1"/>
  <c r="G14428" i="1"/>
  <c r="G14439" i="1"/>
  <c r="G14450" i="1"/>
  <c r="G14461" i="1"/>
  <c r="G14472" i="1"/>
  <c r="G14483" i="1"/>
  <c r="G14494" i="1"/>
  <c r="G14505" i="1"/>
  <c r="G14516" i="1"/>
  <c r="G14527" i="1"/>
  <c r="G14538" i="1"/>
  <c r="G14549" i="1"/>
  <c r="G14560" i="1"/>
  <c r="G14571" i="1"/>
  <c r="G14582" i="1"/>
  <c r="G14593" i="1"/>
  <c r="G14604" i="1"/>
  <c r="G14615" i="1"/>
  <c r="G14626" i="1"/>
  <c r="G14637" i="1"/>
  <c r="G14648" i="1"/>
  <c r="G14659" i="1"/>
  <c r="G14670" i="1"/>
  <c r="G14681" i="1"/>
  <c r="G14692" i="1"/>
  <c r="G14703" i="1"/>
  <c r="G14714" i="1"/>
  <c r="G14725" i="1"/>
  <c r="G14736" i="1"/>
  <c r="G14747" i="1"/>
  <c r="G14758" i="1"/>
  <c r="G14769" i="1"/>
  <c r="G14780" i="1"/>
  <c r="G14791" i="1"/>
  <c r="G14802" i="1"/>
  <c r="G14813" i="1"/>
  <c r="G14824" i="1"/>
  <c r="G14835" i="1"/>
  <c r="G14846" i="1"/>
  <c r="G14857" i="1"/>
  <c r="G14868" i="1"/>
  <c r="G14879" i="1"/>
  <c r="G14890" i="1"/>
  <c r="G14901" i="1"/>
  <c r="G14912" i="1"/>
  <c r="G14923" i="1"/>
  <c r="G14934" i="1"/>
  <c r="G14945" i="1"/>
  <c r="G14956" i="1"/>
  <c r="G14967" i="1"/>
  <c r="G14978" i="1"/>
  <c r="G14989" i="1"/>
  <c r="G15000" i="1"/>
  <c r="G15011" i="1"/>
  <c r="G15022" i="1"/>
  <c r="G15033" i="1"/>
  <c r="G15044" i="1"/>
  <c r="G15055" i="1"/>
  <c r="G15066" i="1"/>
  <c r="G15077" i="1"/>
  <c r="G15088" i="1"/>
  <c r="G15099" i="1"/>
  <c r="G15110" i="1"/>
  <c r="G15121" i="1"/>
  <c r="G15132" i="1"/>
  <c r="G15143" i="1"/>
  <c r="G15154" i="1"/>
  <c r="G15165" i="1"/>
  <c r="G15176" i="1"/>
  <c r="G15187" i="1"/>
  <c r="G15198" i="1"/>
  <c r="G15209" i="1"/>
  <c r="G15220" i="1"/>
  <c r="G15231" i="1"/>
  <c r="G15242" i="1"/>
  <c r="G15253" i="1"/>
  <c r="G15264" i="1"/>
  <c r="G15275" i="1"/>
  <c r="G15286" i="1"/>
  <c r="G15297" i="1"/>
  <c r="G15308" i="1"/>
  <c r="G15319" i="1"/>
  <c r="G15330" i="1"/>
  <c r="G15341" i="1"/>
  <c r="G15352" i="1"/>
  <c r="G15363" i="1"/>
  <c r="G15374" i="1"/>
  <c r="G15385" i="1"/>
  <c r="G15396" i="1"/>
  <c r="G15407" i="1"/>
  <c r="G15418" i="1"/>
  <c r="G15429" i="1"/>
  <c r="G15440" i="1"/>
  <c r="G15451" i="1"/>
  <c r="G15462" i="1"/>
  <c r="G15473" i="1"/>
  <c r="G15484" i="1"/>
  <c r="G15495" i="1"/>
  <c r="G15506" i="1"/>
  <c r="G15517" i="1"/>
  <c r="G15528" i="1"/>
  <c r="G15539" i="1"/>
  <c r="G15550" i="1"/>
  <c r="G15561" i="1"/>
  <c r="G15572" i="1"/>
  <c r="G15583" i="1"/>
  <c r="G15594" i="1"/>
  <c r="G15605" i="1"/>
  <c r="G15616" i="1"/>
  <c r="G15627" i="1"/>
  <c r="G15638" i="1"/>
  <c r="G15649" i="1"/>
  <c r="G15660" i="1"/>
  <c r="G15671" i="1"/>
  <c r="G15682" i="1"/>
  <c r="G15693" i="1"/>
  <c r="G15704" i="1"/>
  <c r="G15715" i="1"/>
  <c r="G15726" i="1"/>
  <c r="G15737" i="1"/>
  <c r="G15748" i="1"/>
  <c r="G15759" i="1"/>
  <c r="G15770" i="1"/>
  <c r="G15781" i="1"/>
  <c r="G15792" i="1"/>
  <c r="G15803" i="1"/>
  <c r="G15814" i="1"/>
  <c r="G15825" i="1"/>
  <c r="G15836" i="1"/>
  <c r="G15847" i="1"/>
  <c r="G15858" i="1"/>
  <c r="G15869" i="1"/>
  <c r="G15880" i="1"/>
  <c r="G15891" i="1"/>
  <c r="G15902" i="1"/>
  <c r="G15913" i="1"/>
  <c r="G15924" i="1"/>
  <c r="G15935" i="1"/>
  <c r="G15946" i="1"/>
  <c r="G15957" i="1"/>
  <c r="G15968" i="1"/>
  <c r="G15979" i="1"/>
  <c r="G15990" i="1"/>
  <c r="G16001" i="1"/>
  <c r="G16012" i="1"/>
  <c r="G16023" i="1"/>
  <c r="G16034" i="1"/>
  <c r="G16045" i="1"/>
  <c r="G16056" i="1"/>
  <c r="G16067" i="1"/>
  <c r="G16078" i="1"/>
  <c r="G16089" i="1"/>
  <c r="G16100" i="1"/>
  <c r="G16111" i="1"/>
  <c r="G16122" i="1"/>
  <c r="G16133" i="1"/>
  <c r="G16144" i="1"/>
  <c r="G16155" i="1"/>
  <c r="G16166" i="1"/>
  <c r="G16177" i="1"/>
  <c r="G16188" i="1"/>
  <c r="G16199" i="1"/>
  <c r="G16210" i="1"/>
  <c r="G16221" i="1"/>
  <c r="G16232" i="1"/>
  <c r="G16243" i="1"/>
  <c r="G16254" i="1"/>
  <c r="G16265" i="1"/>
  <c r="G16276" i="1"/>
  <c r="G16287" i="1"/>
  <c r="G16298" i="1"/>
  <c r="G16309" i="1"/>
  <c r="G16320" i="1"/>
  <c r="G16331" i="1"/>
  <c r="G16342" i="1"/>
  <c r="G16353" i="1"/>
  <c r="G16364" i="1"/>
  <c r="G16375" i="1"/>
  <c r="G16386" i="1"/>
  <c r="G16397" i="1"/>
  <c r="G16408" i="1"/>
  <c r="G16419" i="1"/>
  <c r="G16430" i="1"/>
  <c r="G16441" i="1"/>
  <c r="G16452" i="1"/>
  <c r="G16463" i="1"/>
  <c r="G16474" i="1"/>
  <c r="G16485" i="1"/>
  <c r="G16496" i="1"/>
  <c r="G16507" i="1"/>
  <c r="G16518" i="1"/>
  <c r="G16529" i="1"/>
  <c r="G16540" i="1"/>
  <c r="G16551" i="1"/>
  <c r="G16562" i="1"/>
  <c r="G16573" i="1"/>
  <c r="G16584" i="1"/>
  <c r="G16595" i="1"/>
  <c r="G16606" i="1"/>
  <c r="G16617" i="1"/>
  <c r="G16628" i="1"/>
  <c r="G16639" i="1"/>
  <c r="G16650" i="1"/>
  <c r="G16661" i="1"/>
  <c r="G16672" i="1"/>
  <c r="G16683" i="1"/>
  <c r="G12680" i="1"/>
  <c r="G12691" i="1"/>
  <c r="G12702" i="1"/>
  <c r="G12713" i="1"/>
  <c r="G12724" i="1"/>
  <c r="G12735" i="1"/>
  <c r="G12746" i="1"/>
  <c r="G12757" i="1"/>
  <c r="G12768" i="1"/>
  <c r="G12779" i="1"/>
  <c r="G12790" i="1"/>
  <c r="G12801" i="1"/>
  <c r="G12812" i="1"/>
  <c r="G12823" i="1"/>
  <c r="G12834" i="1"/>
  <c r="G12845" i="1"/>
  <c r="G12856" i="1"/>
  <c r="G12867" i="1"/>
  <c r="G12878" i="1"/>
  <c r="G12889" i="1"/>
  <c r="G12900" i="1"/>
  <c r="G12911" i="1"/>
  <c r="G12922" i="1"/>
  <c r="G12933" i="1"/>
  <c r="G12944" i="1"/>
  <c r="G12955" i="1"/>
  <c r="G12966" i="1"/>
  <c r="G12977" i="1"/>
  <c r="G12988" i="1"/>
  <c r="G12999" i="1"/>
  <c r="G13010" i="1"/>
  <c r="G13021" i="1"/>
  <c r="G13032" i="1"/>
  <c r="G13043" i="1"/>
  <c r="G13054" i="1"/>
  <c r="G13065" i="1"/>
  <c r="G13076" i="1"/>
  <c r="G13087" i="1"/>
  <c r="G13098" i="1"/>
  <c r="G13109" i="1"/>
  <c r="G13120" i="1"/>
  <c r="G13131" i="1"/>
  <c r="G13142" i="1"/>
  <c r="G13153" i="1"/>
  <c r="G13164" i="1"/>
  <c r="G13175" i="1"/>
  <c r="G13186" i="1"/>
  <c r="G13197" i="1"/>
  <c r="G13208" i="1"/>
  <c r="G13219" i="1"/>
  <c r="G13230" i="1"/>
  <c r="G13241" i="1"/>
  <c r="G13252" i="1"/>
  <c r="G13263" i="1"/>
  <c r="G13274" i="1"/>
  <c r="G13285" i="1"/>
  <c r="G13296" i="1"/>
  <c r="G13307" i="1"/>
  <c r="G13318" i="1"/>
  <c r="G13329" i="1"/>
  <c r="G13340" i="1"/>
  <c r="G13351" i="1"/>
  <c r="G13362" i="1"/>
  <c r="G13373" i="1"/>
  <c r="G13384" i="1"/>
  <c r="G13395" i="1"/>
  <c r="G13406" i="1"/>
  <c r="G13417" i="1"/>
  <c r="G13428" i="1"/>
  <c r="G13439" i="1"/>
  <c r="G13450" i="1"/>
  <c r="G13461" i="1"/>
  <c r="G13472" i="1"/>
  <c r="G13483" i="1"/>
  <c r="G13494" i="1"/>
  <c r="G13505" i="1"/>
  <c r="G13516" i="1"/>
  <c r="G13527" i="1"/>
  <c r="G13538" i="1"/>
  <c r="G13549" i="1"/>
  <c r="G13560" i="1"/>
  <c r="G13571" i="1"/>
  <c r="G13582" i="1"/>
  <c r="G13593" i="1"/>
  <c r="G13604" i="1"/>
  <c r="G13615" i="1"/>
  <c r="G13626" i="1"/>
  <c r="G13637" i="1"/>
  <c r="G13648" i="1"/>
  <c r="G13659" i="1"/>
  <c r="G13670" i="1"/>
  <c r="G13681" i="1"/>
  <c r="G13692" i="1"/>
  <c r="G13703" i="1"/>
  <c r="G13714" i="1"/>
  <c r="G13725" i="1"/>
  <c r="G13736" i="1"/>
  <c r="G13747" i="1"/>
  <c r="G13758" i="1"/>
  <c r="G13769" i="1"/>
  <c r="G13780" i="1"/>
  <c r="G13791" i="1"/>
  <c r="G13802" i="1"/>
  <c r="G13813" i="1"/>
  <c r="G13824" i="1"/>
  <c r="G13835" i="1"/>
  <c r="G13846" i="1"/>
  <c r="G13857" i="1"/>
  <c r="G13868" i="1"/>
  <c r="G13879" i="1"/>
  <c r="G13890" i="1"/>
  <c r="G13901" i="1"/>
  <c r="G13912" i="1"/>
  <c r="G13923" i="1"/>
  <c r="G13934" i="1"/>
  <c r="G13945" i="1"/>
  <c r="G13956" i="1"/>
  <c r="G13967" i="1"/>
  <c r="G13978" i="1"/>
  <c r="G13989" i="1"/>
  <c r="G14000" i="1"/>
  <c r="G14011" i="1"/>
  <c r="G14022" i="1"/>
  <c r="G14033" i="1"/>
  <c r="G14044" i="1"/>
  <c r="G14055" i="1"/>
  <c r="G14066" i="1"/>
  <c r="G14077" i="1"/>
  <c r="G14088" i="1"/>
  <c r="G14099" i="1"/>
  <c r="G14110" i="1"/>
  <c r="G14121" i="1"/>
  <c r="G14132" i="1"/>
  <c r="G14143" i="1"/>
  <c r="G14154" i="1"/>
  <c r="G14165" i="1"/>
  <c r="G14176" i="1"/>
  <c r="G14187" i="1"/>
  <c r="G14198" i="1"/>
  <c r="G14209" i="1"/>
  <c r="G14220" i="1"/>
  <c r="G14231" i="1"/>
  <c r="G14242" i="1"/>
  <c r="G14253" i="1"/>
  <c r="G14264" i="1"/>
  <c r="G14275" i="1"/>
  <c r="G14286" i="1"/>
  <c r="G14297" i="1"/>
  <c r="G14308" i="1"/>
  <c r="G14319" i="1"/>
  <c r="G14330" i="1"/>
  <c r="G14341" i="1"/>
  <c r="G14352" i="1"/>
  <c r="G14363" i="1"/>
  <c r="G14374" i="1"/>
  <c r="G14385" i="1"/>
  <c r="G14396" i="1"/>
  <c r="G14407" i="1"/>
  <c r="G14418" i="1"/>
  <c r="G14429" i="1"/>
  <c r="G14440" i="1"/>
  <c r="G14451" i="1"/>
  <c r="G14462" i="1"/>
  <c r="G14473" i="1"/>
  <c r="G14484" i="1"/>
  <c r="G14495" i="1"/>
  <c r="G14506" i="1"/>
  <c r="G14517" i="1"/>
  <c r="G14528" i="1"/>
  <c r="G14539" i="1"/>
  <c r="G14550" i="1"/>
  <c r="G14561" i="1"/>
  <c r="G14572" i="1"/>
  <c r="G14583" i="1"/>
  <c r="G14594" i="1"/>
  <c r="G14605" i="1"/>
  <c r="G14616" i="1"/>
  <c r="G14627" i="1"/>
  <c r="G14638" i="1"/>
  <c r="G14649" i="1"/>
  <c r="G14660" i="1"/>
  <c r="G14671" i="1"/>
  <c r="G14682" i="1"/>
  <c r="G14693" i="1"/>
  <c r="G14704" i="1"/>
  <c r="G14715" i="1"/>
  <c r="G14726" i="1"/>
  <c r="G14737" i="1"/>
  <c r="G14748" i="1"/>
  <c r="G14759" i="1"/>
  <c r="G14770" i="1"/>
  <c r="G14781" i="1"/>
  <c r="G14792" i="1"/>
  <c r="G14803" i="1"/>
  <c r="G14814" i="1"/>
  <c r="G14825" i="1"/>
  <c r="G14836" i="1"/>
  <c r="G14847" i="1"/>
  <c r="G14858" i="1"/>
  <c r="G14869" i="1"/>
  <c r="G14880" i="1"/>
  <c r="G14891" i="1"/>
  <c r="G14902" i="1"/>
  <c r="G14913" i="1"/>
  <c r="G14924" i="1"/>
  <c r="G14935" i="1"/>
  <c r="G14946" i="1"/>
  <c r="G14957" i="1"/>
  <c r="G14968" i="1"/>
  <c r="G14979" i="1"/>
  <c r="G14990" i="1"/>
  <c r="G15001" i="1"/>
  <c r="G15012" i="1"/>
  <c r="G15023" i="1"/>
  <c r="G15034" i="1"/>
  <c r="G15045" i="1"/>
  <c r="G15056" i="1"/>
  <c r="G15067" i="1"/>
  <c r="G15078" i="1"/>
  <c r="G15089" i="1"/>
  <c r="G15100" i="1"/>
  <c r="G15111" i="1"/>
  <c r="G15122" i="1"/>
  <c r="G15133" i="1"/>
  <c r="G15144" i="1"/>
  <c r="G15155" i="1"/>
  <c r="G15166" i="1"/>
  <c r="G15177" i="1"/>
  <c r="G15188" i="1"/>
  <c r="G15199" i="1"/>
  <c r="G15210" i="1"/>
  <c r="G15221" i="1"/>
  <c r="G15232" i="1"/>
  <c r="G15243" i="1"/>
  <c r="G15254" i="1"/>
  <c r="G15265" i="1"/>
  <c r="G15276" i="1"/>
  <c r="G15287" i="1"/>
  <c r="G15298" i="1"/>
  <c r="G15309" i="1"/>
  <c r="G15320" i="1"/>
  <c r="G15331" i="1"/>
  <c r="G15342" i="1"/>
  <c r="G15353" i="1"/>
  <c r="G15364" i="1"/>
  <c r="G15375" i="1"/>
  <c r="G15386" i="1"/>
  <c r="G15397" i="1"/>
  <c r="G15408" i="1"/>
  <c r="G15419" i="1"/>
  <c r="G15430" i="1"/>
  <c r="G15441" i="1"/>
  <c r="G15452" i="1"/>
  <c r="G15463" i="1"/>
  <c r="G15474" i="1"/>
  <c r="G15485" i="1"/>
  <c r="G15496" i="1"/>
  <c r="G15507" i="1"/>
  <c r="G15518" i="1"/>
  <c r="G15529" i="1"/>
  <c r="G15540" i="1"/>
  <c r="G15551" i="1"/>
  <c r="G15562" i="1"/>
  <c r="G15573" i="1"/>
  <c r="G15584" i="1"/>
  <c r="G15595" i="1"/>
  <c r="G15606" i="1"/>
  <c r="G15617" i="1"/>
  <c r="G15628" i="1"/>
  <c r="G15639" i="1"/>
  <c r="G15650" i="1"/>
  <c r="G15661" i="1"/>
  <c r="G15672" i="1"/>
  <c r="G15683" i="1"/>
  <c r="G15694" i="1"/>
  <c r="G15705" i="1"/>
  <c r="G15716" i="1"/>
  <c r="G15727" i="1"/>
  <c r="G15738" i="1"/>
  <c r="G15749" i="1"/>
  <c r="G15760" i="1"/>
  <c r="G15771" i="1"/>
  <c r="G15782" i="1"/>
  <c r="G15793" i="1"/>
  <c r="G15804" i="1"/>
  <c r="G15815" i="1"/>
  <c r="G15826" i="1"/>
  <c r="G15837" i="1"/>
  <c r="G15848" i="1"/>
  <c r="G15859" i="1"/>
  <c r="G15870" i="1"/>
  <c r="G15881" i="1"/>
  <c r="G15892" i="1"/>
  <c r="G15903" i="1"/>
  <c r="G15914" i="1"/>
  <c r="G15925" i="1"/>
  <c r="G15936" i="1"/>
  <c r="G15947" i="1"/>
  <c r="G15958" i="1"/>
  <c r="G15969" i="1"/>
  <c r="G15980" i="1"/>
  <c r="G15991" i="1"/>
  <c r="G16002" i="1"/>
  <c r="G16013" i="1"/>
  <c r="G16024" i="1"/>
  <c r="G16035" i="1"/>
  <c r="G16046" i="1"/>
  <c r="G16057" i="1"/>
  <c r="G16068" i="1"/>
  <c r="G16079" i="1"/>
  <c r="G16090" i="1"/>
  <c r="G16101" i="1"/>
  <c r="G16112" i="1"/>
  <c r="G16123" i="1"/>
  <c r="G16134" i="1"/>
  <c r="G16145" i="1"/>
  <c r="G16156" i="1"/>
  <c r="G16167" i="1"/>
  <c r="G16178" i="1"/>
  <c r="G16189" i="1"/>
  <c r="G16200" i="1"/>
  <c r="G16211" i="1"/>
  <c r="G16222" i="1"/>
  <c r="G16233" i="1"/>
  <c r="G16244" i="1"/>
  <c r="G16255" i="1"/>
  <c r="G16266" i="1"/>
  <c r="G16277" i="1"/>
  <c r="G16288" i="1"/>
  <c r="G16299" i="1"/>
  <c r="G16310" i="1"/>
  <c r="G16321" i="1"/>
  <c r="G16332" i="1"/>
  <c r="G16343" i="1"/>
  <c r="G16354" i="1"/>
  <c r="G16365" i="1"/>
  <c r="G16376" i="1"/>
  <c r="G16387" i="1"/>
  <c r="G16398" i="1"/>
  <c r="G16409" i="1"/>
  <c r="G16420" i="1"/>
  <c r="G16431" i="1"/>
  <c r="G16442" i="1"/>
  <c r="G16453" i="1"/>
  <c r="G16464" i="1"/>
  <c r="G16475" i="1"/>
  <c r="G16486" i="1"/>
  <c r="G16497" i="1"/>
  <c r="G16508" i="1"/>
  <c r="G16519" i="1"/>
  <c r="G16530" i="1"/>
  <c r="G16541" i="1"/>
  <c r="G16552" i="1"/>
  <c r="G16563" i="1"/>
  <c r="G16574" i="1"/>
  <c r="G16585" i="1"/>
  <c r="G16596" i="1"/>
  <c r="G16607" i="1"/>
  <c r="G16618" i="1"/>
  <c r="G16629" i="1"/>
  <c r="G16640" i="1"/>
  <c r="G16651" i="1"/>
  <c r="G16662" i="1"/>
  <c r="G16673" i="1"/>
  <c r="G16684" i="1"/>
  <c r="G12681" i="1"/>
  <c r="G12692" i="1"/>
  <c r="G12703" i="1"/>
  <c r="G12714" i="1"/>
  <c r="G12725" i="1"/>
  <c r="G12736" i="1"/>
  <c r="G12747" i="1"/>
  <c r="G12758" i="1"/>
  <c r="G12769" i="1"/>
  <c r="G12780" i="1"/>
  <c r="G12791" i="1"/>
  <c r="G12802" i="1"/>
  <c r="G12813" i="1"/>
  <c r="G12824" i="1"/>
  <c r="G12835" i="1"/>
  <c r="G12846" i="1"/>
  <c r="G12857" i="1"/>
  <c r="G12868" i="1"/>
  <c r="G12879" i="1"/>
  <c r="G12890" i="1"/>
  <c r="G12901" i="1"/>
  <c r="G12912" i="1"/>
  <c r="G12923" i="1"/>
  <c r="G12934" i="1"/>
  <c r="G12945" i="1"/>
  <c r="G12956" i="1"/>
  <c r="G12967" i="1"/>
  <c r="G12978" i="1"/>
  <c r="G12989" i="1"/>
  <c r="G13000" i="1"/>
  <c r="G13011" i="1"/>
  <c r="G13022" i="1"/>
  <c r="G13033" i="1"/>
  <c r="G13044" i="1"/>
  <c r="G13055" i="1"/>
  <c r="G13066" i="1"/>
  <c r="G13077" i="1"/>
  <c r="G13088" i="1"/>
  <c r="G13099" i="1"/>
  <c r="G13110" i="1"/>
  <c r="G13121" i="1"/>
  <c r="G13132" i="1"/>
  <c r="G13143" i="1"/>
  <c r="G13154" i="1"/>
  <c r="G13165" i="1"/>
  <c r="G13176" i="1"/>
  <c r="G13187" i="1"/>
  <c r="G13198" i="1"/>
  <c r="G13209" i="1"/>
  <c r="G13220" i="1"/>
  <c r="G13231" i="1"/>
  <c r="G13242" i="1"/>
  <c r="G13253" i="1"/>
  <c r="G13264" i="1"/>
  <c r="G13275" i="1"/>
  <c r="G13286" i="1"/>
  <c r="G13297" i="1"/>
  <c r="G13308" i="1"/>
  <c r="G13319" i="1"/>
  <c r="G13330" i="1"/>
  <c r="G13341" i="1"/>
  <c r="G13352" i="1"/>
  <c r="G13363" i="1"/>
  <c r="G13374" i="1"/>
  <c r="G13385" i="1"/>
  <c r="G13396" i="1"/>
  <c r="G13407" i="1"/>
  <c r="G13418" i="1"/>
  <c r="G13429" i="1"/>
  <c r="G13440" i="1"/>
  <c r="G13451" i="1"/>
  <c r="G13462" i="1"/>
  <c r="G13473" i="1"/>
  <c r="G13484" i="1"/>
  <c r="G13495" i="1"/>
  <c r="G13506" i="1"/>
  <c r="G13517" i="1"/>
  <c r="G13528" i="1"/>
  <c r="G13539" i="1"/>
  <c r="G13550" i="1"/>
  <c r="G13561" i="1"/>
  <c r="G13572" i="1"/>
  <c r="G13583" i="1"/>
  <c r="G13594" i="1"/>
  <c r="G13605" i="1"/>
  <c r="G13616" i="1"/>
  <c r="G13627" i="1"/>
  <c r="G13638" i="1"/>
  <c r="G13649" i="1"/>
  <c r="G13660" i="1"/>
  <c r="G13671" i="1"/>
  <c r="G13682" i="1"/>
  <c r="G13693" i="1"/>
  <c r="G13704" i="1"/>
  <c r="G13715" i="1"/>
  <c r="G13726" i="1"/>
  <c r="G13737" i="1"/>
  <c r="G13748" i="1"/>
  <c r="G13759" i="1"/>
  <c r="G13770" i="1"/>
  <c r="G13781" i="1"/>
  <c r="G13792" i="1"/>
  <c r="G13803" i="1"/>
  <c r="G13814" i="1"/>
  <c r="G13825" i="1"/>
  <c r="G13836" i="1"/>
  <c r="G13847" i="1"/>
  <c r="G13858" i="1"/>
  <c r="G13869" i="1"/>
  <c r="G13880" i="1"/>
  <c r="G13891" i="1"/>
  <c r="G13902" i="1"/>
  <c r="G13913" i="1"/>
  <c r="G13924" i="1"/>
  <c r="G13935" i="1"/>
  <c r="G13946" i="1"/>
  <c r="G13957" i="1"/>
  <c r="G13968" i="1"/>
  <c r="G13979" i="1"/>
  <c r="G13990" i="1"/>
  <c r="G14001" i="1"/>
  <c r="G14012" i="1"/>
  <c r="G14023" i="1"/>
  <c r="G14034" i="1"/>
  <c r="G14045" i="1"/>
  <c r="G14056" i="1"/>
  <c r="G14067" i="1"/>
  <c r="G14078" i="1"/>
  <c r="G14089" i="1"/>
  <c r="G14100" i="1"/>
  <c r="G14111" i="1"/>
  <c r="G14122" i="1"/>
  <c r="G14133" i="1"/>
  <c r="G14144" i="1"/>
  <c r="G14155" i="1"/>
  <c r="G14166" i="1"/>
  <c r="G14177" i="1"/>
  <c r="G14188" i="1"/>
  <c r="G14199" i="1"/>
  <c r="G14210" i="1"/>
  <c r="G14221" i="1"/>
  <c r="G14232" i="1"/>
  <c r="G14243" i="1"/>
  <c r="G14254" i="1"/>
  <c r="G14265" i="1"/>
  <c r="G14276" i="1"/>
  <c r="G14287" i="1"/>
  <c r="G14298" i="1"/>
  <c r="G14309" i="1"/>
  <c r="G14320" i="1"/>
  <c r="G14331" i="1"/>
  <c r="G14342" i="1"/>
  <c r="G14353" i="1"/>
  <c r="G14364" i="1"/>
  <c r="G14375" i="1"/>
  <c r="G14386" i="1"/>
  <c r="G14397" i="1"/>
  <c r="G14408" i="1"/>
  <c r="G14419" i="1"/>
  <c r="G14430" i="1"/>
  <c r="G14441" i="1"/>
  <c r="G14452" i="1"/>
  <c r="G14463" i="1"/>
  <c r="G14474" i="1"/>
  <c r="G14485" i="1"/>
  <c r="G14496" i="1"/>
  <c r="G14507" i="1"/>
  <c r="G14518" i="1"/>
  <c r="G14529" i="1"/>
  <c r="G14540" i="1"/>
  <c r="G14551" i="1"/>
  <c r="G14562" i="1"/>
  <c r="G14573" i="1"/>
  <c r="G14584" i="1"/>
  <c r="G14595" i="1"/>
  <c r="G14606" i="1"/>
  <c r="G14617" i="1"/>
  <c r="G14628" i="1"/>
  <c r="G14639" i="1"/>
  <c r="G14650" i="1"/>
  <c r="G14661" i="1"/>
  <c r="G14672" i="1"/>
  <c r="G14683" i="1"/>
  <c r="G14694" i="1"/>
  <c r="G14705" i="1"/>
  <c r="G14716" i="1"/>
  <c r="G14727" i="1"/>
  <c r="G14738" i="1"/>
  <c r="G14749" i="1"/>
  <c r="G14760" i="1"/>
  <c r="G14771" i="1"/>
  <c r="G14782" i="1"/>
  <c r="G14793" i="1"/>
  <c r="G14804" i="1"/>
  <c r="G14815" i="1"/>
  <c r="G14826" i="1"/>
  <c r="G14837" i="1"/>
  <c r="G14848" i="1"/>
  <c r="G14859" i="1"/>
  <c r="G14870" i="1"/>
  <c r="G14881" i="1"/>
  <c r="G14892" i="1"/>
  <c r="G14903" i="1"/>
  <c r="G14914" i="1"/>
  <c r="G14925" i="1"/>
  <c r="G14936" i="1"/>
  <c r="G14947" i="1"/>
  <c r="G14958" i="1"/>
  <c r="G14969" i="1"/>
  <c r="G14980" i="1"/>
  <c r="G14991" i="1"/>
  <c r="G15002" i="1"/>
  <c r="G15013" i="1"/>
  <c r="G15024" i="1"/>
  <c r="G15035" i="1"/>
  <c r="G15046" i="1"/>
  <c r="G15057" i="1"/>
  <c r="G15068" i="1"/>
  <c r="G15079" i="1"/>
  <c r="G15090" i="1"/>
  <c r="G15101" i="1"/>
  <c r="G15112" i="1"/>
  <c r="G15123" i="1"/>
  <c r="G15134" i="1"/>
  <c r="G15145" i="1"/>
  <c r="G15156" i="1"/>
  <c r="G15167" i="1"/>
  <c r="G15178" i="1"/>
  <c r="G15189" i="1"/>
  <c r="G15200" i="1"/>
  <c r="G15211" i="1"/>
  <c r="G15222" i="1"/>
  <c r="G15233" i="1"/>
  <c r="G15244" i="1"/>
  <c r="G15255" i="1"/>
  <c r="G15266" i="1"/>
  <c r="G15277" i="1"/>
  <c r="G15288" i="1"/>
  <c r="G15299" i="1"/>
  <c r="G15310" i="1"/>
  <c r="G15321" i="1"/>
  <c r="G15332" i="1"/>
  <c r="G15343" i="1"/>
  <c r="G15354" i="1"/>
  <c r="G15365" i="1"/>
  <c r="G15376" i="1"/>
  <c r="G15387" i="1"/>
  <c r="G15398" i="1"/>
  <c r="G15409" i="1"/>
  <c r="G15420" i="1"/>
  <c r="G15431" i="1"/>
  <c r="G15442" i="1"/>
  <c r="G15453" i="1"/>
  <c r="G15464" i="1"/>
  <c r="G15475" i="1"/>
  <c r="G15486" i="1"/>
  <c r="G15497" i="1"/>
  <c r="G15508" i="1"/>
  <c r="G15519" i="1"/>
  <c r="G15530" i="1"/>
  <c r="G15541" i="1"/>
  <c r="G15552" i="1"/>
  <c r="G15563" i="1"/>
  <c r="G15574" i="1"/>
  <c r="G15585" i="1"/>
  <c r="G15596" i="1"/>
  <c r="G15607" i="1"/>
  <c r="G15618" i="1"/>
  <c r="G15629" i="1"/>
  <c r="G15640" i="1"/>
  <c r="G15651" i="1"/>
  <c r="G15662" i="1"/>
  <c r="G15673" i="1"/>
  <c r="G15684" i="1"/>
  <c r="G15695" i="1"/>
  <c r="G15706" i="1"/>
  <c r="G15717" i="1"/>
  <c r="G15728" i="1"/>
  <c r="G15739" i="1"/>
  <c r="G15750" i="1"/>
  <c r="G15772" i="1"/>
  <c r="G15783" i="1"/>
  <c r="G15794" i="1"/>
  <c r="G15805" i="1"/>
  <c r="G15816" i="1"/>
  <c r="G15827" i="1"/>
  <c r="G15838" i="1"/>
  <c r="G15849" i="1"/>
  <c r="G15860" i="1"/>
  <c r="G15871" i="1"/>
  <c r="G15882" i="1"/>
  <c r="G15893" i="1"/>
  <c r="G15904" i="1"/>
  <c r="G15915" i="1"/>
  <c r="G15926" i="1"/>
  <c r="G15937" i="1"/>
  <c r="G15948" i="1"/>
  <c r="G15959" i="1"/>
  <c r="G15970" i="1"/>
  <c r="G15981" i="1"/>
  <c r="G15992" i="1"/>
  <c r="G16003" i="1"/>
  <c r="G16014" i="1"/>
  <c r="G16025" i="1"/>
  <c r="G16036" i="1"/>
  <c r="G16047" i="1"/>
  <c r="G16058" i="1"/>
  <c r="G16069" i="1"/>
  <c r="G16080" i="1"/>
  <c r="G16091" i="1"/>
  <c r="G16102" i="1"/>
  <c r="G16113" i="1"/>
  <c r="G16124" i="1"/>
  <c r="G16135" i="1"/>
  <c r="G16146" i="1"/>
  <c r="G16157" i="1"/>
  <c r="G16168" i="1"/>
  <c r="G16179" i="1"/>
  <c r="G16190" i="1"/>
  <c r="G16201" i="1"/>
  <c r="G16212" i="1"/>
  <c r="G16223" i="1"/>
  <c r="G16234" i="1"/>
  <c r="G16245" i="1"/>
  <c r="G16256" i="1"/>
  <c r="G16267" i="1"/>
  <c r="G16278" i="1"/>
  <c r="G16289" i="1"/>
  <c r="G16300" i="1"/>
  <c r="G16311" i="1"/>
  <c r="G16322" i="1"/>
  <c r="G16333" i="1"/>
  <c r="G16344" i="1"/>
  <c r="G16355" i="1"/>
  <c r="G16366" i="1"/>
  <c r="G16377" i="1"/>
  <c r="G16388" i="1"/>
  <c r="G16399" i="1"/>
  <c r="G16410" i="1"/>
  <c r="G16421" i="1"/>
  <c r="G16432" i="1"/>
  <c r="G16443" i="1"/>
  <c r="G16454" i="1"/>
  <c r="G16465" i="1"/>
  <c r="G16476" i="1"/>
  <c r="G16487" i="1"/>
  <c r="G16498" i="1"/>
  <c r="G16509" i="1"/>
  <c r="G16520" i="1"/>
  <c r="G16531" i="1"/>
  <c r="G16542" i="1"/>
  <c r="G16553" i="1"/>
  <c r="G16564" i="1"/>
  <c r="G16575" i="1"/>
  <c r="G16586" i="1"/>
  <c r="G16597" i="1"/>
  <c r="G16608" i="1"/>
  <c r="G16619" i="1"/>
  <c r="G16630" i="1"/>
  <c r="G16641" i="1"/>
  <c r="G16652" i="1"/>
  <c r="G16663" i="1"/>
  <c r="G16674" i="1"/>
  <c r="G16685" i="1"/>
</calcChain>
</file>

<file path=xl/sharedStrings.xml><?xml version="1.0" encoding="utf-8"?>
<sst xmlns="http://schemas.openxmlformats.org/spreadsheetml/2006/main" count="15392" uniqueCount="100">
  <si>
    <t>Wayaak</t>
  </si>
  <si>
    <t>shady</t>
  </si>
  <si>
    <t>montazah</t>
  </si>
  <si>
    <t>eman khairy</t>
  </si>
  <si>
    <t>sharqa</t>
  </si>
  <si>
    <t>Amina</t>
  </si>
  <si>
    <t>Royal</t>
  </si>
  <si>
    <t>Sharqia</t>
  </si>
  <si>
    <t>Jasmin</t>
  </si>
  <si>
    <t>Bnoon</t>
  </si>
  <si>
    <t>Adam</t>
  </si>
  <si>
    <t>SHARQA</t>
  </si>
  <si>
    <t xml:space="preserve"> </t>
  </si>
  <si>
    <t>Hemeda</t>
  </si>
  <si>
    <t>Taha Yasen</t>
  </si>
  <si>
    <t>7'</t>
  </si>
  <si>
    <t>6'</t>
  </si>
  <si>
    <t>5'</t>
  </si>
  <si>
    <t>4'</t>
  </si>
  <si>
    <t>3'</t>
  </si>
  <si>
    <t>2'</t>
  </si>
  <si>
    <t>1'</t>
  </si>
  <si>
    <t>Delta</t>
  </si>
  <si>
    <t>Wady El Tip</t>
  </si>
  <si>
    <t>Maghraby</t>
  </si>
  <si>
    <t>El Safwa</t>
  </si>
  <si>
    <t>El Mahd</t>
  </si>
  <si>
    <t>El Asema</t>
  </si>
  <si>
    <t>delta</t>
  </si>
  <si>
    <t>Zohour El Hayat</t>
  </si>
  <si>
    <t>Galal</t>
  </si>
  <si>
    <t>Tarooty</t>
  </si>
  <si>
    <t>El Badr</t>
  </si>
  <si>
    <t>Tulip</t>
  </si>
  <si>
    <t>El Hayat</t>
  </si>
  <si>
    <t>Adam Banha</t>
  </si>
  <si>
    <t>Tabarak</t>
  </si>
  <si>
    <t>Eman Khairy</t>
  </si>
  <si>
    <t>bnoon</t>
  </si>
  <si>
    <t>Cash Customer</t>
  </si>
  <si>
    <t>El Hoda</t>
  </si>
  <si>
    <t>El Ahl</t>
  </si>
  <si>
    <t>Montazah</t>
  </si>
  <si>
    <t>El Safa</t>
  </si>
  <si>
    <t>Leaders</t>
  </si>
  <si>
    <t xml:space="preserve">Sharqia </t>
  </si>
  <si>
    <t>Salah Salem</t>
  </si>
  <si>
    <t>Al Forkan</t>
  </si>
  <si>
    <t>Abd El Hamid</t>
  </si>
  <si>
    <t>Montazah Pediatric</t>
  </si>
  <si>
    <t>Hamdy El Sayed</t>
  </si>
  <si>
    <t>Ebtesama</t>
  </si>
  <si>
    <t>Madina</t>
  </si>
  <si>
    <t>Kamel Pharmacy</t>
  </si>
  <si>
    <t>Nokhba</t>
  </si>
  <si>
    <t>Merchant</t>
  </si>
  <si>
    <t>Shady</t>
  </si>
  <si>
    <t>El Mahdy</t>
  </si>
  <si>
    <t>Ibn Sina</t>
  </si>
  <si>
    <t>Al Moaezz / El Kasr El Einy</t>
  </si>
  <si>
    <t>Asmaa S Salem</t>
  </si>
  <si>
    <t>Rahma Pharmacy</t>
  </si>
  <si>
    <t>Rahma</t>
  </si>
  <si>
    <t>Dorra</t>
  </si>
  <si>
    <t>Zina El Hayat</t>
  </si>
  <si>
    <t>Al Srour</t>
  </si>
  <si>
    <t>Zagazig University</t>
  </si>
  <si>
    <t>Khaled Alexandria</t>
  </si>
  <si>
    <t>Bright</t>
  </si>
  <si>
    <t xml:space="preserve">Dr. Salah </t>
  </si>
  <si>
    <t>Client</t>
  </si>
  <si>
    <t>Balance</t>
  </si>
  <si>
    <t>Debitor</t>
  </si>
  <si>
    <t>Creditor</t>
  </si>
  <si>
    <t>Cogs</t>
  </si>
  <si>
    <t>Invoice No.</t>
  </si>
  <si>
    <t>Date</t>
  </si>
  <si>
    <t>Arkan Center</t>
  </si>
  <si>
    <t>Dr. Ahmed Abdou Sanad</t>
  </si>
  <si>
    <t>Dr. Alaa El Saka</t>
  </si>
  <si>
    <t>Dr. M.Fawzy</t>
  </si>
  <si>
    <t>EAGEL</t>
  </si>
  <si>
    <t>El Abd</t>
  </si>
  <si>
    <t>Hemediya</t>
  </si>
  <si>
    <t>MEDECA HOSPITAL SHARM</t>
  </si>
  <si>
    <t>Maghraby Banha</t>
  </si>
  <si>
    <t>Rabbat</t>
  </si>
  <si>
    <t>Royal Sharqia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</si>
  <si>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</si>
  <si>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</si>
  <si>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</si>
  <si>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</si>
  <si>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</si>
  <si>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</si>
  <si>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</si>
  <si>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</si>
  <si>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</si>
  <si>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18'</t>
  </si>
  <si>
    <t>Hekma</t>
  </si>
  <si>
    <t>Zinat El Hayat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</si>
</sst>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EGP&quot;* #,##0.00_);_(&quot;EGP&quot;* \(#,##0.00\);_(&quot;EGP&quot;* &quot;-&quot;??_);_(@_)"/>
    <numFmt numFmtId="164" formatCode="[$-2000401]0"/>
    <numFmt numFmtId="165" formatCode="0.0"/>
    <numFmt numFmtId="166" formatCode="_(&quot;EGP&quot;* #,##0_);_(&quot;EGP&quot;* \(#,##0\);_(&quot;EGP&quot;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rgb="FFD4D4D4"/>
      <name val="Arial"/>
      <family val="2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66" fontId="5" fillId="0" borderId="0" xfId="1" applyNumberFormat="1" applyFont="1" applyAlignment="1">
      <alignment horizontal="center" vertical="center"/>
    </xf>
    <xf numFmtId="0" fontId="6" fillId="0" borderId="0" xfId="0" applyFont="1"/>
    <xf numFmtId="0" fontId="0" fillId="3" borderId="0" xfId="0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1" xfId="0" applyBorder="1"/>
    <xf numFmtId="14" fontId="7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7FBD-78C7-5E49-AC2F-8BF0232C824A}">
  <dimension ref="B1:M16685"/>
  <sheetViews>
    <sheetView tabSelected="1" workbookViewId="0">
      <selection activeCell="H19" sqref="H19"/>
    </sheetView>
  </sheetViews>
  <sheetFormatPr baseColWidth="10" defaultRowHeight="15" x14ac:dyDescent="0.2"/>
  <cols>
    <col min="2" max="2" width="16.1640625" style="1" customWidth="1"/>
    <col min="3" max="3" width="9.83203125" style="1" bestFit="1" customWidth="1"/>
    <col min="4" max="4" width="16.1640625" style="1" customWidth="1"/>
    <col min="5" max="5" width="17" style="1" customWidth="1"/>
    <col min="6" max="6" width="17" style="1" bestFit="1" customWidth="1"/>
    <col min="7" max="7" width="14.33203125" style="1" customWidth="1"/>
    <col min="8" max="8" width="19.83203125" customWidth="1"/>
  </cols>
  <sheetData>
    <row r="1" spans="2:8" ht="22" x14ac:dyDescent="0.2">
      <c r="D1" s="2"/>
      <c r="F1" s="26"/>
      <c r="G1" s="26"/>
    </row>
    <row r="2" spans="2:8" x14ac:dyDescent="0.2">
      <c r="B2" s="25" t="s">
        <v>76</v>
      </c>
      <c r="C2" s="25" t="s">
        <v>75</v>
      </c>
      <c r="D2" s="25" t="s">
        <v>74</v>
      </c>
      <c r="E2" s="25" t="s">
        <v>73</v>
      </c>
      <c r="F2" s="25" t="s">
        <v>72</v>
      </c>
      <c r="G2" s="25" t="s">
        <v>71</v>
      </c>
      <c r="H2" s="24" t="s">
        <v>70</v>
      </c>
    </row>
    <row r="3" spans="2:8" x14ac:dyDescent="0.2">
      <c r="B3" s="17">
        <v>43831</v>
      </c>
      <c r="C3" s="18">
        <v>1</v>
      </c>
      <c r="D3" s="6">
        <v>7405</v>
      </c>
      <c r="E3" s="2">
        <v>8192.5</v>
      </c>
      <c r="F3" s="2"/>
      <c r="G3" s="2">
        <f t="shared" ref="G3:G66" si="0">E3-F3</f>
        <v>8192.5</v>
      </c>
      <c r="H3" s="2" t="s">
        <v>57</v>
      </c>
    </row>
    <row r="4" spans="2:8" x14ac:dyDescent="0.2">
      <c r="B4" s="17">
        <v>43831</v>
      </c>
      <c r="C4" s="18"/>
      <c r="D4" s="6"/>
      <c r="E4" s="2"/>
      <c r="F4" s="2">
        <v>1000</v>
      </c>
      <c r="G4" s="2">
        <f t="shared" si="0"/>
        <v>-1000</v>
      </c>
      <c r="H4" s="2" t="s">
        <v>57</v>
      </c>
    </row>
    <row r="5" spans="2:8" x14ac:dyDescent="0.2">
      <c r="B5" s="17">
        <v>43831</v>
      </c>
      <c r="C5" s="18"/>
      <c r="D5" s="6"/>
      <c r="E5" s="2"/>
      <c r="F5" s="2">
        <v>750</v>
      </c>
      <c r="G5" s="2">
        <f t="shared" si="0"/>
        <v>-750</v>
      </c>
      <c r="H5" s="2" t="s">
        <v>57</v>
      </c>
    </row>
    <row r="6" spans="2:8" x14ac:dyDescent="0.2">
      <c r="B6" s="17">
        <v>43831</v>
      </c>
      <c r="C6" s="18">
        <v>2</v>
      </c>
      <c r="D6" s="6">
        <v>1242.5</v>
      </c>
      <c r="E6" s="2">
        <v>1312.5</v>
      </c>
      <c r="F6" s="2"/>
      <c r="G6" s="2">
        <f t="shared" si="0"/>
        <v>1312.5</v>
      </c>
      <c r="H6" s="2" t="s">
        <v>57</v>
      </c>
    </row>
    <row r="7" spans="2:8" x14ac:dyDescent="0.2">
      <c r="B7" s="17">
        <v>43831</v>
      </c>
      <c r="C7" s="18"/>
      <c r="D7" s="6"/>
      <c r="E7" s="2"/>
      <c r="F7" s="2">
        <v>600</v>
      </c>
      <c r="G7" s="2">
        <f t="shared" si="0"/>
        <v>-600</v>
      </c>
      <c r="H7" s="2" t="s">
        <v>57</v>
      </c>
    </row>
    <row r="8" spans="2:8" x14ac:dyDescent="0.2">
      <c r="B8" s="17">
        <v>43831</v>
      </c>
      <c r="C8" s="18">
        <v>3</v>
      </c>
      <c r="D8" s="6">
        <v>927</v>
      </c>
      <c r="E8" s="2">
        <v>1010</v>
      </c>
      <c r="F8" s="2"/>
      <c r="G8" s="2">
        <f t="shared" si="0"/>
        <v>1010</v>
      </c>
      <c r="H8" s="2" t="s">
        <v>57</v>
      </c>
    </row>
    <row r="9" spans="2:8" x14ac:dyDescent="0.2">
      <c r="B9" s="37">
        <v>43831</v>
      </c>
      <c r="C9" s="18">
        <v>4</v>
      </c>
      <c r="D9" s="6">
        <v>1430</v>
      </c>
      <c r="E9" s="2">
        <v>1630</v>
      </c>
      <c r="F9" s="2"/>
      <c r="G9" s="2">
        <f t="shared" si="0"/>
        <v>1630</v>
      </c>
      <c r="H9" s="2" t="s">
        <v>57</v>
      </c>
    </row>
    <row r="10" spans="2:8" x14ac:dyDescent="0.2">
      <c r="B10" s="17">
        <v>43831</v>
      </c>
      <c r="C10" s="18">
        <v>5</v>
      </c>
      <c r="D10" s="6">
        <v>892.5</v>
      </c>
      <c r="E10" s="2">
        <v>1011.25</v>
      </c>
      <c r="F10" s="2"/>
      <c r="G10" s="2">
        <f t="shared" si="0"/>
        <v>1011.25</v>
      </c>
      <c r="H10" s="2" t="s">
        <v>79</v>
      </c>
    </row>
    <row r="11" spans="2:8" x14ac:dyDescent="0.2">
      <c r="B11" s="17">
        <v>43831</v>
      </c>
      <c r="C11" s="18"/>
      <c r="D11" s="6"/>
      <c r="E11" s="2"/>
      <c r="F11" s="2">
        <v>1011.25</v>
      </c>
      <c r="G11" s="2">
        <f t="shared" si="0"/>
        <v>-1011.25</v>
      </c>
      <c r="H11" s="2" t="s">
        <v>79</v>
      </c>
    </row>
    <row r="12" spans="2:8" x14ac:dyDescent="0.2">
      <c r="B12" s="17">
        <v>43832</v>
      </c>
      <c r="C12" s="18"/>
      <c r="D12" s="6"/>
      <c r="E12" s="2"/>
      <c r="F12" s="2">
        <v>1120</v>
      </c>
      <c r="G12" s="2">
        <f t="shared" si="0"/>
        <v>-1120</v>
      </c>
      <c r="H12" s="2" t="s">
        <v>57</v>
      </c>
    </row>
    <row r="13" spans="2:8" x14ac:dyDescent="0.2">
      <c r="B13" s="17">
        <v>43832</v>
      </c>
      <c r="C13" s="18">
        <v>6</v>
      </c>
      <c r="D13" s="6">
        <v>650</v>
      </c>
      <c r="E13" s="2">
        <v>750</v>
      </c>
      <c r="F13" s="2"/>
      <c r="G13" s="2">
        <f t="shared" si="0"/>
        <v>750</v>
      </c>
      <c r="H13" s="2" t="s">
        <v>57</v>
      </c>
    </row>
    <row r="14" spans="2:8" x14ac:dyDescent="0.2">
      <c r="B14" s="17">
        <v>43832</v>
      </c>
      <c r="C14" s="18"/>
      <c r="D14" s="6"/>
      <c r="E14" s="2"/>
      <c r="F14" s="5">
        <v>750</v>
      </c>
      <c r="G14" s="2">
        <f t="shared" si="0"/>
        <v>-750</v>
      </c>
      <c r="H14" s="2" t="s">
        <v>57</v>
      </c>
    </row>
    <row r="15" spans="2:8" x14ac:dyDescent="0.2">
      <c r="B15" s="17">
        <v>43832</v>
      </c>
      <c r="C15" s="18">
        <v>7</v>
      </c>
      <c r="D15" s="6">
        <v>325</v>
      </c>
      <c r="E15" s="2">
        <v>375</v>
      </c>
      <c r="F15" s="5"/>
      <c r="G15" s="2">
        <f t="shared" si="0"/>
        <v>375</v>
      </c>
      <c r="H15" s="2" t="s">
        <v>57</v>
      </c>
    </row>
    <row r="16" spans="2:8" x14ac:dyDescent="0.2">
      <c r="B16" s="17">
        <v>43835</v>
      </c>
      <c r="C16" s="18">
        <v>8</v>
      </c>
      <c r="D16" s="6">
        <v>446</v>
      </c>
      <c r="E16" s="2">
        <v>479</v>
      </c>
      <c r="F16" s="2"/>
      <c r="G16" s="2">
        <f t="shared" si="0"/>
        <v>479</v>
      </c>
      <c r="H16" s="2" t="s">
        <v>79</v>
      </c>
    </row>
    <row r="17" spans="2:8" x14ac:dyDescent="0.2">
      <c r="B17" s="17">
        <v>43835</v>
      </c>
      <c r="C17" s="18"/>
      <c r="D17" s="6"/>
      <c r="E17" s="2"/>
      <c r="F17" s="2">
        <v>479</v>
      </c>
      <c r="G17" s="2">
        <f t="shared" si="0"/>
        <v>-479</v>
      </c>
      <c r="H17" s="2" t="s">
        <v>79</v>
      </c>
    </row>
    <row r="18" spans="2:8" x14ac:dyDescent="0.2">
      <c r="B18" s="17">
        <v>43836</v>
      </c>
      <c r="C18" s="18"/>
      <c r="D18" s="6"/>
      <c r="E18" s="2"/>
      <c r="F18" s="2">
        <v>2000</v>
      </c>
      <c r="G18" s="2">
        <f t="shared" si="0"/>
        <v>-2000</v>
      </c>
      <c r="H18" s="2" t="s">
        <v>57</v>
      </c>
    </row>
    <row r="19" spans="2:8" x14ac:dyDescent="0.2">
      <c r="B19" s="17">
        <v>43839</v>
      </c>
      <c r="C19" s="18">
        <v>9</v>
      </c>
      <c r="D19" s="6">
        <v>1200</v>
      </c>
      <c r="E19" s="2">
        <v>1380</v>
      </c>
      <c r="F19" s="2"/>
      <c r="G19" s="2">
        <f t="shared" si="0"/>
        <v>1380</v>
      </c>
      <c r="H19" s="2" t="s">
        <v>79</v>
      </c>
    </row>
    <row r="20" spans="2:8" x14ac:dyDescent="0.2">
      <c r="B20" s="17">
        <v>43839</v>
      </c>
      <c r="C20" s="18"/>
      <c r="D20" s="6"/>
      <c r="E20" s="2"/>
      <c r="F20" s="2">
        <v>1380</v>
      </c>
      <c r="G20" s="2">
        <f t="shared" si="0"/>
        <v>-1380</v>
      </c>
      <c r="H20" s="2" t="s">
        <v>79</v>
      </c>
    </row>
    <row r="21" spans="2:8" x14ac:dyDescent="0.2">
      <c r="B21" s="17">
        <v>43839</v>
      </c>
      <c r="C21" s="18">
        <v>10</v>
      </c>
      <c r="D21" s="6">
        <v>3203.25</v>
      </c>
      <c r="E21" s="2">
        <v>3125</v>
      </c>
      <c r="F21" s="2"/>
      <c r="G21" s="2">
        <f t="shared" si="0"/>
        <v>3125</v>
      </c>
      <c r="H21" s="2" t="s">
        <v>14</v>
      </c>
    </row>
    <row r="22" spans="2:8" x14ac:dyDescent="0.2">
      <c r="B22" s="17">
        <v>43839</v>
      </c>
      <c r="C22" s="18">
        <v>11</v>
      </c>
      <c r="D22" s="6">
        <v>215</v>
      </c>
      <c r="E22" s="2">
        <v>237.5</v>
      </c>
      <c r="F22" s="2"/>
      <c r="G22" s="2">
        <f t="shared" si="0"/>
        <v>237.5</v>
      </c>
      <c r="H22" s="2" t="s">
        <v>69</v>
      </c>
    </row>
    <row r="23" spans="2:8" x14ac:dyDescent="0.2">
      <c r="B23" s="17">
        <v>43839</v>
      </c>
      <c r="C23" s="18"/>
      <c r="D23" s="6"/>
      <c r="E23" s="2"/>
      <c r="F23" s="2">
        <v>237.5</v>
      </c>
      <c r="G23" s="2">
        <f t="shared" si="0"/>
        <v>-237.5</v>
      </c>
      <c r="H23" s="2" t="s">
        <v>69</v>
      </c>
    </row>
    <row r="24" spans="2:8" x14ac:dyDescent="0.2">
      <c r="B24" s="17">
        <v>43844</v>
      </c>
      <c r="C24" s="18"/>
      <c r="D24" s="6"/>
      <c r="E24" s="2"/>
      <c r="F24" s="2">
        <v>3125</v>
      </c>
      <c r="G24" s="2">
        <f t="shared" si="0"/>
        <v>-3125</v>
      </c>
      <c r="H24" s="2" t="s">
        <v>14</v>
      </c>
    </row>
    <row r="25" spans="2:8" x14ac:dyDescent="0.2">
      <c r="B25" s="17">
        <v>43844</v>
      </c>
      <c r="C25" s="18">
        <v>12</v>
      </c>
      <c r="D25" s="6">
        <v>4250</v>
      </c>
      <c r="E25" s="2">
        <v>5000</v>
      </c>
      <c r="F25" s="2"/>
      <c r="G25" s="2">
        <f t="shared" si="0"/>
        <v>5000</v>
      </c>
      <c r="H25" s="2" t="s">
        <v>14</v>
      </c>
    </row>
    <row r="26" spans="2:8" x14ac:dyDescent="0.2">
      <c r="B26" s="17">
        <v>43845</v>
      </c>
      <c r="C26" s="18">
        <v>13</v>
      </c>
      <c r="D26" s="6">
        <v>255</v>
      </c>
      <c r="E26" s="2">
        <v>275</v>
      </c>
      <c r="F26" s="2"/>
      <c r="G26" s="2">
        <f t="shared" si="0"/>
        <v>275</v>
      </c>
      <c r="H26" s="2" t="s">
        <v>69</v>
      </c>
    </row>
    <row r="27" spans="2:8" x14ac:dyDescent="0.2">
      <c r="B27" s="17">
        <v>43845</v>
      </c>
      <c r="C27" s="18"/>
      <c r="D27" s="6"/>
      <c r="E27" s="2"/>
      <c r="F27" s="2">
        <v>275</v>
      </c>
      <c r="G27" s="2">
        <f t="shared" si="0"/>
        <v>-275</v>
      </c>
      <c r="H27" s="2" t="s">
        <v>69</v>
      </c>
    </row>
    <row r="28" spans="2:8" x14ac:dyDescent="0.2">
      <c r="B28" s="17">
        <v>43849</v>
      </c>
      <c r="C28" s="18">
        <v>14</v>
      </c>
      <c r="D28" s="6">
        <v>2936</v>
      </c>
      <c r="E28" s="2">
        <v>3060</v>
      </c>
      <c r="F28" s="2"/>
      <c r="G28" s="2">
        <f t="shared" si="0"/>
        <v>3060</v>
      </c>
      <c r="H28" s="2" t="s">
        <v>14</v>
      </c>
    </row>
    <row r="29" spans="2:8" x14ac:dyDescent="0.2">
      <c r="B29" s="17">
        <v>43850</v>
      </c>
      <c r="C29" s="18">
        <v>15</v>
      </c>
      <c r="D29" s="6">
        <v>2350</v>
      </c>
      <c r="E29" s="2">
        <v>2550</v>
      </c>
      <c r="F29" s="2"/>
      <c r="G29" s="2">
        <f t="shared" si="0"/>
        <v>2550</v>
      </c>
      <c r="H29" s="2" t="s">
        <v>62</v>
      </c>
    </row>
    <row r="30" spans="2:8" x14ac:dyDescent="0.2">
      <c r="B30" s="17">
        <v>43850</v>
      </c>
      <c r="C30" s="18"/>
      <c r="D30" s="6"/>
      <c r="E30" s="2"/>
      <c r="F30" s="2">
        <v>2550</v>
      </c>
      <c r="G30" s="2">
        <f t="shared" si="0"/>
        <v>-2550</v>
      </c>
      <c r="H30" s="2" t="s">
        <v>62</v>
      </c>
    </row>
    <row r="31" spans="2:8" x14ac:dyDescent="0.2">
      <c r="B31" s="17">
        <v>43853</v>
      </c>
      <c r="C31" s="18">
        <v>16</v>
      </c>
      <c r="D31" s="6">
        <v>11185</v>
      </c>
      <c r="E31" s="2">
        <v>11850</v>
      </c>
      <c r="F31" s="2"/>
      <c r="G31" s="2">
        <f t="shared" si="0"/>
        <v>11850</v>
      </c>
      <c r="H31" s="2" t="s">
        <v>14</v>
      </c>
    </row>
    <row r="32" spans="2:8" x14ac:dyDescent="0.2">
      <c r="B32" s="17">
        <v>43855</v>
      </c>
      <c r="C32" s="18"/>
      <c r="D32" s="6"/>
      <c r="E32" s="2"/>
      <c r="F32" s="2">
        <v>5000</v>
      </c>
      <c r="G32" s="2">
        <f t="shared" si="0"/>
        <v>-5000</v>
      </c>
      <c r="H32" s="2" t="s">
        <v>14</v>
      </c>
    </row>
    <row r="33" spans="2:8" x14ac:dyDescent="0.2">
      <c r="B33" s="17">
        <v>43855</v>
      </c>
      <c r="C33" s="18">
        <v>17</v>
      </c>
      <c r="D33" s="6">
        <v>21625</v>
      </c>
      <c r="E33" s="2">
        <v>22500</v>
      </c>
      <c r="F33" s="2"/>
      <c r="G33" s="2">
        <f t="shared" si="0"/>
        <v>22500</v>
      </c>
      <c r="H33" s="2" t="s">
        <v>14</v>
      </c>
    </row>
    <row r="34" spans="2:8" x14ac:dyDescent="0.2">
      <c r="B34" s="17">
        <v>43863</v>
      </c>
      <c r="C34" s="18"/>
      <c r="D34" s="6"/>
      <c r="E34" s="2"/>
      <c r="F34" s="2">
        <v>3060</v>
      </c>
      <c r="G34" s="2">
        <f t="shared" si="0"/>
        <v>-3060</v>
      </c>
      <c r="H34" s="2" t="s">
        <v>14</v>
      </c>
    </row>
    <row r="35" spans="2:8" x14ac:dyDescent="0.2">
      <c r="B35" s="17">
        <v>43869</v>
      </c>
      <c r="C35" s="18">
        <v>18</v>
      </c>
      <c r="D35" s="6">
        <v>1294.77</v>
      </c>
      <c r="E35" s="2">
        <v>1392.55</v>
      </c>
      <c r="F35" s="2"/>
      <c r="G35" s="2">
        <f t="shared" si="0"/>
        <v>1392.55</v>
      </c>
      <c r="H35" s="2" t="s">
        <v>79</v>
      </c>
    </row>
    <row r="36" spans="2:8" x14ac:dyDescent="0.2">
      <c r="B36" s="17">
        <v>43869</v>
      </c>
      <c r="C36" s="18"/>
      <c r="D36" s="6"/>
      <c r="E36" s="2"/>
      <c r="F36" s="2">
        <v>1392.55</v>
      </c>
      <c r="G36" s="2">
        <f t="shared" si="0"/>
        <v>-1392.55</v>
      </c>
      <c r="H36" s="2" t="s">
        <v>79</v>
      </c>
    </row>
    <row r="37" spans="2:8" x14ac:dyDescent="0.2">
      <c r="B37" s="17">
        <v>43870</v>
      </c>
      <c r="C37" s="18">
        <v>19</v>
      </c>
      <c r="D37" s="6">
        <v>1943</v>
      </c>
      <c r="E37" s="2">
        <v>2473.4</v>
      </c>
      <c r="F37" s="2"/>
      <c r="G37" s="2">
        <f t="shared" si="0"/>
        <v>2473.4</v>
      </c>
      <c r="H37" s="2" t="s">
        <v>14</v>
      </c>
    </row>
    <row r="38" spans="2:8" x14ac:dyDescent="0.2">
      <c r="B38" s="17">
        <v>43870</v>
      </c>
      <c r="C38" s="18"/>
      <c r="D38" s="6"/>
      <c r="E38" s="2"/>
      <c r="F38" s="2">
        <v>5000</v>
      </c>
      <c r="G38" s="2">
        <f t="shared" si="0"/>
        <v>-5000</v>
      </c>
      <c r="H38" s="2" t="s">
        <v>14</v>
      </c>
    </row>
    <row r="39" spans="2:8" x14ac:dyDescent="0.2">
      <c r="B39" s="17">
        <v>43874</v>
      </c>
      <c r="C39" s="18">
        <v>20</v>
      </c>
      <c r="D39" s="6">
        <v>2061</v>
      </c>
      <c r="E39" s="2">
        <v>2217.25</v>
      </c>
      <c r="F39" s="2"/>
      <c r="G39" s="2">
        <f t="shared" si="0"/>
        <v>2217.25</v>
      </c>
      <c r="H39" s="2" t="s">
        <v>79</v>
      </c>
    </row>
    <row r="40" spans="2:8" x14ac:dyDescent="0.2">
      <c r="B40" s="17">
        <v>43874</v>
      </c>
      <c r="C40" s="18"/>
      <c r="D40" s="6"/>
      <c r="E40" s="2"/>
      <c r="F40" s="2">
        <v>2217.25</v>
      </c>
      <c r="G40" s="2">
        <f t="shared" si="0"/>
        <v>-2217.25</v>
      </c>
      <c r="H40" s="2" t="s">
        <v>79</v>
      </c>
    </row>
    <row r="41" spans="2:8" x14ac:dyDescent="0.2">
      <c r="B41" s="17">
        <v>43885</v>
      </c>
      <c r="C41" s="18">
        <v>21</v>
      </c>
      <c r="D41" s="6">
        <v>2945</v>
      </c>
      <c r="E41" s="2">
        <v>3085</v>
      </c>
      <c r="F41" s="2"/>
      <c r="G41" s="2">
        <f t="shared" si="0"/>
        <v>3085</v>
      </c>
      <c r="H41" s="2" t="s">
        <v>14</v>
      </c>
    </row>
    <row r="42" spans="2:8" x14ac:dyDescent="0.2">
      <c r="B42" s="17">
        <v>43888</v>
      </c>
      <c r="C42" s="18">
        <v>22</v>
      </c>
      <c r="D42" s="6">
        <v>3561.25</v>
      </c>
      <c r="E42" s="2">
        <v>3854.75</v>
      </c>
      <c r="F42" s="2"/>
      <c r="G42" s="2">
        <f t="shared" si="0"/>
        <v>3854.75</v>
      </c>
      <c r="H42" s="2" t="s">
        <v>46</v>
      </c>
    </row>
    <row r="43" spans="2:8" x14ac:dyDescent="0.2">
      <c r="B43" s="17">
        <v>43888</v>
      </c>
      <c r="C43" s="18">
        <v>23</v>
      </c>
      <c r="D43" s="6">
        <v>3650</v>
      </c>
      <c r="E43" s="2">
        <v>3900</v>
      </c>
      <c r="F43" s="2"/>
      <c r="G43" s="2">
        <f t="shared" si="0"/>
        <v>3900</v>
      </c>
      <c r="H43" s="2" t="s">
        <v>54</v>
      </c>
    </row>
    <row r="44" spans="2:8" x14ac:dyDescent="0.2">
      <c r="B44" s="17">
        <v>43888</v>
      </c>
      <c r="C44" s="18">
        <v>24</v>
      </c>
      <c r="D44" s="6">
        <v>15808.95</v>
      </c>
      <c r="E44" s="2">
        <v>17209</v>
      </c>
      <c r="F44" s="2"/>
      <c r="G44" s="2">
        <f t="shared" si="0"/>
        <v>17209</v>
      </c>
      <c r="H44" s="2" t="s">
        <v>62</v>
      </c>
    </row>
    <row r="45" spans="2:8" x14ac:dyDescent="0.2">
      <c r="B45" s="17">
        <v>43890</v>
      </c>
      <c r="C45" s="18"/>
      <c r="D45" s="6"/>
      <c r="E45" s="2"/>
      <c r="F45" s="2">
        <v>1300</v>
      </c>
      <c r="G45" s="2">
        <f t="shared" si="0"/>
        <v>-1300</v>
      </c>
      <c r="H45" s="2" t="s">
        <v>57</v>
      </c>
    </row>
    <row r="46" spans="2:8" x14ac:dyDescent="0.2">
      <c r="B46" s="17">
        <v>43890</v>
      </c>
      <c r="C46" s="18">
        <v>25</v>
      </c>
      <c r="D46" s="6">
        <v>2393</v>
      </c>
      <c r="E46" s="2">
        <v>2850</v>
      </c>
      <c r="F46" s="2"/>
      <c r="G46" s="2">
        <f t="shared" si="0"/>
        <v>2850</v>
      </c>
      <c r="H46" s="2" t="s">
        <v>14</v>
      </c>
    </row>
    <row r="47" spans="2:8" x14ac:dyDescent="0.2">
      <c r="B47" s="17">
        <v>43891</v>
      </c>
      <c r="C47" s="18"/>
      <c r="D47" s="6"/>
      <c r="E47" s="2"/>
      <c r="F47" s="2">
        <v>10000</v>
      </c>
      <c r="G47" s="2">
        <f t="shared" si="0"/>
        <v>-10000</v>
      </c>
      <c r="H47" s="2" t="s">
        <v>14</v>
      </c>
    </row>
    <row r="48" spans="2:8" x14ac:dyDescent="0.2">
      <c r="B48" s="17">
        <v>43892</v>
      </c>
      <c r="C48" s="18">
        <v>26</v>
      </c>
      <c r="D48" s="6">
        <v>9422.5</v>
      </c>
      <c r="E48" s="2">
        <v>10310.5</v>
      </c>
      <c r="F48" s="2"/>
      <c r="G48" s="2">
        <f t="shared" si="0"/>
        <v>10310.5</v>
      </c>
      <c r="H48" s="2" t="s">
        <v>46</v>
      </c>
    </row>
    <row r="49" spans="2:8" x14ac:dyDescent="0.2">
      <c r="B49" s="17">
        <v>43894</v>
      </c>
      <c r="C49" s="18">
        <v>27</v>
      </c>
      <c r="D49" s="6">
        <v>5145</v>
      </c>
      <c r="E49" s="2">
        <v>5875</v>
      </c>
      <c r="F49" s="2"/>
      <c r="G49" s="2">
        <f t="shared" si="0"/>
        <v>5875</v>
      </c>
      <c r="H49" s="2" t="s">
        <v>46</v>
      </c>
    </row>
    <row r="50" spans="2:8" x14ac:dyDescent="0.2">
      <c r="B50" s="17">
        <v>43894</v>
      </c>
      <c r="C50" s="18"/>
      <c r="D50" s="6"/>
      <c r="E50" s="2"/>
      <c r="F50" s="2">
        <v>150</v>
      </c>
      <c r="G50" s="2">
        <f t="shared" si="0"/>
        <v>-150</v>
      </c>
      <c r="H50" s="2" t="s">
        <v>46</v>
      </c>
    </row>
    <row r="51" spans="2:8" x14ac:dyDescent="0.2">
      <c r="B51" s="17">
        <v>43897</v>
      </c>
      <c r="C51" s="18">
        <v>28</v>
      </c>
      <c r="D51" s="6">
        <v>235</v>
      </c>
      <c r="E51" s="2">
        <v>205</v>
      </c>
      <c r="F51" s="2"/>
      <c r="G51" s="2">
        <f t="shared" si="0"/>
        <v>205</v>
      </c>
      <c r="H51" s="2" t="s">
        <v>54</v>
      </c>
    </row>
    <row r="52" spans="2:8" x14ac:dyDescent="0.2">
      <c r="B52" s="17">
        <v>43899</v>
      </c>
      <c r="C52" s="18"/>
      <c r="D52" s="6"/>
      <c r="E52" s="2"/>
      <c r="F52" s="2">
        <v>5000</v>
      </c>
      <c r="G52" s="2">
        <f t="shared" si="0"/>
        <v>-5000</v>
      </c>
      <c r="H52" s="2" t="s">
        <v>14</v>
      </c>
    </row>
    <row r="53" spans="2:8" x14ac:dyDescent="0.2">
      <c r="B53" s="17">
        <v>43899</v>
      </c>
      <c r="C53" s="18"/>
      <c r="D53" s="6"/>
      <c r="E53" s="2"/>
      <c r="F53" s="2">
        <v>3000</v>
      </c>
      <c r="G53" s="2">
        <f t="shared" si="0"/>
        <v>-3000</v>
      </c>
      <c r="H53" s="2" t="s">
        <v>46</v>
      </c>
    </row>
    <row r="54" spans="2:8" x14ac:dyDescent="0.2">
      <c r="B54" s="17">
        <v>43900</v>
      </c>
      <c r="C54" s="18">
        <v>29</v>
      </c>
      <c r="D54" s="6">
        <v>6057</v>
      </c>
      <c r="E54" s="2">
        <v>6473.5</v>
      </c>
      <c r="F54" s="2"/>
      <c r="G54" s="2">
        <f t="shared" si="0"/>
        <v>6473.5</v>
      </c>
      <c r="H54" s="2" t="s">
        <v>42</v>
      </c>
    </row>
    <row r="55" spans="2:8" x14ac:dyDescent="0.2">
      <c r="B55" s="17">
        <v>43901</v>
      </c>
      <c r="C55" s="18">
        <v>30</v>
      </c>
      <c r="D55" s="6">
        <v>585</v>
      </c>
      <c r="E55" s="2">
        <v>625</v>
      </c>
      <c r="F55" s="2"/>
      <c r="G55" s="2">
        <f t="shared" si="0"/>
        <v>625</v>
      </c>
      <c r="H55" s="2" t="s">
        <v>54</v>
      </c>
    </row>
    <row r="56" spans="2:8" x14ac:dyDescent="0.2">
      <c r="B56" s="17">
        <v>43901</v>
      </c>
      <c r="C56" s="18"/>
      <c r="D56" s="6"/>
      <c r="E56" s="2"/>
      <c r="F56" s="2">
        <v>235</v>
      </c>
      <c r="G56" s="2">
        <f t="shared" si="0"/>
        <v>-235</v>
      </c>
      <c r="H56" s="2" t="s">
        <v>54</v>
      </c>
    </row>
    <row r="57" spans="2:8" x14ac:dyDescent="0.2">
      <c r="B57" s="17">
        <v>43901</v>
      </c>
      <c r="C57" s="18"/>
      <c r="D57" s="6"/>
      <c r="E57" s="2"/>
      <c r="F57" s="2">
        <v>390</v>
      </c>
      <c r="G57" s="2">
        <f t="shared" si="0"/>
        <v>-390</v>
      </c>
      <c r="H57" s="2" t="s">
        <v>54</v>
      </c>
    </row>
    <row r="58" spans="2:8" x14ac:dyDescent="0.2">
      <c r="B58" s="17">
        <v>43904</v>
      </c>
      <c r="C58" s="18">
        <v>31</v>
      </c>
      <c r="D58" s="6">
        <v>3783</v>
      </c>
      <c r="E58" s="2">
        <v>4117.5</v>
      </c>
      <c r="F58" s="2"/>
      <c r="G58" s="2">
        <f t="shared" si="0"/>
        <v>4117.5</v>
      </c>
      <c r="H58" s="2" t="s">
        <v>42</v>
      </c>
    </row>
    <row r="59" spans="2:8" x14ac:dyDescent="0.2">
      <c r="B59" s="17">
        <v>43905</v>
      </c>
      <c r="C59" s="18">
        <v>32</v>
      </c>
      <c r="D59" s="6">
        <v>3400</v>
      </c>
      <c r="E59" s="2">
        <v>3765</v>
      </c>
      <c r="F59" s="2"/>
      <c r="G59" s="2">
        <f t="shared" si="0"/>
        <v>3765</v>
      </c>
      <c r="H59" s="2" t="s">
        <v>42</v>
      </c>
    </row>
    <row r="60" spans="2:8" x14ac:dyDescent="0.2">
      <c r="B60" s="17">
        <v>43906</v>
      </c>
      <c r="C60" s="18"/>
      <c r="D60" s="6"/>
      <c r="E60" s="2"/>
      <c r="F60" s="2">
        <v>7000</v>
      </c>
      <c r="G60" s="2">
        <f t="shared" si="0"/>
        <v>-7000</v>
      </c>
      <c r="H60" s="2" t="s">
        <v>14</v>
      </c>
    </row>
    <row r="61" spans="2:8" x14ac:dyDescent="0.2">
      <c r="B61" s="17">
        <v>43906</v>
      </c>
      <c r="C61" s="18">
        <v>33</v>
      </c>
      <c r="D61" s="6">
        <v>7080</v>
      </c>
      <c r="E61" s="2">
        <v>14400</v>
      </c>
      <c r="F61" s="2"/>
      <c r="G61" s="2">
        <f t="shared" si="0"/>
        <v>14400</v>
      </c>
      <c r="H61" t="s">
        <v>39</v>
      </c>
    </row>
    <row r="62" spans="2:8" x14ac:dyDescent="0.2">
      <c r="B62" s="17">
        <v>43906</v>
      </c>
      <c r="C62" s="18">
        <v>34</v>
      </c>
      <c r="D62" s="6">
        <v>2360</v>
      </c>
      <c r="E62" s="2">
        <v>2400</v>
      </c>
      <c r="F62" s="2"/>
      <c r="G62" s="2">
        <f t="shared" si="0"/>
        <v>2400</v>
      </c>
      <c r="H62" s="2" t="s">
        <v>68</v>
      </c>
    </row>
    <row r="63" spans="2:8" x14ac:dyDescent="0.2">
      <c r="B63" s="17">
        <v>43906</v>
      </c>
      <c r="C63" s="18"/>
      <c r="D63" s="6"/>
      <c r="E63" s="2"/>
      <c r="F63" s="2">
        <v>14400</v>
      </c>
      <c r="G63" s="2">
        <f t="shared" si="0"/>
        <v>-14400</v>
      </c>
      <c r="H63" t="s">
        <v>39</v>
      </c>
    </row>
    <row r="64" spans="2:8" x14ac:dyDescent="0.2">
      <c r="B64" s="17">
        <v>43906</v>
      </c>
      <c r="C64" s="18"/>
      <c r="D64" s="6"/>
      <c r="E64" s="2"/>
      <c r="F64" s="2">
        <v>2400</v>
      </c>
      <c r="G64" s="2">
        <f t="shared" si="0"/>
        <v>-2400</v>
      </c>
      <c r="H64" s="2" t="s">
        <v>68</v>
      </c>
    </row>
    <row r="65" spans="2:8" x14ac:dyDescent="0.2">
      <c r="B65" s="17">
        <v>43906</v>
      </c>
      <c r="C65" s="18">
        <v>35</v>
      </c>
      <c r="D65" s="6">
        <v>1180</v>
      </c>
      <c r="E65" s="2">
        <v>2400</v>
      </c>
      <c r="F65" s="2"/>
      <c r="G65" s="2">
        <f t="shared" si="0"/>
        <v>2400</v>
      </c>
      <c r="H65" s="2" t="s">
        <v>56</v>
      </c>
    </row>
    <row r="66" spans="2:8" x14ac:dyDescent="0.2">
      <c r="B66" s="17">
        <v>43906</v>
      </c>
      <c r="C66" s="18">
        <v>37</v>
      </c>
      <c r="D66" s="6">
        <v>236</v>
      </c>
      <c r="E66" s="2">
        <v>350</v>
      </c>
      <c r="F66" s="2"/>
      <c r="G66" s="2">
        <f t="shared" si="0"/>
        <v>350</v>
      </c>
      <c r="H66" s="2" t="s">
        <v>14</v>
      </c>
    </row>
    <row r="67" spans="2:8" x14ac:dyDescent="0.2">
      <c r="B67" s="17">
        <v>43906</v>
      </c>
      <c r="C67" s="18">
        <v>38</v>
      </c>
      <c r="D67" s="6">
        <v>484</v>
      </c>
      <c r="E67" s="2">
        <v>660</v>
      </c>
      <c r="F67" s="2"/>
      <c r="G67" s="2">
        <f t="shared" ref="G67:G130" si="1">E67-F67</f>
        <v>660</v>
      </c>
      <c r="H67" s="2" t="s">
        <v>34</v>
      </c>
    </row>
    <row r="68" spans="2:8" x14ac:dyDescent="0.2">
      <c r="B68" s="17">
        <v>43906</v>
      </c>
      <c r="C68" s="18">
        <v>39</v>
      </c>
      <c r="D68" s="6">
        <v>1151.5</v>
      </c>
      <c r="E68" s="2">
        <v>1208.5</v>
      </c>
      <c r="F68" s="2"/>
      <c r="G68" s="2">
        <f t="shared" si="1"/>
        <v>1208.5</v>
      </c>
      <c r="H68" s="2" t="s">
        <v>85</v>
      </c>
    </row>
    <row r="69" spans="2:8" x14ac:dyDescent="0.2">
      <c r="B69" s="17">
        <v>43906</v>
      </c>
      <c r="C69" s="18">
        <v>40</v>
      </c>
      <c r="D69" s="6">
        <v>4288.68</v>
      </c>
      <c r="E69" s="2">
        <v>4590</v>
      </c>
      <c r="F69" s="2"/>
      <c r="G69" s="2">
        <f t="shared" si="1"/>
        <v>4590</v>
      </c>
      <c r="H69" s="2" t="s">
        <v>62</v>
      </c>
    </row>
    <row r="70" spans="2:8" x14ac:dyDescent="0.2">
      <c r="B70" s="17">
        <v>43906</v>
      </c>
      <c r="C70" s="18"/>
      <c r="D70" s="6"/>
      <c r="E70" s="2"/>
      <c r="F70" s="2">
        <v>16525</v>
      </c>
      <c r="G70" s="2">
        <f t="shared" si="1"/>
        <v>-16525</v>
      </c>
      <c r="H70" s="2" t="s">
        <v>62</v>
      </c>
    </row>
    <row r="71" spans="2:8" x14ac:dyDescent="0.2">
      <c r="B71" s="17">
        <v>43907</v>
      </c>
      <c r="C71" s="18">
        <v>41</v>
      </c>
      <c r="D71" s="6">
        <v>1747.5</v>
      </c>
      <c r="E71" s="2">
        <v>1800</v>
      </c>
      <c r="F71" s="2"/>
      <c r="G71" s="2">
        <f t="shared" si="1"/>
        <v>1800</v>
      </c>
      <c r="H71" s="2" t="s">
        <v>34</v>
      </c>
    </row>
    <row r="72" spans="2:8" x14ac:dyDescent="0.2">
      <c r="B72" s="17">
        <v>43908</v>
      </c>
      <c r="C72" s="18">
        <v>42</v>
      </c>
      <c r="D72" s="6">
        <v>15740</v>
      </c>
      <c r="E72" s="2">
        <v>16850</v>
      </c>
      <c r="F72" s="2"/>
      <c r="G72" s="2">
        <f t="shared" si="1"/>
        <v>16850</v>
      </c>
      <c r="H72" s="2" t="s">
        <v>14</v>
      </c>
    </row>
    <row r="73" spans="2:8" x14ac:dyDescent="0.2">
      <c r="B73" s="17">
        <v>43908</v>
      </c>
      <c r="C73" s="18"/>
      <c r="D73" s="6"/>
      <c r="E73" s="2"/>
      <c r="F73" s="2">
        <v>7000</v>
      </c>
      <c r="G73" s="2">
        <f t="shared" si="1"/>
        <v>-7000</v>
      </c>
      <c r="H73" s="2" t="s">
        <v>14</v>
      </c>
    </row>
    <row r="74" spans="2:8" x14ac:dyDescent="0.2">
      <c r="B74" s="17">
        <v>43908</v>
      </c>
      <c r="C74" s="18">
        <v>43</v>
      </c>
      <c r="D74" s="6">
        <v>5915</v>
      </c>
      <c r="E74" s="2">
        <v>6770</v>
      </c>
      <c r="F74" s="2"/>
      <c r="G74" s="2">
        <f t="shared" si="1"/>
        <v>6770</v>
      </c>
      <c r="H74" s="2" t="s">
        <v>46</v>
      </c>
    </row>
    <row r="75" spans="2:8" x14ac:dyDescent="0.2">
      <c r="B75" s="17">
        <v>43908</v>
      </c>
      <c r="C75" s="18">
        <v>43</v>
      </c>
      <c r="D75" s="6"/>
      <c r="E75" s="2"/>
      <c r="F75" s="2">
        <v>990</v>
      </c>
      <c r="G75" s="2">
        <f t="shared" si="1"/>
        <v>-990</v>
      </c>
      <c r="H75" s="2" t="s">
        <v>46</v>
      </c>
    </row>
    <row r="76" spans="2:8" x14ac:dyDescent="0.2">
      <c r="B76" s="17">
        <v>43908</v>
      </c>
      <c r="C76" s="18">
        <v>44</v>
      </c>
      <c r="D76" s="6">
        <v>3556.5</v>
      </c>
      <c r="E76" s="2">
        <v>3932</v>
      </c>
      <c r="F76" s="2"/>
      <c r="G76" s="2">
        <f t="shared" si="1"/>
        <v>3932</v>
      </c>
      <c r="H76" s="2" t="s">
        <v>42</v>
      </c>
    </row>
    <row r="77" spans="2:8" x14ac:dyDescent="0.2">
      <c r="B77" s="17">
        <v>43908</v>
      </c>
      <c r="C77" s="18"/>
      <c r="D77" s="6"/>
      <c r="E77" s="2"/>
      <c r="F77" s="2">
        <v>2820</v>
      </c>
      <c r="G77" s="2">
        <f t="shared" si="1"/>
        <v>-2820</v>
      </c>
      <c r="H77" s="2" t="s">
        <v>56</v>
      </c>
    </row>
    <row r="78" spans="2:8" x14ac:dyDescent="0.2">
      <c r="B78" s="17">
        <v>43908</v>
      </c>
      <c r="C78" s="18">
        <v>45</v>
      </c>
      <c r="D78" s="6">
        <v>407.75</v>
      </c>
      <c r="E78" s="2">
        <v>420</v>
      </c>
      <c r="F78" s="2"/>
      <c r="G78" s="2">
        <f t="shared" si="1"/>
        <v>420</v>
      </c>
      <c r="H78" s="2" t="s">
        <v>56</v>
      </c>
    </row>
    <row r="79" spans="2:8" x14ac:dyDescent="0.2">
      <c r="B79" s="17">
        <v>43909</v>
      </c>
      <c r="C79" s="18">
        <v>46</v>
      </c>
      <c r="D79" s="6">
        <v>305</v>
      </c>
      <c r="E79" s="2">
        <v>315</v>
      </c>
      <c r="F79" s="2"/>
      <c r="G79" s="2">
        <f t="shared" si="1"/>
        <v>315</v>
      </c>
      <c r="H79" s="2" t="s">
        <v>46</v>
      </c>
    </row>
    <row r="80" spans="2:8" x14ac:dyDescent="0.2">
      <c r="B80" s="17">
        <v>43909</v>
      </c>
      <c r="C80" s="18"/>
      <c r="D80" s="6"/>
      <c r="E80" s="2"/>
      <c r="F80" s="2">
        <v>3000</v>
      </c>
      <c r="G80" s="2">
        <f t="shared" si="1"/>
        <v>-3000</v>
      </c>
      <c r="H80" s="2" t="s">
        <v>46</v>
      </c>
    </row>
    <row r="81" spans="2:8" x14ac:dyDescent="0.2">
      <c r="B81" s="17">
        <v>43909</v>
      </c>
      <c r="C81" s="18">
        <v>47</v>
      </c>
      <c r="D81" s="6">
        <v>1500</v>
      </c>
      <c r="E81" s="2">
        <v>1916</v>
      </c>
      <c r="F81" s="2"/>
      <c r="G81" s="2">
        <f t="shared" si="1"/>
        <v>1916</v>
      </c>
      <c r="H81" s="2" t="s">
        <v>54</v>
      </c>
    </row>
    <row r="82" spans="2:8" x14ac:dyDescent="0.2">
      <c r="B82" s="17">
        <v>43912</v>
      </c>
      <c r="C82" s="18">
        <v>48</v>
      </c>
      <c r="D82" s="6">
        <v>831.5</v>
      </c>
      <c r="E82" s="2">
        <v>1001.5</v>
      </c>
      <c r="F82" s="2"/>
      <c r="G82" s="2">
        <f t="shared" si="1"/>
        <v>1001.5</v>
      </c>
      <c r="H82" s="2" t="s">
        <v>85</v>
      </c>
    </row>
    <row r="83" spans="2:8" x14ac:dyDescent="0.2">
      <c r="B83" s="17">
        <v>43912</v>
      </c>
      <c r="C83" s="18">
        <v>49</v>
      </c>
      <c r="D83" s="6">
        <v>1650</v>
      </c>
      <c r="E83" s="2">
        <v>2075</v>
      </c>
      <c r="F83" s="2"/>
      <c r="G83" s="2">
        <f t="shared" si="1"/>
        <v>2075</v>
      </c>
      <c r="H83" s="2" t="s">
        <v>46</v>
      </c>
    </row>
    <row r="84" spans="2:8" x14ac:dyDescent="0.2">
      <c r="B84" s="17">
        <v>43912</v>
      </c>
      <c r="C84" s="18">
        <v>50</v>
      </c>
      <c r="D84" s="6">
        <v>3043.61</v>
      </c>
      <c r="E84" s="2">
        <v>3505.75</v>
      </c>
      <c r="F84" s="2"/>
      <c r="G84" s="2">
        <f t="shared" si="1"/>
        <v>3505.75</v>
      </c>
      <c r="H84" s="2" t="s">
        <v>42</v>
      </c>
    </row>
    <row r="85" spans="2:8" x14ac:dyDescent="0.2">
      <c r="B85" s="17">
        <v>43912</v>
      </c>
      <c r="C85" s="18"/>
      <c r="D85" s="6"/>
      <c r="E85" s="2"/>
      <c r="F85" s="2">
        <v>1200</v>
      </c>
      <c r="G85" s="2">
        <f t="shared" si="1"/>
        <v>-1200</v>
      </c>
      <c r="H85" s="2" t="s">
        <v>85</v>
      </c>
    </row>
    <row r="86" spans="2:8" x14ac:dyDescent="0.2">
      <c r="B86" s="17">
        <v>43913</v>
      </c>
      <c r="C86" s="18"/>
      <c r="D86" s="6"/>
      <c r="E86" s="2"/>
      <c r="F86" s="2">
        <v>1000</v>
      </c>
      <c r="G86" s="2">
        <f t="shared" si="1"/>
        <v>-1000</v>
      </c>
      <c r="H86" s="2" t="s">
        <v>46</v>
      </c>
    </row>
    <row r="87" spans="2:8" x14ac:dyDescent="0.2">
      <c r="B87" s="17">
        <v>43913</v>
      </c>
      <c r="C87" s="18">
        <v>51</v>
      </c>
      <c r="D87" s="6">
        <v>57</v>
      </c>
      <c r="E87" s="2">
        <v>80</v>
      </c>
      <c r="F87" s="2"/>
      <c r="G87" s="2">
        <f t="shared" si="1"/>
        <v>80</v>
      </c>
      <c r="H87" s="2" t="s">
        <v>80</v>
      </c>
    </row>
    <row r="88" spans="2:8" x14ac:dyDescent="0.2">
      <c r="B88" s="17">
        <v>43913</v>
      </c>
      <c r="C88" s="18"/>
      <c r="D88" s="6"/>
      <c r="E88" s="2"/>
      <c r="F88" s="2">
        <v>80</v>
      </c>
      <c r="G88" s="2">
        <f t="shared" si="1"/>
        <v>-80</v>
      </c>
      <c r="H88" s="2" t="s">
        <v>80</v>
      </c>
    </row>
    <row r="89" spans="2:8" x14ac:dyDescent="0.2">
      <c r="B89" s="17">
        <v>43914</v>
      </c>
      <c r="C89" s="18">
        <v>52</v>
      </c>
      <c r="D89" s="6">
        <v>3172.5</v>
      </c>
      <c r="E89" s="2">
        <v>3617.5</v>
      </c>
      <c r="F89" s="2"/>
      <c r="G89" s="2">
        <f t="shared" si="1"/>
        <v>3617.5</v>
      </c>
      <c r="H89" s="2" t="s">
        <v>54</v>
      </c>
    </row>
    <row r="90" spans="2:8" x14ac:dyDescent="0.2">
      <c r="B90" s="17">
        <v>43914</v>
      </c>
      <c r="C90" s="18">
        <v>53</v>
      </c>
      <c r="D90" s="6">
        <v>9689</v>
      </c>
      <c r="E90" s="2">
        <v>10880.5</v>
      </c>
      <c r="F90" s="2"/>
      <c r="G90" s="2">
        <f t="shared" si="1"/>
        <v>10880.5</v>
      </c>
      <c r="H90" s="2" t="s">
        <v>46</v>
      </c>
    </row>
    <row r="91" spans="2:8" x14ac:dyDescent="0.2">
      <c r="B91" s="17">
        <v>43914</v>
      </c>
      <c r="C91" s="18">
        <v>53</v>
      </c>
      <c r="D91" s="6"/>
      <c r="E91" s="2"/>
      <c r="F91" s="2">
        <v>85</v>
      </c>
      <c r="G91" s="2">
        <f t="shared" si="1"/>
        <v>-85</v>
      </c>
      <c r="H91" s="2" t="s">
        <v>46</v>
      </c>
    </row>
    <row r="92" spans="2:8" x14ac:dyDescent="0.2">
      <c r="B92" s="17">
        <v>43914</v>
      </c>
      <c r="C92" s="18">
        <v>53</v>
      </c>
      <c r="D92" s="6"/>
      <c r="E92" s="2"/>
      <c r="F92" s="2">
        <v>85</v>
      </c>
      <c r="G92" s="2">
        <f t="shared" si="1"/>
        <v>-85</v>
      </c>
      <c r="H92" s="2" t="s">
        <v>46</v>
      </c>
    </row>
    <row r="93" spans="2:8" x14ac:dyDescent="0.2">
      <c r="B93" s="17">
        <v>43914</v>
      </c>
      <c r="C93" s="18">
        <v>53</v>
      </c>
      <c r="D93" s="6"/>
      <c r="E93" s="2"/>
      <c r="F93" s="2">
        <v>170</v>
      </c>
      <c r="G93" s="2">
        <f t="shared" si="1"/>
        <v>-170</v>
      </c>
      <c r="H93" s="2" t="s">
        <v>46</v>
      </c>
    </row>
    <row r="94" spans="2:8" x14ac:dyDescent="0.2">
      <c r="B94" s="17">
        <v>43914</v>
      </c>
      <c r="C94" s="18">
        <v>54</v>
      </c>
      <c r="D94" s="6">
        <v>1760</v>
      </c>
      <c r="E94" s="2">
        <v>2065</v>
      </c>
      <c r="F94" s="2"/>
      <c r="G94" s="2">
        <f t="shared" si="1"/>
        <v>2065</v>
      </c>
      <c r="H94" s="2" t="s">
        <v>42</v>
      </c>
    </row>
    <row r="95" spans="2:8" x14ac:dyDescent="0.2">
      <c r="B95" s="17">
        <v>43914</v>
      </c>
      <c r="C95" s="18"/>
      <c r="D95" s="6"/>
      <c r="E95" s="2"/>
      <c r="F95" s="2">
        <v>5000</v>
      </c>
      <c r="G95" s="2">
        <f t="shared" si="1"/>
        <v>-5000</v>
      </c>
      <c r="H95" s="2" t="s">
        <v>46</v>
      </c>
    </row>
    <row r="96" spans="2:8" x14ac:dyDescent="0.2">
      <c r="B96" s="17">
        <v>43915</v>
      </c>
      <c r="C96" s="18">
        <v>55</v>
      </c>
      <c r="D96" s="6">
        <v>875</v>
      </c>
      <c r="E96" s="2">
        <v>1015</v>
      </c>
      <c r="F96" s="2"/>
      <c r="G96" s="2">
        <f t="shared" si="1"/>
        <v>1015</v>
      </c>
      <c r="H96" s="2" t="s">
        <v>54</v>
      </c>
    </row>
    <row r="97" spans="2:8" x14ac:dyDescent="0.2">
      <c r="B97" s="17">
        <v>43915</v>
      </c>
      <c r="C97" s="18">
        <v>56</v>
      </c>
      <c r="D97" s="6">
        <v>302</v>
      </c>
      <c r="E97" s="2">
        <v>343.5</v>
      </c>
      <c r="F97" s="2"/>
      <c r="G97" s="2">
        <f t="shared" si="1"/>
        <v>343.5</v>
      </c>
      <c r="H97" s="2" t="s">
        <v>85</v>
      </c>
    </row>
    <row r="98" spans="2:8" x14ac:dyDescent="0.2">
      <c r="B98" s="17">
        <v>43915</v>
      </c>
      <c r="C98" s="18"/>
      <c r="D98" s="6"/>
      <c r="E98" s="2"/>
      <c r="F98" s="2">
        <v>1000</v>
      </c>
      <c r="G98" s="2">
        <f t="shared" si="1"/>
        <v>-1000</v>
      </c>
      <c r="H98" s="2" t="s">
        <v>85</v>
      </c>
    </row>
    <row r="99" spans="2:8" x14ac:dyDescent="0.2">
      <c r="B99" s="17">
        <v>43915</v>
      </c>
      <c r="C99" s="18">
        <v>57</v>
      </c>
      <c r="D99" s="6">
        <v>4230</v>
      </c>
      <c r="E99" s="2">
        <v>4760</v>
      </c>
      <c r="F99" s="2"/>
      <c r="G99" s="2">
        <f t="shared" si="1"/>
        <v>4760</v>
      </c>
      <c r="H99" s="2" t="s">
        <v>42</v>
      </c>
    </row>
    <row r="100" spans="2:8" x14ac:dyDescent="0.2">
      <c r="B100" s="17">
        <v>43917</v>
      </c>
      <c r="C100" s="18">
        <v>58</v>
      </c>
      <c r="D100" s="6">
        <v>512.5</v>
      </c>
      <c r="E100" s="2">
        <v>567</v>
      </c>
      <c r="F100" s="2"/>
      <c r="G100" s="2">
        <f t="shared" si="1"/>
        <v>567</v>
      </c>
      <c r="H100" s="2" t="s">
        <v>85</v>
      </c>
    </row>
    <row r="101" spans="2:8" x14ac:dyDescent="0.2">
      <c r="B101" s="17">
        <v>43919</v>
      </c>
      <c r="C101" s="18">
        <v>59</v>
      </c>
      <c r="D101" s="6">
        <v>192</v>
      </c>
      <c r="E101" s="2">
        <v>216</v>
      </c>
      <c r="F101" s="2"/>
      <c r="G101" s="2">
        <f t="shared" si="1"/>
        <v>216</v>
      </c>
      <c r="H101" s="2" t="s">
        <v>85</v>
      </c>
    </row>
    <row r="102" spans="2:8" x14ac:dyDescent="0.2">
      <c r="B102" s="17">
        <v>43919</v>
      </c>
      <c r="C102" s="18">
        <v>60</v>
      </c>
      <c r="D102" s="6">
        <v>3918</v>
      </c>
      <c r="E102" s="2">
        <v>4580</v>
      </c>
      <c r="F102" s="2"/>
      <c r="G102" s="2">
        <f t="shared" si="1"/>
        <v>4580</v>
      </c>
      <c r="H102" s="2" t="s">
        <v>34</v>
      </c>
    </row>
    <row r="103" spans="2:8" x14ac:dyDescent="0.2">
      <c r="B103" s="17">
        <v>43919</v>
      </c>
      <c r="C103" s="18">
        <v>61</v>
      </c>
      <c r="D103" s="6">
        <v>1858.75</v>
      </c>
      <c r="E103" s="2">
        <v>2076.25</v>
      </c>
      <c r="F103" s="2"/>
      <c r="G103" s="2">
        <f t="shared" si="1"/>
        <v>2076.25</v>
      </c>
      <c r="H103" s="2" t="s">
        <v>14</v>
      </c>
    </row>
    <row r="104" spans="2:8" x14ac:dyDescent="0.2">
      <c r="B104" s="17">
        <v>43920</v>
      </c>
      <c r="C104" s="18"/>
      <c r="D104" s="6"/>
      <c r="E104" s="2"/>
      <c r="F104" s="2">
        <v>3000</v>
      </c>
      <c r="G104" s="2">
        <f t="shared" si="1"/>
        <v>-3000</v>
      </c>
      <c r="H104" s="2" t="s">
        <v>46</v>
      </c>
    </row>
    <row r="105" spans="2:8" x14ac:dyDescent="0.2">
      <c r="B105" s="17">
        <v>43920</v>
      </c>
      <c r="C105" s="18">
        <v>62</v>
      </c>
      <c r="D105" s="6">
        <v>2814</v>
      </c>
      <c r="E105" s="2">
        <v>3016</v>
      </c>
      <c r="F105" s="2"/>
      <c r="G105" s="2">
        <f t="shared" si="1"/>
        <v>3016</v>
      </c>
      <c r="H105" s="2" t="s">
        <v>34</v>
      </c>
    </row>
    <row r="106" spans="2:8" x14ac:dyDescent="0.2">
      <c r="B106" s="17">
        <v>43920</v>
      </c>
      <c r="C106" s="18">
        <v>63</v>
      </c>
      <c r="D106" s="6">
        <v>967</v>
      </c>
      <c r="E106" s="2">
        <v>1074</v>
      </c>
      <c r="F106" s="2"/>
      <c r="G106" s="2">
        <f t="shared" si="1"/>
        <v>1074</v>
      </c>
      <c r="H106" s="2" t="s">
        <v>46</v>
      </c>
    </row>
    <row r="107" spans="2:8" x14ac:dyDescent="0.2">
      <c r="B107" s="17">
        <v>43921</v>
      </c>
      <c r="C107" s="18"/>
      <c r="D107" s="6"/>
      <c r="E107" s="2"/>
      <c r="F107" s="2">
        <v>4544</v>
      </c>
      <c r="G107" s="2">
        <f t="shared" si="1"/>
        <v>-4544</v>
      </c>
      <c r="H107" s="2" t="s">
        <v>62</v>
      </c>
    </row>
    <row r="108" spans="2:8" x14ac:dyDescent="0.2">
      <c r="B108" s="17">
        <v>43922</v>
      </c>
      <c r="C108" s="18"/>
      <c r="D108" s="6"/>
      <c r="E108" s="2"/>
      <c r="F108" s="2">
        <v>7000</v>
      </c>
      <c r="G108" s="2">
        <f t="shared" si="1"/>
        <v>-7000</v>
      </c>
      <c r="H108" s="2" t="s">
        <v>14</v>
      </c>
    </row>
    <row r="109" spans="2:8" x14ac:dyDescent="0.2">
      <c r="B109" s="17">
        <v>43923</v>
      </c>
      <c r="C109" s="18">
        <v>64</v>
      </c>
      <c r="D109" s="6">
        <v>5437.5</v>
      </c>
      <c r="E109" s="2">
        <v>6311</v>
      </c>
      <c r="F109" s="2"/>
      <c r="G109" s="2">
        <f t="shared" si="1"/>
        <v>6311</v>
      </c>
      <c r="H109" s="2" t="s">
        <v>42</v>
      </c>
    </row>
    <row r="110" spans="2:8" x14ac:dyDescent="0.2">
      <c r="B110" s="17">
        <v>43923</v>
      </c>
      <c r="C110" s="18">
        <v>65</v>
      </c>
      <c r="D110" s="6">
        <v>675</v>
      </c>
      <c r="E110" s="2">
        <v>750</v>
      </c>
      <c r="F110" s="2"/>
      <c r="G110" s="2">
        <f t="shared" si="1"/>
        <v>750</v>
      </c>
      <c r="H110" s="2" t="s">
        <v>34</v>
      </c>
    </row>
    <row r="111" spans="2:8" x14ac:dyDescent="0.2">
      <c r="B111" s="17">
        <v>43923</v>
      </c>
      <c r="C111" s="18"/>
      <c r="D111" s="6"/>
      <c r="E111" s="2"/>
      <c r="F111" s="2">
        <v>2000</v>
      </c>
      <c r="G111" s="2">
        <f t="shared" si="1"/>
        <v>-2000</v>
      </c>
      <c r="H111" s="2" t="s">
        <v>34</v>
      </c>
    </row>
    <row r="112" spans="2:8" x14ac:dyDescent="0.2">
      <c r="B112" s="17">
        <v>43925</v>
      </c>
      <c r="C112" s="18">
        <v>66</v>
      </c>
      <c r="D112" s="6">
        <v>5250</v>
      </c>
      <c r="E112" s="2">
        <v>5500</v>
      </c>
      <c r="F112" s="2"/>
      <c r="G112" s="2">
        <f t="shared" si="1"/>
        <v>5500</v>
      </c>
      <c r="H112" s="2" t="s">
        <v>67</v>
      </c>
    </row>
    <row r="113" spans="2:8" x14ac:dyDescent="0.2">
      <c r="B113" s="17">
        <v>43925</v>
      </c>
      <c r="C113" s="18"/>
      <c r="D113" s="6"/>
      <c r="E113" s="2"/>
      <c r="F113" s="2">
        <v>5500</v>
      </c>
      <c r="G113" s="2">
        <f t="shared" si="1"/>
        <v>-5500</v>
      </c>
      <c r="H113" s="2" t="s">
        <v>67</v>
      </c>
    </row>
    <row r="114" spans="2:8" x14ac:dyDescent="0.2">
      <c r="B114" s="17">
        <v>43926</v>
      </c>
      <c r="C114" s="18">
        <v>67</v>
      </c>
      <c r="D114" s="6">
        <v>535</v>
      </c>
      <c r="E114" s="2">
        <v>800</v>
      </c>
      <c r="F114" s="2"/>
      <c r="G114" s="2">
        <f t="shared" si="1"/>
        <v>800</v>
      </c>
      <c r="H114" s="2" t="s">
        <v>62</v>
      </c>
    </row>
    <row r="115" spans="2:8" x14ac:dyDescent="0.2">
      <c r="B115" s="17">
        <v>43926</v>
      </c>
      <c r="C115" s="18"/>
      <c r="D115" s="6"/>
      <c r="E115" s="2"/>
      <c r="F115" s="2">
        <v>800</v>
      </c>
      <c r="G115" s="2">
        <f t="shared" si="1"/>
        <v>-800</v>
      </c>
      <c r="H115" s="2" t="s">
        <v>62</v>
      </c>
    </row>
    <row r="116" spans="2:8" x14ac:dyDescent="0.2">
      <c r="B116" s="17">
        <v>43926</v>
      </c>
      <c r="C116" s="18">
        <v>68</v>
      </c>
      <c r="D116" s="6">
        <v>11550</v>
      </c>
      <c r="E116" s="2">
        <v>11812.5</v>
      </c>
      <c r="F116" s="2"/>
      <c r="G116" s="2">
        <f t="shared" si="1"/>
        <v>11812.5</v>
      </c>
      <c r="H116" s="2" t="s">
        <v>66</v>
      </c>
    </row>
    <row r="117" spans="2:8" x14ac:dyDescent="0.2">
      <c r="B117" s="17">
        <v>43926</v>
      </c>
      <c r="C117" s="18"/>
      <c r="D117" s="6"/>
      <c r="E117" s="2"/>
      <c r="F117" s="2">
        <v>11812.5</v>
      </c>
      <c r="G117" s="2">
        <f t="shared" si="1"/>
        <v>-11812.5</v>
      </c>
      <c r="H117" s="2" t="s">
        <v>66</v>
      </c>
    </row>
    <row r="118" spans="2:8" x14ac:dyDescent="0.2">
      <c r="B118" s="17">
        <v>43927</v>
      </c>
      <c r="C118" s="18">
        <v>69</v>
      </c>
      <c r="D118" s="6">
        <v>777</v>
      </c>
      <c r="E118" s="2">
        <v>837</v>
      </c>
      <c r="F118" s="2"/>
      <c r="G118" s="2">
        <f t="shared" si="1"/>
        <v>837</v>
      </c>
      <c r="H118" s="2" t="s">
        <v>85</v>
      </c>
    </row>
    <row r="119" spans="2:8" x14ac:dyDescent="0.2">
      <c r="B119" s="17">
        <v>43927</v>
      </c>
      <c r="C119" s="18">
        <v>70</v>
      </c>
      <c r="D119" s="6">
        <v>570</v>
      </c>
      <c r="E119" s="2">
        <v>1000</v>
      </c>
      <c r="F119" s="2"/>
      <c r="G119" s="2">
        <f t="shared" si="1"/>
        <v>1000</v>
      </c>
      <c r="H119" s="2" t="s">
        <v>85</v>
      </c>
    </row>
    <row r="120" spans="2:8" x14ac:dyDescent="0.2">
      <c r="B120" s="17">
        <v>43927</v>
      </c>
      <c r="C120" s="18"/>
      <c r="D120" s="6"/>
      <c r="E120" s="2"/>
      <c r="F120" s="2">
        <v>1200</v>
      </c>
      <c r="G120" s="2">
        <f t="shared" si="1"/>
        <v>-1200</v>
      </c>
      <c r="H120" s="2" t="s">
        <v>85</v>
      </c>
    </row>
    <row r="121" spans="2:8" x14ac:dyDescent="0.2">
      <c r="B121" s="17">
        <v>43927</v>
      </c>
      <c r="C121" s="18">
        <v>71</v>
      </c>
      <c r="D121" s="6">
        <v>107</v>
      </c>
      <c r="E121" s="2">
        <v>160</v>
      </c>
      <c r="F121" s="2"/>
      <c r="G121" s="2">
        <f t="shared" si="1"/>
        <v>160</v>
      </c>
      <c r="H121" t="s">
        <v>39</v>
      </c>
    </row>
    <row r="122" spans="2:8" x14ac:dyDescent="0.2">
      <c r="B122" s="17">
        <v>43927</v>
      </c>
      <c r="C122" s="18"/>
      <c r="D122" s="6"/>
      <c r="E122" s="2"/>
      <c r="F122" s="2">
        <v>160</v>
      </c>
      <c r="G122" s="2">
        <f t="shared" si="1"/>
        <v>-160</v>
      </c>
      <c r="H122" t="s">
        <v>39</v>
      </c>
    </row>
    <row r="123" spans="2:8" x14ac:dyDescent="0.2">
      <c r="B123" s="17">
        <v>43928</v>
      </c>
      <c r="C123" s="18">
        <v>72</v>
      </c>
      <c r="D123" s="6">
        <v>535</v>
      </c>
      <c r="E123" s="2">
        <v>800</v>
      </c>
      <c r="F123" s="2"/>
      <c r="G123" s="2">
        <f t="shared" si="1"/>
        <v>800</v>
      </c>
      <c r="H123" t="s">
        <v>39</v>
      </c>
    </row>
    <row r="124" spans="2:8" x14ac:dyDescent="0.2">
      <c r="B124" s="17">
        <v>43928</v>
      </c>
      <c r="C124" s="18"/>
      <c r="D124" s="6"/>
      <c r="E124" s="2"/>
      <c r="F124" s="2">
        <v>800</v>
      </c>
      <c r="G124" s="2">
        <f t="shared" si="1"/>
        <v>-800</v>
      </c>
      <c r="H124" t="s">
        <v>39</v>
      </c>
    </row>
    <row r="125" spans="2:8" x14ac:dyDescent="0.2">
      <c r="B125" s="17">
        <v>43928</v>
      </c>
      <c r="C125" s="18">
        <v>73</v>
      </c>
      <c r="D125" s="6">
        <v>107</v>
      </c>
      <c r="E125" s="2">
        <v>160</v>
      </c>
      <c r="F125" s="2"/>
      <c r="G125" s="2">
        <f t="shared" si="1"/>
        <v>160</v>
      </c>
      <c r="H125" t="s">
        <v>39</v>
      </c>
    </row>
    <row r="126" spans="2:8" x14ac:dyDescent="0.2">
      <c r="B126" s="17">
        <v>43928</v>
      </c>
      <c r="C126" s="18"/>
      <c r="D126" s="6"/>
      <c r="E126" s="2"/>
      <c r="F126" s="2">
        <v>160</v>
      </c>
      <c r="G126" s="2">
        <f t="shared" si="1"/>
        <v>-160</v>
      </c>
      <c r="H126" t="s">
        <v>39</v>
      </c>
    </row>
    <row r="127" spans="2:8" x14ac:dyDescent="0.2">
      <c r="B127" s="17">
        <v>43928</v>
      </c>
      <c r="C127" s="18">
        <v>74</v>
      </c>
      <c r="D127" s="6">
        <v>29057.21999999999</v>
      </c>
      <c r="E127" s="2">
        <v>32274.58</v>
      </c>
      <c r="F127" s="2"/>
      <c r="G127" s="2">
        <f t="shared" si="1"/>
        <v>32274.58</v>
      </c>
      <c r="H127" s="2" t="s">
        <v>50</v>
      </c>
    </row>
    <row r="128" spans="2:8" x14ac:dyDescent="0.2">
      <c r="B128" s="17">
        <v>43928</v>
      </c>
      <c r="C128" s="18">
        <v>75</v>
      </c>
      <c r="D128" s="6">
        <v>4696</v>
      </c>
      <c r="E128" s="2">
        <v>5320.25</v>
      </c>
      <c r="F128" s="2"/>
      <c r="G128" s="2">
        <f t="shared" si="1"/>
        <v>5320.25</v>
      </c>
      <c r="H128" s="2" t="s">
        <v>42</v>
      </c>
    </row>
    <row r="129" spans="2:8" x14ac:dyDescent="0.2">
      <c r="B129" s="17">
        <v>43928</v>
      </c>
      <c r="C129" s="18"/>
      <c r="D129" s="6"/>
      <c r="E129" s="2"/>
      <c r="F129" s="2">
        <v>4000</v>
      </c>
      <c r="G129" s="2">
        <f t="shared" si="1"/>
        <v>-4000</v>
      </c>
      <c r="H129" s="2" t="s">
        <v>42</v>
      </c>
    </row>
    <row r="130" spans="2:8" x14ac:dyDescent="0.2">
      <c r="B130" s="17">
        <v>43930</v>
      </c>
      <c r="C130" s="18">
        <v>76</v>
      </c>
      <c r="D130" s="6">
        <v>1617.5</v>
      </c>
      <c r="E130" s="2">
        <v>2068.75</v>
      </c>
      <c r="F130" s="2"/>
      <c r="G130" s="2">
        <f t="shared" si="1"/>
        <v>2068.75</v>
      </c>
      <c r="H130" s="2" t="s">
        <v>14</v>
      </c>
    </row>
    <row r="131" spans="2:8" x14ac:dyDescent="0.2">
      <c r="B131" s="17">
        <v>43930</v>
      </c>
      <c r="C131" s="18"/>
      <c r="D131" s="6"/>
      <c r="E131" s="2"/>
      <c r="F131" s="2">
        <v>900</v>
      </c>
      <c r="G131" s="2">
        <f t="shared" ref="G131:G194" si="2">E131-F131</f>
        <v>-900</v>
      </c>
      <c r="H131" s="2" t="s">
        <v>14</v>
      </c>
    </row>
    <row r="132" spans="2:8" x14ac:dyDescent="0.2">
      <c r="B132" s="17">
        <v>43930</v>
      </c>
      <c r="C132" s="18">
        <v>77</v>
      </c>
      <c r="D132" s="1">
        <v>3918.5</v>
      </c>
      <c r="E132" s="2">
        <v>4353</v>
      </c>
      <c r="F132" s="2"/>
      <c r="G132" s="2">
        <f t="shared" si="2"/>
        <v>4353</v>
      </c>
      <c r="H132" s="2" t="s">
        <v>42</v>
      </c>
    </row>
    <row r="133" spans="2:8" x14ac:dyDescent="0.2">
      <c r="B133" s="17">
        <v>43930</v>
      </c>
      <c r="C133" s="18"/>
      <c r="D133" s="6"/>
      <c r="E133" s="2"/>
      <c r="F133" s="2">
        <v>10000</v>
      </c>
      <c r="G133" s="2">
        <f t="shared" si="2"/>
        <v>-10000</v>
      </c>
      <c r="H133" s="2" t="s">
        <v>42</v>
      </c>
    </row>
    <row r="134" spans="2:8" x14ac:dyDescent="0.2">
      <c r="B134" s="17">
        <v>43930</v>
      </c>
      <c r="C134" s="18">
        <v>78</v>
      </c>
      <c r="D134" s="6">
        <v>321</v>
      </c>
      <c r="E134" s="2">
        <v>498</v>
      </c>
      <c r="F134" s="2"/>
      <c r="G134" s="2">
        <f t="shared" si="2"/>
        <v>498</v>
      </c>
      <c r="H134" s="2" t="s">
        <v>46</v>
      </c>
    </row>
    <row r="135" spans="2:8" x14ac:dyDescent="0.2">
      <c r="B135" s="17">
        <v>43930</v>
      </c>
      <c r="C135" s="18"/>
      <c r="D135" s="6"/>
      <c r="E135" s="2"/>
      <c r="F135" s="2">
        <v>500</v>
      </c>
      <c r="G135" s="2">
        <f t="shared" si="2"/>
        <v>-500</v>
      </c>
      <c r="H135" s="2" t="s">
        <v>46</v>
      </c>
    </row>
    <row r="136" spans="2:8" x14ac:dyDescent="0.2">
      <c r="B136" s="17">
        <v>43930</v>
      </c>
      <c r="C136" s="18">
        <v>79</v>
      </c>
      <c r="D136" s="6">
        <v>321</v>
      </c>
      <c r="E136" s="2">
        <v>450</v>
      </c>
      <c r="F136" s="2"/>
      <c r="G136" s="2">
        <f t="shared" si="2"/>
        <v>450</v>
      </c>
      <c r="H136" s="2" t="s">
        <v>87</v>
      </c>
    </row>
    <row r="137" spans="2:8" x14ac:dyDescent="0.2">
      <c r="B137" s="17">
        <v>43930</v>
      </c>
      <c r="C137" s="18"/>
      <c r="D137" s="6"/>
      <c r="E137" s="2"/>
      <c r="F137" s="2">
        <v>450</v>
      </c>
      <c r="G137" s="2">
        <f t="shared" si="2"/>
        <v>-450</v>
      </c>
      <c r="H137" s="2" t="s">
        <v>87</v>
      </c>
    </row>
    <row r="138" spans="2:8" x14ac:dyDescent="0.2">
      <c r="B138" s="17">
        <v>43933</v>
      </c>
      <c r="C138" s="18">
        <v>80</v>
      </c>
      <c r="D138" s="6">
        <v>1151.25</v>
      </c>
      <c r="E138" s="2">
        <v>1643.75</v>
      </c>
      <c r="F138" s="2"/>
      <c r="G138" s="2">
        <f t="shared" si="2"/>
        <v>1643.75</v>
      </c>
      <c r="H138" s="2" t="s">
        <v>14</v>
      </c>
    </row>
    <row r="139" spans="2:8" x14ac:dyDescent="0.2">
      <c r="B139" s="17">
        <v>43933</v>
      </c>
      <c r="C139" s="18">
        <v>81</v>
      </c>
      <c r="D139" s="6">
        <v>2464.25</v>
      </c>
      <c r="E139" s="2">
        <v>2733.75</v>
      </c>
      <c r="F139" s="2"/>
      <c r="G139" s="2">
        <f t="shared" si="2"/>
        <v>2733.75</v>
      </c>
      <c r="H139" s="2" t="s">
        <v>46</v>
      </c>
    </row>
    <row r="140" spans="2:8" x14ac:dyDescent="0.2">
      <c r="B140" s="17">
        <v>43933</v>
      </c>
      <c r="C140" s="18"/>
      <c r="D140" s="6"/>
      <c r="E140" s="2"/>
      <c r="F140" s="2">
        <v>1000</v>
      </c>
      <c r="G140" s="2">
        <f t="shared" si="2"/>
        <v>-1000</v>
      </c>
      <c r="H140" s="2" t="s">
        <v>46</v>
      </c>
    </row>
    <row r="141" spans="2:8" x14ac:dyDescent="0.2">
      <c r="B141" s="17">
        <v>43933</v>
      </c>
      <c r="C141" s="18"/>
      <c r="D141" s="6"/>
      <c r="E141" s="2"/>
      <c r="F141" s="2">
        <v>950</v>
      </c>
      <c r="G141" s="2">
        <f t="shared" si="2"/>
        <v>-950</v>
      </c>
      <c r="H141" s="2" t="s">
        <v>14</v>
      </c>
    </row>
    <row r="142" spans="2:8" x14ac:dyDescent="0.2">
      <c r="B142" s="17">
        <v>43934</v>
      </c>
      <c r="C142" s="18">
        <v>82</v>
      </c>
      <c r="D142" s="6">
        <v>10021.5</v>
      </c>
      <c r="E142" s="2">
        <v>10977</v>
      </c>
      <c r="F142" s="2"/>
      <c r="G142" s="2">
        <f t="shared" si="2"/>
        <v>10977</v>
      </c>
      <c r="H142" s="2" t="s">
        <v>46</v>
      </c>
    </row>
    <row r="143" spans="2:8" x14ac:dyDescent="0.2">
      <c r="B143" s="17">
        <v>43934</v>
      </c>
      <c r="C143" s="18">
        <v>82</v>
      </c>
      <c r="D143" s="6"/>
      <c r="E143" s="2"/>
      <c r="F143" s="2">
        <v>570</v>
      </c>
      <c r="G143" s="2">
        <f t="shared" si="2"/>
        <v>-570</v>
      </c>
      <c r="H143" s="2" t="s">
        <v>46</v>
      </c>
    </row>
    <row r="144" spans="2:8" x14ac:dyDescent="0.2">
      <c r="B144" s="17">
        <v>43934</v>
      </c>
      <c r="C144" s="18">
        <v>82</v>
      </c>
      <c r="D144" s="6"/>
      <c r="E144" s="2"/>
      <c r="F144" s="2">
        <v>480</v>
      </c>
      <c r="G144" s="2">
        <f t="shared" si="2"/>
        <v>-480</v>
      </c>
      <c r="H144" s="2" t="s">
        <v>46</v>
      </c>
    </row>
    <row r="145" spans="2:8" x14ac:dyDescent="0.2">
      <c r="B145" s="17">
        <v>43934</v>
      </c>
      <c r="C145" s="18"/>
      <c r="D145" s="6"/>
      <c r="E145" s="2"/>
      <c r="F145" s="2">
        <v>1170</v>
      </c>
      <c r="G145" s="2">
        <f t="shared" si="2"/>
        <v>-1170</v>
      </c>
      <c r="H145" s="2" t="s">
        <v>46</v>
      </c>
    </row>
    <row r="146" spans="2:8" x14ac:dyDescent="0.2">
      <c r="B146" s="17">
        <v>43934</v>
      </c>
      <c r="C146" s="18">
        <v>83</v>
      </c>
      <c r="D146" s="1">
        <v>2140</v>
      </c>
      <c r="E146" s="2">
        <v>3200</v>
      </c>
      <c r="F146" s="2"/>
      <c r="G146" s="2">
        <f t="shared" si="2"/>
        <v>3200</v>
      </c>
      <c r="H146" t="s">
        <v>39</v>
      </c>
    </row>
    <row r="147" spans="2:8" x14ac:dyDescent="0.2">
      <c r="B147" s="17">
        <v>43934</v>
      </c>
      <c r="C147" s="18"/>
      <c r="D147" s="6"/>
      <c r="E147" s="2"/>
      <c r="F147" s="2">
        <v>3200</v>
      </c>
      <c r="G147" s="2">
        <f t="shared" si="2"/>
        <v>-3200</v>
      </c>
      <c r="H147" t="s">
        <v>39</v>
      </c>
    </row>
    <row r="148" spans="2:8" x14ac:dyDescent="0.2">
      <c r="B148" s="17">
        <v>43934</v>
      </c>
      <c r="C148" s="18">
        <v>84</v>
      </c>
      <c r="D148" s="6">
        <v>749</v>
      </c>
      <c r="E148" s="2">
        <v>1015</v>
      </c>
      <c r="F148" s="2"/>
      <c r="G148" s="2">
        <f t="shared" si="2"/>
        <v>1015</v>
      </c>
      <c r="H148" t="s">
        <v>39</v>
      </c>
    </row>
    <row r="149" spans="2:8" x14ac:dyDescent="0.2">
      <c r="B149" s="17">
        <v>43934</v>
      </c>
      <c r="C149" s="18"/>
      <c r="D149" s="6"/>
      <c r="E149" s="2"/>
      <c r="F149" s="2">
        <v>1015</v>
      </c>
      <c r="G149" s="2">
        <f t="shared" si="2"/>
        <v>-1015</v>
      </c>
      <c r="H149" t="s">
        <v>39</v>
      </c>
    </row>
    <row r="150" spans="2:8" x14ac:dyDescent="0.2">
      <c r="B150" s="17">
        <v>43934</v>
      </c>
      <c r="C150" s="18">
        <v>85</v>
      </c>
      <c r="D150" s="1">
        <v>4714.5</v>
      </c>
      <c r="E150" s="2">
        <v>5478</v>
      </c>
      <c r="F150" s="2"/>
      <c r="G150" s="2">
        <f t="shared" si="2"/>
        <v>5478</v>
      </c>
      <c r="H150" s="2" t="s">
        <v>42</v>
      </c>
    </row>
    <row r="151" spans="2:8" x14ac:dyDescent="0.2">
      <c r="B151" s="17">
        <v>43936</v>
      </c>
      <c r="C151" s="18">
        <v>86</v>
      </c>
      <c r="D151" s="1">
        <v>1986.5</v>
      </c>
      <c r="E151" s="2">
        <v>2134</v>
      </c>
      <c r="F151" s="2"/>
      <c r="G151" s="2">
        <f t="shared" si="2"/>
        <v>2134</v>
      </c>
      <c r="H151" s="2" t="s">
        <v>42</v>
      </c>
    </row>
    <row r="152" spans="2:8" x14ac:dyDescent="0.2">
      <c r="B152" s="17">
        <v>43937</v>
      </c>
      <c r="C152" s="18"/>
      <c r="D152" s="6"/>
      <c r="E152" s="2"/>
      <c r="F152" s="2">
        <v>7000</v>
      </c>
      <c r="G152" s="2">
        <f t="shared" si="2"/>
        <v>-7000</v>
      </c>
      <c r="H152" s="2" t="s">
        <v>14</v>
      </c>
    </row>
    <row r="153" spans="2:8" x14ac:dyDescent="0.2">
      <c r="B153" s="17">
        <v>43939</v>
      </c>
      <c r="C153" s="18">
        <v>87</v>
      </c>
      <c r="D153" s="6">
        <v>2109</v>
      </c>
      <c r="E153" s="2">
        <v>2350</v>
      </c>
      <c r="F153" s="2"/>
      <c r="G153" s="2">
        <f t="shared" si="2"/>
        <v>2350</v>
      </c>
      <c r="H153" s="2" t="s">
        <v>62</v>
      </c>
    </row>
    <row r="154" spans="2:8" x14ac:dyDescent="0.2">
      <c r="B154" s="17">
        <v>43939</v>
      </c>
      <c r="C154" s="18"/>
      <c r="D154" s="6"/>
      <c r="E154" s="2"/>
      <c r="F154" s="2">
        <v>1000</v>
      </c>
      <c r="G154" s="2">
        <f t="shared" si="2"/>
        <v>-1000</v>
      </c>
      <c r="H154" s="2" t="s">
        <v>57</v>
      </c>
    </row>
    <row r="155" spans="2:8" x14ac:dyDescent="0.2">
      <c r="B155" s="17">
        <v>43939</v>
      </c>
      <c r="C155" s="18"/>
      <c r="D155" s="6"/>
      <c r="E155" s="2"/>
      <c r="F155" s="2">
        <v>2326.5</v>
      </c>
      <c r="G155" s="2">
        <f t="shared" si="2"/>
        <v>-2326.5</v>
      </c>
      <c r="H155" s="2" t="s">
        <v>62</v>
      </c>
    </row>
    <row r="156" spans="2:8" x14ac:dyDescent="0.2">
      <c r="B156" s="17">
        <v>43939</v>
      </c>
      <c r="C156" s="18">
        <v>88</v>
      </c>
      <c r="D156" s="6">
        <v>1874</v>
      </c>
      <c r="E156" s="2">
        <v>2043.5</v>
      </c>
      <c r="F156" s="2"/>
      <c r="G156" s="2">
        <f t="shared" si="2"/>
        <v>2043.5</v>
      </c>
      <c r="H156" s="2" t="s">
        <v>42</v>
      </c>
    </row>
    <row r="157" spans="2:8" x14ac:dyDescent="0.2">
      <c r="B157" s="17">
        <v>43939</v>
      </c>
      <c r="C157" s="18">
        <v>89</v>
      </c>
      <c r="D157" s="6">
        <v>8290.65</v>
      </c>
      <c r="E157" s="2">
        <v>9118.1</v>
      </c>
      <c r="F157" s="2"/>
      <c r="G157" s="2">
        <f t="shared" si="2"/>
        <v>9118.1</v>
      </c>
      <c r="H157" s="2" t="s">
        <v>50</v>
      </c>
    </row>
    <row r="158" spans="2:8" x14ac:dyDescent="0.2">
      <c r="B158" s="17">
        <v>43940</v>
      </c>
      <c r="C158" s="18">
        <v>90</v>
      </c>
      <c r="D158" s="6">
        <v>2175</v>
      </c>
      <c r="E158" s="2">
        <v>2350</v>
      </c>
      <c r="F158" s="2"/>
      <c r="G158" s="2">
        <f t="shared" si="2"/>
        <v>2350</v>
      </c>
      <c r="H158" s="2" t="s">
        <v>46</v>
      </c>
    </row>
    <row r="159" spans="2:8" x14ac:dyDescent="0.2">
      <c r="B159" s="17">
        <v>43940</v>
      </c>
      <c r="C159" s="18">
        <v>91</v>
      </c>
      <c r="D159" s="6">
        <v>2090</v>
      </c>
      <c r="E159" s="2">
        <v>2234</v>
      </c>
      <c r="F159" s="2"/>
      <c r="G159" s="2">
        <f t="shared" si="2"/>
        <v>2234</v>
      </c>
      <c r="H159" s="2" t="s">
        <v>42</v>
      </c>
    </row>
    <row r="160" spans="2:8" x14ac:dyDescent="0.2">
      <c r="B160" s="17">
        <v>43942</v>
      </c>
      <c r="C160" s="18">
        <v>92</v>
      </c>
      <c r="D160" s="6">
        <v>1046.75</v>
      </c>
      <c r="E160" s="2">
        <v>1136</v>
      </c>
      <c r="F160" s="2"/>
      <c r="G160" s="2">
        <f t="shared" si="2"/>
        <v>1136</v>
      </c>
      <c r="H160" s="2" t="s">
        <v>42</v>
      </c>
    </row>
    <row r="161" spans="2:8" x14ac:dyDescent="0.2">
      <c r="B161" s="17">
        <v>43943</v>
      </c>
      <c r="C161" s="18">
        <v>93</v>
      </c>
      <c r="D161" s="6">
        <v>856</v>
      </c>
      <c r="E161" s="2">
        <v>940</v>
      </c>
      <c r="F161" s="2"/>
      <c r="G161" s="2">
        <f t="shared" si="2"/>
        <v>940</v>
      </c>
      <c r="H161" s="2" t="s">
        <v>66</v>
      </c>
    </row>
    <row r="162" spans="2:8" x14ac:dyDescent="0.2">
      <c r="B162" s="17">
        <v>43943</v>
      </c>
      <c r="C162" s="18"/>
      <c r="D162" s="6"/>
      <c r="E162" s="2"/>
      <c r="F162" s="2">
        <v>940</v>
      </c>
      <c r="G162" s="2">
        <f t="shared" si="2"/>
        <v>-940</v>
      </c>
      <c r="H162" s="2" t="s">
        <v>66</v>
      </c>
    </row>
    <row r="163" spans="2:8" x14ac:dyDescent="0.2">
      <c r="B163" s="17">
        <v>43943</v>
      </c>
      <c r="C163" s="18">
        <v>94</v>
      </c>
      <c r="D163" s="6">
        <v>3319</v>
      </c>
      <c r="E163" s="2">
        <v>4515</v>
      </c>
      <c r="F163" s="2"/>
      <c r="G163" s="2">
        <f t="shared" si="2"/>
        <v>4515</v>
      </c>
      <c r="H163" s="2" t="s">
        <v>56</v>
      </c>
    </row>
    <row r="164" spans="2:8" x14ac:dyDescent="0.2">
      <c r="B164" s="17">
        <v>43943</v>
      </c>
      <c r="C164" s="18"/>
      <c r="D164" s="6"/>
      <c r="E164" s="2"/>
      <c r="F164" s="2">
        <v>4515</v>
      </c>
      <c r="G164" s="2">
        <f t="shared" si="2"/>
        <v>-4515</v>
      </c>
      <c r="H164" s="2" t="s">
        <v>56</v>
      </c>
    </row>
    <row r="165" spans="2:8" x14ac:dyDescent="0.2">
      <c r="B165" s="17">
        <v>43943</v>
      </c>
      <c r="C165" s="18">
        <v>95</v>
      </c>
      <c r="D165" s="6">
        <v>853.25</v>
      </c>
      <c r="E165" s="2">
        <v>908</v>
      </c>
      <c r="F165" s="2"/>
      <c r="G165" s="2">
        <f t="shared" si="2"/>
        <v>908</v>
      </c>
      <c r="H165" s="2" t="s">
        <v>85</v>
      </c>
    </row>
    <row r="166" spans="2:8" x14ac:dyDescent="0.2">
      <c r="B166" s="17">
        <v>43943</v>
      </c>
      <c r="C166" s="18"/>
      <c r="D166" s="6"/>
      <c r="E166" s="2"/>
      <c r="F166" s="2">
        <v>1000</v>
      </c>
      <c r="G166" s="2">
        <f t="shared" si="2"/>
        <v>-1000</v>
      </c>
      <c r="H166" s="2" t="s">
        <v>85</v>
      </c>
    </row>
    <row r="167" spans="2:8" x14ac:dyDescent="0.2">
      <c r="B167" s="17">
        <v>43943</v>
      </c>
      <c r="C167" s="18">
        <v>96</v>
      </c>
      <c r="D167" s="1">
        <v>2635.13</v>
      </c>
      <c r="E167" s="2">
        <v>2896.4</v>
      </c>
      <c r="F167" s="2"/>
      <c r="G167" s="2">
        <f t="shared" si="2"/>
        <v>2896.4</v>
      </c>
      <c r="H167" s="2" t="s">
        <v>46</v>
      </c>
    </row>
    <row r="168" spans="2:8" x14ac:dyDescent="0.2">
      <c r="B168" s="17">
        <v>43943</v>
      </c>
      <c r="C168" s="18">
        <v>97</v>
      </c>
      <c r="D168" s="1">
        <v>950</v>
      </c>
      <c r="E168" s="2">
        <v>1030</v>
      </c>
      <c r="F168" s="2"/>
      <c r="G168" s="2">
        <f t="shared" si="2"/>
        <v>1030</v>
      </c>
      <c r="H168" s="2" t="s">
        <v>34</v>
      </c>
    </row>
    <row r="169" spans="2:8" x14ac:dyDescent="0.2">
      <c r="B169" s="17">
        <v>43943</v>
      </c>
      <c r="C169" s="18"/>
      <c r="D169" s="6"/>
      <c r="E169" s="2"/>
      <c r="F169" s="2">
        <v>5000</v>
      </c>
      <c r="G169" s="2">
        <f t="shared" si="2"/>
        <v>-5000</v>
      </c>
      <c r="H169" s="2" t="s">
        <v>46</v>
      </c>
    </row>
    <row r="170" spans="2:8" x14ac:dyDescent="0.2">
      <c r="B170" s="17">
        <v>43943</v>
      </c>
      <c r="C170" s="18"/>
      <c r="D170" s="6"/>
      <c r="E170" s="2"/>
      <c r="F170" s="2">
        <v>500</v>
      </c>
      <c r="G170" s="2">
        <f t="shared" si="2"/>
        <v>-500</v>
      </c>
      <c r="H170" s="2" t="s">
        <v>42</v>
      </c>
    </row>
    <row r="171" spans="2:8" x14ac:dyDescent="0.2">
      <c r="B171" s="17">
        <v>43945</v>
      </c>
      <c r="C171" s="18">
        <v>98</v>
      </c>
      <c r="D171" s="6">
        <v>343.75</v>
      </c>
      <c r="E171" s="2">
        <v>397.5</v>
      </c>
      <c r="F171" s="2"/>
      <c r="G171" s="2">
        <f t="shared" si="2"/>
        <v>397.5</v>
      </c>
      <c r="H171" s="2" t="s">
        <v>85</v>
      </c>
    </row>
    <row r="172" spans="2:8" x14ac:dyDescent="0.2">
      <c r="B172" s="17">
        <v>43946</v>
      </c>
      <c r="C172" s="18">
        <v>99</v>
      </c>
      <c r="D172" s="6">
        <v>2830.75</v>
      </c>
      <c r="E172" s="2">
        <v>3159.75</v>
      </c>
      <c r="F172" s="2"/>
      <c r="G172" s="2">
        <f t="shared" si="2"/>
        <v>3159.75</v>
      </c>
      <c r="H172" s="2" t="s">
        <v>46</v>
      </c>
    </row>
    <row r="173" spans="2:8" x14ac:dyDescent="0.2">
      <c r="B173" s="17">
        <v>43946</v>
      </c>
      <c r="C173" s="18">
        <v>100</v>
      </c>
      <c r="D173" s="6">
        <v>31686.585000000003</v>
      </c>
      <c r="E173" s="2">
        <v>35169.142500000002</v>
      </c>
      <c r="F173" s="2"/>
      <c r="G173" s="2">
        <f t="shared" si="2"/>
        <v>35169.142500000002</v>
      </c>
      <c r="H173" s="2" t="s">
        <v>50</v>
      </c>
    </row>
    <row r="174" spans="2:8" x14ac:dyDescent="0.2">
      <c r="B174" s="17">
        <v>43947</v>
      </c>
      <c r="C174" s="18">
        <v>101</v>
      </c>
      <c r="D174" s="6">
        <v>2243.5</v>
      </c>
      <c r="E174" s="2">
        <v>2432</v>
      </c>
      <c r="F174" s="2"/>
      <c r="G174" s="2">
        <f t="shared" si="2"/>
        <v>2432</v>
      </c>
      <c r="H174" s="2" t="s">
        <v>34</v>
      </c>
    </row>
    <row r="175" spans="2:8" x14ac:dyDescent="0.2">
      <c r="B175" s="17">
        <v>43947</v>
      </c>
      <c r="C175" s="18">
        <v>102</v>
      </c>
      <c r="D175" s="6">
        <v>535</v>
      </c>
      <c r="E175" s="2">
        <v>800</v>
      </c>
      <c r="F175" s="2"/>
      <c r="G175" s="2">
        <f t="shared" si="2"/>
        <v>800</v>
      </c>
      <c r="H175" t="s">
        <v>39</v>
      </c>
    </row>
    <row r="176" spans="2:8" x14ac:dyDescent="0.2">
      <c r="B176" s="17">
        <v>43947</v>
      </c>
      <c r="C176" s="18"/>
      <c r="D176" s="6"/>
      <c r="E176" s="2"/>
      <c r="F176" s="2">
        <v>800</v>
      </c>
      <c r="G176" s="2">
        <f t="shared" si="2"/>
        <v>-800</v>
      </c>
      <c r="H176" t="s">
        <v>39</v>
      </c>
    </row>
    <row r="177" spans="2:8" x14ac:dyDescent="0.2">
      <c r="B177" s="17">
        <v>43947</v>
      </c>
      <c r="C177" s="18">
        <v>103</v>
      </c>
      <c r="D177" s="6">
        <v>535</v>
      </c>
      <c r="E177" s="2">
        <v>750</v>
      </c>
      <c r="F177" s="2"/>
      <c r="G177" s="2">
        <f t="shared" si="2"/>
        <v>750</v>
      </c>
      <c r="H177" t="s">
        <v>39</v>
      </c>
    </row>
    <row r="178" spans="2:8" x14ac:dyDescent="0.2">
      <c r="B178" s="17">
        <v>43947</v>
      </c>
      <c r="C178" s="18"/>
      <c r="D178" s="6"/>
      <c r="E178" s="2"/>
      <c r="F178" s="2">
        <v>750</v>
      </c>
      <c r="G178" s="2">
        <f t="shared" si="2"/>
        <v>-750</v>
      </c>
      <c r="H178" t="s">
        <v>39</v>
      </c>
    </row>
    <row r="179" spans="2:8" x14ac:dyDescent="0.2">
      <c r="B179" s="17">
        <v>43948</v>
      </c>
      <c r="C179" s="18"/>
      <c r="D179" s="6"/>
      <c r="E179" s="2"/>
      <c r="F179" s="2">
        <v>7000</v>
      </c>
      <c r="G179" s="2">
        <f t="shared" si="2"/>
        <v>-7000</v>
      </c>
      <c r="H179" s="2" t="s">
        <v>14</v>
      </c>
    </row>
    <row r="180" spans="2:8" x14ac:dyDescent="0.2">
      <c r="B180" s="17">
        <v>43949</v>
      </c>
      <c r="C180" s="18">
        <v>104</v>
      </c>
      <c r="D180" s="6">
        <v>503.25</v>
      </c>
      <c r="E180" s="2">
        <v>583</v>
      </c>
      <c r="F180" s="2"/>
      <c r="G180" s="2">
        <f t="shared" si="2"/>
        <v>583</v>
      </c>
      <c r="H180" s="2" t="s">
        <v>85</v>
      </c>
    </row>
    <row r="181" spans="2:8" x14ac:dyDescent="0.2">
      <c r="B181" s="17">
        <v>43949</v>
      </c>
      <c r="C181" s="18"/>
      <c r="D181" s="6"/>
      <c r="E181" s="2"/>
      <c r="F181" s="2">
        <v>1000</v>
      </c>
      <c r="G181" s="2">
        <f t="shared" si="2"/>
        <v>-1000</v>
      </c>
      <c r="H181" s="2" t="s">
        <v>85</v>
      </c>
    </row>
    <row r="182" spans="2:8" x14ac:dyDescent="0.2">
      <c r="B182" s="17">
        <v>43949</v>
      </c>
      <c r="C182" s="18">
        <v>105</v>
      </c>
      <c r="D182" s="6">
        <v>1926.25</v>
      </c>
      <c r="E182" s="2">
        <v>2137.5</v>
      </c>
      <c r="F182" s="2"/>
      <c r="G182" s="2">
        <f t="shared" si="2"/>
        <v>2137.5</v>
      </c>
      <c r="H182" s="2" t="s">
        <v>42</v>
      </c>
    </row>
    <row r="183" spans="2:8" x14ac:dyDescent="0.2">
      <c r="B183" s="17">
        <v>43949</v>
      </c>
      <c r="C183" s="23"/>
      <c r="D183" s="15"/>
      <c r="E183" s="2"/>
      <c r="F183" s="2">
        <v>3000</v>
      </c>
      <c r="G183" s="2">
        <f t="shared" si="2"/>
        <v>-3000</v>
      </c>
      <c r="H183" s="2" t="s">
        <v>54</v>
      </c>
    </row>
    <row r="184" spans="2:8" x14ac:dyDescent="0.2">
      <c r="B184" s="17">
        <v>43949</v>
      </c>
      <c r="C184" s="23">
        <v>106</v>
      </c>
      <c r="D184" s="15">
        <v>1926.25</v>
      </c>
      <c r="E184" s="2">
        <v>1347.5</v>
      </c>
      <c r="F184" s="2"/>
      <c r="G184" s="2">
        <f t="shared" si="2"/>
        <v>1347.5</v>
      </c>
      <c r="H184" s="2" t="s">
        <v>46</v>
      </c>
    </row>
    <row r="185" spans="2:8" x14ac:dyDescent="0.2">
      <c r="B185" s="17">
        <v>43951</v>
      </c>
      <c r="C185" s="23"/>
      <c r="D185" s="15"/>
      <c r="E185" s="2"/>
      <c r="F185" s="2">
        <v>5000</v>
      </c>
      <c r="G185" s="2">
        <f t="shared" si="2"/>
        <v>-5000</v>
      </c>
      <c r="H185" s="2" t="s">
        <v>46</v>
      </c>
    </row>
    <row r="186" spans="2:8" x14ac:dyDescent="0.2">
      <c r="B186" s="17">
        <v>43951</v>
      </c>
      <c r="C186" s="23">
        <v>107</v>
      </c>
      <c r="D186" s="1">
        <v>944.5</v>
      </c>
      <c r="E186" s="2">
        <v>1091</v>
      </c>
      <c r="F186" s="2"/>
      <c r="G186" s="2">
        <f t="shared" si="2"/>
        <v>1091</v>
      </c>
      <c r="H186" s="2" t="s">
        <v>42</v>
      </c>
    </row>
    <row r="187" spans="2:8" x14ac:dyDescent="0.2">
      <c r="B187" s="17">
        <v>43953</v>
      </c>
      <c r="C187" s="23">
        <v>108</v>
      </c>
      <c r="D187" s="1">
        <v>1985.5</v>
      </c>
      <c r="E187" s="2">
        <v>2117.6</v>
      </c>
      <c r="F187" s="2"/>
      <c r="G187" s="2">
        <f t="shared" si="2"/>
        <v>2117.6</v>
      </c>
      <c r="H187" s="2" t="s">
        <v>42</v>
      </c>
    </row>
    <row r="188" spans="2:8" x14ac:dyDescent="0.2">
      <c r="B188" s="17">
        <v>43955</v>
      </c>
      <c r="C188" s="18">
        <v>109</v>
      </c>
      <c r="D188" s="1">
        <v>1449.8</v>
      </c>
      <c r="E188" s="2">
        <v>1642.8</v>
      </c>
      <c r="F188" s="2"/>
      <c r="G188" s="2">
        <f t="shared" si="2"/>
        <v>1642.8</v>
      </c>
      <c r="H188" s="2" t="s">
        <v>42</v>
      </c>
    </row>
    <row r="189" spans="2:8" x14ac:dyDescent="0.2">
      <c r="B189" s="17">
        <v>43955</v>
      </c>
      <c r="C189" s="18"/>
      <c r="D189" s="15"/>
      <c r="E189" s="2"/>
      <c r="F189" s="2">
        <v>1000</v>
      </c>
      <c r="G189" s="2">
        <f t="shared" si="2"/>
        <v>-1000</v>
      </c>
      <c r="H189" s="2" t="s">
        <v>46</v>
      </c>
    </row>
    <row r="190" spans="2:8" x14ac:dyDescent="0.2">
      <c r="B190" s="17">
        <v>43956</v>
      </c>
      <c r="C190" s="18">
        <v>110</v>
      </c>
      <c r="D190" s="15">
        <v>2550</v>
      </c>
      <c r="E190" s="2">
        <v>2850</v>
      </c>
      <c r="F190" s="2"/>
      <c r="G190" s="2">
        <f t="shared" si="2"/>
        <v>2850</v>
      </c>
      <c r="H190" s="2" t="s">
        <v>61</v>
      </c>
    </row>
    <row r="191" spans="2:8" x14ac:dyDescent="0.2">
      <c r="B191" s="17">
        <v>43956</v>
      </c>
      <c r="C191" s="18"/>
      <c r="D191" s="15"/>
      <c r="E191" s="2"/>
      <c r="F191" s="2">
        <v>2000</v>
      </c>
      <c r="G191" s="2">
        <f t="shared" si="2"/>
        <v>-2000</v>
      </c>
      <c r="H191" s="2" t="s">
        <v>61</v>
      </c>
    </row>
    <row r="192" spans="2:8" x14ac:dyDescent="0.2">
      <c r="B192" s="17">
        <v>43957</v>
      </c>
      <c r="C192" s="23">
        <v>111</v>
      </c>
      <c r="D192" s="1">
        <v>1186.5</v>
      </c>
      <c r="E192" s="2">
        <v>1268.5</v>
      </c>
      <c r="F192" s="2"/>
      <c r="G192" s="2">
        <f t="shared" si="2"/>
        <v>1268.5</v>
      </c>
      <c r="H192" s="2" t="s">
        <v>85</v>
      </c>
    </row>
    <row r="193" spans="2:8" x14ac:dyDescent="0.2">
      <c r="B193" s="17">
        <v>43957</v>
      </c>
      <c r="C193" s="23"/>
      <c r="D193" s="15"/>
      <c r="E193" s="2"/>
      <c r="F193" s="2">
        <v>1600</v>
      </c>
      <c r="G193" s="2">
        <f t="shared" si="2"/>
        <v>-1600</v>
      </c>
      <c r="H193" s="2" t="s">
        <v>85</v>
      </c>
    </row>
    <row r="194" spans="2:8" x14ac:dyDescent="0.2">
      <c r="B194" s="17">
        <v>43957</v>
      </c>
      <c r="C194" s="23">
        <v>112</v>
      </c>
      <c r="D194" s="15">
        <v>240</v>
      </c>
      <c r="E194" s="2">
        <v>288</v>
      </c>
      <c r="F194" s="2"/>
      <c r="G194" s="2">
        <f t="shared" si="2"/>
        <v>288</v>
      </c>
      <c r="H194" s="2" t="s">
        <v>54</v>
      </c>
    </row>
    <row r="195" spans="2:8" x14ac:dyDescent="0.2">
      <c r="B195" s="17">
        <v>43957</v>
      </c>
      <c r="C195" s="23"/>
      <c r="D195" s="15"/>
      <c r="E195" s="2"/>
      <c r="F195" s="2">
        <v>3000</v>
      </c>
      <c r="G195" s="2">
        <f t="shared" ref="G195:G258" si="3">E195-F195</f>
        <v>-3000</v>
      </c>
      <c r="H195" s="2" t="s">
        <v>54</v>
      </c>
    </row>
    <row r="196" spans="2:8" x14ac:dyDescent="0.2">
      <c r="B196" s="17">
        <v>43957</v>
      </c>
      <c r="C196" s="18">
        <v>113</v>
      </c>
      <c r="D196" s="1">
        <v>8986</v>
      </c>
      <c r="E196" s="2">
        <v>9987.25</v>
      </c>
      <c r="F196" s="2"/>
      <c r="G196" s="2">
        <f t="shared" si="3"/>
        <v>9987.25</v>
      </c>
      <c r="H196" s="2" t="s">
        <v>46</v>
      </c>
    </row>
    <row r="197" spans="2:8" x14ac:dyDescent="0.2">
      <c r="B197" s="17">
        <v>43958</v>
      </c>
      <c r="C197" s="23"/>
      <c r="D197" s="15"/>
      <c r="E197" s="2"/>
      <c r="F197" s="2">
        <v>5000</v>
      </c>
      <c r="G197" s="2">
        <f t="shared" si="3"/>
        <v>-5000</v>
      </c>
      <c r="H197" s="2" t="s">
        <v>14</v>
      </c>
    </row>
    <row r="198" spans="2:8" x14ac:dyDescent="0.2">
      <c r="B198" s="17">
        <v>43958</v>
      </c>
      <c r="C198" s="23"/>
      <c r="D198" s="15"/>
      <c r="E198" s="2"/>
      <c r="F198" s="2">
        <v>31951.93</v>
      </c>
      <c r="G198" s="2">
        <f t="shared" si="3"/>
        <v>-31951.93</v>
      </c>
      <c r="H198" s="2" t="s">
        <v>50</v>
      </c>
    </row>
    <row r="199" spans="2:8" x14ac:dyDescent="0.2">
      <c r="B199" s="17">
        <v>43960</v>
      </c>
      <c r="C199" s="23"/>
      <c r="D199" s="15"/>
      <c r="E199" s="2"/>
      <c r="F199" s="2">
        <v>2000</v>
      </c>
      <c r="G199" s="2">
        <f t="shared" si="3"/>
        <v>-2000</v>
      </c>
      <c r="H199" s="2" t="s">
        <v>46</v>
      </c>
    </row>
    <row r="200" spans="2:8" x14ac:dyDescent="0.2">
      <c r="B200" s="17">
        <v>43960</v>
      </c>
      <c r="C200" s="23">
        <v>114</v>
      </c>
      <c r="D200" s="1">
        <v>337.5</v>
      </c>
      <c r="E200" s="2">
        <v>355</v>
      </c>
      <c r="F200" s="2"/>
      <c r="G200" s="2">
        <f t="shared" si="3"/>
        <v>355</v>
      </c>
      <c r="H200" s="2" t="s">
        <v>42</v>
      </c>
    </row>
    <row r="201" spans="2:8" x14ac:dyDescent="0.2">
      <c r="B201" s="17">
        <v>43960</v>
      </c>
      <c r="C201" s="23">
        <v>115</v>
      </c>
      <c r="D201" s="1">
        <v>350.5</v>
      </c>
      <c r="E201" s="2">
        <v>408.5</v>
      </c>
      <c r="F201" s="2"/>
      <c r="G201" s="2">
        <f t="shared" si="3"/>
        <v>408.5</v>
      </c>
      <c r="H201" s="2" t="s">
        <v>85</v>
      </c>
    </row>
    <row r="202" spans="2:8" x14ac:dyDescent="0.2">
      <c r="B202" s="17">
        <v>43960</v>
      </c>
      <c r="C202" s="23"/>
      <c r="D202" s="15"/>
      <c r="E202" s="2"/>
      <c r="F202" s="2">
        <v>800</v>
      </c>
      <c r="G202" s="2">
        <f t="shared" si="3"/>
        <v>-800</v>
      </c>
      <c r="H202" s="2" t="s">
        <v>85</v>
      </c>
    </row>
    <row r="203" spans="2:8" x14ac:dyDescent="0.2">
      <c r="B203" s="17">
        <v>43961</v>
      </c>
      <c r="C203" s="23"/>
      <c r="D203" s="15"/>
      <c r="E203" s="2"/>
      <c r="F203" s="2">
        <v>1000</v>
      </c>
      <c r="G203" s="2">
        <f t="shared" si="3"/>
        <v>-1000</v>
      </c>
      <c r="H203" s="2" t="s">
        <v>46</v>
      </c>
    </row>
    <row r="204" spans="2:8" x14ac:dyDescent="0.2">
      <c r="B204" s="17">
        <v>43961</v>
      </c>
      <c r="C204" s="23">
        <v>116</v>
      </c>
      <c r="D204" s="1">
        <v>727.5</v>
      </c>
      <c r="E204" s="2">
        <v>1039.5</v>
      </c>
      <c r="F204" s="2"/>
      <c r="G204" s="2">
        <f t="shared" si="3"/>
        <v>1039.5</v>
      </c>
      <c r="H204" s="2" t="s">
        <v>85</v>
      </c>
    </row>
    <row r="205" spans="2:8" x14ac:dyDescent="0.2">
      <c r="B205" s="17">
        <v>43961</v>
      </c>
      <c r="C205" s="23">
        <v>117</v>
      </c>
      <c r="D205" s="1">
        <v>2524.5</v>
      </c>
      <c r="E205" s="2">
        <v>2953</v>
      </c>
      <c r="F205" s="2"/>
      <c r="G205" s="2">
        <f t="shared" si="3"/>
        <v>2953</v>
      </c>
      <c r="H205" s="2" t="s">
        <v>42</v>
      </c>
    </row>
    <row r="206" spans="2:8" x14ac:dyDescent="0.2">
      <c r="B206" s="17">
        <v>43961</v>
      </c>
      <c r="C206" s="23">
        <v>118</v>
      </c>
      <c r="D206" s="1">
        <v>570</v>
      </c>
      <c r="E206" s="2">
        <v>1100</v>
      </c>
      <c r="F206" s="2"/>
      <c r="G206" s="2">
        <f t="shared" si="3"/>
        <v>1100</v>
      </c>
      <c r="H206" t="s">
        <v>39</v>
      </c>
    </row>
    <row r="207" spans="2:8" x14ac:dyDescent="0.2">
      <c r="B207" s="17">
        <v>43961</v>
      </c>
      <c r="C207" s="23"/>
      <c r="D207" s="15"/>
      <c r="E207" s="2"/>
      <c r="F207" s="2">
        <v>1100</v>
      </c>
      <c r="G207" s="2">
        <f t="shared" si="3"/>
        <v>-1100</v>
      </c>
      <c r="H207" t="s">
        <v>39</v>
      </c>
    </row>
    <row r="208" spans="2:8" x14ac:dyDescent="0.2">
      <c r="B208" s="17">
        <v>43961</v>
      </c>
      <c r="C208" s="23">
        <v>119</v>
      </c>
      <c r="D208" s="1">
        <v>2570.5</v>
      </c>
      <c r="E208" s="2">
        <v>2988.75</v>
      </c>
      <c r="F208" s="2"/>
      <c r="G208" s="2">
        <f t="shared" si="3"/>
        <v>2988.75</v>
      </c>
      <c r="H208" s="2" t="s">
        <v>46</v>
      </c>
    </row>
    <row r="209" spans="2:8" x14ac:dyDescent="0.2">
      <c r="B209" s="17">
        <v>43962</v>
      </c>
      <c r="C209" s="23"/>
      <c r="D209" s="15"/>
      <c r="E209" s="2"/>
      <c r="F209" s="2">
        <v>1000</v>
      </c>
      <c r="G209" s="2">
        <f t="shared" si="3"/>
        <v>-1000</v>
      </c>
      <c r="H209" s="2" t="s">
        <v>34</v>
      </c>
    </row>
    <row r="210" spans="2:8" x14ac:dyDescent="0.2">
      <c r="B210" s="17">
        <v>43963</v>
      </c>
      <c r="C210" s="23"/>
      <c r="D210" s="15"/>
      <c r="E210" s="2"/>
      <c r="F210" s="2">
        <v>20000</v>
      </c>
      <c r="G210" s="2">
        <f t="shared" si="3"/>
        <v>-20000</v>
      </c>
      <c r="H210" s="2" t="s">
        <v>42</v>
      </c>
    </row>
    <row r="211" spans="2:8" x14ac:dyDescent="0.2">
      <c r="B211" s="17">
        <v>43963</v>
      </c>
      <c r="C211" s="23"/>
      <c r="D211" s="15"/>
      <c r="E211" s="2"/>
      <c r="F211" s="2">
        <v>3000</v>
      </c>
      <c r="G211" s="2">
        <f t="shared" si="3"/>
        <v>-3000</v>
      </c>
      <c r="H211" s="2" t="s">
        <v>54</v>
      </c>
    </row>
    <row r="212" spans="2:8" x14ac:dyDescent="0.2">
      <c r="B212" s="17">
        <v>43965</v>
      </c>
      <c r="C212" s="23">
        <v>120</v>
      </c>
      <c r="D212" s="1">
        <v>4305</v>
      </c>
      <c r="E212" s="2">
        <v>4620</v>
      </c>
      <c r="F212" s="2"/>
      <c r="G212" s="2">
        <f t="shared" si="3"/>
        <v>4620</v>
      </c>
      <c r="H212" s="2" t="s">
        <v>14</v>
      </c>
    </row>
    <row r="213" spans="2:8" x14ac:dyDescent="0.2">
      <c r="B213" s="17">
        <v>43965</v>
      </c>
      <c r="C213" s="23">
        <v>121</v>
      </c>
      <c r="D213" s="1">
        <v>5500.75</v>
      </c>
      <c r="E213" s="2">
        <v>6129.5</v>
      </c>
      <c r="F213" s="2"/>
      <c r="G213" s="2">
        <f t="shared" si="3"/>
        <v>6129.5</v>
      </c>
      <c r="H213" s="2" t="s">
        <v>42</v>
      </c>
    </row>
    <row r="214" spans="2:8" x14ac:dyDescent="0.2">
      <c r="B214" s="17">
        <v>43967</v>
      </c>
      <c r="C214" s="18">
        <v>122</v>
      </c>
      <c r="D214" s="1">
        <v>1456.25</v>
      </c>
      <c r="E214" s="2">
        <v>1620.25</v>
      </c>
      <c r="F214" s="2"/>
      <c r="G214" s="2">
        <f t="shared" si="3"/>
        <v>1620.25</v>
      </c>
      <c r="H214" s="2" t="s">
        <v>85</v>
      </c>
    </row>
    <row r="215" spans="2:8" x14ac:dyDescent="0.2">
      <c r="B215" s="17">
        <v>43967</v>
      </c>
      <c r="C215" s="18">
        <v>123</v>
      </c>
      <c r="D215" s="1">
        <v>100</v>
      </c>
      <c r="E215" s="2">
        <v>110</v>
      </c>
      <c r="F215" s="2"/>
      <c r="G215" s="2">
        <f t="shared" si="3"/>
        <v>110</v>
      </c>
      <c r="H215" s="2" t="s">
        <v>34</v>
      </c>
    </row>
    <row r="216" spans="2:8" x14ac:dyDescent="0.2">
      <c r="B216" s="17">
        <v>43967</v>
      </c>
      <c r="C216" s="18">
        <v>124</v>
      </c>
      <c r="D216" s="1">
        <v>1425</v>
      </c>
      <c r="E216" s="2">
        <v>1600</v>
      </c>
      <c r="F216" s="2"/>
      <c r="G216" s="2">
        <f t="shared" si="3"/>
        <v>1600</v>
      </c>
      <c r="H216" s="2" t="s">
        <v>34</v>
      </c>
    </row>
    <row r="217" spans="2:8" x14ac:dyDescent="0.2">
      <c r="B217" s="17">
        <v>43967</v>
      </c>
      <c r="C217" s="18">
        <v>125</v>
      </c>
      <c r="D217" s="1">
        <v>2699</v>
      </c>
      <c r="E217" s="2">
        <v>2949</v>
      </c>
      <c r="F217" s="2"/>
      <c r="G217" s="2">
        <f t="shared" si="3"/>
        <v>2949</v>
      </c>
      <c r="H217" s="2" t="s">
        <v>42</v>
      </c>
    </row>
    <row r="218" spans="2:8" x14ac:dyDescent="0.2">
      <c r="B218" s="17">
        <v>43967</v>
      </c>
      <c r="C218" s="18"/>
      <c r="D218" s="6"/>
      <c r="E218" s="2"/>
      <c r="F218" s="2">
        <v>2000</v>
      </c>
      <c r="G218" s="2">
        <f t="shared" si="3"/>
        <v>-2000</v>
      </c>
      <c r="H218" s="2" t="s">
        <v>34</v>
      </c>
    </row>
    <row r="219" spans="2:8" x14ac:dyDescent="0.2">
      <c r="B219" s="17">
        <v>43968</v>
      </c>
      <c r="C219" s="18">
        <v>126</v>
      </c>
      <c r="D219" s="1">
        <v>2484</v>
      </c>
      <c r="E219" s="2">
        <v>2780</v>
      </c>
      <c r="F219" s="2"/>
      <c r="G219" s="2">
        <f t="shared" si="3"/>
        <v>2780</v>
      </c>
      <c r="H219" s="2" t="s">
        <v>42</v>
      </c>
    </row>
    <row r="220" spans="2:8" x14ac:dyDescent="0.2">
      <c r="B220" s="17">
        <v>43968</v>
      </c>
      <c r="C220" s="18">
        <v>127</v>
      </c>
      <c r="D220" s="1">
        <v>570</v>
      </c>
      <c r="E220" s="2">
        <v>1100</v>
      </c>
      <c r="F220" s="2"/>
      <c r="G220" s="2">
        <f t="shared" si="3"/>
        <v>1100</v>
      </c>
      <c r="H220" t="s">
        <v>39</v>
      </c>
    </row>
    <row r="221" spans="2:8" x14ac:dyDescent="0.2">
      <c r="B221" s="17">
        <v>43968</v>
      </c>
      <c r="C221" s="18"/>
      <c r="D221" s="6"/>
      <c r="E221" s="2"/>
      <c r="F221" s="2">
        <v>1100</v>
      </c>
      <c r="G221" s="2">
        <f t="shared" si="3"/>
        <v>-1100</v>
      </c>
      <c r="H221" t="s">
        <v>39</v>
      </c>
    </row>
    <row r="222" spans="2:8" x14ac:dyDescent="0.2">
      <c r="B222" s="17">
        <v>43969</v>
      </c>
      <c r="C222" s="18">
        <v>128</v>
      </c>
      <c r="D222" s="1">
        <v>1025.9999999999998</v>
      </c>
      <c r="E222" s="2">
        <v>1125.18</v>
      </c>
      <c r="F222" s="2"/>
      <c r="G222" s="2">
        <f t="shared" si="3"/>
        <v>1125.18</v>
      </c>
      <c r="H222" s="2" t="s">
        <v>62</v>
      </c>
    </row>
    <row r="223" spans="2:8" x14ac:dyDescent="0.2">
      <c r="B223" s="17">
        <v>43970</v>
      </c>
      <c r="C223" s="18">
        <v>129</v>
      </c>
      <c r="D223" s="1">
        <v>3761</v>
      </c>
      <c r="E223" s="2">
        <v>4108.5</v>
      </c>
      <c r="F223" s="2"/>
      <c r="G223" s="2">
        <f t="shared" si="3"/>
        <v>4108.5</v>
      </c>
      <c r="H223" s="2" t="s">
        <v>42</v>
      </c>
    </row>
    <row r="224" spans="2:8" x14ac:dyDescent="0.2">
      <c r="B224" s="17">
        <v>43970</v>
      </c>
      <c r="C224" s="18">
        <v>130</v>
      </c>
      <c r="D224" s="1">
        <v>550</v>
      </c>
      <c r="E224" s="2">
        <v>600</v>
      </c>
      <c r="F224" s="2"/>
      <c r="G224" s="2">
        <f t="shared" si="3"/>
        <v>600</v>
      </c>
      <c r="H224" s="2" t="s">
        <v>14</v>
      </c>
    </row>
    <row r="225" spans="2:8" x14ac:dyDescent="0.2">
      <c r="B225" s="17">
        <v>43970</v>
      </c>
      <c r="C225" s="18">
        <v>131</v>
      </c>
      <c r="D225" s="1">
        <v>234</v>
      </c>
      <c r="E225" s="2">
        <v>256</v>
      </c>
      <c r="F225" s="2"/>
      <c r="G225" s="2">
        <f t="shared" si="3"/>
        <v>256</v>
      </c>
      <c r="H225" s="2" t="s">
        <v>34</v>
      </c>
    </row>
    <row r="226" spans="2:8" x14ac:dyDescent="0.2">
      <c r="B226" s="17">
        <v>43971</v>
      </c>
      <c r="C226" s="18"/>
      <c r="D226" s="6"/>
      <c r="E226" s="2"/>
      <c r="F226" s="2">
        <v>5000</v>
      </c>
      <c r="G226" s="2">
        <f t="shared" si="3"/>
        <v>-5000</v>
      </c>
      <c r="H226" s="2" t="s">
        <v>46</v>
      </c>
    </row>
    <row r="227" spans="2:8" x14ac:dyDescent="0.2">
      <c r="B227" s="17">
        <v>43972</v>
      </c>
      <c r="C227" s="18">
        <v>132</v>
      </c>
      <c r="D227" s="1">
        <v>19400</v>
      </c>
      <c r="E227" s="2">
        <v>21000</v>
      </c>
      <c r="F227" s="2"/>
      <c r="G227" s="2">
        <f t="shared" si="3"/>
        <v>21000</v>
      </c>
      <c r="H227" s="2" t="s">
        <v>14</v>
      </c>
    </row>
    <row r="228" spans="2:8" x14ac:dyDescent="0.2">
      <c r="B228" s="17">
        <v>43972</v>
      </c>
      <c r="C228" s="18">
        <v>133</v>
      </c>
      <c r="D228" s="1">
        <v>2973.05</v>
      </c>
      <c r="E228" s="2">
        <v>3296.5</v>
      </c>
      <c r="F228" s="2"/>
      <c r="G228" s="2">
        <f t="shared" si="3"/>
        <v>3296.5</v>
      </c>
      <c r="H228" s="2" t="s">
        <v>46</v>
      </c>
    </row>
    <row r="229" spans="2:8" x14ac:dyDescent="0.2">
      <c r="B229" s="17">
        <v>43972</v>
      </c>
      <c r="C229" s="18"/>
      <c r="D229" s="6"/>
      <c r="E229" s="2"/>
      <c r="F229" s="2">
        <v>7000</v>
      </c>
      <c r="G229" s="2">
        <f t="shared" si="3"/>
        <v>-7000</v>
      </c>
      <c r="H229" s="2" t="s">
        <v>14</v>
      </c>
    </row>
    <row r="230" spans="2:8" x14ac:dyDescent="0.2">
      <c r="B230" s="17">
        <v>43974</v>
      </c>
      <c r="C230" s="18"/>
      <c r="D230" s="6"/>
      <c r="E230" s="2"/>
      <c r="F230" s="2">
        <v>5000</v>
      </c>
      <c r="G230" s="2">
        <f t="shared" si="3"/>
        <v>-5000</v>
      </c>
      <c r="H230" s="2" t="s">
        <v>46</v>
      </c>
    </row>
    <row r="231" spans="2:8" x14ac:dyDescent="0.2">
      <c r="B231" s="17">
        <v>43974</v>
      </c>
      <c r="C231" s="18">
        <v>134</v>
      </c>
      <c r="D231" s="1">
        <v>2205.9300000000003</v>
      </c>
      <c r="E231" s="2">
        <v>2517.5</v>
      </c>
      <c r="F231" s="2"/>
      <c r="G231" s="2">
        <f t="shared" si="3"/>
        <v>2517.5</v>
      </c>
      <c r="H231" s="2" t="s">
        <v>42</v>
      </c>
    </row>
    <row r="232" spans="2:8" x14ac:dyDescent="0.2">
      <c r="B232" s="17">
        <v>43974</v>
      </c>
      <c r="C232" s="18">
        <v>135</v>
      </c>
      <c r="D232" s="1">
        <v>1344</v>
      </c>
      <c r="E232" s="2">
        <v>1496</v>
      </c>
      <c r="F232" s="2"/>
      <c r="G232" s="2">
        <f t="shared" si="3"/>
        <v>1496</v>
      </c>
      <c r="H232" t="s">
        <v>39</v>
      </c>
    </row>
    <row r="233" spans="2:8" x14ac:dyDescent="0.2">
      <c r="B233" s="17">
        <v>43974</v>
      </c>
      <c r="C233" s="18">
        <v>136</v>
      </c>
      <c r="D233" s="1">
        <v>3877.5</v>
      </c>
      <c r="E233" s="2">
        <v>4380</v>
      </c>
      <c r="F233" s="2"/>
      <c r="G233" s="2">
        <f t="shared" si="3"/>
        <v>4380</v>
      </c>
      <c r="H233" s="2" t="s">
        <v>46</v>
      </c>
    </row>
    <row r="234" spans="2:8" x14ac:dyDescent="0.2">
      <c r="B234" s="17">
        <v>43974</v>
      </c>
      <c r="C234" s="18">
        <v>137</v>
      </c>
      <c r="D234" s="1">
        <v>1684</v>
      </c>
      <c r="E234" s="2">
        <v>1841.5</v>
      </c>
      <c r="F234" s="2"/>
      <c r="G234" s="2">
        <f t="shared" si="3"/>
        <v>1841.5</v>
      </c>
      <c r="H234" s="2" t="s">
        <v>34</v>
      </c>
    </row>
    <row r="235" spans="2:8" x14ac:dyDescent="0.2">
      <c r="B235" s="17">
        <v>43974</v>
      </c>
      <c r="C235" s="18">
        <v>138</v>
      </c>
      <c r="D235" s="1">
        <v>182</v>
      </c>
      <c r="E235" s="2">
        <v>215</v>
      </c>
      <c r="F235" s="2"/>
      <c r="G235" s="2">
        <f t="shared" si="3"/>
        <v>215</v>
      </c>
      <c r="H235" t="s">
        <v>39</v>
      </c>
    </row>
    <row r="236" spans="2:8" x14ac:dyDescent="0.2">
      <c r="B236" s="17">
        <v>43974</v>
      </c>
      <c r="C236" s="18"/>
      <c r="D236" s="6"/>
      <c r="E236" s="2"/>
      <c r="F236" s="2">
        <v>215</v>
      </c>
      <c r="G236" s="2">
        <f t="shared" si="3"/>
        <v>-215</v>
      </c>
      <c r="H236" t="s">
        <v>39</v>
      </c>
    </row>
    <row r="237" spans="2:8" x14ac:dyDescent="0.2">
      <c r="B237" s="17">
        <v>43974</v>
      </c>
      <c r="C237" s="18">
        <v>139</v>
      </c>
      <c r="D237" s="6">
        <v>200</v>
      </c>
      <c r="E237" s="2">
        <v>250</v>
      </c>
      <c r="F237" s="2"/>
      <c r="G237" s="2">
        <f t="shared" si="3"/>
        <v>250</v>
      </c>
      <c r="H237" s="2" t="s">
        <v>85</v>
      </c>
    </row>
    <row r="238" spans="2:8" x14ac:dyDescent="0.2">
      <c r="B238" s="17">
        <v>43974</v>
      </c>
      <c r="C238" s="18"/>
      <c r="D238" s="6"/>
      <c r="E238" s="2"/>
      <c r="F238" s="2">
        <v>1500</v>
      </c>
      <c r="G238" s="2">
        <f t="shared" si="3"/>
        <v>-1500</v>
      </c>
      <c r="H238" s="2" t="s">
        <v>85</v>
      </c>
    </row>
    <row r="239" spans="2:8" x14ac:dyDescent="0.2">
      <c r="B239" s="17">
        <v>43977</v>
      </c>
      <c r="C239" s="18"/>
      <c r="D239" s="6"/>
      <c r="E239" s="2"/>
      <c r="F239" s="2">
        <v>7000</v>
      </c>
      <c r="G239" s="2">
        <f t="shared" si="3"/>
        <v>-7000</v>
      </c>
      <c r="H239" s="2" t="s">
        <v>14</v>
      </c>
    </row>
    <row r="240" spans="2:8" x14ac:dyDescent="0.2">
      <c r="B240" s="17">
        <v>43980</v>
      </c>
      <c r="C240" s="18">
        <v>140</v>
      </c>
      <c r="D240" s="6">
        <v>214</v>
      </c>
      <c r="E240" s="2">
        <v>107</v>
      </c>
      <c r="F240" s="2"/>
      <c r="G240" s="2">
        <f t="shared" si="3"/>
        <v>107</v>
      </c>
      <c r="H240" s="2" t="s">
        <v>86</v>
      </c>
    </row>
    <row r="241" spans="2:13" x14ac:dyDescent="0.2">
      <c r="B241" s="17">
        <v>43980</v>
      </c>
      <c r="C241" s="18"/>
      <c r="D241" s="6"/>
      <c r="E241" s="2"/>
      <c r="F241" s="2">
        <v>107</v>
      </c>
      <c r="G241" s="2">
        <f t="shared" si="3"/>
        <v>-107</v>
      </c>
      <c r="H241" s="2" t="s">
        <v>86</v>
      </c>
    </row>
    <row r="242" spans="2:13" x14ac:dyDescent="0.2">
      <c r="B242" s="17">
        <v>43981</v>
      </c>
      <c r="C242" s="18">
        <v>141</v>
      </c>
      <c r="D242" s="6">
        <v>517.5</v>
      </c>
      <c r="E242" s="2">
        <v>585</v>
      </c>
      <c r="F242" s="2"/>
      <c r="G242" s="2">
        <f t="shared" si="3"/>
        <v>585</v>
      </c>
      <c r="H242" t="s">
        <v>39</v>
      </c>
    </row>
    <row r="243" spans="2:13" x14ac:dyDescent="0.2">
      <c r="B243" s="17">
        <v>43981</v>
      </c>
      <c r="C243" s="18"/>
      <c r="D243" s="6"/>
      <c r="E243" s="2"/>
      <c r="F243" s="2">
        <v>585</v>
      </c>
      <c r="G243" s="2">
        <f t="shared" si="3"/>
        <v>-585</v>
      </c>
      <c r="H243" t="s">
        <v>39</v>
      </c>
    </row>
    <row r="244" spans="2:13" x14ac:dyDescent="0.2">
      <c r="B244" s="17">
        <v>43981</v>
      </c>
      <c r="C244" s="18">
        <v>142</v>
      </c>
      <c r="D244" s="6">
        <v>10899</v>
      </c>
      <c r="E244" s="2">
        <v>7565</v>
      </c>
      <c r="F244" s="2"/>
      <c r="G244" s="2">
        <f t="shared" si="3"/>
        <v>7565</v>
      </c>
      <c r="H244" s="2" t="s">
        <v>56</v>
      </c>
    </row>
    <row r="245" spans="2:13" x14ac:dyDescent="0.2">
      <c r="B245" s="17">
        <v>43981</v>
      </c>
      <c r="C245" s="18"/>
      <c r="D245" s="6"/>
      <c r="E245" s="2"/>
      <c r="F245" s="2">
        <v>7565</v>
      </c>
      <c r="G245" s="2">
        <f t="shared" si="3"/>
        <v>-7565</v>
      </c>
      <c r="H245" s="2" t="s">
        <v>56</v>
      </c>
    </row>
    <row r="246" spans="2:13" x14ac:dyDescent="0.2">
      <c r="B246" s="17">
        <v>43981</v>
      </c>
      <c r="C246" s="18">
        <v>143</v>
      </c>
      <c r="D246" s="1">
        <v>214</v>
      </c>
      <c r="E246" s="2">
        <v>170</v>
      </c>
      <c r="F246" s="2"/>
      <c r="G246" s="2">
        <f t="shared" si="3"/>
        <v>170</v>
      </c>
      <c r="H246" s="2" t="s">
        <v>48</v>
      </c>
    </row>
    <row r="247" spans="2:13" x14ac:dyDescent="0.2">
      <c r="B247" s="17">
        <v>43981</v>
      </c>
      <c r="C247" s="18">
        <v>144</v>
      </c>
      <c r="D247" s="1">
        <v>550</v>
      </c>
      <c r="E247" s="2">
        <v>700</v>
      </c>
      <c r="F247" s="2"/>
      <c r="G247" s="2">
        <f t="shared" si="3"/>
        <v>700</v>
      </c>
      <c r="H247" s="2" t="s">
        <v>56</v>
      </c>
    </row>
    <row r="248" spans="2:13" x14ac:dyDescent="0.2">
      <c r="B248" s="17">
        <v>43981</v>
      </c>
      <c r="C248" s="18"/>
      <c r="D248" s="6"/>
      <c r="E248" s="2"/>
      <c r="F248" s="2">
        <v>700</v>
      </c>
      <c r="G248" s="2">
        <f t="shared" si="3"/>
        <v>-700</v>
      </c>
      <c r="H248" s="2" t="s">
        <v>56</v>
      </c>
    </row>
    <row r="249" spans="2:13" x14ac:dyDescent="0.2">
      <c r="B249" s="17">
        <v>43981</v>
      </c>
      <c r="C249" s="18"/>
      <c r="D249" s="6"/>
      <c r="E249" s="2"/>
      <c r="F249" s="2">
        <v>5000</v>
      </c>
      <c r="G249" s="2">
        <f t="shared" si="3"/>
        <v>-5000</v>
      </c>
      <c r="H249" s="2" t="s">
        <v>46</v>
      </c>
    </row>
    <row r="250" spans="2:13" x14ac:dyDescent="0.2">
      <c r="B250" s="17">
        <v>43982</v>
      </c>
      <c r="C250" s="18">
        <v>145</v>
      </c>
      <c r="D250" s="1">
        <v>1950</v>
      </c>
      <c r="E250" s="2">
        <v>2150</v>
      </c>
      <c r="F250" s="2"/>
      <c r="G250" s="2">
        <f t="shared" si="3"/>
        <v>2150</v>
      </c>
      <c r="H250" s="2" t="s">
        <v>14</v>
      </c>
    </row>
    <row r="251" spans="2:13" x14ac:dyDescent="0.2">
      <c r="B251" s="17">
        <v>43982</v>
      </c>
      <c r="C251" s="18">
        <v>146</v>
      </c>
      <c r="D251" s="1">
        <v>4421</v>
      </c>
      <c r="E251" s="2">
        <v>5036.25</v>
      </c>
      <c r="F251" s="2"/>
      <c r="G251" s="2">
        <f t="shared" si="3"/>
        <v>5036.25</v>
      </c>
      <c r="H251" s="2" t="s">
        <v>42</v>
      </c>
    </row>
    <row r="252" spans="2:13" x14ac:dyDescent="0.2">
      <c r="B252" s="17">
        <v>43982</v>
      </c>
      <c r="C252" s="18">
        <v>147</v>
      </c>
      <c r="D252" s="1">
        <v>570</v>
      </c>
      <c r="E252" s="2">
        <v>1070</v>
      </c>
      <c r="F252" s="2"/>
      <c r="G252" s="2">
        <f t="shared" si="3"/>
        <v>1070</v>
      </c>
      <c r="H252" t="s">
        <v>39</v>
      </c>
    </row>
    <row r="253" spans="2:13" x14ac:dyDescent="0.2">
      <c r="B253" s="17">
        <v>43982</v>
      </c>
      <c r="C253" s="18"/>
      <c r="D253" s="6"/>
      <c r="E253" s="2"/>
      <c r="F253" s="9">
        <v>1070</v>
      </c>
      <c r="G253" s="2">
        <f t="shared" si="3"/>
        <v>-1070</v>
      </c>
      <c r="H253" t="s">
        <v>39</v>
      </c>
      <c r="K253" s="1"/>
      <c r="L253" s="1"/>
      <c r="M253" s="1"/>
    </row>
    <row r="254" spans="2:13" x14ac:dyDescent="0.2">
      <c r="B254" s="17">
        <v>43982</v>
      </c>
      <c r="C254" s="18">
        <v>148</v>
      </c>
      <c r="D254" s="1">
        <v>1258.25</v>
      </c>
      <c r="E254" s="2">
        <v>1393.25</v>
      </c>
      <c r="F254" s="2"/>
      <c r="G254" s="2">
        <f t="shared" si="3"/>
        <v>1393.25</v>
      </c>
      <c r="H254" s="2" t="s">
        <v>56</v>
      </c>
      <c r="K254" s="1"/>
      <c r="L254" s="1"/>
      <c r="M254" s="1"/>
    </row>
    <row r="255" spans="2:13" x14ac:dyDescent="0.2">
      <c r="B255" s="17">
        <v>43982</v>
      </c>
      <c r="C255" s="18"/>
      <c r="D255" s="6"/>
      <c r="E255" s="2"/>
      <c r="F255" s="2">
        <v>1200</v>
      </c>
      <c r="G255" s="2">
        <f t="shared" si="3"/>
        <v>-1200</v>
      </c>
      <c r="H255" s="2" t="s">
        <v>56</v>
      </c>
      <c r="K255" s="1"/>
      <c r="L255" s="1"/>
      <c r="M255" s="1"/>
    </row>
    <row r="256" spans="2:13" x14ac:dyDescent="0.2">
      <c r="B256" s="17">
        <v>43982</v>
      </c>
      <c r="C256" s="18">
        <v>149</v>
      </c>
      <c r="D256" s="1">
        <v>1025</v>
      </c>
      <c r="E256" s="2">
        <v>1200</v>
      </c>
      <c r="F256" s="2"/>
      <c r="G256" s="2">
        <f t="shared" si="3"/>
        <v>1200</v>
      </c>
      <c r="H256" s="2" t="s">
        <v>54</v>
      </c>
      <c r="K256" s="1"/>
      <c r="L256" s="1"/>
      <c r="M256" s="1"/>
    </row>
    <row r="257" spans="2:13" x14ac:dyDescent="0.2">
      <c r="B257" s="17">
        <v>43982</v>
      </c>
      <c r="C257" s="18">
        <v>150</v>
      </c>
      <c r="D257" s="1">
        <v>2836</v>
      </c>
      <c r="E257" s="2">
        <v>3166.25</v>
      </c>
      <c r="F257" s="2"/>
      <c r="G257" s="2">
        <f t="shared" si="3"/>
        <v>3166.25</v>
      </c>
      <c r="H257" s="2" t="s">
        <v>46</v>
      </c>
      <c r="K257" s="1"/>
      <c r="L257" s="1"/>
      <c r="M257" s="1"/>
    </row>
    <row r="258" spans="2:13" x14ac:dyDescent="0.2">
      <c r="B258" s="17">
        <v>43982</v>
      </c>
      <c r="C258" s="18">
        <v>151</v>
      </c>
      <c r="D258" s="1">
        <v>335</v>
      </c>
      <c r="E258" s="2">
        <v>370</v>
      </c>
      <c r="F258" s="2"/>
      <c r="G258" s="2">
        <f t="shared" si="3"/>
        <v>370</v>
      </c>
      <c r="H258" t="s">
        <v>39</v>
      </c>
      <c r="K258" s="1"/>
      <c r="L258" s="1"/>
      <c r="M258" s="1"/>
    </row>
    <row r="259" spans="2:13" x14ac:dyDescent="0.2">
      <c r="B259" s="17">
        <v>43982</v>
      </c>
      <c r="C259" s="18"/>
      <c r="D259" s="6"/>
      <c r="E259" s="2"/>
      <c r="F259" s="2">
        <v>370</v>
      </c>
      <c r="G259" s="2">
        <f t="shared" ref="G259:G322" si="4">E259-F259</f>
        <v>-370</v>
      </c>
      <c r="H259" t="s">
        <v>39</v>
      </c>
      <c r="K259" s="1"/>
      <c r="L259" s="1"/>
      <c r="M259" s="1"/>
    </row>
    <row r="260" spans="2:13" x14ac:dyDescent="0.2">
      <c r="B260" s="17">
        <v>43982</v>
      </c>
      <c r="C260" s="18">
        <v>152</v>
      </c>
      <c r="D260" s="6">
        <v>175</v>
      </c>
      <c r="E260" s="2">
        <v>200</v>
      </c>
      <c r="F260" s="2"/>
      <c r="G260" s="2">
        <f t="shared" si="4"/>
        <v>200</v>
      </c>
      <c r="H260" t="s">
        <v>39</v>
      </c>
      <c r="K260" s="1"/>
      <c r="L260" s="1"/>
      <c r="M260" s="1"/>
    </row>
    <row r="261" spans="2:13" x14ac:dyDescent="0.2">
      <c r="B261" s="17">
        <v>43982</v>
      </c>
      <c r="C261" s="18"/>
      <c r="D261" s="6"/>
      <c r="E261" s="2"/>
      <c r="F261" s="2">
        <v>200</v>
      </c>
      <c r="G261" s="2">
        <f t="shared" si="4"/>
        <v>-200</v>
      </c>
      <c r="H261" t="s">
        <v>39</v>
      </c>
      <c r="K261" s="1"/>
      <c r="L261" s="1"/>
      <c r="M261" s="1"/>
    </row>
    <row r="262" spans="2:13" x14ac:dyDescent="0.2">
      <c r="B262" s="17">
        <v>43982</v>
      </c>
      <c r="C262" s="18">
        <v>153</v>
      </c>
      <c r="D262" s="6">
        <v>160</v>
      </c>
      <c r="E262" s="2">
        <v>170</v>
      </c>
      <c r="F262" s="2"/>
      <c r="G262" s="2">
        <f t="shared" si="4"/>
        <v>170</v>
      </c>
      <c r="H262" t="s">
        <v>39</v>
      </c>
      <c r="K262" s="1"/>
      <c r="L262" s="1"/>
      <c r="M262" s="1"/>
    </row>
    <row r="263" spans="2:13" x14ac:dyDescent="0.2">
      <c r="B263" s="17">
        <v>43982</v>
      </c>
      <c r="C263" s="18"/>
      <c r="D263" s="6"/>
      <c r="E263" s="2"/>
      <c r="F263" s="2">
        <v>170</v>
      </c>
      <c r="G263" s="2">
        <f t="shared" si="4"/>
        <v>-170</v>
      </c>
      <c r="H263" t="s">
        <v>39</v>
      </c>
      <c r="K263" s="1"/>
      <c r="L263" s="1"/>
      <c r="M263" s="1"/>
    </row>
    <row r="264" spans="2:13" x14ac:dyDescent="0.2">
      <c r="B264" s="17">
        <v>43982</v>
      </c>
      <c r="C264" s="18">
        <v>154</v>
      </c>
      <c r="D264" s="6">
        <v>1172.5</v>
      </c>
      <c r="E264" s="2">
        <v>1295</v>
      </c>
      <c r="F264" s="2"/>
      <c r="G264" s="2">
        <f t="shared" si="4"/>
        <v>1295</v>
      </c>
      <c r="H264" t="s">
        <v>39</v>
      </c>
      <c r="K264" s="1"/>
      <c r="L264" s="1"/>
      <c r="M264" s="1"/>
    </row>
    <row r="265" spans="2:13" x14ac:dyDescent="0.2">
      <c r="B265" s="17">
        <v>43982</v>
      </c>
      <c r="C265" s="18"/>
      <c r="D265" s="6"/>
      <c r="E265" s="2"/>
      <c r="F265" s="2">
        <v>1295</v>
      </c>
      <c r="G265" s="2">
        <f t="shared" si="4"/>
        <v>-1295</v>
      </c>
      <c r="H265" t="s">
        <v>39</v>
      </c>
      <c r="K265" s="1"/>
      <c r="L265" s="1"/>
      <c r="M265" s="1"/>
    </row>
    <row r="266" spans="2:13" x14ac:dyDescent="0.2">
      <c r="B266" s="17">
        <v>43982</v>
      </c>
      <c r="C266" s="18">
        <v>155</v>
      </c>
      <c r="D266" s="6">
        <v>300</v>
      </c>
      <c r="E266" s="2">
        <v>300</v>
      </c>
      <c r="F266" s="2"/>
      <c r="G266" s="2">
        <f t="shared" si="4"/>
        <v>300</v>
      </c>
      <c r="H266" t="s">
        <v>39</v>
      </c>
      <c r="K266" s="1"/>
      <c r="L266" s="1"/>
      <c r="M266" s="1"/>
    </row>
    <row r="267" spans="2:13" x14ac:dyDescent="0.2">
      <c r="B267" s="17">
        <v>43982</v>
      </c>
      <c r="C267" s="18"/>
      <c r="D267" s="6"/>
      <c r="E267" s="2"/>
      <c r="F267" s="2">
        <v>300</v>
      </c>
      <c r="G267" s="2">
        <f t="shared" si="4"/>
        <v>-300</v>
      </c>
      <c r="H267" t="s">
        <v>39</v>
      </c>
      <c r="K267" s="1"/>
      <c r="L267" s="1"/>
      <c r="M267" s="1"/>
    </row>
    <row r="268" spans="2:13" x14ac:dyDescent="0.2">
      <c r="B268" s="17">
        <v>43982</v>
      </c>
      <c r="C268" s="18">
        <v>156</v>
      </c>
      <c r="D268" s="6">
        <v>20100</v>
      </c>
      <c r="E268" s="2">
        <v>22200</v>
      </c>
      <c r="F268" s="2"/>
      <c r="G268" s="2">
        <f t="shared" si="4"/>
        <v>22200</v>
      </c>
      <c r="H268" t="s">
        <v>39</v>
      </c>
      <c r="K268" s="1"/>
      <c r="L268" s="1"/>
      <c r="M268" s="1"/>
    </row>
    <row r="269" spans="2:13" x14ac:dyDescent="0.2">
      <c r="B269" s="17">
        <v>43982</v>
      </c>
      <c r="C269" s="18"/>
      <c r="D269" s="6"/>
      <c r="E269" s="2"/>
      <c r="F269" s="2">
        <v>22200</v>
      </c>
      <c r="G269" s="2">
        <f t="shared" si="4"/>
        <v>-22200</v>
      </c>
      <c r="H269" t="s">
        <v>39</v>
      </c>
      <c r="K269" s="1"/>
      <c r="L269" s="1"/>
      <c r="M269" s="1"/>
    </row>
    <row r="270" spans="2:13" x14ac:dyDescent="0.2">
      <c r="B270" s="17">
        <v>43983</v>
      </c>
      <c r="C270" s="18"/>
      <c r="D270" s="6"/>
      <c r="E270" s="2"/>
      <c r="F270" s="2">
        <v>850</v>
      </c>
      <c r="G270" s="2">
        <f t="shared" si="4"/>
        <v>-850</v>
      </c>
      <c r="H270" s="2" t="s">
        <v>61</v>
      </c>
      <c r="K270" s="1"/>
      <c r="L270" s="1"/>
      <c r="M270" s="1"/>
    </row>
    <row r="271" spans="2:13" x14ac:dyDescent="0.2">
      <c r="B271" s="17">
        <v>43983</v>
      </c>
      <c r="C271" s="18">
        <v>157</v>
      </c>
      <c r="D271" s="6">
        <v>1120</v>
      </c>
      <c r="E271" s="2">
        <v>1550</v>
      </c>
      <c r="F271" s="2"/>
      <c r="G271" s="2">
        <f t="shared" si="4"/>
        <v>1550</v>
      </c>
      <c r="H271" t="s">
        <v>39</v>
      </c>
      <c r="K271" s="1"/>
      <c r="L271" s="1"/>
      <c r="M271" s="1"/>
    </row>
    <row r="272" spans="2:13" x14ac:dyDescent="0.2">
      <c r="B272" s="17">
        <v>43983</v>
      </c>
      <c r="C272" s="18">
        <v>158</v>
      </c>
      <c r="D272" s="6">
        <v>175</v>
      </c>
      <c r="E272" s="2">
        <v>200</v>
      </c>
      <c r="F272" s="2"/>
      <c r="G272" s="2">
        <f t="shared" si="4"/>
        <v>200</v>
      </c>
      <c r="H272" t="s">
        <v>39</v>
      </c>
      <c r="K272" s="1"/>
      <c r="L272" s="1"/>
      <c r="M272" s="1"/>
    </row>
    <row r="273" spans="2:13" x14ac:dyDescent="0.2">
      <c r="B273" s="17">
        <v>43983</v>
      </c>
      <c r="C273" s="18"/>
      <c r="D273" s="6"/>
      <c r="E273" s="2"/>
      <c r="F273" s="2">
        <v>200</v>
      </c>
      <c r="G273" s="2">
        <f t="shared" si="4"/>
        <v>-200</v>
      </c>
      <c r="H273" t="s">
        <v>39</v>
      </c>
      <c r="K273" s="1"/>
      <c r="L273" s="1"/>
      <c r="M273" s="1"/>
    </row>
    <row r="274" spans="2:13" x14ac:dyDescent="0.2">
      <c r="B274" s="17">
        <v>43983</v>
      </c>
      <c r="C274" s="18">
        <v>159</v>
      </c>
      <c r="D274" s="6">
        <v>1820</v>
      </c>
      <c r="E274" s="2">
        <v>2240</v>
      </c>
      <c r="F274" s="2"/>
      <c r="G274" s="2">
        <f t="shared" si="4"/>
        <v>2240</v>
      </c>
      <c r="H274" t="s">
        <v>39</v>
      </c>
      <c r="K274" s="1"/>
      <c r="L274" s="1"/>
      <c r="M274" s="1"/>
    </row>
    <row r="275" spans="2:13" x14ac:dyDescent="0.2">
      <c r="B275" s="17">
        <v>43983</v>
      </c>
      <c r="C275" s="18">
        <v>160</v>
      </c>
      <c r="D275" s="6">
        <v>157.5</v>
      </c>
      <c r="E275" s="2">
        <v>165</v>
      </c>
      <c r="F275" s="2"/>
      <c r="G275" s="2">
        <f t="shared" si="4"/>
        <v>165</v>
      </c>
      <c r="H275" t="s">
        <v>39</v>
      </c>
      <c r="K275" s="1"/>
      <c r="L275" s="1"/>
      <c r="M275" s="1"/>
    </row>
    <row r="276" spans="2:13" x14ac:dyDescent="0.2">
      <c r="B276" s="17">
        <v>43983</v>
      </c>
      <c r="C276" s="18"/>
      <c r="D276" s="6"/>
      <c r="E276" s="2"/>
      <c r="F276" s="2">
        <v>165</v>
      </c>
      <c r="G276" s="2">
        <f t="shared" si="4"/>
        <v>-165</v>
      </c>
      <c r="H276" t="s">
        <v>39</v>
      </c>
      <c r="K276" s="1"/>
      <c r="L276" s="1"/>
      <c r="M276" s="1"/>
    </row>
    <row r="277" spans="2:13" x14ac:dyDescent="0.2">
      <c r="B277" s="17">
        <v>43983</v>
      </c>
      <c r="C277" s="18">
        <v>161</v>
      </c>
      <c r="D277" s="6">
        <v>335</v>
      </c>
      <c r="E277" s="2">
        <v>370</v>
      </c>
      <c r="F277" s="2"/>
      <c r="G277" s="2">
        <f t="shared" si="4"/>
        <v>370</v>
      </c>
      <c r="H277" t="s">
        <v>39</v>
      </c>
      <c r="K277" s="1"/>
      <c r="L277" s="1"/>
      <c r="M277" s="1"/>
    </row>
    <row r="278" spans="2:13" x14ac:dyDescent="0.2">
      <c r="B278" s="17">
        <v>43983</v>
      </c>
      <c r="C278" s="18"/>
      <c r="D278" s="6"/>
      <c r="E278" s="2"/>
      <c r="F278" s="2">
        <v>370</v>
      </c>
      <c r="G278" s="2">
        <f t="shared" si="4"/>
        <v>-370</v>
      </c>
      <c r="H278" t="s">
        <v>39</v>
      </c>
      <c r="K278" s="1"/>
      <c r="L278" s="1"/>
      <c r="M278" s="1"/>
    </row>
    <row r="279" spans="2:13" x14ac:dyDescent="0.2">
      <c r="B279" s="17">
        <v>43983</v>
      </c>
      <c r="C279" s="18">
        <v>162</v>
      </c>
      <c r="D279" s="6">
        <v>2380</v>
      </c>
      <c r="E279" s="2">
        <v>2660</v>
      </c>
      <c r="F279" s="2"/>
      <c r="G279" s="2">
        <f t="shared" si="4"/>
        <v>2660</v>
      </c>
      <c r="H279" s="2" t="s">
        <v>61</v>
      </c>
      <c r="K279" s="1"/>
      <c r="L279" s="1"/>
      <c r="M279" s="1"/>
    </row>
    <row r="280" spans="2:13" x14ac:dyDescent="0.2">
      <c r="B280" s="17">
        <v>43983</v>
      </c>
      <c r="C280" s="18"/>
      <c r="D280" s="6"/>
      <c r="E280" s="2"/>
      <c r="F280" s="2">
        <v>2660</v>
      </c>
      <c r="G280" s="2">
        <f t="shared" si="4"/>
        <v>-2660</v>
      </c>
      <c r="H280" s="2" t="s">
        <v>61</v>
      </c>
      <c r="K280" s="1"/>
      <c r="L280" s="1"/>
      <c r="M280" s="1"/>
    </row>
    <row r="281" spans="2:13" x14ac:dyDescent="0.2">
      <c r="B281" s="17">
        <v>43983</v>
      </c>
      <c r="C281" s="18">
        <v>163</v>
      </c>
      <c r="D281" s="6">
        <v>1700</v>
      </c>
      <c r="E281" s="2">
        <v>1850</v>
      </c>
      <c r="F281" s="2"/>
      <c r="G281" s="2">
        <f t="shared" si="4"/>
        <v>1850</v>
      </c>
      <c r="H281" s="2" t="s">
        <v>61</v>
      </c>
      <c r="K281" s="1"/>
      <c r="L281" s="1"/>
      <c r="M281" s="1"/>
    </row>
    <row r="282" spans="2:13" x14ac:dyDescent="0.2">
      <c r="B282" s="17">
        <v>43983</v>
      </c>
      <c r="C282" s="18"/>
      <c r="D282" s="6"/>
      <c r="E282" s="2"/>
      <c r="F282" s="2">
        <v>1850</v>
      </c>
      <c r="G282" s="2">
        <f t="shared" si="4"/>
        <v>-1850</v>
      </c>
      <c r="H282" s="2" t="s">
        <v>61</v>
      </c>
      <c r="K282" s="1"/>
      <c r="L282" s="1"/>
      <c r="M282" s="1"/>
    </row>
    <row r="283" spans="2:13" x14ac:dyDescent="0.2">
      <c r="B283" s="17">
        <v>43983</v>
      </c>
      <c r="C283" s="18"/>
      <c r="D283" s="6"/>
      <c r="E283" s="2"/>
      <c r="F283" s="2">
        <v>2240</v>
      </c>
      <c r="G283" s="2">
        <f t="shared" si="4"/>
        <v>-2240</v>
      </c>
      <c r="H283" t="s">
        <v>39</v>
      </c>
      <c r="K283" s="1"/>
      <c r="L283" s="1"/>
      <c r="M283" s="1"/>
    </row>
    <row r="284" spans="2:13" x14ac:dyDescent="0.2">
      <c r="B284" s="17">
        <v>43983</v>
      </c>
      <c r="C284" s="18"/>
      <c r="D284" s="6"/>
      <c r="E284" s="2"/>
      <c r="F284" s="2">
        <v>1550</v>
      </c>
      <c r="G284" s="2">
        <f t="shared" si="4"/>
        <v>-1550</v>
      </c>
      <c r="H284" t="s">
        <v>39</v>
      </c>
      <c r="K284" s="1"/>
      <c r="L284" s="1"/>
      <c r="M284" s="1"/>
    </row>
    <row r="285" spans="2:13" x14ac:dyDescent="0.2">
      <c r="B285" s="17">
        <v>43984</v>
      </c>
      <c r="C285" s="18"/>
      <c r="D285" s="6"/>
      <c r="E285" s="2"/>
      <c r="F285" s="2">
        <v>7000</v>
      </c>
      <c r="G285" s="2">
        <f t="shared" si="4"/>
        <v>-7000</v>
      </c>
      <c r="H285" s="2" t="s">
        <v>14</v>
      </c>
      <c r="K285" s="1"/>
      <c r="L285" s="1"/>
      <c r="M285" s="1"/>
    </row>
    <row r="286" spans="2:13" x14ac:dyDescent="0.2">
      <c r="B286" s="17">
        <v>43985</v>
      </c>
      <c r="C286" s="18">
        <v>164</v>
      </c>
      <c r="D286" s="6">
        <v>30985</v>
      </c>
      <c r="E286" s="2">
        <v>33570</v>
      </c>
      <c r="F286" s="2"/>
      <c r="G286" s="2">
        <f t="shared" si="4"/>
        <v>33570</v>
      </c>
      <c r="H286" s="2" t="s">
        <v>48</v>
      </c>
      <c r="K286" s="1"/>
      <c r="L286" s="1"/>
      <c r="M286" s="1"/>
    </row>
    <row r="287" spans="2:13" x14ac:dyDescent="0.2">
      <c r="B287" s="17">
        <v>43985</v>
      </c>
      <c r="C287" s="18"/>
      <c r="D287" s="6"/>
      <c r="E287" s="2"/>
      <c r="F287" s="2">
        <v>33570</v>
      </c>
      <c r="G287" s="2">
        <f t="shared" si="4"/>
        <v>-33570</v>
      </c>
      <c r="H287" s="2" t="s">
        <v>48</v>
      </c>
      <c r="K287" s="1"/>
      <c r="L287" s="1"/>
      <c r="M287" s="1"/>
    </row>
    <row r="288" spans="2:13" x14ac:dyDescent="0.2">
      <c r="B288" s="17">
        <v>43985</v>
      </c>
      <c r="C288" s="18">
        <v>165</v>
      </c>
      <c r="D288" s="6">
        <v>167.5</v>
      </c>
      <c r="E288" s="2">
        <v>185</v>
      </c>
      <c r="F288" s="2"/>
      <c r="G288" s="2">
        <f t="shared" si="4"/>
        <v>185</v>
      </c>
      <c r="H288" t="s">
        <v>39</v>
      </c>
      <c r="K288" s="1"/>
      <c r="L288" s="1"/>
      <c r="M288" s="1"/>
    </row>
    <row r="289" spans="2:13" x14ac:dyDescent="0.2">
      <c r="B289" s="17">
        <v>43985</v>
      </c>
      <c r="C289" s="18"/>
      <c r="D289" s="6"/>
      <c r="E289" s="2"/>
      <c r="F289" s="2">
        <v>185</v>
      </c>
      <c r="G289" s="2">
        <f t="shared" si="4"/>
        <v>-185</v>
      </c>
      <c r="H289" t="s">
        <v>39</v>
      </c>
      <c r="K289" s="1"/>
      <c r="L289" s="1"/>
      <c r="M289" s="1"/>
    </row>
    <row r="290" spans="2:13" x14ac:dyDescent="0.2">
      <c r="B290" s="17">
        <v>43985</v>
      </c>
      <c r="C290" s="18">
        <v>166</v>
      </c>
      <c r="D290" s="6">
        <v>335</v>
      </c>
      <c r="E290" s="2">
        <v>370</v>
      </c>
      <c r="F290" s="2"/>
      <c r="G290" s="2">
        <f t="shared" si="4"/>
        <v>370</v>
      </c>
      <c r="H290" t="s">
        <v>39</v>
      </c>
      <c r="K290" s="1"/>
      <c r="L290" s="1"/>
      <c r="M290" s="1"/>
    </row>
    <row r="291" spans="2:13" x14ac:dyDescent="0.2">
      <c r="B291" s="17">
        <v>43985</v>
      </c>
      <c r="C291" s="18"/>
      <c r="D291" s="6"/>
      <c r="E291" s="2"/>
      <c r="F291" s="2">
        <v>370</v>
      </c>
      <c r="G291" s="2">
        <f t="shared" si="4"/>
        <v>-370</v>
      </c>
      <c r="H291" t="s">
        <v>39</v>
      </c>
      <c r="K291" s="1"/>
      <c r="L291" s="1"/>
      <c r="M291" s="1"/>
    </row>
    <row r="292" spans="2:13" x14ac:dyDescent="0.2">
      <c r="B292" s="17">
        <v>43985</v>
      </c>
      <c r="C292" s="18">
        <v>167</v>
      </c>
      <c r="D292" s="6">
        <v>107.5</v>
      </c>
      <c r="E292" s="2">
        <v>115</v>
      </c>
      <c r="F292" s="2"/>
      <c r="G292" s="2">
        <f t="shared" si="4"/>
        <v>115</v>
      </c>
      <c r="H292" t="s">
        <v>39</v>
      </c>
      <c r="K292" s="1"/>
      <c r="L292" s="1"/>
      <c r="M292" s="1"/>
    </row>
    <row r="293" spans="2:13" x14ac:dyDescent="0.2">
      <c r="B293" s="17">
        <v>43985</v>
      </c>
      <c r="C293" s="18"/>
      <c r="D293" s="6"/>
      <c r="E293" s="2"/>
      <c r="F293" s="2">
        <v>115</v>
      </c>
      <c r="G293" s="2">
        <f t="shared" si="4"/>
        <v>-115</v>
      </c>
      <c r="H293" t="s">
        <v>39</v>
      </c>
      <c r="K293" s="1"/>
      <c r="L293" s="1"/>
      <c r="M293" s="1"/>
    </row>
    <row r="294" spans="2:13" x14ac:dyDescent="0.2">
      <c r="B294" s="17">
        <v>43985</v>
      </c>
      <c r="C294" s="18">
        <v>168</v>
      </c>
      <c r="D294" s="6">
        <v>350</v>
      </c>
      <c r="E294" s="22">
        <v>400</v>
      </c>
      <c r="F294" s="2"/>
      <c r="G294" s="2">
        <f t="shared" si="4"/>
        <v>400</v>
      </c>
      <c r="H294" s="2" t="s">
        <v>53</v>
      </c>
      <c r="K294" s="1"/>
      <c r="L294" s="1"/>
      <c r="M294" s="1"/>
    </row>
    <row r="295" spans="2:13" x14ac:dyDescent="0.2">
      <c r="B295" s="17">
        <v>43985</v>
      </c>
      <c r="C295" s="18">
        <v>169</v>
      </c>
      <c r="D295" s="6">
        <v>1816</v>
      </c>
      <c r="E295" s="2">
        <v>1947.5</v>
      </c>
      <c r="F295" s="2"/>
      <c r="G295" s="2">
        <f t="shared" si="4"/>
        <v>1947.5</v>
      </c>
      <c r="H295" s="2" t="s">
        <v>46</v>
      </c>
      <c r="K295" s="1"/>
      <c r="L295" s="1"/>
      <c r="M295" s="1"/>
    </row>
    <row r="296" spans="2:13" x14ac:dyDescent="0.2">
      <c r="B296" s="17">
        <v>43985</v>
      </c>
      <c r="C296" s="18">
        <v>170</v>
      </c>
      <c r="D296" s="6">
        <v>1138.5</v>
      </c>
      <c r="E296" s="2">
        <v>1268.5</v>
      </c>
      <c r="F296" s="2"/>
      <c r="G296" s="2">
        <f t="shared" si="4"/>
        <v>1268.5</v>
      </c>
      <c r="H296" s="2" t="s">
        <v>42</v>
      </c>
      <c r="K296" s="1"/>
      <c r="L296" s="1"/>
      <c r="M296" s="1"/>
    </row>
    <row r="297" spans="2:13" x14ac:dyDescent="0.2">
      <c r="B297" s="17">
        <v>43985</v>
      </c>
      <c r="C297" s="18">
        <v>171</v>
      </c>
      <c r="D297" s="6">
        <v>340</v>
      </c>
      <c r="E297" s="2">
        <v>380</v>
      </c>
      <c r="F297" s="2"/>
      <c r="G297" s="2">
        <f t="shared" si="4"/>
        <v>380</v>
      </c>
      <c r="H297" t="s">
        <v>39</v>
      </c>
      <c r="K297" s="1"/>
      <c r="L297" s="1"/>
      <c r="M297" s="1"/>
    </row>
    <row r="298" spans="2:13" x14ac:dyDescent="0.2">
      <c r="B298" s="17">
        <v>43985</v>
      </c>
      <c r="C298" s="18"/>
      <c r="D298" s="6"/>
      <c r="E298" s="2"/>
      <c r="F298" s="2">
        <v>380</v>
      </c>
      <c r="G298" s="2">
        <f t="shared" si="4"/>
        <v>-380</v>
      </c>
      <c r="H298" t="s">
        <v>39</v>
      </c>
      <c r="K298" s="1"/>
      <c r="L298" s="1"/>
      <c r="M298" s="1"/>
    </row>
    <row r="299" spans="2:13" x14ac:dyDescent="0.2">
      <c r="B299" s="17">
        <v>43985</v>
      </c>
      <c r="C299" s="18">
        <v>172</v>
      </c>
      <c r="D299" s="6">
        <v>894.5</v>
      </c>
      <c r="E299" s="2">
        <v>1030.25</v>
      </c>
      <c r="F299" s="2"/>
      <c r="G299" s="2">
        <f t="shared" si="4"/>
        <v>1030.25</v>
      </c>
      <c r="H299" s="2" t="s">
        <v>85</v>
      </c>
      <c r="K299" s="1"/>
      <c r="L299" s="1"/>
      <c r="M299" s="1"/>
    </row>
    <row r="300" spans="2:13" x14ac:dyDescent="0.2">
      <c r="B300" s="17">
        <v>43985</v>
      </c>
      <c r="C300" s="18">
        <v>173</v>
      </c>
      <c r="D300" s="6">
        <v>1560</v>
      </c>
      <c r="E300" s="2">
        <v>1820</v>
      </c>
      <c r="F300" s="2"/>
      <c r="G300" s="2">
        <f t="shared" si="4"/>
        <v>1820</v>
      </c>
      <c r="H300" s="2" t="s">
        <v>53</v>
      </c>
      <c r="K300" s="1"/>
      <c r="L300" s="1"/>
      <c r="M300" s="1"/>
    </row>
    <row r="301" spans="2:13" x14ac:dyDescent="0.2">
      <c r="B301" s="17">
        <v>43985</v>
      </c>
      <c r="C301" s="18"/>
      <c r="D301" s="6"/>
      <c r="E301" s="2"/>
      <c r="F301" s="2">
        <v>2220</v>
      </c>
      <c r="G301" s="2">
        <f t="shared" si="4"/>
        <v>-2220</v>
      </c>
      <c r="H301" s="2" t="s">
        <v>53</v>
      </c>
      <c r="K301" s="1"/>
      <c r="L301" s="1"/>
      <c r="M301" s="1"/>
    </row>
    <row r="302" spans="2:13" x14ac:dyDescent="0.2">
      <c r="B302" s="17">
        <v>43988</v>
      </c>
      <c r="C302" s="18"/>
      <c r="D302" s="6">
        <v>2200</v>
      </c>
      <c r="E302" s="2">
        <v>2400</v>
      </c>
      <c r="F302" s="2"/>
      <c r="G302" s="2">
        <f t="shared" si="4"/>
        <v>2400</v>
      </c>
      <c r="H302" s="2" t="s">
        <v>34</v>
      </c>
      <c r="K302" s="1"/>
      <c r="L302" s="1"/>
      <c r="M302" s="1"/>
    </row>
    <row r="303" spans="2:13" x14ac:dyDescent="0.2">
      <c r="B303" s="17">
        <v>43988</v>
      </c>
      <c r="C303" s="18">
        <v>175</v>
      </c>
      <c r="D303" s="6">
        <v>1400</v>
      </c>
      <c r="E303" s="2">
        <v>1600</v>
      </c>
      <c r="F303" s="2"/>
      <c r="G303" s="2">
        <f t="shared" si="4"/>
        <v>1600</v>
      </c>
      <c r="H303" s="2" t="s">
        <v>34</v>
      </c>
      <c r="K303" s="1"/>
      <c r="L303" s="1"/>
      <c r="M303" s="1"/>
    </row>
    <row r="304" spans="2:13" x14ac:dyDescent="0.2">
      <c r="B304" s="17">
        <v>43988</v>
      </c>
      <c r="C304" s="18">
        <v>176</v>
      </c>
      <c r="D304" s="6">
        <v>1020</v>
      </c>
      <c r="E304" s="2">
        <v>1140</v>
      </c>
      <c r="F304" s="2"/>
      <c r="G304" s="2">
        <f t="shared" si="4"/>
        <v>1140</v>
      </c>
      <c r="H304" t="s">
        <v>39</v>
      </c>
      <c r="K304" s="1"/>
      <c r="L304" s="1"/>
      <c r="M304" s="1"/>
    </row>
    <row r="305" spans="2:13" x14ac:dyDescent="0.2">
      <c r="B305" s="17">
        <v>43988</v>
      </c>
      <c r="C305" s="18"/>
      <c r="D305" s="6"/>
      <c r="E305" s="2"/>
      <c r="F305" s="2">
        <v>1140</v>
      </c>
      <c r="G305" s="2">
        <f t="shared" si="4"/>
        <v>-1140</v>
      </c>
      <c r="H305" t="s">
        <v>39</v>
      </c>
      <c r="K305" s="1"/>
      <c r="L305" s="1"/>
      <c r="M305" s="1"/>
    </row>
    <row r="306" spans="2:13" x14ac:dyDescent="0.2">
      <c r="B306" s="17">
        <v>43988</v>
      </c>
      <c r="C306" s="18">
        <v>177</v>
      </c>
      <c r="D306" s="6">
        <v>2100</v>
      </c>
      <c r="E306" s="2">
        <v>2420</v>
      </c>
      <c r="F306" s="2"/>
      <c r="G306" s="2">
        <f t="shared" si="4"/>
        <v>2420</v>
      </c>
      <c r="H306" s="2" t="s">
        <v>46</v>
      </c>
      <c r="K306" s="1"/>
      <c r="L306" s="1"/>
      <c r="M306" s="1"/>
    </row>
    <row r="307" spans="2:13" x14ac:dyDescent="0.2">
      <c r="B307" s="17">
        <v>43988</v>
      </c>
      <c r="C307" s="18"/>
      <c r="D307" s="6"/>
      <c r="E307" s="2"/>
      <c r="F307" s="2">
        <v>2500</v>
      </c>
      <c r="G307" s="2">
        <f t="shared" si="4"/>
        <v>-2500</v>
      </c>
      <c r="H307" s="2" t="s">
        <v>46</v>
      </c>
      <c r="K307" s="1"/>
      <c r="L307" s="1"/>
      <c r="M307" s="1"/>
    </row>
    <row r="308" spans="2:13" x14ac:dyDescent="0.2">
      <c r="B308" s="17">
        <v>43988</v>
      </c>
      <c r="C308" s="18"/>
      <c r="D308" s="6"/>
      <c r="E308" s="2"/>
      <c r="F308" s="2">
        <v>4000</v>
      </c>
      <c r="G308" s="2">
        <f t="shared" si="4"/>
        <v>-4000</v>
      </c>
      <c r="H308" s="2" t="s">
        <v>34</v>
      </c>
      <c r="K308" s="1"/>
      <c r="L308" s="1"/>
      <c r="M308" s="1"/>
    </row>
    <row r="309" spans="2:13" x14ac:dyDescent="0.2">
      <c r="B309" s="17">
        <v>43989</v>
      </c>
      <c r="C309" s="18">
        <v>178</v>
      </c>
      <c r="D309" s="6">
        <v>2061</v>
      </c>
      <c r="E309" s="2">
        <v>2258</v>
      </c>
      <c r="F309" s="2"/>
      <c r="G309" s="2">
        <f t="shared" si="4"/>
        <v>2258</v>
      </c>
      <c r="H309" s="2" t="s">
        <v>46</v>
      </c>
      <c r="K309" s="1"/>
      <c r="L309" s="1"/>
      <c r="M309" s="1"/>
    </row>
    <row r="310" spans="2:13" x14ac:dyDescent="0.2">
      <c r="B310" s="17">
        <v>43989</v>
      </c>
      <c r="C310" s="18">
        <v>179</v>
      </c>
      <c r="D310" s="6">
        <v>3783</v>
      </c>
      <c r="E310" s="2">
        <v>4439</v>
      </c>
      <c r="F310" s="2"/>
      <c r="G310" s="2">
        <f t="shared" si="4"/>
        <v>4439</v>
      </c>
      <c r="H310" s="2" t="s">
        <v>42</v>
      </c>
      <c r="K310" s="1"/>
      <c r="L310" s="1"/>
      <c r="M310" s="1"/>
    </row>
    <row r="311" spans="2:13" x14ac:dyDescent="0.2">
      <c r="B311" s="17">
        <v>43989</v>
      </c>
      <c r="C311" s="18">
        <v>180</v>
      </c>
      <c r="D311" s="6">
        <v>194</v>
      </c>
      <c r="E311" s="2">
        <v>214</v>
      </c>
      <c r="F311" s="2"/>
      <c r="G311" s="2">
        <f t="shared" si="4"/>
        <v>214</v>
      </c>
      <c r="H311" t="s">
        <v>39</v>
      </c>
      <c r="K311" s="1"/>
      <c r="L311" s="1"/>
      <c r="M311" s="1"/>
    </row>
    <row r="312" spans="2:13" x14ac:dyDescent="0.2">
      <c r="B312" s="17">
        <v>43989</v>
      </c>
      <c r="C312" s="18">
        <v>181</v>
      </c>
      <c r="D312" s="6">
        <v>1400</v>
      </c>
      <c r="E312" s="2">
        <v>1600</v>
      </c>
      <c r="F312" s="2"/>
      <c r="G312" s="2">
        <f t="shared" si="4"/>
        <v>1600</v>
      </c>
      <c r="H312" s="2" t="s">
        <v>34</v>
      </c>
      <c r="K312" s="1"/>
      <c r="L312" s="1"/>
      <c r="M312" s="1"/>
    </row>
    <row r="313" spans="2:13" x14ac:dyDescent="0.2">
      <c r="B313" s="17">
        <v>43989</v>
      </c>
      <c r="C313" s="18">
        <v>182</v>
      </c>
      <c r="D313" s="6">
        <v>291</v>
      </c>
      <c r="E313" s="2">
        <v>321</v>
      </c>
      <c r="F313" s="2"/>
      <c r="G313" s="2">
        <f t="shared" si="4"/>
        <v>321</v>
      </c>
      <c r="H313" t="s">
        <v>39</v>
      </c>
      <c r="K313" s="1"/>
      <c r="L313" s="1"/>
      <c r="M313" s="1"/>
    </row>
    <row r="314" spans="2:13" x14ac:dyDescent="0.2">
      <c r="B314" s="17">
        <v>43989</v>
      </c>
      <c r="C314" s="18">
        <v>183</v>
      </c>
      <c r="D314" s="6">
        <v>679</v>
      </c>
      <c r="E314" s="2">
        <v>749</v>
      </c>
      <c r="F314" s="2"/>
      <c r="G314" s="2">
        <f t="shared" si="4"/>
        <v>749</v>
      </c>
      <c r="H314" t="s">
        <v>39</v>
      </c>
      <c r="K314" s="1"/>
      <c r="L314" s="1"/>
      <c r="M314" s="1"/>
    </row>
    <row r="315" spans="2:13" x14ac:dyDescent="0.2">
      <c r="B315" s="17">
        <v>43989</v>
      </c>
      <c r="C315" s="18">
        <v>184</v>
      </c>
      <c r="D315" s="6">
        <v>11502.029999999999</v>
      </c>
      <c r="E315" s="2">
        <v>12949</v>
      </c>
      <c r="F315" s="2"/>
      <c r="G315" s="2">
        <f t="shared" si="4"/>
        <v>12949</v>
      </c>
      <c r="H315" s="2" t="s">
        <v>50</v>
      </c>
      <c r="K315" s="1"/>
      <c r="L315" s="1"/>
      <c r="M315" s="1"/>
    </row>
    <row r="316" spans="2:13" x14ac:dyDescent="0.2">
      <c r="B316" s="17">
        <v>43991</v>
      </c>
      <c r="C316" s="18"/>
      <c r="D316" s="6"/>
      <c r="E316" s="2"/>
      <c r="F316" s="2">
        <v>750</v>
      </c>
      <c r="G316" s="2">
        <f t="shared" si="4"/>
        <v>-750</v>
      </c>
      <c r="H316" t="s">
        <v>39</v>
      </c>
      <c r="K316" s="1"/>
      <c r="L316" s="1"/>
      <c r="M316" s="1"/>
    </row>
    <row r="317" spans="2:13" x14ac:dyDescent="0.2">
      <c r="B317" s="17">
        <v>43991</v>
      </c>
      <c r="C317" s="18"/>
      <c r="D317" s="6"/>
      <c r="E317" s="2"/>
      <c r="F317" s="2">
        <v>1000</v>
      </c>
      <c r="G317" s="2">
        <f t="shared" si="4"/>
        <v>-1000</v>
      </c>
      <c r="H317" s="2" t="s">
        <v>34</v>
      </c>
      <c r="K317" s="1"/>
      <c r="L317" s="1"/>
      <c r="M317" s="1"/>
    </row>
    <row r="318" spans="2:13" x14ac:dyDescent="0.2">
      <c r="B318" s="17">
        <v>43991</v>
      </c>
      <c r="C318" s="18"/>
      <c r="D318" s="6"/>
      <c r="E318" s="2"/>
      <c r="F318" s="2">
        <v>321</v>
      </c>
      <c r="G318" s="2">
        <f t="shared" si="4"/>
        <v>-321</v>
      </c>
      <c r="H318" t="s">
        <v>39</v>
      </c>
      <c r="K318" s="1"/>
      <c r="L318" s="1"/>
      <c r="M318" s="1"/>
    </row>
    <row r="319" spans="2:13" x14ac:dyDescent="0.2">
      <c r="B319" s="17">
        <v>43991</v>
      </c>
      <c r="C319" s="18"/>
      <c r="D319" s="6"/>
      <c r="E319" s="2"/>
      <c r="F319" s="2">
        <v>3000</v>
      </c>
      <c r="G319" s="2">
        <f t="shared" si="4"/>
        <v>-3000</v>
      </c>
      <c r="H319" s="2" t="s">
        <v>46</v>
      </c>
      <c r="K319" s="1"/>
      <c r="L319" s="1"/>
      <c r="M319" s="1"/>
    </row>
    <row r="320" spans="2:13" x14ac:dyDescent="0.2">
      <c r="B320" s="17">
        <v>43992</v>
      </c>
      <c r="C320" s="18">
        <v>185</v>
      </c>
      <c r="D320" s="6">
        <v>3041</v>
      </c>
      <c r="E320" s="2">
        <v>3470</v>
      </c>
      <c r="F320" s="2"/>
      <c r="G320" s="2">
        <f t="shared" si="4"/>
        <v>3470</v>
      </c>
      <c r="H320" s="2" t="s">
        <v>46</v>
      </c>
      <c r="K320" s="1"/>
      <c r="L320" s="1"/>
      <c r="M320" s="1"/>
    </row>
    <row r="321" spans="2:13" x14ac:dyDescent="0.2">
      <c r="B321" s="17">
        <v>43992</v>
      </c>
      <c r="C321" s="18">
        <v>186</v>
      </c>
      <c r="D321" s="6">
        <v>650</v>
      </c>
      <c r="E321" s="2">
        <v>950</v>
      </c>
      <c r="F321" s="2"/>
      <c r="G321" s="2">
        <f t="shared" si="4"/>
        <v>950</v>
      </c>
      <c r="H321" t="s">
        <v>39</v>
      </c>
      <c r="K321" s="1"/>
      <c r="L321" s="1"/>
      <c r="M321" s="1"/>
    </row>
    <row r="322" spans="2:13" x14ac:dyDescent="0.2">
      <c r="B322" s="17">
        <v>43992</v>
      </c>
      <c r="C322" s="18"/>
      <c r="D322" s="6"/>
      <c r="E322" s="2"/>
      <c r="F322" s="2">
        <v>950</v>
      </c>
      <c r="G322" s="2">
        <f t="shared" si="4"/>
        <v>-950</v>
      </c>
      <c r="H322" t="s">
        <v>39</v>
      </c>
      <c r="K322" s="1"/>
      <c r="L322" s="1"/>
      <c r="M322" s="1"/>
    </row>
    <row r="323" spans="2:13" x14ac:dyDescent="0.2">
      <c r="B323" s="17">
        <v>43992</v>
      </c>
      <c r="C323" s="18"/>
      <c r="D323" s="6"/>
      <c r="E323" s="2"/>
      <c r="F323" s="2">
        <v>3000</v>
      </c>
      <c r="G323" s="2">
        <f t="shared" ref="G323:G386" si="5">E323-F323</f>
        <v>-3000</v>
      </c>
      <c r="H323" s="2" t="s">
        <v>46</v>
      </c>
      <c r="K323" s="1"/>
      <c r="L323" s="1"/>
      <c r="M323" s="1"/>
    </row>
    <row r="324" spans="2:13" x14ac:dyDescent="0.2">
      <c r="B324" s="17">
        <v>43996</v>
      </c>
      <c r="C324" s="18">
        <v>187</v>
      </c>
      <c r="D324" s="6">
        <v>485</v>
      </c>
      <c r="E324" s="2">
        <v>550</v>
      </c>
      <c r="F324" s="2"/>
      <c r="G324" s="2">
        <f t="shared" si="5"/>
        <v>550</v>
      </c>
      <c r="H324" s="2" t="s">
        <v>85</v>
      </c>
      <c r="K324" s="1"/>
      <c r="L324" s="1"/>
      <c r="M324" s="1"/>
    </row>
    <row r="325" spans="2:13" x14ac:dyDescent="0.2">
      <c r="B325" s="17">
        <v>43996</v>
      </c>
      <c r="C325" s="18">
        <v>188</v>
      </c>
      <c r="D325" s="6">
        <v>291</v>
      </c>
      <c r="E325" s="2">
        <v>321</v>
      </c>
      <c r="F325" s="2"/>
      <c r="G325" s="2">
        <f t="shared" si="5"/>
        <v>321</v>
      </c>
      <c r="H325" s="2" t="s">
        <v>58</v>
      </c>
      <c r="K325" s="1"/>
      <c r="L325" s="1"/>
      <c r="M325" s="1"/>
    </row>
    <row r="326" spans="2:13" x14ac:dyDescent="0.2">
      <c r="B326" s="17">
        <v>43996</v>
      </c>
      <c r="C326" s="18"/>
      <c r="D326" s="6"/>
      <c r="E326" s="2"/>
      <c r="F326" s="2">
        <v>321</v>
      </c>
      <c r="G326" s="2">
        <f t="shared" si="5"/>
        <v>-321</v>
      </c>
      <c r="H326" s="2" t="s">
        <v>58</v>
      </c>
      <c r="K326" s="1"/>
      <c r="L326" s="1"/>
      <c r="M326" s="1"/>
    </row>
    <row r="327" spans="2:13" x14ac:dyDescent="0.2">
      <c r="B327" s="17">
        <v>43996</v>
      </c>
      <c r="C327" s="18">
        <v>189</v>
      </c>
      <c r="D327" s="6">
        <v>970</v>
      </c>
      <c r="E327" s="2">
        <v>1050</v>
      </c>
      <c r="F327" s="2"/>
      <c r="G327" s="2">
        <f t="shared" si="5"/>
        <v>1050</v>
      </c>
      <c r="H327" t="s">
        <v>39</v>
      </c>
      <c r="K327" s="1"/>
      <c r="L327" s="1"/>
      <c r="M327" s="1"/>
    </row>
    <row r="328" spans="2:13" x14ac:dyDescent="0.2">
      <c r="B328" s="17">
        <v>43996</v>
      </c>
      <c r="C328" s="18"/>
      <c r="D328" s="6"/>
      <c r="E328" s="2"/>
      <c r="F328" s="2">
        <v>1050</v>
      </c>
      <c r="G328" s="2">
        <f t="shared" si="5"/>
        <v>-1050</v>
      </c>
      <c r="H328" t="s">
        <v>39</v>
      </c>
      <c r="K328" s="1"/>
      <c r="L328" s="1"/>
      <c r="M328" s="1"/>
    </row>
    <row r="329" spans="2:13" x14ac:dyDescent="0.2">
      <c r="B329" s="17">
        <v>43996</v>
      </c>
      <c r="C329" s="18">
        <v>190</v>
      </c>
      <c r="D329" s="6">
        <v>1400</v>
      </c>
      <c r="E329" s="2">
        <v>1600</v>
      </c>
      <c r="F329" s="2"/>
      <c r="G329" s="2">
        <f t="shared" si="5"/>
        <v>1600</v>
      </c>
      <c r="H329" s="2" t="s">
        <v>14</v>
      </c>
      <c r="K329" s="1"/>
      <c r="L329" s="1"/>
      <c r="M329" s="1"/>
    </row>
    <row r="330" spans="2:13" x14ac:dyDescent="0.2">
      <c r="B330" s="17">
        <v>43996</v>
      </c>
      <c r="C330" s="18">
        <v>191</v>
      </c>
      <c r="D330" s="6">
        <v>6991.5</v>
      </c>
      <c r="E330" s="2">
        <v>7788.5</v>
      </c>
      <c r="F330" s="2"/>
      <c r="G330" s="2">
        <f t="shared" si="5"/>
        <v>7788.5</v>
      </c>
      <c r="H330" s="2" t="s">
        <v>46</v>
      </c>
      <c r="K330" s="1"/>
      <c r="L330" s="1"/>
      <c r="M330" s="1"/>
    </row>
    <row r="331" spans="2:13" x14ac:dyDescent="0.2">
      <c r="B331" s="17">
        <v>43996</v>
      </c>
      <c r="C331" s="18">
        <v>192</v>
      </c>
      <c r="D331" s="6">
        <v>6398.2499999999991</v>
      </c>
      <c r="E331" s="2">
        <v>7150.1</v>
      </c>
      <c r="F331" s="2"/>
      <c r="G331" s="2">
        <f t="shared" si="5"/>
        <v>7150.1</v>
      </c>
      <c r="H331" s="2" t="s">
        <v>50</v>
      </c>
      <c r="K331" s="1"/>
      <c r="L331" s="1"/>
      <c r="M331" s="1"/>
    </row>
    <row r="332" spans="2:13" x14ac:dyDescent="0.2">
      <c r="B332" s="17">
        <v>43996</v>
      </c>
      <c r="C332" s="18"/>
      <c r="D332" s="6"/>
      <c r="E332" s="2"/>
      <c r="F332" s="2">
        <v>2000</v>
      </c>
      <c r="G332" s="2">
        <f t="shared" si="5"/>
        <v>-2000</v>
      </c>
      <c r="H332" s="2" t="s">
        <v>85</v>
      </c>
      <c r="K332" s="1"/>
      <c r="L332" s="1"/>
      <c r="M332" s="1"/>
    </row>
    <row r="333" spans="2:13" x14ac:dyDescent="0.2">
      <c r="B333" s="17">
        <v>43998</v>
      </c>
      <c r="C333" s="18">
        <v>193</v>
      </c>
      <c r="D333" s="6">
        <v>1600</v>
      </c>
      <c r="E333" s="2">
        <v>1750</v>
      </c>
      <c r="F333" s="2"/>
      <c r="G333" s="2">
        <f t="shared" si="5"/>
        <v>1750</v>
      </c>
      <c r="H333" s="2" t="s">
        <v>46</v>
      </c>
      <c r="K333" s="1"/>
      <c r="L333" s="1"/>
      <c r="M333" s="1"/>
    </row>
    <row r="334" spans="2:13" x14ac:dyDescent="0.2">
      <c r="B334" s="17">
        <v>43998</v>
      </c>
      <c r="C334" s="18">
        <v>194</v>
      </c>
      <c r="D334" s="6">
        <v>700</v>
      </c>
      <c r="E334" s="2">
        <v>700</v>
      </c>
      <c r="F334" s="2"/>
      <c r="G334" s="2">
        <f t="shared" si="5"/>
        <v>700</v>
      </c>
      <c r="H334" t="s">
        <v>39</v>
      </c>
      <c r="K334" s="1"/>
      <c r="L334" s="1"/>
      <c r="M334" s="1"/>
    </row>
    <row r="335" spans="2:13" x14ac:dyDescent="0.2">
      <c r="B335" s="17">
        <v>43998</v>
      </c>
      <c r="C335" s="18"/>
      <c r="D335" s="6"/>
      <c r="E335" s="2"/>
      <c r="F335" s="2">
        <v>5000</v>
      </c>
      <c r="G335" s="2">
        <f t="shared" si="5"/>
        <v>-5000</v>
      </c>
      <c r="H335" s="2" t="s">
        <v>14</v>
      </c>
      <c r="K335" s="1"/>
      <c r="L335" s="1"/>
      <c r="M335" s="1"/>
    </row>
    <row r="336" spans="2:13" x14ac:dyDescent="0.2">
      <c r="B336" s="17">
        <v>43999</v>
      </c>
      <c r="C336" s="18"/>
      <c r="D336" s="6"/>
      <c r="E336" s="2"/>
      <c r="F336" s="2">
        <v>1000</v>
      </c>
      <c r="G336" s="2">
        <f t="shared" si="5"/>
        <v>-1000</v>
      </c>
      <c r="H336" s="2" t="s">
        <v>46</v>
      </c>
      <c r="K336" s="1"/>
      <c r="L336" s="1"/>
      <c r="M336" s="1"/>
    </row>
    <row r="337" spans="2:13" x14ac:dyDescent="0.2">
      <c r="B337" s="17">
        <v>43999</v>
      </c>
      <c r="C337" s="18"/>
      <c r="D337" s="6"/>
      <c r="E337" s="2"/>
      <c r="F337" s="2">
        <v>10000</v>
      </c>
      <c r="G337" s="2">
        <f t="shared" si="5"/>
        <v>-10000</v>
      </c>
      <c r="H337" s="2" t="s">
        <v>42</v>
      </c>
      <c r="K337" s="1"/>
      <c r="L337" s="1"/>
      <c r="M337" s="1"/>
    </row>
    <row r="338" spans="2:13" x14ac:dyDescent="0.2">
      <c r="B338" s="17">
        <v>44001</v>
      </c>
      <c r="C338" s="18">
        <v>195</v>
      </c>
      <c r="D338" s="6">
        <v>3634.5</v>
      </c>
      <c r="E338" s="2">
        <v>4158</v>
      </c>
      <c r="F338" s="2"/>
      <c r="G338" s="2">
        <f t="shared" si="5"/>
        <v>4158</v>
      </c>
      <c r="H338" s="2" t="s">
        <v>64</v>
      </c>
      <c r="K338" s="1"/>
      <c r="L338" s="1"/>
      <c r="M338" s="1"/>
    </row>
    <row r="339" spans="2:13" x14ac:dyDescent="0.2">
      <c r="B339" s="17">
        <v>44001</v>
      </c>
      <c r="C339" s="18">
        <v>196</v>
      </c>
      <c r="D339" s="6">
        <v>306</v>
      </c>
      <c r="E339" s="2">
        <v>357</v>
      </c>
      <c r="F339" s="2"/>
      <c r="G339" s="2">
        <f t="shared" si="5"/>
        <v>357</v>
      </c>
      <c r="H339" s="2" t="s">
        <v>85</v>
      </c>
      <c r="K339" s="1"/>
      <c r="L339" s="1"/>
      <c r="M339" s="1"/>
    </row>
    <row r="340" spans="2:13" x14ac:dyDescent="0.2">
      <c r="B340" s="17">
        <v>44001</v>
      </c>
      <c r="C340" s="18"/>
      <c r="D340" s="6"/>
      <c r="E340" s="2"/>
      <c r="F340" s="2">
        <v>4150</v>
      </c>
      <c r="G340" s="2">
        <f t="shared" si="5"/>
        <v>-4150</v>
      </c>
      <c r="H340" s="2" t="s">
        <v>64</v>
      </c>
      <c r="K340" s="1"/>
      <c r="L340" s="1"/>
      <c r="M340" s="1"/>
    </row>
    <row r="341" spans="2:13" x14ac:dyDescent="0.2">
      <c r="B341" s="17">
        <v>44002</v>
      </c>
      <c r="C341" s="18"/>
      <c r="D341" s="6"/>
      <c r="E341" s="2"/>
      <c r="F341" s="2">
        <v>4000</v>
      </c>
      <c r="G341" s="2">
        <f t="shared" si="5"/>
        <v>-4000</v>
      </c>
      <c r="H341" s="2" t="s">
        <v>46</v>
      </c>
      <c r="K341" s="1"/>
      <c r="L341" s="1"/>
      <c r="M341" s="1"/>
    </row>
    <row r="342" spans="2:13" x14ac:dyDescent="0.2">
      <c r="B342" s="17">
        <v>44003</v>
      </c>
      <c r="C342" s="18"/>
      <c r="D342" s="6"/>
      <c r="E342" s="2"/>
      <c r="F342" s="2">
        <v>11500</v>
      </c>
      <c r="G342" s="2">
        <f t="shared" si="5"/>
        <v>-11500</v>
      </c>
      <c r="H342" s="2" t="s">
        <v>42</v>
      </c>
      <c r="K342" s="1"/>
      <c r="L342" s="1"/>
      <c r="M342" s="1"/>
    </row>
    <row r="343" spans="2:13" x14ac:dyDescent="0.2">
      <c r="B343" s="17">
        <v>44003</v>
      </c>
      <c r="C343" s="18">
        <v>197</v>
      </c>
      <c r="D343" s="6">
        <v>9036</v>
      </c>
      <c r="E343" s="2">
        <v>10377</v>
      </c>
      <c r="F343" s="2"/>
      <c r="G343" s="2">
        <f t="shared" si="5"/>
        <v>10377</v>
      </c>
      <c r="H343" s="2" t="s">
        <v>64</v>
      </c>
      <c r="K343" s="1"/>
      <c r="L343" s="1"/>
      <c r="M343" s="1"/>
    </row>
    <row r="344" spans="2:13" x14ac:dyDescent="0.2">
      <c r="B344" s="17">
        <v>44003</v>
      </c>
      <c r="C344" s="18"/>
      <c r="D344" s="6"/>
      <c r="E344" s="2"/>
      <c r="F344" s="2">
        <v>10370</v>
      </c>
      <c r="G344" s="2">
        <f t="shared" si="5"/>
        <v>-10370</v>
      </c>
      <c r="H344" s="2" t="s">
        <v>64</v>
      </c>
      <c r="K344" s="1"/>
      <c r="L344" s="1"/>
      <c r="M344" s="1"/>
    </row>
    <row r="345" spans="2:13" x14ac:dyDescent="0.2">
      <c r="B345" s="17">
        <v>44003</v>
      </c>
      <c r="C345" s="18">
        <v>198</v>
      </c>
      <c r="D345" s="6">
        <v>2935</v>
      </c>
      <c r="E345" s="2">
        <v>3125</v>
      </c>
      <c r="F345" s="2"/>
      <c r="G345" s="2">
        <f t="shared" si="5"/>
        <v>3125</v>
      </c>
      <c r="H345" s="2" t="s">
        <v>34</v>
      </c>
      <c r="K345" s="1"/>
      <c r="L345" s="1"/>
      <c r="M345" s="1"/>
    </row>
    <row r="346" spans="2:13" x14ac:dyDescent="0.2">
      <c r="B346" s="17">
        <v>44004</v>
      </c>
      <c r="C346" s="18"/>
      <c r="D346" s="6"/>
      <c r="E346" s="2"/>
      <c r="F346" s="2">
        <v>3000</v>
      </c>
      <c r="G346" s="2">
        <f t="shared" si="5"/>
        <v>-3000</v>
      </c>
      <c r="H346" s="2" t="s">
        <v>46</v>
      </c>
      <c r="K346" s="1"/>
      <c r="L346" s="1"/>
      <c r="M346" s="1"/>
    </row>
    <row r="347" spans="2:13" x14ac:dyDescent="0.2">
      <c r="B347" s="17">
        <v>44004</v>
      </c>
      <c r="C347" s="18">
        <v>199</v>
      </c>
      <c r="D347" s="6">
        <v>1700</v>
      </c>
      <c r="E347" s="2">
        <v>1855</v>
      </c>
      <c r="F347" s="2"/>
      <c r="G347" s="2">
        <f t="shared" si="5"/>
        <v>1855</v>
      </c>
      <c r="H347" s="2" t="s">
        <v>42</v>
      </c>
      <c r="K347" s="1"/>
      <c r="L347" s="1"/>
      <c r="M347" s="1"/>
    </row>
    <row r="348" spans="2:13" x14ac:dyDescent="0.2">
      <c r="B348" s="17">
        <v>44006</v>
      </c>
      <c r="C348" s="18">
        <v>200</v>
      </c>
      <c r="D348" s="6">
        <v>1350</v>
      </c>
      <c r="E348" s="2">
        <v>1402.5</v>
      </c>
      <c r="F348" s="2"/>
      <c r="G348" s="2">
        <f t="shared" si="5"/>
        <v>1402.5</v>
      </c>
      <c r="H348" s="2" t="s">
        <v>14</v>
      </c>
      <c r="K348" s="1"/>
      <c r="L348" s="1"/>
      <c r="M348" s="1"/>
    </row>
    <row r="349" spans="2:13" x14ac:dyDescent="0.2">
      <c r="B349" s="17">
        <v>44006</v>
      </c>
      <c r="C349" s="18">
        <v>201</v>
      </c>
      <c r="D349" s="6">
        <v>2759</v>
      </c>
      <c r="E349" s="2">
        <v>3212.5</v>
      </c>
      <c r="F349" s="2"/>
      <c r="G349" s="2">
        <f t="shared" si="5"/>
        <v>3212.5</v>
      </c>
      <c r="H349" s="2" t="s">
        <v>46</v>
      </c>
      <c r="K349" s="1"/>
      <c r="L349" s="1"/>
      <c r="M349" s="1"/>
    </row>
    <row r="350" spans="2:13" x14ac:dyDescent="0.2">
      <c r="B350" s="17">
        <v>44006</v>
      </c>
      <c r="C350" s="18">
        <v>202</v>
      </c>
      <c r="D350" s="6">
        <v>5070.25</v>
      </c>
      <c r="E350" s="2">
        <v>5867</v>
      </c>
      <c r="F350" s="2"/>
      <c r="G350" s="2">
        <f t="shared" si="5"/>
        <v>5867</v>
      </c>
      <c r="H350" s="2" t="s">
        <v>42</v>
      </c>
      <c r="K350" s="1"/>
      <c r="L350" s="1"/>
      <c r="M350" s="1"/>
    </row>
    <row r="351" spans="2:13" x14ac:dyDescent="0.2">
      <c r="B351" s="17">
        <v>44006</v>
      </c>
      <c r="C351" s="18">
        <v>203</v>
      </c>
      <c r="D351" s="6">
        <v>1496</v>
      </c>
      <c r="E351" s="2">
        <v>1630</v>
      </c>
      <c r="F351" s="2"/>
      <c r="G351" s="2">
        <f t="shared" si="5"/>
        <v>1630</v>
      </c>
      <c r="H351" t="s">
        <v>35</v>
      </c>
      <c r="K351" s="1"/>
      <c r="L351" s="1"/>
      <c r="M351" s="1"/>
    </row>
    <row r="352" spans="2:13" x14ac:dyDescent="0.2">
      <c r="B352" s="17">
        <v>44006</v>
      </c>
      <c r="C352" s="18">
        <v>204</v>
      </c>
      <c r="D352" s="6">
        <v>2112</v>
      </c>
      <c r="E352" s="2">
        <v>2310</v>
      </c>
      <c r="F352" s="2"/>
      <c r="G352" s="2">
        <f t="shared" si="5"/>
        <v>2310</v>
      </c>
      <c r="H352" s="2" t="s">
        <v>65</v>
      </c>
      <c r="K352" s="1"/>
      <c r="L352" s="1"/>
      <c r="M352" s="1"/>
    </row>
    <row r="353" spans="2:13" x14ac:dyDescent="0.2">
      <c r="B353" s="17">
        <v>44006</v>
      </c>
      <c r="C353" s="18"/>
      <c r="D353" s="6"/>
      <c r="E353" s="2"/>
      <c r="F353" s="2">
        <v>1630</v>
      </c>
      <c r="G353" s="2">
        <f t="shared" si="5"/>
        <v>-1630</v>
      </c>
      <c r="H353" t="s">
        <v>35</v>
      </c>
      <c r="K353" s="1"/>
      <c r="L353" s="1"/>
      <c r="M353" s="1"/>
    </row>
    <row r="354" spans="2:13" x14ac:dyDescent="0.2">
      <c r="B354" s="17">
        <v>44006</v>
      </c>
      <c r="C354" s="18"/>
      <c r="D354" s="6"/>
      <c r="E354" s="2"/>
      <c r="F354" s="2">
        <v>2310</v>
      </c>
      <c r="G354" s="2">
        <f t="shared" si="5"/>
        <v>-2310</v>
      </c>
      <c r="H354" s="2" t="s">
        <v>65</v>
      </c>
      <c r="K354" s="1"/>
      <c r="L354" s="1"/>
      <c r="M354" s="1"/>
    </row>
    <row r="355" spans="2:13" x14ac:dyDescent="0.2">
      <c r="B355" s="17">
        <v>44006</v>
      </c>
      <c r="C355" s="18">
        <v>205</v>
      </c>
      <c r="D355" s="6">
        <v>1265</v>
      </c>
      <c r="E355" s="2">
        <v>1470</v>
      </c>
      <c r="F355" s="2"/>
      <c r="G355" s="2">
        <f t="shared" si="5"/>
        <v>1470</v>
      </c>
      <c r="H355" s="2" t="s">
        <v>37</v>
      </c>
      <c r="K355" s="1"/>
      <c r="L355" s="1"/>
      <c r="M355" s="1"/>
    </row>
    <row r="356" spans="2:13" x14ac:dyDescent="0.2">
      <c r="B356" s="17">
        <v>44006</v>
      </c>
      <c r="C356" s="18">
        <v>206</v>
      </c>
      <c r="D356" s="6">
        <v>696</v>
      </c>
      <c r="E356" s="2">
        <v>760</v>
      </c>
      <c r="F356" s="2"/>
      <c r="G356" s="2">
        <f t="shared" si="5"/>
        <v>760</v>
      </c>
      <c r="H356" s="2" t="s">
        <v>43</v>
      </c>
      <c r="K356" s="1"/>
      <c r="L356" s="1"/>
      <c r="M356" s="1"/>
    </row>
    <row r="357" spans="2:13" x14ac:dyDescent="0.2">
      <c r="B357" s="17">
        <v>44006</v>
      </c>
      <c r="C357" s="18">
        <v>207</v>
      </c>
      <c r="D357" s="6">
        <v>26556.3</v>
      </c>
      <c r="E357" s="2">
        <v>29553.360000000001</v>
      </c>
      <c r="F357" s="2"/>
      <c r="G357" s="2">
        <f t="shared" si="5"/>
        <v>29553.360000000001</v>
      </c>
      <c r="H357" s="2" t="s">
        <v>50</v>
      </c>
      <c r="K357" s="1"/>
      <c r="L357" s="1"/>
      <c r="M357" s="1"/>
    </row>
    <row r="358" spans="2:13" x14ac:dyDescent="0.2">
      <c r="B358" s="17">
        <v>44007</v>
      </c>
      <c r="C358" s="18"/>
      <c r="D358" s="6"/>
      <c r="E358" s="2"/>
      <c r="F358" s="2">
        <v>3000</v>
      </c>
      <c r="G358" s="2">
        <f t="shared" si="5"/>
        <v>-3000</v>
      </c>
      <c r="H358" s="2" t="s">
        <v>46</v>
      </c>
      <c r="K358" s="1"/>
      <c r="L358" s="1"/>
      <c r="M358" s="1"/>
    </row>
    <row r="359" spans="2:13" x14ac:dyDescent="0.2">
      <c r="B359" s="17">
        <v>44007</v>
      </c>
      <c r="C359" s="18">
        <v>208</v>
      </c>
      <c r="D359" s="6">
        <v>1620</v>
      </c>
      <c r="E359" s="2">
        <v>1830</v>
      </c>
      <c r="F359" s="2"/>
      <c r="G359" s="2">
        <f t="shared" si="5"/>
        <v>1830</v>
      </c>
      <c r="H359" s="2" t="s">
        <v>37</v>
      </c>
      <c r="K359" s="1"/>
      <c r="L359" s="1"/>
      <c r="M359" s="1"/>
    </row>
    <row r="360" spans="2:13" x14ac:dyDescent="0.2">
      <c r="B360" s="17">
        <v>44007</v>
      </c>
      <c r="C360" s="18">
        <v>209</v>
      </c>
      <c r="D360" s="6">
        <v>875</v>
      </c>
      <c r="E360" s="2">
        <v>962.5</v>
      </c>
      <c r="F360" s="2"/>
      <c r="G360" s="2">
        <f t="shared" si="5"/>
        <v>962.5</v>
      </c>
      <c r="H360" s="2" t="s">
        <v>37</v>
      </c>
      <c r="K360" s="1"/>
      <c r="L360" s="1"/>
      <c r="M360" s="1"/>
    </row>
    <row r="361" spans="2:13" x14ac:dyDescent="0.2">
      <c r="B361" s="17">
        <v>44007</v>
      </c>
      <c r="C361" s="18"/>
      <c r="D361" s="6">
        <v>600</v>
      </c>
      <c r="E361" s="2">
        <v>730</v>
      </c>
      <c r="F361" s="2"/>
      <c r="G361" s="2">
        <f t="shared" si="5"/>
        <v>730</v>
      </c>
      <c r="H361" s="2" t="s">
        <v>42</v>
      </c>
      <c r="K361" s="1"/>
      <c r="L361" s="1"/>
      <c r="M361" s="1"/>
    </row>
    <row r="362" spans="2:13" x14ac:dyDescent="0.2">
      <c r="B362" s="17">
        <v>44008</v>
      </c>
      <c r="C362" s="18">
        <v>210</v>
      </c>
      <c r="D362" s="6">
        <v>2650</v>
      </c>
      <c r="E362" s="2">
        <v>3050</v>
      </c>
      <c r="F362" s="2"/>
      <c r="G362" s="2">
        <f t="shared" si="5"/>
        <v>3050</v>
      </c>
      <c r="H362" s="2" t="s">
        <v>34</v>
      </c>
      <c r="K362" s="1"/>
      <c r="L362" s="1"/>
      <c r="M362" s="1"/>
    </row>
    <row r="363" spans="2:13" x14ac:dyDescent="0.2">
      <c r="B363" s="17">
        <v>44008</v>
      </c>
      <c r="C363" s="18"/>
      <c r="D363" s="6"/>
      <c r="E363" s="2"/>
      <c r="F363" s="2">
        <v>3050</v>
      </c>
      <c r="G363" s="2">
        <f t="shared" si="5"/>
        <v>-3050</v>
      </c>
      <c r="H363" s="2" t="s">
        <v>34</v>
      </c>
      <c r="K363" s="1"/>
      <c r="L363" s="1"/>
      <c r="M363" s="1"/>
    </row>
    <row r="364" spans="2:13" x14ac:dyDescent="0.2">
      <c r="B364" s="17">
        <v>44008</v>
      </c>
      <c r="C364" s="18"/>
      <c r="D364" s="6"/>
      <c r="E364" s="2"/>
      <c r="F364" s="2">
        <v>5000</v>
      </c>
      <c r="G364" s="2">
        <f t="shared" si="5"/>
        <v>-5000</v>
      </c>
      <c r="H364" s="2" t="s">
        <v>14</v>
      </c>
      <c r="K364" s="1"/>
      <c r="L364" s="1"/>
      <c r="M364" s="1"/>
    </row>
    <row r="365" spans="2:13" x14ac:dyDescent="0.2">
      <c r="B365" s="17">
        <v>44008</v>
      </c>
      <c r="C365" s="18"/>
      <c r="D365" s="6"/>
      <c r="E365" s="2"/>
      <c r="F365" s="2">
        <v>2000</v>
      </c>
      <c r="G365" s="2">
        <f t="shared" si="5"/>
        <v>-2000</v>
      </c>
      <c r="H365" s="2" t="s">
        <v>34</v>
      </c>
      <c r="K365" s="1"/>
      <c r="L365" s="1"/>
      <c r="M365" s="1"/>
    </row>
    <row r="366" spans="2:13" x14ac:dyDescent="0.2">
      <c r="B366" s="17">
        <v>44008</v>
      </c>
      <c r="C366" s="18"/>
      <c r="D366" s="6"/>
      <c r="E366" s="2"/>
      <c r="F366" s="2">
        <v>4250</v>
      </c>
      <c r="G366" s="2">
        <f t="shared" si="5"/>
        <v>-4250</v>
      </c>
      <c r="H366" s="2" t="s">
        <v>37</v>
      </c>
      <c r="K366" s="1"/>
      <c r="L366" s="1"/>
      <c r="M366" s="1"/>
    </row>
    <row r="367" spans="2:13" x14ac:dyDescent="0.2">
      <c r="B367" s="17">
        <v>44010</v>
      </c>
      <c r="C367" s="18">
        <v>211</v>
      </c>
      <c r="D367" s="6">
        <v>2642</v>
      </c>
      <c r="E367" s="2">
        <v>2952</v>
      </c>
      <c r="F367" s="2"/>
      <c r="G367" s="2">
        <f t="shared" si="5"/>
        <v>2952</v>
      </c>
      <c r="H367" s="2" t="s">
        <v>63</v>
      </c>
      <c r="K367" s="1"/>
      <c r="L367" s="1"/>
      <c r="M367" s="1"/>
    </row>
    <row r="368" spans="2:13" x14ac:dyDescent="0.2">
      <c r="B368" s="17">
        <v>44010</v>
      </c>
      <c r="C368" s="16">
        <v>212</v>
      </c>
      <c r="D368" s="6">
        <v>1620</v>
      </c>
      <c r="E368" s="1">
        <v>1800</v>
      </c>
      <c r="G368" s="2">
        <f t="shared" si="5"/>
        <v>1800</v>
      </c>
      <c r="H368" t="s">
        <v>35</v>
      </c>
      <c r="K368" s="1"/>
      <c r="L368" s="1"/>
      <c r="M368" s="1"/>
    </row>
    <row r="369" spans="2:13" x14ac:dyDescent="0.2">
      <c r="B369" s="17">
        <v>44010</v>
      </c>
      <c r="C369" s="16">
        <v>213</v>
      </c>
      <c r="D369" s="6">
        <v>130</v>
      </c>
      <c r="E369" s="1">
        <v>135</v>
      </c>
      <c r="G369" s="2">
        <f t="shared" si="5"/>
        <v>135</v>
      </c>
      <c r="H369" t="s">
        <v>39</v>
      </c>
      <c r="K369" s="1"/>
      <c r="L369" s="1"/>
      <c r="M369" s="1"/>
    </row>
    <row r="370" spans="2:13" x14ac:dyDescent="0.2">
      <c r="B370" s="17">
        <v>44010</v>
      </c>
      <c r="C370" s="16">
        <v>214</v>
      </c>
      <c r="D370" s="6">
        <v>3050</v>
      </c>
      <c r="E370" s="1">
        <v>3500</v>
      </c>
      <c r="G370" s="2">
        <f t="shared" si="5"/>
        <v>3500</v>
      </c>
      <c r="H370" s="2" t="s">
        <v>64</v>
      </c>
      <c r="K370" s="1"/>
      <c r="L370" s="1"/>
      <c r="M370" s="1"/>
    </row>
    <row r="371" spans="2:13" x14ac:dyDescent="0.2">
      <c r="B371" s="17">
        <v>44010</v>
      </c>
      <c r="C371" s="16">
        <v>215</v>
      </c>
      <c r="D371" s="6">
        <v>1076</v>
      </c>
      <c r="E371" s="1">
        <v>1192</v>
      </c>
      <c r="G371" s="2">
        <f t="shared" si="5"/>
        <v>1192</v>
      </c>
      <c r="H371" s="2" t="s">
        <v>42</v>
      </c>
      <c r="K371" s="1"/>
      <c r="L371" s="1"/>
      <c r="M371" s="1"/>
    </row>
    <row r="372" spans="2:13" x14ac:dyDescent="0.2">
      <c r="B372" s="17">
        <v>44010</v>
      </c>
      <c r="C372" s="16">
        <v>216</v>
      </c>
      <c r="D372" s="6">
        <v>1704.25</v>
      </c>
      <c r="E372" s="1">
        <v>1881.25</v>
      </c>
      <c r="G372" s="2">
        <f t="shared" si="5"/>
        <v>1881.25</v>
      </c>
      <c r="H372" s="2" t="s">
        <v>46</v>
      </c>
      <c r="K372" s="1"/>
      <c r="L372" s="1"/>
      <c r="M372" s="1"/>
    </row>
    <row r="373" spans="2:13" x14ac:dyDescent="0.2">
      <c r="B373" s="17">
        <v>44010</v>
      </c>
      <c r="C373" s="16">
        <v>217</v>
      </c>
      <c r="D373" s="6">
        <v>1306.5</v>
      </c>
      <c r="E373" s="1">
        <v>1427</v>
      </c>
      <c r="G373" s="2">
        <f t="shared" si="5"/>
        <v>1427</v>
      </c>
      <c r="H373" s="2" t="s">
        <v>34</v>
      </c>
      <c r="K373" s="1"/>
      <c r="L373" s="1"/>
      <c r="M373" s="1"/>
    </row>
    <row r="374" spans="2:13" x14ac:dyDescent="0.2">
      <c r="B374" s="17">
        <v>44010</v>
      </c>
      <c r="C374" s="16"/>
      <c r="D374" s="6"/>
      <c r="F374" s="1">
        <v>900</v>
      </c>
      <c r="G374" s="2">
        <f t="shared" si="5"/>
        <v>-900</v>
      </c>
      <c r="H374" t="s">
        <v>35</v>
      </c>
      <c r="K374" s="1"/>
      <c r="L374" s="1"/>
      <c r="M374" s="1"/>
    </row>
    <row r="375" spans="2:13" x14ac:dyDescent="0.2">
      <c r="B375" s="17">
        <v>44010</v>
      </c>
      <c r="C375" s="16"/>
      <c r="D375" s="6"/>
      <c r="F375" s="1">
        <v>3515</v>
      </c>
      <c r="G375" s="2">
        <f t="shared" si="5"/>
        <v>-3515</v>
      </c>
      <c r="H375" s="2" t="s">
        <v>64</v>
      </c>
      <c r="K375" s="1"/>
      <c r="L375" s="1"/>
      <c r="M375" s="1"/>
    </row>
    <row r="376" spans="2:13" x14ac:dyDescent="0.2">
      <c r="B376" s="17">
        <v>44010</v>
      </c>
      <c r="C376" s="16"/>
      <c r="D376" s="6"/>
      <c r="F376" s="1">
        <v>2000</v>
      </c>
      <c r="G376" s="2">
        <f t="shared" si="5"/>
        <v>-2000</v>
      </c>
      <c r="H376" s="2" t="s">
        <v>46</v>
      </c>
      <c r="K376" s="1"/>
      <c r="L376" s="1"/>
      <c r="M376" s="1"/>
    </row>
    <row r="377" spans="2:13" x14ac:dyDescent="0.2">
      <c r="B377" s="17">
        <v>44010</v>
      </c>
      <c r="C377" s="16"/>
      <c r="D377" s="6"/>
      <c r="F377" s="1">
        <v>135</v>
      </c>
      <c r="G377" s="2">
        <f t="shared" si="5"/>
        <v>-135</v>
      </c>
      <c r="H377" t="s">
        <v>39</v>
      </c>
      <c r="K377" s="1"/>
      <c r="L377" s="1"/>
      <c r="M377" s="1"/>
    </row>
    <row r="378" spans="2:13" x14ac:dyDescent="0.2">
      <c r="B378" s="17">
        <v>44010</v>
      </c>
      <c r="C378" s="16"/>
      <c r="D378" s="6"/>
      <c r="F378" s="1">
        <v>700</v>
      </c>
      <c r="G378" s="2">
        <f t="shared" si="5"/>
        <v>-700</v>
      </c>
      <c r="H378" t="s">
        <v>39</v>
      </c>
      <c r="K378" s="1"/>
      <c r="L378" s="1"/>
      <c r="M378" s="1"/>
    </row>
    <row r="379" spans="2:13" x14ac:dyDescent="0.2">
      <c r="B379" s="17">
        <v>44010</v>
      </c>
      <c r="C379" s="16"/>
      <c r="D379" s="6"/>
      <c r="F379" s="1">
        <v>170</v>
      </c>
      <c r="G379" s="2">
        <f t="shared" si="5"/>
        <v>-170</v>
      </c>
      <c r="H379" s="2" t="s">
        <v>48</v>
      </c>
      <c r="K379" s="1"/>
      <c r="L379" s="1"/>
      <c r="M379" s="1"/>
    </row>
    <row r="380" spans="2:13" x14ac:dyDescent="0.2">
      <c r="B380" s="17">
        <v>44010</v>
      </c>
      <c r="C380" s="16"/>
      <c r="D380" s="6"/>
      <c r="F380" s="1">
        <v>720</v>
      </c>
      <c r="G380" s="2">
        <f t="shared" si="5"/>
        <v>-720</v>
      </c>
      <c r="H380" t="s">
        <v>39</v>
      </c>
      <c r="K380" s="1"/>
      <c r="L380" s="1"/>
      <c r="M380" s="1"/>
    </row>
    <row r="381" spans="2:13" x14ac:dyDescent="0.2">
      <c r="B381" s="17">
        <v>44010</v>
      </c>
      <c r="C381" s="16">
        <v>218</v>
      </c>
      <c r="D381" s="6">
        <v>648</v>
      </c>
      <c r="E381" s="1">
        <v>720</v>
      </c>
      <c r="G381" s="2">
        <f t="shared" si="5"/>
        <v>720</v>
      </c>
      <c r="H381" t="s">
        <v>39</v>
      </c>
      <c r="K381" s="1"/>
      <c r="L381" s="1"/>
      <c r="M381" s="1"/>
    </row>
    <row r="382" spans="2:13" x14ac:dyDescent="0.2">
      <c r="B382" s="17">
        <v>44011</v>
      </c>
      <c r="C382" s="16"/>
      <c r="D382" s="6">
        <v>200</v>
      </c>
      <c r="E382" s="1">
        <v>250</v>
      </c>
      <c r="G382" s="2">
        <f t="shared" si="5"/>
        <v>250</v>
      </c>
      <c r="H382" s="2" t="s">
        <v>42</v>
      </c>
      <c r="K382" s="1"/>
      <c r="L382" s="1"/>
      <c r="M382" s="1"/>
    </row>
    <row r="383" spans="2:13" x14ac:dyDescent="0.2">
      <c r="B383" s="17">
        <v>44013</v>
      </c>
      <c r="C383" s="16">
        <v>219</v>
      </c>
      <c r="D383" s="6">
        <v>1683.5</v>
      </c>
      <c r="E383" s="1">
        <v>1905</v>
      </c>
      <c r="G383" s="2">
        <f t="shared" si="5"/>
        <v>1905</v>
      </c>
      <c r="H383" s="2" t="s">
        <v>46</v>
      </c>
      <c r="K383" s="1"/>
      <c r="L383" s="1"/>
      <c r="M383" s="1"/>
    </row>
    <row r="384" spans="2:13" x14ac:dyDescent="0.2">
      <c r="B384" s="17">
        <v>44013</v>
      </c>
      <c r="C384" s="16">
        <v>220</v>
      </c>
      <c r="D384" s="6">
        <v>2232.5</v>
      </c>
      <c r="E384" s="1">
        <v>2645</v>
      </c>
      <c r="G384" s="2">
        <f t="shared" si="5"/>
        <v>2645</v>
      </c>
      <c r="H384" s="2" t="s">
        <v>42</v>
      </c>
      <c r="K384" s="1"/>
      <c r="L384" s="1"/>
      <c r="M384" s="1"/>
    </row>
    <row r="385" spans="2:13" x14ac:dyDescent="0.2">
      <c r="B385" s="17">
        <v>44013</v>
      </c>
      <c r="C385" s="16">
        <v>221</v>
      </c>
      <c r="D385" s="6">
        <v>2651.25</v>
      </c>
      <c r="E385" s="1">
        <v>2762.5</v>
      </c>
      <c r="G385" s="2">
        <f t="shared" si="5"/>
        <v>2762.5</v>
      </c>
      <c r="H385" s="2" t="s">
        <v>14</v>
      </c>
      <c r="K385" s="1"/>
      <c r="L385" s="1"/>
      <c r="M385" s="1"/>
    </row>
    <row r="386" spans="2:13" x14ac:dyDescent="0.2">
      <c r="B386" s="17">
        <v>44013</v>
      </c>
      <c r="C386" s="16">
        <v>222</v>
      </c>
      <c r="D386" s="6">
        <v>816.25</v>
      </c>
      <c r="E386" s="1">
        <v>862.5</v>
      </c>
      <c r="G386" s="2">
        <f t="shared" si="5"/>
        <v>862.5</v>
      </c>
      <c r="H386" s="2" t="s">
        <v>43</v>
      </c>
      <c r="K386" s="1"/>
      <c r="L386" s="1"/>
      <c r="M386" s="1"/>
    </row>
    <row r="387" spans="2:13" x14ac:dyDescent="0.2">
      <c r="B387" s="17">
        <v>44013</v>
      </c>
      <c r="C387" s="16">
        <v>223</v>
      </c>
      <c r="D387" s="6">
        <v>1050</v>
      </c>
      <c r="E387" s="1">
        <v>1150</v>
      </c>
      <c r="G387" s="2">
        <f t="shared" ref="G387:G450" si="6">E387-F387</f>
        <v>1150</v>
      </c>
      <c r="H387" t="s">
        <v>39</v>
      </c>
      <c r="K387" s="1"/>
      <c r="L387" s="1"/>
      <c r="M387" s="1"/>
    </row>
    <row r="388" spans="2:13" x14ac:dyDescent="0.2">
      <c r="B388" s="17">
        <v>44013</v>
      </c>
      <c r="C388" s="16"/>
      <c r="D388" s="6"/>
      <c r="F388" s="1">
        <v>2000</v>
      </c>
      <c r="G388" s="2">
        <f t="shared" si="6"/>
        <v>-2000</v>
      </c>
      <c r="H388" s="2" t="s">
        <v>46</v>
      </c>
      <c r="K388" s="1"/>
      <c r="L388" s="1"/>
      <c r="M388" s="1"/>
    </row>
    <row r="389" spans="2:13" x14ac:dyDescent="0.2">
      <c r="B389" s="17">
        <v>44016</v>
      </c>
      <c r="C389" s="16">
        <v>224</v>
      </c>
      <c r="D389" s="6">
        <v>1080</v>
      </c>
      <c r="E389" s="1">
        <v>1220</v>
      </c>
      <c r="G389" s="2">
        <f t="shared" si="6"/>
        <v>1220</v>
      </c>
      <c r="H389" s="2" t="s">
        <v>34</v>
      </c>
      <c r="K389" s="1"/>
      <c r="L389" s="1"/>
      <c r="M389" s="1"/>
    </row>
    <row r="390" spans="2:13" x14ac:dyDescent="0.2">
      <c r="B390" s="17">
        <v>44016</v>
      </c>
      <c r="C390" s="16">
        <v>225</v>
      </c>
      <c r="D390" s="6">
        <v>125</v>
      </c>
      <c r="E390" s="1">
        <v>130</v>
      </c>
      <c r="G390" s="2">
        <f t="shared" si="6"/>
        <v>130</v>
      </c>
      <c r="H390" t="s">
        <v>39</v>
      </c>
      <c r="K390" s="1"/>
      <c r="L390" s="1"/>
      <c r="M390" s="1"/>
    </row>
    <row r="391" spans="2:13" x14ac:dyDescent="0.2">
      <c r="B391" s="17">
        <v>44016</v>
      </c>
      <c r="C391" s="16"/>
      <c r="D391" s="6"/>
      <c r="F391" s="1">
        <v>1220</v>
      </c>
      <c r="G391" s="2">
        <f t="shared" si="6"/>
        <v>-1220</v>
      </c>
      <c r="H391" s="2" t="s">
        <v>34</v>
      </c>
      <c r="K391" s="1"/>
      <c r="L391" s="1"/>
      <c r="M391" s="1"/>
    </row>
    <row r="392" spans="2:13" x14ac:dyDescent="0.2">
      <c r="B392" s="17">
        <v>44017</v>
      </c>
      <c r="C392" s="16">
        <v>226</v>
      </c>
      <c r="D392" s="6">
        <v>1025</v>
      </c>
      <c r="E392" s="1">
        <v>1200</v>
      </c>
      <c r="G392" s="2">
        <f t="shared" si="6"/>
        <v>1200</v>
      </c>
      <c r="H392" s="2" t="s">
        <v>46</v>
      </c>
      <c r="K392" s="1"/>
      <c r="L392" s="1"/>
      <c r="M392" s="1"/>
    </row>
    <row r="393" spans="2:13" x14ac:dyDescent="0.2">
      <c r="B393" s="17">
        <v>44017</v>
      </c>
      <c r="C393" s="16"/>
      <c r="D393" s="6"/>
      <c r="F393" s="1">
        <v>2000</v>
      </c>
      <c r="G393" s="2">
        <f t="shared" si="6"/>
        <v>-2000</v>
      </c>
      <c r="H393" s="2" t="s">
        <v>46</v>
      </c>
      <c r="K393" s="1"/>
      <c r="L393" s="1"/>
      <c r="M393" s="1"/>
    </row>
    <row r="394" spans="2:13" x14ac:dyDescent="0.2">
      <c r="B394" s="17">
        <v>44020</v>
      </c>
      <c r="C394" s="16">
        <v>227</v>
      </c>
      <c r="D394" s="6">
        <v>1396.4</v>
      </c>
      <c r="E394" s="1">
        <v>1555</v>
      </c>
      <c r="G394" s="2">
        <f t="shared" si="6"/>
        <v>1555</v>
      </c>
      <c r="H394" s="2" t="s">
        <v>45</v>
      </c>
      <c r="K394" s="1"/>
      <c r="L394" s="1"/>
      <c r="M394" s="1"/>
    </row>
    <row r="395" spans="2:13" x14ac:dyDescent="0.2">
      <c r="B395" s="17">
        <v>44020</v>
      </c>
      <c r="C395" s="16">
        <v>228</v>
      </c>
      <c r="D395" s="6">
        <v>500</v>
      </c>
      <c r="E395" s="1">
        <v>600</v>
      </c>
      <c r="G395" s="2">
        <f t="shared" si="6"/>
        <v>600</v>
      </c>
      <c r="H395" s="2" t="s">
        <v>46</v>
      </c>
      <c r="K395" s="1"/>
      <c r="L395" s="1"/>
      <c r="M395" s="1"/>
    </row>
    <row r="396" spans="2:13" x14ac:dyDescent="0.2">
      <c r="B396" s="17">
        <v>44020</v>
      </c>
      <c r="C396" s="16">
        <v>229</v>
      </c>
      <c r="D396" s="6">
        <v>2000</v>
      </c>
      <c r="E396" s="1">
        <v>2080</v>
      </c>
      <c r="G396" s="2">
        <f t="shared" si="6"/>
        <v>2080</v>
      </c>
      <c r="H396" s="2" t="s">
        <v>14</v>
      </c>
      <c r="K396" s="1"/>
      <c r="L396" s="1"/>
      <c r="M396" s="1"/>
    </row>
    <row r="397" spans="2:13" x14ac:dyDescent="0.2">
      <c r="B397" s="17">
        <v>44020</v>
      </c>
      <c r="C397" s="16">
        <v>230</v>
      </c>
      <c r="D397" s="6">
        <v>1450</v>
      </c>
      <c r="E397" s="1">
        <v>1740</v>
      </c>
      <c r="G397" s="2">
        <f t="shared" si="6"/>
        <v>1740</v>
      </c>
      <c r="H397" s="2" t="s">
        <v>34</v>
      </c>
      <c r="K397" s="1"/>
      <c r="L397" s="1"/>
      <c r="M397" s="1"/>
    </row>
    <row r="398" spans="2:13" x14ac:dyDescent="0.2">
      <c r="B398" s="17">
        <v>44020</v>
      </c>
      <c r="C398" s="16">
        <v>231</v>
      </c>
      <c r="D398" s="6">
        <v>145</v>
      </c>
      <c r="E398" s="1">
        <v>170</v>
      </c>
      <c r="G398" s="2">
        <f t="shared" si="6"/>
        <v>170</v>
      </c>
      <c r="H398" s="2" t="s">
        <v>63</v>
      </c>
      <c r="K398" s="1"/>
      <c r="L398" s="1"/>
      <c r="M398" s="1"/>
    </row>
    <row r="399" spans="2:13" x14ac:dyDescent="0.2">
      <c r="B399" s="17">
        <v>44020</v>
      </c>
      <c r="C399" s="16">
        <v>232</v>
      </c>
      <c r="D399" s="6">
        <v>1305</v>
      </c>
      <c r="E399" s="1">
        <v>1530</v>
      </c>
      <c r="G399" s="2">
        <f t="shared" si="6"/>
        <v>1530</v>
      </c>
      <c r="H399" s="2" t="s">
        <v>63</v>
      </c>
      <c r="K399" s="1"/>
      <c r="L399" s="1"/>
      <c r="M399" s="1"/>
    </row>
    <row r="400" spans="2:13" x14ac:dyDescent="0.2">
      <c r="B400" s="17">
        <v>44020</v>
      </c>
      <c r="C400" s="16">
        <v>233</v>
      </c>
      <c r="D400" s="6">
        <v>2300</v>
      </c>
      <c r="E400" s="1">
        <v>2610</v>
      </c>
      <c r="G400" s="2">
        <f t="shared" si="6"/>
        <v>2610</v>
      </c>
      <c r="H400" t="s">
        <v>35</v>
      </c>
      <c r="K400" s="1"/>
      <c r="L400" s="1"/>
      <c r="M400" s="1"/>
    </row>
    <row r="401" spans="2:13" x14ac:dyDescent="0.2">
      <c r="B401" s="17">
        <v>44020</v>
      </c>
      <c r="C401" s="16">
        <v>234</v>
      </c>
      <c r="D401" s="6">
        <v>150</v>
      </c>
      <c r="E401" s="1">
        <v>155</v>
      </c>
      <c r="G401" s="2">
        <f t="shared" si="6"/>
        <v>155</v>
      </c>
      <c r="H401" t="s">
        <v>39</v>
      </c>
      <c r="K401" s="1"/>
      <c r="L401" s="1"/>
      <c r="M401" s="1"/>
    </row>
    <row r="402" spans="2:13" x14ac:dyDescent="0.2">
      <c r="B402" s="17">
        <v>44020</v>
      </c>
      <c r="C402" s="16"/>
      <c r="D402" s="6"/>
      <c r="F402" s="1">
        <v>1150</v>
      </c>
      <c r="G402" s="2">
        <f t="shared" si="6"/>
        <v>-1150</v>
      </c>
      <c r="H402" s="2" t="s">
        <v>45</v>
      </c>
      <c r="K402" s="1"/>
      <c r="L402" s="1"/>
      <c r="M402" s="1"/>
    </row>
    <row r="403" spans="2:13" x14ac:dyDescent="0.2">
      <c r="B403" s="17">
        <v>44020</v>
      </c>
      <c r="C403" s="16"/>
      <c r="D403" s="6"/>
      <c r="F403" s="1">
        <v>3000</v>
      </c>
      <c r="G403" s="2">
        <f t="shared" si="6"/>
        <v>-3000</v>
      </c>
      <c r="H403" s="2" t="s">
        <v>46</v>
      </c>
      <c r="K403" s="1"/>
      <c r="L403" s="1"/>
      <c r="M403" s="1"/>
    </row>
    <row r="404" spans="2:13" x14ac:dyDescent="0.2">
      <c r="B404" s="17">
        <v>44020</v>
      </c>
      <c r="C404" s="16"/>
      <c r="D404" s="6"/>
      <c r="F404" s="1">
        <v>2200</v>
      </c>
      <c r="G404" s="2">
        <f t="shared" si="6"/>
        <v>-2200</v>
      </c>
      <c r="H404" s="2" t="s">
        <v>14</v>
      </c>
      <c r="K404" s="1"/>
      <c r="L404" s="1"/>
      <c r="M404" s="1"/>
    </row>
    <row r="405" spans="2:13" x14ac:dyDescent="0.2">
      <c r="B405" s="17">
        <v>44020</v>
      </c>
      <c r="C405" s="16"/>
      <c r="D405" s="6"/>
      <c r="F405" s="1">
        <v>1740</v>
      </c>
      <c r="G405" s="2">
        <f t="shared" si="6"/>
        <v>-1740</v>
      </c>
      <c r="H405" s="2" t="s">
        <v>34</v>
      </c>
      <c r="K405" s="1"/>
      <c r="L405" s="1"/>
      <c r="M405" s="1"/>
    </row>
    <row r="406" spans="2:13" x14ac:dyDescent="0.2">
      <c r="B406" s="17">
        <v>44020</v>
      </c>
      <c r="C406" s="16"/>
      <c r="D406" s="6"/>
      <c r="F406" s="1">
        <v>1700</v>
      </c>
      <c r="G406" s="2">
        <f t="shared" si="6"/>
        <v>-1700</v>
      </c>
      <c r="H406" s="2" t="s">
        <v>63</v>
      </c>
      <c r="K406" s="1"/>
      <c r="L406" s="1"/>
      <c r="M406" s="1"/>
    </row>
    <row r="407" spans="2:13" x14ac:dyDescent="0.2">
      <c r="B407" s="17">
        <v>44020</v>
      </c>
      <c r="C407" s="16"/>
      <c r="D407" s="6"/>
      <c r="F407" s="1">
        <v>1160</v>
      </c>
      <c r="G407" s="2">
        <f t="shared" si="6"/>
        <v>-1160</v>
      </c>
      <c r="H407" t="s">
        <v>35</v>
      </c>
      <c r="K407" s="1"/>
      <c r="L407" s="1"/>
      <c r="M407" s="1"/>
    </row>
    <row r="408" spans="2:13" x14ac:dyDescent="0.2">
      <c r="B408" s="17">
        <v>44024</v>
      </c>
      <c r="C408" s="16">
        <v>235</v>
      </c>
      <c r="D408" s="6">
        <v>2100</v>
      </c>
      <c r="E408" s="1">
        <v>2360</v>
      </c>
      <c r="G408" s="2">
        <f t="shared" si="6"/>
        <v>2360</v>
      </c>
      <c r="H408" t="s">
        <v>35</v>
      </c>
      <c r="K408" s="1"/>
      <c r="L408" s="1"/>
      <c r="M408" s="1"/>
    </row>
    <row r="409" spans="2:13" x14ac:dyDescent="0.2">
      <c r="B409" s="17">
        <v>44024</v>
      </c>
      <c r="C409" s="16">
        <v>236</v>
      </c>
      <c r="D409" s="6">
        <v>21000</v>
      </c>
      <c r="E409" s="1">
        <v>22000</v>
      </c>
      <c r="G409" s="2">
        <f t="shared" si="6"/>
        <v>22000</v>
      </c>
      <c r="H409" s="2" t="s">
        <v>14</v>
      </c>
      <c r="K409" s="1"/>
      <c r="L409" s="1"/>
      <c r="M409" s="1"/>
    </row>
    <row r="410" spans="2:13" x14ac:dyDescent="0.2">
      <c r="B410" s="17">
        <v>44024</v>
      </c>
      <c r="C410" s="16">
        <v>237</v>
      </c>
      <c r="D410" s="6">
        <v>2500</v>
      </c>
      <c r="E410" s="1">
        <v>2750</v>
      </c>
      <c r="G410" s="2">
        <f t="shared" si="6"/>
        <v>2750</v>
      </c>
      <c r="H410" s="2" t="s">
        <v>34</v>
      </c>
      <c r="K410" s="1"/>
      <c r="L410" s="1"/>
      <c r="M410" s="1"/>
    </row>
    <row r="411" spans="2:13" x14ac:dyDescent="0.2">
      <c r="B411" s="17">
        <v>44024</v>
      </c>
      <c r="C411" s="16">
        <v>238</v>
      </c>
      <c r="D411" s="6">
        <v>3012.5</v>
      </c>
      <c r="E411" s="1">
        <v>3375</v>
      </c>
      <c r="G411" s="2">
        <f t="shared" si="6"/>
        <v>3375</v>
      </c>
      <c r="H411" t="s">
        <v>39</v>
      </c>
      <c r="K411" s="1"/>
      <c r="L411" s="1"/>
      <c r="M411" s="1"/>
    </row>
    <row r="412" spans="2:13" x14ac:dyDescent="0.2">
      <c r="B412" s="19">
        <v>44024</v>
      </c>
      <c r="C412" s="16"/>
      <c r="D412" s="6"/>
      <c r="F412" s="1">
        <v>3375</v>
      </c>
      <c r="G412" s="4">
        <f t="shared" si="6"/>
        <v>-3375</v>
      </c>
      <c r="H412" t="s">
        <v>39</v>
      </c>
      <c r="K412" s="1"/>
      <c r="L412" s="1"/>
      <c r="M412" s="1"/>
    </row>
    <row r="413" spans="2:13" x14ac:dyDescent="0.2">
      <c r="B413" s="17">
        <v>44024</v>
      </c>
      <c r="C413" s="16">
        <v>239</v>
      </c>
      <c r="D413" s="6">
        <v>74.5</v>
      </c>
      <c r="E413" s="1">
        <v>84</v>
      </c>
      <c r="G413" s="2">
        <f t="shared" si="6"/>
        <v>84</v>
      </c>
      <c r="H413" t="s">
        <v>39</v>
      </c>
      <c r="K413" s="1"/>
      <c r="L413" s="1"/>
      <c r="M413" s="1"/>
    </row>
    <row r="414" spans="2:13" x14ac:dyDescent="0.2">
      <c r="B414" s="17">
        <v>44024</v>
      </c>
      <c r="C414" s="16"/>
      <c r="D414" s="6"/>
      <c r="F414" s="1">
        <v>2000</v>
      </c>
      <c r="G414" s="2">
        <f t="shared" si="6"/>
        <v>-2000</v>
      </c>
      <c r="H414" t="s">
        <v>35</v>
      </c>
      <c r="K414" s="1"/>
      <c r="L414" s="1"/>
      <c r="M414" s="1"/>
    </row>
    <row r="415" spans="2:13" x14ac:dyDescent="0.2">
      <c r="B415" s="17">
        <v>44024</v>
      </c>
      <c r="C415" s="16"/>
      <c r="D415" s="6"/>
      <c r="F415" s="1">
        <v>5000</v>
      </c>
      <c r="G415" s="2">
        <f t="shared" si="6"/>
        <v>-5000</v>
      </c>
      <c r="H415" s="2" t="s">
        <v>14</v>
      </c>
      <c r="K415" s="1"/>
      <c r="L415" s="1"/>
      <c r="M415" s="1"/>
    </row>
    <row r="416" spans="2:13" x14ac:dyDescent="0.2">
      <c r="B416" s="17">
        <v>44024</v>
      </c>
      <c r="C416" s="16"/>
      <c r="D416" s="6"/>
      <c r="F416" s="1">
        <v>2800</v>
      </c>
      <c r="G416" s="2">
        <f t="shared" si="6"/>
        <v>-2800</v>
      </c>
      <c r="H416" t="s">
        <v>39</v>
      </c>
      <c r="K416" s="1"/>
      <c r="L416" s="1"/>
      <c r="M416" s="1"/>
    </row>
    <row r="417" spans="2:13" x14ac:dyDescent="0.2">
      <c r="B417" s="17">
        <v>44025</v>
      </c>
      <c r="C417" s="16">
        <v>240</v>
      </c>
      <c r="D417" s="6">
        <v>1377.5</v>
      </c>
      <c r="E417" s="1">
        <v>1615</v>
      </c>
      <c r="G417" s="2">
        <f t="shared" si="6"/>
        <v>1615</v>
      </c>
      <c r="H417" s="2" t="s">
        <v>37</v>
      </c>
      <c r="K417" s="1"/>
      <c r="L417" s="1"/>
      <c r="M417" s="1"/>
    </row>
    <row r="418" spans="2:13" x14ac:dyDescent="0.2">
      <c r="B418" s="17">
        <v>44025</v>
      </c>
      <c r="C418" s="16"/>
      <c r="D418" s="6"/>
      <c r="F418" s="1">
        <v>2000</v>
      </c>
      <c r="G418" s="2">
        <f t="shared" si="6"/>
        <v>-2000</v>
      </c>
      <c r="H418" s="2" t="s">
        <v>46</v>
      </c>
      <c r="K418" s="1"/>
      <c r="L418" s="1"/>
      <c r="M418" s="1"/>
    </row>
    <row r="419" spans="2:13" x14ac:dyDescent="0.2">
      <c r="B419" s="17">
        <v>44025</v>
      </c>
      <c r="C419" s="16"/>
      <c r="D419" s="6"/>
      <c r="F419" s="1">
        <v>1000</v>
      </c>
      <c r="G419" s="2">
        <f t="shared" si="6"/>
        <v>-1000</v>
      </c>
      <c r="H419" t="s">
        <v>39</v>
      </c>
      <c r="K419" s="1"/>
      <c r="L419" s="1"/>
      <c r="M419" s="1"/>
    </row>
    <row r="420" spans="2:13" x14ac:dyDescent="0.2">
      <c r="B420" s="17">
        <v>44026</v>
      </c>
      <c r="C420" s="16"/>
      <c r="D420" s="6"/>
      <c r="F420" s="1">
        <v>5000</v>
      </c>
      <c r="G420" s="2">
        <f t="shared" si="6"/>
        <v>-5000</v>
      </c>
      <c r="H420" s="2" t="s">
        <v>14</v>
      </c>
      <c r="K420" s="1"/>
      <c r="L420" s="1"/>
      <c r="M420" s="1"/>
    </row>
    <row r="421" spans="2:13" x14ac:dyDescent="0.2">
      <c r="B421" s="17">
        <v>44026</v>
      </c>
      <c r="C421" s="16"/>
      <c r="D421" s="6"/>
      <c r="F421" s="1">
        <v>2750</v>
      </c>
      <c r="G421" s="2">
        <f t="shared" si="6"/>
        <v>-2750</v>
      </c>
      <c r="H421" s="2" t="s">
        <v>34</v>
      </c>
      <c r="K421" s="1"/>
      <c r="L421" s="1"/>
      <c r="M421" s="1"/>
    </row>
    <row r="422" spans="2:13" x14ac:dyDescent="0.2">
      <c r="B422" s="17">
        <v>44026</v>
      </c>
      <c r="C422" s="16"/>
      <c r="D422" s="6"/>
      <c r="F422" s="1">
        <v>1440</v>
      </c>
      <c r="G422" s="2">
        <f t="shared" si="6"/>
        <v>-1440</v>
      </c>
      <c r="H422" s="2" t="s">
        <v>43</v>
      </c>
      <c r="K422" s="1"/>
      <c r="L422" s="1"/>
      <c r="M422" s="1"/>
    </row>
    <row r="423" spans="2:13" x14ac:dyDescent="0.2">
      <c r="B423" s="17">
        <v>44027</v>
      </c>
      <c r="C423" s="16">
        <v>241</v>
      </c>
      <c r="D423" s="6">
        <v>90</v>
      </c>
      <c r="E423" s="1">
        <v>95</v>
      </c>
      <c r="G423" s="2">
        <f t="shared" si="6"/>
        <v>95</v>
      </c>
      <c r="H423" t="s">
        <v>39</v>
      </c>
      <c r="K423" s="1"/>
      <c r="L423" s="1"/>
      <c r="M423" s="1"/>
    </row>
    <row r="424" spans="2:13" x14ac:dyDescent="0.2">
      <c r="B424" s="17">
        <v>44027</v>
      </c>
      <c r="C424" s="16">
        <v>242</v>
      </c>
      <c r="D424" s="6">
        <v>900</v>
      </c>
      <c r="E424" s="1">
        <v>950</v>
      </c>
      <c r="G424" s="2">
        <f t="shared" si="6"/>
        <v>950</v>
      </c>
      <c r="H424" t="s">
        <v>35</v>
      </c>
      <c r="K424" s="1"/>
      <c r="L424" s="1"/>
      <c r="M424" s="1"/>
    </row>
    <row r="425" spans="2:13" x14ac:dyDescent="0.2">
      <c r="B425" s="17">
        <v>44027</v>
      </c>
      <c r="C425" s="16">
        <v>243</v>
      </c>
      <c r="D425" s="6">
        <v>875</v>
      </c>
      <c r="E425" s="1">
        <v>962.5</v>
      </c>
      <c r="G425" s="2">
        <f t="shared" si="6"/>
        <v>962.5</v>
      </c>
      <c r="H425" s="2" t="s">
        <v>37</v>
      </c>
      <c r="K425" s="1"/>
      <c r="L425" s="1"/>
      <c r="M425" s="1"/>
    </row>
    <row r="426" spans="2:13" x14ac:dyDescent="0.2">
      <c r="B426" s="17">
        <v>44027</v>
      </c>
      <c r="C426" s="16">
        <v>244</v>
      </c>
      <c r="D426" s="6">
        <v>3000</v>
      </c>
      <c r="E426" s="1">
        <v>3250</v>
      </c>
      <c r="G426" s="2">
        <f t="shared" si="6"/>
        <v>3250</v>
      </c>
      <c r="H426" t="s">
        <v>32</v>
      </c>
      <c r="K426" s="1"/>
      <c r="L426" s="1"/>
      <c r="M426" s="1"/>
    </row>
    <row r="427" spans="2:13" x14ac:dyDescent="0.2">
      <c r="B427" s="17">
        <v>44027</v>
      </c>
      <c r="C427" s="16"/>
      <c r="D427" s="6"/>
      <c r="F427" s="1">
        <v>2970</v>
      </c>
      <c r="G427" s="2">
        <f t="shared" si="6"/>
        <v>-2970</v>
      </c>
      <c r="H427" t="s">
        <v>35</v>
      </c>
      <c r="K427" s="1"/>
      <c r="L427" s="1"/>
      <c r="M427" s="1"/>
    </row>
    <row r="428" spans="2:13" x14ac:dyDescent="0.2">
      <c r="B428" s="17">
        <v>44027</v>
      </c>
      <c r="C428" s="16"/>
      <c r="D428" s="6"/>
      <c r="F428" s="1">
        <v>3250</v>
      </c>
      <c r="G428" s="2">
        <f t="shared" si="6"/>
        <v>-3250</v>
      </c>
      <c r="H428" t="s">
        <v>32</v>
      </c>
      <c r="K428" s="1"/>
      <c r="L428" s="1"/>
      <c r="M428" s="1"/>
    </row>
    <row r="429" spans="2:13" x14ac:dyDescent="0.2">
      <c r="B429" s="19">
        <v>44027</v>
      </c>
      <c r="C429" s="16"/>
      <c r="D429" s="6"/>
      <c r="F429" s="1">
        <v>380</v>
      </c>
      <c r="G429" s="4">
        <f t="shared" si="6"/>
        <v>-380</v>
      </c>
      <c r="H429" t="s">
        <v>39</v>
      </c>
      <c r="K429" s="1"/>
      <c r="L429" s="1"/>
      <c r="M429" s="1"/>
    </row>
    <row r="430" spans="2:13" x14ac:dyDescent="0.2">
      <c r="B430" s="17">
        <v>44028</v>
      </c>
      <c r="C430" s="16">
        <v>245</v>
      </c>
      <c r="D430" s="6">
        <v>380</v>
      </c>
      <c r="E430" s="1">
        <v>380</v>
      </c>
      <c r="G430" s="2">
        <f t="shared" si="6"/>
        <v>380</v>
      </c>
      <c r="H430" t="s">
        <v>35</v>
      </c>
      <c r="K430" s="1"/>
      <c r="L430" s="1"/>
      <c r="M430" s="1"/>
    </row>
    <row r="431" spans="2:13" x14ac:dyDescent="0.2">
      <c r="B431" s="17">
        <v>44028</v>
      </c>
      <c r="C431" s="16">
        <v>246</v>
      </c>
      <c r="D431" s="6">
        <v>4026.09</v>
      </c>
      <c r="E431" s="1">
        <v>4550</v>
      </c>
      <c r="G431" s="2">
        <f t="shared" si="6"/>
        <v>4550</v>
      </c>
      <c r="H431" s="2" t="s">
        <v>46</v>
      </c>
      <c r="K431" s="1"/>
      <c r="L431" s="1"/>
      <c r="M431" s="1"/>
    </row>
    <row r="432" spans="2:13" x14ac:dyDescent="0.2">
      <c r="B432" s="17">
        <v>44028</v>
      </c>
      <c r="C432" s="16"/>
      <c r="D432" s="6"/>
      <c r="F432" s="1">
        <v>2000</v>
      </c>
      <c r="G432" s="2">
        <f t="shared" si="6"/>
        <v>-2000</v>
      </c>
      <c r="H432" s="2" t="s">
        <v>46</v>
      </c>
      <c r="K432" s="1"/>
      <c r="L432" s="1"/>
      <c r="M432" s="1"/>
    </row>
    <row r="433" spans="2:13" x14ac:dyDescent="0.2">
      <c r="B433" s="17">
        <v>44030</v>
      </c>
      <c r="C433" s="16">
        <v>247</v>
      </c>
      <c r="D433" s="6">
        <v>1629.5</v>
      </c>
      <c r="E433" s="1">
        <v>1732.5</v>
      </c>
      <c r="G433" s="2">
        <f t="shared" si="6"/>
        <v>1732.5</v>
      </c>
      <c r="H433" s="2" t="s">
        <v>51</v>
      </c>
      <c r="K433" s="1"/>
      <c r="L433" s="1"/>
      <c r="M433" s="1"/>
    </row>
    <row r="434" spans="2:13" x14ac:dyDescent="0.2">
      <c r="B434" s="17">
        <v>44030</v>
      </c>
      <c r="C434" s="16"/>
      <c r="D434" s="6"/>
      <c r="F434" s="1">
        <v>2952</v>
      </c>
      <c r="G434" s="2">
        <f t="shared" si="6"/>
        <v>-2952</v>
      </c>
      <c r="H434" s="2" t="s">
        <v>63</v>
      </c>
      <c r="K434" s="1"/>
      <c r="L434" s="1"/>
      <c r="M434" s="1"/>
    </row>
    <row r="435" spans="2:13" x14ac:dyDescent="0.2">
      <c r="B435" s="17">
        <v>44030</v>
      </c>
      <c r="C435" s="16"/>
      <c r="D435" s="6"/>
      <c r="F435" s="1">
        <v>1000</v>
      </c>
      <c r="G435" s="2">
        <f t="shared" si="6"/>
        <v>-1000</v>
      </c>
      <c r="H435" s="2" t="s">
        <v>51</v>
      </c>
      <c r="K435" s="1"/>
      <c r="L435" s="1"/>
      <c r="M435" s="1"/>
    </row>
    <row r="436" spans="2:13" x14ac:dyDescent="0.2">
      <c r="B436" s="17">
        <v>44031</v>
      </c>
      <c r="C436" s="16">
        <v>248</v>
      </c>
      <c r="D436" s="6">
        <v>1750</v>
      </c>
      <c r="E436" s="1">
        <v>2250</v>
      </c>
      <c r="G436" s="2">
        <f t="shared" si="6"/>
        <v>2250</v>
      </c>
      <c r="H436" s="2" t="s">
        <v>46</v>
      </c>
      <c r="K436" s="1"/>
      <c r="L436" s="1"/>
      <c r="M436" s="1"/>
    </row>
    <row r="437" spans="2:13" x14ac:dyDescent="0.2">
      <c r="B437" s="17">
        <v>44031</v>
      </c>
      <c r="C437" s="16">
        <v>249</v>
      </c>
      <c r="D437" s="6">
        <v>2520.5</v>
      </c>
      <c r="E437" s="1">
        <v>2754.25</v>
      </c>
      <c r="G437" s="2">
        <f t="shared" si="6"/>
        <v>2754.25</v>
      </c>
      <c r="H437" s="2" t="s">
        <v>46</v>
      </c>
      <c r="K437" s="1"/>
      <c r="L437" s="1"/>
      <c r="M437" s="1"/>
    </row>
    <row r="438" spans="2:13" x14ac:dyDescent="0.2">
      <c r="B438" s="17">
        <v>44031</v>
      </c>
      <c r="C438" s="16"/>
      <c r="D438" s="6"/>
      <c r="F438" s="1">
        <v>5000</v>
      </c>
      <c r="G438" s="2">
        <f t="shared" si="6"/>
        <v>-5000</v>
      </c>
      <c r="H438" s="2" t="s">
        <v>14</v>
      </c>
      <c r="K438" s="1"/>
      <c r="L438" s="1"/>
      <c r="M438" s="1"/>
    </row>
    <row r="439" spans="2:13" x14ac:dyDescent="0.2">
      <c r="B439" s="17">
        <v>44032</v>
      </c>
      <c r="C439" s="16">
        <v>250</v>
      </c>
      <c r="D439" s="6">
        <v>324</v>
      </c>
      <c r="E439" s="1">
        <v>348</v>
      </c>
      <c r="G439" s="2">
        <f t="shared" si="6"/>
        <v>348</v>
      </c>
      <c r="H439" s="2" t="s">
        <v>34</v>
      </c>
      <c r="K439" s="1"/>
      <c r="L439" s="1"/>
      <c r="M439" s="1"/>
    </row>
    <row r="440" spans="2:13" x14ac:dyDescent="0.2">
      <c r="B440" s="17">
        <v>44032</v>
      </c>
      <c r="C440" s="16"/>
      <c r="D440" s="6"/>
      <c r="F440" s="1">
        <v>15000</v>
      </c>
      <c r="G440" s="2">
        <f t="shared" si="6"/>
        <v>-15000</v>
      </c>
      <c r="H440" s="2" t="s">
        <v>42</v>
      </c>
      <c r="K440" s="1"/>
      <c r="L440" s="1"/>
      <c r="M440" s="1"/>
    </row>
    <row r="441" spans="2:13" x14ac:dyDescent="0.2">
      <c r="B441" s="17">
        <v>44032</v>
      </c>
      <c r="C441" s="16"/>
      <c r="D441" s="6"/>
      <c r="F441" s="1">
        <v>2250</v>
      </c>
      <c r="G441" s="2">
        <f t="shared" si="6"/>
        <v>-2250</v>
      </c>
      <c r="H441" s="2" t="s">
        <v>46</v>
      </c>
      <c r="K441" s="1"/>
      <c r="L441" s="1"/>
      <c r="M441" s="1"/>
    </row>
    <row r="442" spans="2:13" x14ac:dyDescent="0.2">
      <c r="B442" s="17">
        <v>44033</v>
      </c>
      <c r="C442" s="16"/>
      <c r="D442" s="6"/>
      <c r="F442" s="1">
        <v>2575</v>
      </c>
      <c r="G442" s="2">
        <f t="shared" si="6"/>
        <v>-2575</v>
      </c>
      <c r="H442" s="2" t="s">
        <v>37</v>
      </c>
      <c r="K442" s="1"/>
      <c r="L442" s="1"/>
      <c r="M442" s="1"/>
    </row>
    <row r="443" spans="2:13" x14ac:dyDescent="0.2">
      <c r="B443" s="17">
        <v>44034</v>
      </c>
      <c r="C443" s="16">
        <v>251</v>
      </c>
      <c r="D443" s="6">
        <v>1544.7</v>
      </c>
      <c r="E443" s="1">
        <v>1591</v>
      </c>
      <c r="G443" s="2">
        <f t="shared" si="6"/>
        <v>1591</v>
      </c>
      <c r="H443" s="2" t="s">
        <v>87</v>
      </c>
      <c r="K443" s="1"/>
      <c r="L443" s="1"/>
      <c r="M443" s="1"/>
    </row>
    <row r="444" spans="2:13" x14ac:dyDescent="0.2">
      <c r="B444" s="17">
        <v>44034</v>
      </c>
      <c r="C444" s="16">
        <v>252</v>
      </c>
      <c r="D444" s="6">
        <v>2646.75</v>
      </c>
      <c r="E444" s="1">
        <v>2951.5</v>
      </c>
      <c r="G444" s="2">
        <f t="shared" si="6"/>
        <v>2951.5</v>
      </c>
      <c r="H444" s="2" t="s">
        <v>42</v>
      </c>
      <c r="K444" s="1"/>
      <c r="L444" s="1"/>
      <c r="M444" s="1"/>
    </row>
    <row r="445" spans="2:13" x14ac:dyDescent="0.2">
      <c r="B445" s="17">
        <v>44034</v>
      </c>
      <c r="C445" s="16">
        <v>253</v>
      </c>
      <c r="D445" s="6">
        <v>3050</v>
      </c>
      <c r="E445" s="1">
        <v>3750</v>
      </c>
      <c r="G445" s="2">
        <f t="shared" si="6"/>
        <v>3750</v>
      </c>
      <c r="H445" s="2" t="s">
        <v>45</v>
      </c>
      <c r="K445" s="1"/>
      <c r="L445" s="1"/>
      <c r="M445" s="1"/>
    </row>
    <row r="446" spans="2:13" x14ac:dyDescent="0.2">
      <c r="B446" s="17">
        <v>44034</v>
      </c>
      <c r="C446" s="16">
        <v>254</v>
      </c>
      <c r="D446" s="6">
        <v>1250</v>
      </c>
      <c r="E446" s="1">
        <v>1400</v>
      </c>
      <c r="G446" s="2">
        <f t="shared" si="6"/>
        <v>1400</v>
      </c>
      <c r="H446" t="s">
        <v>39</v>
      </c>
      <c r="K446" s="1"/>
      <c r="L446" s="1"/>
      <c r="M446" s="1"/>
    </row>
    <row r="447" spans="2:13" x14ac:dyDescent="0.2">
      <c r="B447" s="19">
        <v>44034</v>
      </c>
      <c r="C447" s="16"/>
      <c r="D447" s="6"/>
      <c r="F447" s="1">
        <v>1400</v>
      </c>
      <c r="G447" s="4">
        <f t="shared" si="6"/>
        <v>-1400</v>
      </c>
      <c r="H447" t="s">
        <v>39</v>
      </c>
      <c r="K447" s="1"/>
      <c r="L447" s="1"/>
      <c r="M447" s="1"/>
    </row>
    <row r="448" spans="2:13" x14ac:dyDescent="0.2">
      <c r="B448" s="17">
        <v>44035</v>
      </c>
      <c r="C448" s="16"/>
      <c r="D448" s="6"/>
      <c r="F448" s="1">
        <v>2000</v>
      </c>
      <c r="G448" s="2">
        <f t="shared" si="6"/>
        <v>-2000</v>
      </c>
      <c r="H448" s="2" t="s">
        <v>46</v>
      </c>
      <c r="K448" s="1"/>
      <c r="L448" s="1"/>
      <c r="M448" s="1"/>
    </row>
    <row r="449" spans="2:13" x14ac:dyDescent="0.2">
      <c r="B449" s="17">
        <v>44035</v>
      </c>
      <c r="C449" s="16">
        <v>255</v>
      </c>
      <c r="D449" s="6">
        <v>822.5</v>
      </c>
      <c r="E449" s="1">
        <v>881.25</v>
      </c>
      <c r="G449" s="2">
        <f t="shared" si="6"/>
        <v>881.25</v>
      </c>
      <c r="H449" s="2" t="s">
        <v>14</v>
      </c>
      <c r="K449" s="1"/>
      <c r="L449" s="1"/>
      <c r="M449" s="1"/>
    </row>
    <row r="450" spans="2:13" x14ac:dyDescent="0.2">
      <c r="B450" s="17">
        <v>44035</v>
      </c>
      <c r="C450" s="16">
        <v>256</v>
      </c>
      <c r="D450" s="6">
        <v>1365</v>
      </c>
      <c r="E450" s="1">
        <v>1580</v>
      </c>
      <c r="G450" s="2">
        <f t="shared" si="6"/>
        <v>1580</v>
      </c>
      <c r="H450" s="2" t="s">
        <v>42</v>
      </c>
      <c r="K450" s="1"/>
      <c r="L450" s="1"/>
      <c r="M450" s="1"/>
    </row>
    <row r="451" spans="2:13" x14ac:dyDescent="0.2">
      <c r="B451" s="17">
        <v>44035</v>
      </c>
      <c r="C451" s="16">
        <v>257</v>
      </c>
      <c r="D451" s="6">
        <v>1107.5</v>
      </c>
      <c r="E451" s="1">
        <v>1164</v>
      </c>
      <c r="G451" s="2">
        <f t="shared" ref="G451:G514" si="7">E451-F451</f>
        <v>1164</v>
      </c>
      <c r="H451" s="2" t="s">
        <v>87</v>
      </c>
      <c r="K451" s="1"/>
      <c r="L451" s="1"/>
      <c r="M451" s="1"/>
    </row>
    <row r="452" spans="2:13" x14ac:dyDescent="0.2">
      <c r="B452" s="17">
        <v>44037</v>
      </c>
      <c r="C452" s="16"/>
      <c r="D452" s="6"/>
      <c r="F452" s="1">
        <v>1500</v>
      </c>
      <c r="G452" s="2">
        <f t="shared" si="7"/>
        <v>-1500</v>
      </c>
      <c r="H452" s="2" t="s">
        <v>34</v>
      </c>
      <c r="K452" s="1"/>
      <c r="L452" s="1"/>
      <c r="M452" s="1"/>
    </row>
    <row r="453" spans="2:13" x14ac:dyDescent="0.2">
      <c r="B453" s="17">
        <v>44038</v>
      </c>
      <c r="C453" s="16">
        <v>258</v>
      </c>
      <c r="D453" s="6">
        <v>1750</v>
      </c>
      <c r="E453" s="1">
        <v>2000</v>
      </c>
      <c r="G453" s="2">
        <f t="shared" si="7"/>
        <v>2000</v>
      </c>
      <c r="H453" s="2" t="s">
        <v>46</v>
      </c>
      <c r="K453" s="1"/>
      <c r="L453" s="1"/>
      <c r="M453" s="1"/>
    </row>
    <row r="454" spans="2:13" x14ac:dyDescent="0.2">
      <c r="B454" s="17">
        <v>44038</v>
      </c>
      <c r="C454" s="16">
        <v>259</v>
      </c>
      <c r="D454" s="6">
        <v>5000</v>
      </c>
      <c r="E454" s="1">
        <v>5500</v>
      </c>
      <c r="G454" s="2">
        <f t="shared" si="7"/>
        <v>5500</v>
      </c>
      <c r="H454" s="2" t="s">
        <v>45</v>
      </c>
      <c r="K454" s="1"/>
      <c r="L454" s="1"/>
      <c r="M454" s="1"/>
    </row>
    <row r="455" spans="2:13" x14ac:dyDescent="0.2">
      <c r="B455" s="17">
        <v>44038</v>
      </c>
      <c r="C455" s="16">
        <v>260</v>
      </c>
      <c r="D455" s="6">
        <v>1500.75</v>
      </c>
      <c r="E455" s="1">
        <v>1662.5</v>
      </c>
      <c r="G455" s="2">
        <f t="shared" si="7"/>
        <v>1662.5</v>
      </c>
      <c r="H455" s="2" t="s">
        <v>42</v>
      </c>
      <c r="K455" s="1"/>
      <c r="L455" s="1"/>
      <c r="M455" s="1"/>
    </row>
    <row r="456" spans="2:13" x14ac:dyDescent="0.2">
      <c r="B456" s="17">
        <v>44039</v>
      </c>
      <c r="C456" s="16">
        <v>261</v>
      </c>
      <c r="D456" s="6">
        <v>850</v>
      </c>
      <c r="E456" s="1">
        <v>950</v>
      </c>
      <c r="G456" s="2">
        <f t="shared" si="7"/>
        <v>950</v>
      </c>
      <c r="H456" s="2" t="s">
        <v>34</v>
      </c>
      <c r="K456" s="1"/>
      <c r="L456" s="1"/>
      <c r="M456" s="1"/>
    </row>
    <row r="457" spans="2:13" x14ac:dyDescent="0.2">
      <c r="B457" s="17">
        <v>44039</v>
      </c>
      <c r="C457" s="16"/>
      <c r="D457" s="6"/>
      <c r="F457" s="1">
        <v>3000</v>
      </c>
      <c r="G457" s="2">
        <f t="shared" si="7"/>
        <v>-3000</v>
      </c>
      <c r="H457" s="2" t="s">
        <v>45</v>
      </c>
      <c r="K457" s="1"/>
      <c r="L457" s="1"/>
      <c r="M457" s="1"/>
    </row>
    <row r="458" spans="2:13" x14ac:dyDescent="0.2">
      <c r="B458" s="17">
        <v>44039</v>
      </c>
      <c r="C458" s="16"/>
      <c r="D458" s="6"/>
      <c r="F458" s="1">
        <v>950</v>
      </c>
      <c r="G458" s="2">
        <f t="shared" si="7"/>
        <v>-950</v>
      </c>
      <c r="H458" s="2" t="s">
        <v>34</v>
      </c>
      <c r="K458" s="1"/>
      <c r="L458" s="1"/>
      <c r="M458" s="1"/>
    </row>
    <row r="459" spans="2:13" x14ac:dyDescent="0.2">
      <c r="B459" s="17">
        <v>44040</v>
      </c>
      <c r="C459" s="16"/>
      <c r="D459" s="6"/>
      <c r="F459" s="1">
        <v>1125</v>
      </c>
      <c r="G459" s="2">
        <f t="shared" si="7"/>
        <v>-1125</v>
      </c>
      <c r="H459" s="2" t="s">
        <v>62</v>
      </c>
      <c r="K459" s="1"/>
      <c r="L459" s="1"/>
      <c r="M459" s="1"/>
    </row>
    <row r="460" spans="2:13" x14ac:dyDescent="0.2">
      <c r="B460" s="17">
        <v>44040</v>
      </c>
      <c r="C460" s="16">
        <v>425</v>
      </c>
      <c r="D460" s="6">
        <v>1190</v>
      </c>
      <c r="E460" s="1">
        <v>1295</v>
      </c>
      <c r="G460" s="2">
        <f t="shared" si="7"/>
        <v>1295</v>
      </c>
      <c r="H460" s="2" t="s">
        <v>61</v>
      </c>
      <c r="K460" s="1"/>
      <c r="L460" s="1"/>
      <c r="M460" s="1"/>
    </row>
    <row r="461" spans="2:13" x14ac:dyDescent="0.2">
      <c r="B461" s="17">
        <v>44040</v>
      </c>
      <c r="C461" s="16"/>
      <c r="D461" s="6"/>
      <c r="F461" s="1">
        <v>1295</v>
      </c>
      <c r="G461" s="2">
        <f t="shared" si="7"/>
        <v>-1295</v>
      </c>
      <c r="H461" s="2" t="s">
        <v>61</v>
      </c>
      <c r="K461" s="1"/>
      <c r="L461" s="1"/>
      <c r="M461" s="1"/>
    </row>
    <row r="462" spans="2:13" x14ac:dyDescent="0.2">
      <c r="B462" s="17">
        <v>44041</v>
      </c>
      <c r="C462" s="16">
        <v>262</v>
      </c>
      <c r="D462" s="6">
        <v>3431</v>
      </c>
      <c r="E462" s="1">
        <v>3817</v>
      </c>
      <c r="G462" s="2">
        <f t="shared" si="7"/>
        <v>3817</v>
      </c>
      <c r="H462" s="2" t="s">
        <v>42</v>
      </c>
      <c r="K462" s="1"/>
      <c r="L462" s="1"/>
      <c r="M462" s="1"/>
    </row>
    <row r="463" spans="2:13" x14ac:dyDescent="0.2">
      <c r="B463" s="17">
        <v>44041</v>
      </c>
      <c r="C463" s="16">
        <v>263</v>
      </c>
      <c r="D463" s="6">
        <v>1080</v>
      </c>
      <c r="E463" s="1">
        <v>1195</v>
      </c>
      <c r="G463" s="2">
        <f t="shared" si="7"/>
        <v>1195</v>
      </c>
      <c r="H463" s="2" t="s">
        <v>42</v>
      </c>
      <c r="K463" s="1"/>
      <c r="L463" s="1"/>
      <c r="M463" s="1"/>
    </row>
    <row r="464" spans="2:13" x14ac:dyDescent="0.2">
      <c r="B464" s="17">
        <v>44041</v>
      </c>
      <c r="C464" s="16">
        <v>264</v>
      </c>
      <c r="D464" s="6">
        <v>1050</v>
      </c>
      <c r="E464" s="1">
        <v>1150</v>
      </c>
      <c r="G464" s="2">
        <f t="shared" si="7"/>
        <v>1150</v>
      </c>
      <c r="H464" t="s">
        <v>39</v>
      </c>
      <c r="K464" s="1"/>
      <c r="L464" s="1"/>
      <c r="M464" s="1"/>
    </row>
    <row r="465" spans="2:13" x14ac:dyDescent="0.2">
      <c r="B465" s="17">
        <v>44041</v>
      </c>
      <c r="C465" s="16">
        <v>265</v>
      </c>
      <c r="D465" s="6">
        <v>4750</v>
      </c>
      <c r="E465" s="1">
        <v>5225</v>
      </c>
      <c r="G465" s="2">
        <f t="shared" si="7"/>
        <v>5225</v>
      </c>
      <c r="H465" s="2" t="s">
        <v>45</v>
      </c>
      <c r="K465" s="1"/>
      <c r="L465" s="1"/>
      <c r="M465" s="1"/>
    </row>
    <row r="466" spans="2:13" x14ac:dyDescent="0.2">
      <c r="B466" s="17">
        <v>44041</v>
      </c>
      <c r="C466" s="16">
        <v>266</v>
      </c>
      <c r="D466" s="6">
        <v>350</v>
      </c>
      <c r="E466" s="1">
        <v>400</v>
      </c>
      <c r="G466" s="2">
        <f t="shared" si="7"/>
        <v>400</v>
      </c>
      <c r="H466" s="2" t="s">
        <v>34</v>
      </c>
      <c r="K466" s="1"/>
      <c r="L466" s="1"/>
      <c r="M466" s="1"/>
    </row>
    <row r="467" spans="2:13" x14ac:dyDescent="0.2">
      <c r="B467" s="17">
        <v>44041</v>
      </c>
      <c r="C467" s="16"/>
      <c r="D467" s="6"/>
      <c r="F467" s="1">
        <v>5000</v>
      </c>
      <c r="G467" s="2">
        <f t="shared" si="7"/>
        <v>-5000</v>
      </c>
      <c r="H467" s="2" t="s">
        <v>14</v>
      </c>
      <c r="K467" s="1"/>
      <c r="L467" s="1"/>
      <c r="M467" s="1"/>
    </row>
    <row r="468" spans="2:13" x14ac:dyDescent="0.2">
      <c r="B468" s="17">
        <v>44041</v>
      </c>
      <c r="C468" s="16"/>
      <c r="D468" s="6"/>
      <c r="F468" s="1">
        <v>1000</v>
      </c>
      <c r="G468" s="2">
        <f t="shared" si="7"/>
        <v>-1000</v>
      </c>
      <c r="H468" s="2" t="s">
        <v>34</v>
      </c>
      <c r="K468" s="1"/>
      <c r="L468" s="1"/>
      <c r="M468" s="1"/>
    </row>
    <row r="469" spans="2:13" x14ac:dyDescent="0.2">
      <c r="B469" s="17">
        <v>44041</v>
      </c>
      <c r="C469" s="16"/>
      <c r="D469" s="6"/>
      <c r="F469" s="1">
        <v>5000</v>
      </c>
      <c r="G469" s="2">
        <f t="shared" si="7"/>
        <v>-5000</v>
      </c>
      <c r="H469" s="2" t="s">
        <v>46</v>
      </c>
      <c r="K469" s="1"/>
      <c r="L469" s="1"/>
      <c r="M469" s="1"/>
    </row>
    <row r="470" spans="2:13" x14ac:dyDescent="0.2">
      <c r="B470" s="17">
        <v>44041</v>
      </c>
      <c r="C470" s="16"/>
      <c r="D470" s="6"/>
      <c r="F470" s="1">
        <v>1000</v>
      </c>
      <c r="G470" s="2">
        <f t="shared" si="7"/>
        <v>-1000</v>
      </c>
      <c r="H470" s="2" t="s">
        <v>54</v>
      </c>
      <c r="K470" s="1"/>
      <c r="L470" s="1"/>
      <c r="M470" s="1"/>
    </row>
    <row r="471" spans="2:13" x14ac:dyDescent="0.2">
      <c r="B471" s="17">
        <v>44041</v>
      </c>
      <c r="C471" s="16"/>
      <c r="D471" s="6"/>
      <c r="F471" s="1">
        <v>2500</v>
      </c>
      <c r="G471" s="2">
        <f t="shared" si="7"/>
        <v>-2500</v>
      </c>
      <c r="H471" s="2" t="s">
        <v>42</v>
      </c>
      <c r="K471" s="1"/>
      <c r="L471" s="1"/>
      <c r="M471" s="1"/>
    </row>
    <row r="472" spans="2:13" x14ac:dyDescent="0.2">
      <c r="B472" s="17">
        <v>44042</v>
      </c>
      <c r="C472" s="16"/>
      <c r="D472" s="6"/>
      <c r="F472" s="1">
        <v>700</v>
      </c>
      <c r="G472" s="2">
        <f t="shared" si="7"/>
        <v>-700</v>
      </c>
      <c r="H472" s="2" t="s">
        <v>51</v>
      </c>
      <c r="K472" s="1"/>
      <c r="L472" s="1"/>
      <c r="M472" s="1"/>
    </row>
    <row r="473" spans="2:13" x14ac:dyDescent="0.2">
      <c r="B473" s="17">
        <v>44042</v>
      </c>
      <c r="C473" s="16"/>
      <c r="D473" s="6"/>
      <c r="F473" s="1">
        <v>1285</v>
      </c>
      <c r="G473" s="2">
        <f t="shared" si="7"/>
        <v>-1285</v>
      </c>
      <c r="H473" s="2" t="s">
        <v>85</v>
      </c>
      <c r="K473" s="1"/>
      <c r="L473" s="1"/>
      <c r="M473" s="1"/>
    </row>
    <row r="474" spans="2:13" x14ac:dyDescent="0.2">
      <c r="B474" s="17">
        <v>44047</v>
      </c>
      <c r="C474" s="16"/>
      <c r="D474" s="6"/>
      <c r="F474" s="1">
        <v>1500</v>
      </c>
      <c r="G474" s="2">
        <f t="shared" si="7"/>
        <v>-1500</v>
      </c>
      <c r="H474" s="2" t="s">
        <v>34</v>
      </c>
      <c r="K474" s="1"/>
      <c r="L474" s="1"/>
      <c r="M474" s="1"/>
    </row>
    <row r="475" spans="2:13" x14ac:dyDescent="0.2">
      <c r="B475" s="17">
        <v>44047</v>
      </c>
      <c r="C475" s="16">
        <v>267</v>
      </c>
      <c r="D475" s="6">
        <v>3000</v>
      </c>
      <c r="E475" s="1">
        <v>3180</v>
      </c>
      <c r="G475" s="2">
        <f t="shared" si="7"/>
        <v>3180</v>
      </c>
      <c r="H475" s="2" t="s">
        <v>14</v>
      </c>
      <c r="K475" s="1"/>
      <c r="L475" s="1"/>
      <c r="M475" s="1"/>
    </row>
    <row r="476" spans="2:13" x14ac:dyDescent="0.2">
      <c r="B476" s="17">
        <v>44048</v>
      </c>
      <c r="C476" s="16">
        <v>268</v>
      </c>
      <c r="D476" s="6">
        <v>5957.5</v>
      </c>
      <c r="E476" s="1">
        <v>6210</v>
      </c>
      <c r="G476" s="2">
        <f t="shared" si="7"/>
        <v>6210</v>
      </c>
      <c r="H476" s="2" t="s">
        <v>14</v>
      </c>
      <c r="K476" s="1"/>
      <c r="L476" s="1"/>
      <c r="M476" s="1"/>
    </row>
    <row r="477" spans="2:13" x14ac:dyDescent="0.2">
      <c r="B477" s="17">
        <v>44048</v>
      </c>
      <c r="C477" s="16">
        <v>269</v>
      </c>
      <c r="D477" s="6">
        <v>2232.91</v>
      </c>
      <c r="E477" s="1">
        <v>2569.25</v>
      </c>
      <c r="G477" s="2">
        <f t="shared" si="7"/>
        <v>2569.25</v>
      </c>
      <c r="H477" s="2" t="s">
        <v>42</v>
      </c>
      <c r="K477" s="1"/>
      <c r="L477" s="1"/>
      <c r="M477" s="1"/>
    </row>
    <row r="478" spans="2:13" x14ac:dyDescent="0.2">
      <c r="B478" s="17">
        <v>44048</v>
      </c>
      <c r="C478" s="16"/>
      <c r="D478" s="6"/>
      <c r="F478" s="1">
        <v>1000</v>
      </c>
      <c r="G478" s="2">
        <f t="shared" si="7"/>
        <v>-1000</v>
      </c>
      <c r="H478" s="2" t="s">
        <v>45</v>
      </c>
      <c r="K478" s="1"/>
      <c r="L478" s="1"/>
      <c r="M478" s="1"/>
    </row>
    <row r="479" spans="2:13" x14ac:dyDescent="0.2">
      <c r="B479" s="17">
        <v>44049</v>
      </c>
      <c r="C479" s="16"/>
      <c r="D479" s="6"/>
      <c r="F479" s="1">
        <v>5000</v>
      </c>
      <c r="G479" s="2">
        <f t="shared" si="7"/>
        <v>-5000</v>
      </c>
      <c r="H479" s="2" t="s">
        <v>14</v>
      </c>
      <c r="K479" s="1"/>
      <c r="L479" s="1"/>
      <c r="M479" s="1"/>
    </row>
    <row r="480" spans="2:13" x14ac:dyDescent="0.2">
      <c r="B480" s="17">
        <v>44051</v>
      </c>
      <c r="C480" s="16">
        <v>270</v>
      </c>
      <c r="D480" s="6">
        <v>538.75</v>
      </c>
      <c r="E480" s="1">
        <v>563.75</v>
      </c>
      <c r="G480" s="2">
        <f t="shared" si="7"/>
        <v>563.75</v>
      </c>
      <c r="H480" s="2" t="s">
        <v>87</v>
      </c>
      <c r="K480" s="1"/>
      <c r="L480" s="1"/>
      <c r="M480" s="1"/>
    </row>
    <row r="481" spans="2:13" x14ac:dyDescent="0.2">
      <c r="B481" s="17">
        <v>44051</v>
      </c>
      <c r="C481" s="16"/>
      <c r="D481" s="6"/>
      <c r="F481" s="1">
        <v>1500</v>
      </c>
      <c r="G481" s="2">
        <f t="shared" si="7"/>
        <v>-1500</v>
      </c>
      <c r="H481" s="2" t="s">
        <v>46</v>
      </c>
      <c r="K481" s="1"/>
      <c r="L481" s="1"/>
      <c r="M481" s="1"/>
    </row>
    <row r="482" spans="2:13" x14ac:dyDescent="0.2">
      <c r="B482" s="17">
        <v>44052</v>
      </c>
      <c r="C482" s="16">
        <v>271</v>
      </c>
      <c r="D482" s="6">
        <v>3547.5</v>
      </c>
      <c r="E482" s="1">
        <v>3704</v>
      </c>
      <c r="G482" s="2">
        <f t="shared" si="7"/>
        <v>3704</v>
      </c>
      <c r="H482" s="2" t="s">
        <v>14</v>
      </c>
      <c r="K482" s="1"/>
      <c r="L482" s="1"/>
      <c r="M482" s="1"/>
    </row>
    <row r="483" spans="2:13" x14ac:dyDescent="0.2">
      <c r="B483" s="17">
        <v>44052</v>
      </c>
      <c r="C483" s="16">
        <v>272</v>
      </c>
      <c r="D483" s="6">
        <v>1304.75</v>
      </c>
      <c r="E483" s="1">
        <v>1361.5</v>
      </c>
      <c r="G483" s="2">
        <f t="shared" si="7"/>
        <v>1361.5</v>
      </c>
      <c r="H483" s="2" t="s">
        <v>87</v>
      </c>
      <c r="K483" s="1"/>
      <c r="L483" s="1"/>
      <c r="M483" s="1"/>
    </row>
    <row r="484" spans="2:13" x14ac:dyDescent="0.2">
      <c r="B484" s="17">
        <v>44052</v>
      </c>
      <c r="C484" s="16">
        <v>273</v>
      </c>
      <c r="D484" s="6">
        <v>2398.25</v>
      </c>
      <c r="E484" s="1">
        <v>2626.5</v>
      </c>
      <c r="G484" s="2">
        <f t="shared" si="7"/>
        <v>2626.5</v>
      </c>
      <c r="H484" s="2" t="s">
        <v>42</v>
      </c>
      <c r="K484" s="1"/>
      <c r="L484" s="1"/>
      <c r="M484" s="1"/>
    </row>
    <row r="485" spans="2:13" x14ac:dyDescent="0.2">
      <c r="B485" s="17">
        <v>44052</v>
      </c>
      <c r="C485" s="16">
        <v>274</v>
      </c>
      <c r="D485" s="6">
        <v>3925</v>
      </c>
      <c r="E485" s="1">
        <v>4625</v>
      </c>
      <c r="G485" s="2">
        <f t="shared" si="7"/>
        <v>4625</v>
      </c>
      <c r="H485" s="2" t="s">
        <v>45</v>
      </c>
      <c r="K485" s="1"/>
      <c r="L485" s="1"/>
      <c r="M485" s="1"/>
    </row>
    <row r="486" spans="2:13" x14ac:dyDescent="0.2">
      <c r="B486" s="17">
        <v>44052</v>
      </c>
      <c r="C486" s="16">
        <v>275</v>
      </c>
      <c r="D486" s="6">
        <v>2553</v>
      </c>
      <c r="E486" s="1">
        <v>2820</v>
      </c>
      <c r="G486" s="2">
        <f t="shared" si="7"/>
        <v>2820</v>
      </c>
      <c r="H486" s="2" t="s">
        <v>46</v>
      </c>
      <c r="K486" s="1"/>
      <c r="L486" s="1"/>
      <c r="M486" s="1"/>
    </row>
    <row r="487" spans="2:13" x14ac:dyDescent="0.2">
      <c r="B487" s="17">
        <v>44052</v>
      </c>
      <c r="C487" s="16">
        <v>276</v>
      </c>
      <c r="D487" s="6">
        <v>2500</v>
      </c>
      <c r="E487" s="1">
        <v>2750</v>
      </c>
      <c r="G487" s="2">
        <f t="shared" si="7"/>
        <v>2750</v>
      </c>
      <c r="H487" s="2" t="s">
        <v>34</v>
      </c>
      <c r="K487" s="1"/>
      <c r="L487" s="1"/>
      <c r="M487" s="1"/>
    </row>
    <row r="488" spans="2:13" x14ac:dyDescent="0.2">
      <c r="B488" s="17">
        <v>44052</v>
      </c>
      <c r="C488" s="16">
        <v>277</v>
      </c>
      <c r="D488" s="6">
        <v>1025</v>
      </c>
      <c r="E488" s="1">
        <v>1125</v>
      </c>
      <c r="G488" s="2">
        <f t="shared" si="7"/>
        <v>1125</v>
      </c>
      <c r="H488" t="s">
        <v>39</v>
      </c>
      <c r="K488" s="1"/>
      <c r="L488" s="1"/>
      <c r="M488" s="1"/>
    </row>
    <row r="489" spans="2:13" x14ac:dyDescent="0.2">
      <c r="B489" s="17">
        <v>44053</v>
      </c>
      <c r="C489" s="16"/>
      <c r="D489" s="6"/>
      <c r="F489" s="1">
        <v>2000</v>
      </c>
      <c r="G489" s="2">
        <f t="shared" si="7"/>
        <v>-2000</v>
      </c>
      <c r="H489" s="2" t="s">
        <v>45</v>
      </c>
      <c r="K489" s="1"/>
      <c r="L489" s="1"/>
      <c r="M489" s="1"/>
    </row>
    <row r="490" spans="2:13" x14ac:dyDescent="0.2">
      <c r="B490" s="17">
        <v>44053</v>
      </c>
      <c r="C490" s="16"/>
      <c r="D490" s="6"/>
      <c r="F490" s="1">
        <v>5000</v>
      </c>
      <c r="G490" s="2">
        <f t="shared" si="7"/>
        <v>-5000</v>
      </c>
      <c r="H490" s="2" t="s">
        <v>14</v>
      </c>
      <c r="K490" s="1"/>
      <c r="L490" s="1"/>
      <c r="M490" s="1"/>
    </row>
    <row r="491" spans="2:13" x14ac:dyDescent="0.2">
      <c r="B491" s="17">
        <v>44054</v>
      </c>
      <c r="C491" s="16"/>
      <c r="D491" s="6"/>
      <c r="F491" s="1">
        <v>5000</v>
      </c>
      <c r="G491" s="2">
        <f t="shared" si="7"/>
        <v>-5000</v>
      </c>
      <c r="H491" s="2" t="s">
        <v>46</v>
      </c>
      <c r="K491" s="1"/>
      <c r="L491" s="1"/>
      <c r="M491" s="1"/>
    </row>
    <row r="492" spans="2:13" x14ac:dyDescent="0.2">
      <c r="B492" s="17">
        <v>44054</v>
      </c>
      <c r="C492" s="16"/>
      <c r="D492" s="6"/>
      <c r="F492" s="1">
        <v>2750</v>
      </c>
      <c r="G492" s="2">
        <f t="shared" si="7"/>
        <v>-2750</v>
      </c>
      <c r="H492" s="2" t="s">
        <v>34</v>
      </c>
      <c r="K492" s="1"/>
      <c r="L492" s="1"/>
      <c r="M492" s="1"/>
    </row>
    <row r="493" spans="2:13" x14ac:dyDescent="0.2">
      <c r="B493" s="17">
        <v>44055</v>
      </c>
      <c r="C493" s="16">
        <v>278</v>
      </c>
      <c r="D493" s="6">
        <v>6793.75</v>
      </c>
      <c r="E493" s="1">
        <v>6955</v>
      </c>
      <c r="G493" s="2">
        <f t="shared" si="7"/>
        <v>6955</v>
      </c>
      <c r="H493" s="2" t="s">
        <v>14</v>
      </c>
      <c r="K493" s="1"/>
      <c r="L493" s="1"/>
      <c r="M493" s="1"/>
    </row>
    <row r="494" spans="2:13" x14ac:dyDescent="0.2">
      <c r="B494" s="17">
        <v>44055</v>
      </c>
      <c r="C494" s="16">
        <v>279</v>
      </c>
      <c r="D494" s="6">
        <v>1360.25</v>
      </c>
      <c r="E494" s="1">
        <v>1502.5</v>
      </c>
      <c r="G494" s="2">
        <f t="shared" si="7"/>
        <v>1502.5</v>
      </c>
      <c r="H494" s="2" t="s">
        <v>42</v>
      </c>
      <c r="K494" s="1"/>
      <c r="L494" s="1"/>
      <c r="M494" s="1"/>
    </row>
    <row r="495" spans="2:13" x14ac:dyDescent="0.2">
      <c r="B495" s="17">
        <v>44055</v>
      </c>
      <c r="C495" s="16">
        <v>280</v>
      </c>
      <c r="D495" s="6">
        <v>2500</v>
      </c>
      <c r="E495" s="1">
        <v>2750</v>
      </c>
      <c r="G495" s="2">
        <f t="shared" si="7"/>
        <v>2750</v>
      </c>
      <c r="H495" s="2" t="s">
        <v>45</v>
      </c>
      <c r="K495" s="1"/>
      <c r="L495" s="1"/>
      <c r="M495" s="1"/>
    </row>
    <row r="496" spans="2:13" x14ac:dyDescent="0.2">
      <c r="B496" s="17">
        <v>44055</v>
      </c>
      <c r="C496" s="16">
        <v>281</v>
      </c>
      <c r="D496" s="6">
        <v>1105.25</v>
      </c>
      <c r="E496" s="1">
        <v>1290.75</v>
      </c>
      <c r="G496" s="2">
        <f t="shared" si="7"/>
        <v>1290.75</v>
      </c>
      <c r="H496" s="2" t="s">
        <v>46</v>
      </c>
      <c r="K496" s="1"/>
      <c r="L496" s="1"/>
      <c r="M496" s="1"/>
    </row>
    <row r="497" spans="2:13" x14ac:dyDescent="0.2">
      <c r="B497" s="17">
        <v>44056</v>
      </c>
      <c r="C497" s="16">
        <v>282</v>
      </c>
      <c r="D497" s="6">
        <v>854</v>
      </c>
      <c r="E497" s="1">
        <v>960</v>
      </c>
      <c r="G497" s="2">
        <f t="shared" si="7"/>
        <v>960</v>
      </c>
      <c r="H497" s="2" t="s">
        <v>60</v>
      </c>
      <c r="K497" s="1"/>
      <c r="L497" s="1"/>
      <c r="M497" s="1"/>
    </row>
    <row r="498" spans="2:13" x14ac:dyDescent="0.2">
      <c r="B498" s="17">
        <v>44056</v>
      </c>
      <c r="C498" s="16">
        <v>283</v>
      </c>
      <c r="D498" s="6">
        <v>280</v>
      </c>
      <c r="E498" s="1">
        <v>320</v>
      </c>
      <c r="G498" s="2">
        <f t="shared" si="7"/>
        <v>320</v>
      </c>
      <c r="H498" s="2" t="s">
        <v>60</v>
      </c>
      <c r="K498" s="1"/>
      <c r="L498" s="1"/>
      <c r="M498" s="1"/>
    </row>
    <row r="499" spans="2:13" x14ac:dyDescent="0.2">
      <c r="B499" s="17">
        <v>44057</v>
      </c>
      <c r="C499" s="16">
        <v>284</v>
      </c>
      <c r="D499" s="6">
        <v>2165</v>
      </c>
      <c r="E499" s="1">
        <v>2380</v>
      </c>
      <c r="G499" s="2">
        <f t="shared" si="7"/>
        <v>2380</v>
      </c>
      <c r="H499" t="s">
        <v>35</v>
      </c>
      <c r="K499" s="1"/>
      <c r="L499" s="1"/>
      <c r="M499" s="1"/>
    </row>
    <row r="500" spans="2:13" x14ac:dyDescent="0.2">
      <c r="B500" s="17">
        <v>44058</v>
      </c>
      <c r="C500" s="16"/>
      <c r="D500" s="6"/>
      <c r="F500" s="1">
        <v>1200</v>
      </c>
      <c r="G500" s="2">
        <f t="shared" si="7"/>
        <v>-1200</v>
      </c>
      <c r="H500" t="s">
        <v>35</v>
      </c>
      <c r="K500" s="1"/>
      <c r="L500" s="1"/>
      <c r="M500" s="1"/>
    </row>
    <row r="501" spans="2:13" x14ac:dyDescent="0.2">
      <c r="B501" s="17">
        <v>44058</v>
      </c>
      <c r="C501" s="16"/>
      <c r="D501" s="6"/>
      <c r="F501" s="1">
        <v>1280</v>
      </c>
      <c r="G501" s="2">
        <f t="shared" si="7"/>
        <v>-1280</v>
      </c>
      <c r="H501" s="2" t="s">
        <v>60</v>
      </c>
      <c r="K501" s="1"/>
      <c r="L501" s="1"/>
      <c r="M501" s="1"/>
    </row>
    <row r="502" spans="2:13" x14ac:dyDescent="0.2">
      <c r="B502" s="17">
        <v>44059</v>
      </c>
      <c r="C502" s="16">
        <v>285</v>
      </c>
      <c r="D502" s="6">
        <v>1255</v>
      </c>
      <c r="E502" s="1">
        <v>1350</v>
      </c>
      <c r="G502" s="2">
        <f t="shared" si="7"/>
        <v>1350</v>
      </c>
      <c r="H502" t="s">
        <v>35</v>
      </c>
      <c r="K502" s="1"/>
      <c r="L502" s="1"/>
      <c r="M502" s="1"/>
    </row>
    <row r="503" spans="2:13" x14ac:dyDescent="0.2">
      <c r="B503" s="17">
        <v>44059</v>
      </c>
      <c r="C503" s="16">
        <v>286</v>
      </c>
      <c r="D503" s="6">
        <v>5427.5</v>
      </c>
      <c r="E503" s="1">
        <v>5737.5</v>
      </c>
      <c r="G503" s="2">
        <f t="shared" si="7"/>
        <v>5737.5</v>
      </c>
      <c r="H503" s="2" t="s">
        <v>14</v>
      </c>
      <c r="K503" s="1"/>
      <c r="L503" s="1"/>
      <c r="M503" s="1"/>
    </row>
    <row r="504" spans="2:13" x14ac:dyDescent="0.2">
      <c r="B504" s="17">
        <v>44059</v>
      </c>
      <c r="C504" s="16">
        <v>287</v>
      </c>
      <c r="D504" s="6">
        <v>3554.27</v>
      </c>
      <c r="E504" s="1">
        <v>3845.5</v>
      </c>
      <c r="G504" s="2">
        <f t="shared" si="7"/>
        <v>3845.5</v>
      </c>
      <c r="H504" s="2" t="s">
        <v>42</v>
      </c>
      <c r="K504" s="1"/>
      <c r="L504" s="1"/>
      <c r="M504" s="1"/>
    </row>
    <row r="505" spans="2:13" x14ac:dyDescent="0.2">
      <c r="B505" s="17">
        <v>44059</v>
      </c>
      <c r="C505" s="16">
        <v>288</v>
      </c>
      <c r="D505" s="6">
        <v>1575</v>
      </c>
      <c r="E505" s="1">
        <v>2090</v>
      </c>
      <c r="G505" s="2">
        <f t="shared" si="7"/>
        <v>2090</v>
      </c>
      <c r="H505" s="2" t="s">
        <v>45</v>
      </c>
      <c r="K505" s="1"/>
      <c r="L505" s="1"/>
      <c r="M505" s="1"/>
    </row>
    <row r="506" spans="2:13" x14ac:dyDescent="0.2">
      <c r="B506" s="17">
        <v>44059</v>
      </c>
      <c r="C506" s="16">
        <v>289</v>
      </c>
      <c r="D506" s="6">
        <v>476</v>
      </c>
      <c r="E506" s="1">
        <v>535</v>
      </c>
      <c r="G506" s="2">
        <f t="shared" si="7"/>
        <v>535</v>
      </c>
      <c r="H506" s="2" t="s">
        <v>42</v>
      </c>
      <c r="K506" s="1"/>
      <c r="L506" s="1"/>
      <c r="M506" s="1"/>
    </row>
    <row r="507" spans="2:13" x14ac:dyDescent="0.2">
      <c r="B507" s="17">
        <v>44059</v>
      </c>
      <c r="C507" s="16">
        <v>290</v>
      </c>
      <c r="D507" s="6">
        <v>2625</v>
      </c>
      <c r="E507" s="1">
        <v>2775</v>
      </c>
      <c r="G507" s="2">
        <f t="shared" si="7"/>
        <v>2775</v>
      </c>
      <c r="H507" s="2" t="s">
        <v>60</v>
      </c>
      <c r="K507" s="1"/>
      <c r="L507" s="1"/>
      <c r="M507" s="1"/>
    </row>
    <row r="508" spans="2:13" x14ac:dyDescent="0.2">
      <c r="B508" s="17">
        <v>44059</v>
      </c>
      <c r="C508" s="16">
        <v>291</v>
      </c>
      <c r="D508" s="6">
        <v>2624.5</v>
      </c>
      <c r="E508" s="1">
        <v>2866.5</v>
      </c>
      <c r="G508" s="2">
        <f t="shared" si="7"/>
        <v>2866.5</v>
      </c>
      <c r="H508" s="2" t="s">
        <v>46</v>
      </c>
      <c r="K508" s="1"/>
      <c r="L508" s="1"/>
      <c r="M508" s="1"/>
    </row>
    <row r="509" spans="2:13" x14ac:dyDescent="0.2">
      <c r="B509" s="17">
        <v>44059</v>
      </c>
      <c r="C509" s="16"/>
      <c r="D509" s="6"/>
      <c r="F509" s="1">
        <v>5000</v>
      </c>
      <c r="G509" s="2">
        <f t="shared" si="7"/>
        <v>-5000</v>
      </c>
      <c r="H509" s="2" t="s">
        <v>14</v>
      </c>
      <c r="K509" s="1"/>
      <c r="L509" s="1"/>
      <c r="M509" s="1"/>
    </row>
    <row r="510" spans="2:13" x14ac:dyDescent="0.2">
      <c r="B510" s="17">
        <v>44059</v>
      </c>
      <c r="C510" s="16"/>
      <c r="D510" s="6"/>
      <c r="F510" s="1">
        <v>2000</v>
      </c>
      <c r="G510" s="2">
        <f t="shared" si="7"/>
        <v>-2000</v>
      </c>
      <c r="H510" s="2" t="s">
        <v>45</v>
      </c>
      <c r="K510" s="1"/>
      <c r="L510" s="1"/>
      <c r="M510" s="1"/>
    </row>
    <row r="511" spans="2:13" x14ac:dyDescent="0.2">
      <c r="B511" s="17">
        <v>44059</v>
      </c>
      <c r="C511" s="16"/>
      <c r="D511" s="6"/>
      <c r="F511" s="1">
        <v>2000</v>
      </c>
      <c r="G511" s="2">
        <f t="shared" si="7"/>
        <v>-2000</v>
      </c>
      <c r="H511" s="2" t="s">
        <v>46</v>
      </c>
      <c r="K511" s="1"/>
      <c r="L511" s="1"/>
      <c r="M511" s="1"/>
    </row>
    <row r="512" spans="2:13" x14ac:dyDescent="0.2">
      <c r="B512" s="17">
        <v>44062</v>
      </c>
      <c r="C512" s="16">
        <v>292</v>
      </c>
      <c r="D512" s="6">
        <v>2800</v>
      </c>
      <c r="E512" s="1">
        <v>3000</v>
      </c>
      <c r="G512" s="2">
        <f t="shared" si="7"/>
        <v>3000</v>
      </c>
      <c r="H512" s="2" t="s">
        <v>14</v>
      </c>
      <c r="K512" s="1"/>
      <c r="L512" s="1"/>
      <c r="M512" s="1"/>
    </row>
    <row r="513" spans="2:13" x14ac:dyDescent="0.2">
      <c r="B513" s="17">
        <v>44062</v>
      </c>
      <c r="C513" s="16">
        <v>293</v>
      </c>
      <c r="D513" s="6">
        <v>2200</v>
      </c>
      <c r="E513" s="1">
        <v>2582.5</v>
      </c>
      <c r="G513" s="2">
        <f t="shared" si="7"/>
        <v>2582.5</v>
      </c>
      <c r="H513" s="2" t="s">
        <v>42</v>
      </c>
      <c r="K513" s="1"/>
      <c r="L513" s="1"/>
      <c r="M513" s="1"/>
    </row>
    <row r="514" spans="2:13" x14ac:dyDescent="0.2">
      <c r="B514" s="17">
        <v>44062</v>
      </c>
      <c r="C514" s="16">
        <v>294</v>
      </c>
      <c r="D514" s="6">
        <v>2525</v>
      </c>
      <c r="E514" s="1">
        <v>2790</v>
      </c>
      <c r="G514" s="2">
        <f t="shared" si="7"/>
        <v>2790</v>
      </c>
      <c r="H514" s="2" t="s">
        <v>46</v>
      </c>
      <c r="K514" s="1"/>
      <c r="L514" s="1"/>
      <c r="M514" s="1"/>
    </row>
    <row r="515" spans="2:13" x14ac:dyDescent="0.2">
      <c r="B515" s="17">
        <v>44062</v>
      </c>
      <c r="C515" s="16"/>
      <c r="D515" s="6">
        <v>750</v>
      </c>
      <c r="E515" s="1">
        <v>860</v>
      </c>
      <c r="G515" s="2">
        <f t="shared" ref="G515:G578" si="8">E515-F515</f>
        <v>860</v>
      </c>
      <c r="H515" s="2" t="s">
        <v>45</v>
      </c>
      <c r="K515" s="1"/>
      <c r="L515" s="1"/>
      <c r="M515" s="1"/>
    </row>
    <row r="516" spans="2:13" x14ac:dyDescent="0.2">
      <c r="B516" s="17">
        <v>44063</v>
      </c>
      <c r="C516" s="16">
        <v>295</v>
      </c>
      <c r="D516" s="6">
        <v>687.5</v>
      </c>
      <c r="E516" s="1">
        <v>750</v>
      </c>
      <c r="G516" s="2">
        <f t="shared" si="8"/>
        <v>750</v>
      </c>
      <c r="H516" s="2" t="s">
        <v>34</v>
      </c>
      <c r="K516" s="1"/>
      <c r="L516" s="1"/>
      <c r="M516" s="1"/>
    </row>
    <row r="517" spans="2:13" x14ac:dyDescent="0.2">
      <c r="B517" s="17">
        <v>44063</v>
      </c>
      <c r="C517" s="16"/>
      <c r="D517" s="6"/>
      <c r="F517" s="1">
        <v>3000</v>
      </c>
      <c r="G517" s="2">
        <f t="shared" si="8"/>
        <v>-3000</v>
      </c>
      <c r="H517" s="2" t="s">
        <v>42</v>
      </c>
      <c r="K517" s="1"/>
      <c r="L517" s="1"/>
      <c r="M517" s="1"/>
    </row>
    <row r="518" spans="2:13" x14ac:dyDescent="0.2">
      <c r="B518" s="17">
        <v>44063</v>
      </c>
      <c r="C518" s="16"/>
      <c r="D518" s="6"/>
      <c r="F518" s="1">
        <v>2000</v>
      </c>
      <c r="G518" s="2">
        <f t="shared" si="8"/>
        <v>-2000</v>
      </c>
      <c r="H518" s="2" t="s">
        <v>46</v>
      </c>
      <c r="K518" s="1"/>
      <c r="L518" s="1"/>
      <c r="M518" s="1"/>
    </row>
    <row r="519" spans="2:13" x14ac:dyDescent="0.2">
      <c r="B519" s="17">
        <v>44063</v>
      </c>
      <c r="C519" s="16"/>
      <c r="D519" s="6"/>
      <c r="F519" s="1">
        <v>2000</v>
      </c>
      <c r="G519" s="2">
        <f t="shared" si="8"/>
        <v>-2000</v>
      </c>
      <c r="H519" s="2" t="s">
        <v>45</v>
      </c>
      <c r="K519" s="1"/>
      <c r="L519" s="1"/>
      <c r="M519" s="1"/>
    </row>
    <row r="520" spans="2:13" x14ac:dyDescent="0.2">
      <c r="B520" s="17">
        <v>44063</v>
      </c>
      <c r="C520" s="16"/>
      <c r="D520" s="6"/>
      <c r="F520" s="1">
        <v>2000</v>
      </c>
      <c r="G520" s="2">
        <f t="shared" si="8"/>
        <v>-2000</v>
      </c>
      <c r="H520" s="2" t="s">
        <v>34</v>
      </c>
      <c r="K520" s="1"/>
      <c r="L520" s="1"/>
      <c r="M520" s="1"/>
    </row>
    <row r="521" spans="2:13" x14ac:dyDescent="0.2">
      <c r="B521" s="17">
        <v>44066</v>
      </c>
      <c r="C521" s="16">
        <v>296</v>
      </c>
      <c r="D521" s="6">
        <v>1150</v>
      </c>
      <c r="E521" s="1">
        <v>1255</v>
      </c>
      <c r="G521" s="2">
        <f t="shared" si="8"/>
        <v>1255</v>
      </c>
      <c r="H521" t="s">
        <v>35</v>
      </c>
      <c r="K521" s="1"/>
      <c r="L521" s="1"/>
      <c r="M521" s="1"/>
    </row>
    <row r="522" spans="2:13" x14ac:dyDescent="0.2">
      <c r="B522" s="17">
        <v>44066</v>
      </c>
      <c r="C522" s="16">
        <v>297</v>
      </c>
      <c r="D522" s="6">
        <v>1625</v>
      </c>
      <c r="E522" s="1">
        <v>1833.75</v>
      </c>
      <c r="G522" s="2">
        <f t="shared" si="8"/>
        <v>1833.75</v>
      </c>
      <c r="H522" s="2" t="s">
        <v>42</v>
      </c>
      <c r="K522" s="1"/>
      <c r="L522" s="1"/>
      <c r="M522" s="1"/>
    </row>
    <row r="523" spans="2:13" x14ac:dyDescent="0.2">
      <c r="B523" s="17">
        <v>44066</v>
      </c>
      <c r="C523" s="16">
        <v>298</v>
      </c>
      <c r="D523" s="6">
        <v>1500</v>
      </c>
      <c r="E523" s="1">
        <v>1600</v>
      </c>
      <c r="G523" s="2">
        <f t="shared" si="8"/>
        <v>1600</v>
      </c>
      <c r="H523" s="2" t="s">
        <v>45</v>
      </c>
      <c r="K523" s="1"/>
      <c r="L523" s="1"/>
      <c r="M523" s="1"/>
    </row>
    <row r="524" spans="2:13" x14ac:dyDescent="0.2">
      <c r="B524" s="17">
        <v>44066</v>
      </c>
      <c r="C524" s="16">
        <v>299</v>
      </c>
      <c r="D524" s="6">
        <v>2245</v>
      </c>
      <c r="E524" s="1">
        <v>2733</v>
      </c>
      <c r="G524" s="2">
        <f t="shared" si="8"/>
        <v>2733</v>
      </c>
      <c r="H524" s="2" t="s">
        <v>46</v>
      </c>
      <c r="K524" s="1"/>
      <c r="L524" s="1"/>
      <c r="M524" s="1"/>
    </row>
    <row r="525" spans="2:13" x14ac:dyDescent="0.2">
      <c r="B525" s="17">
        <v>44066</v>
      </c>
      <c r="C525" s="16">
        <v>300</v>
      </c>
      <c r="D525" s="6">
        <v>1020</v>
      </c>
      <c r="E525" s="1">
        <v>1100</v>
      </c>
      <c r="G525" s="2">
        <f t="shared" si="8"/>
        <v>1100</v>
      </c>
      <c r="H525" t="s">
        <v>39</v>
      </c>
      <c r="K525" s="1"/>
      <c r="L525" s="1"/>
      <c r="M525" s="1"/>
    </row>
    <row r="526" spans="2:13" x14ac:dyDescent="0.2">
      <c r="B526" s="17">
        <v>44066</v>
      </c>
      <c r="C526" s="16">
        <v>301</v>
      </c>
      <c r="D526" s="6">
        <v>1175</v>
      </c>
      <c r="E526" s="1">
        <v>1300</v>
      </c>
      <c r="G526" s="2">
        <f t="shared" si="8"/>
        <v>1300</v>
      </c>
      <c r="H526" t="s">
        <v>35</v>
      </c>
      <c r="K526" s="1"/>
      <c r="L526" s="1"/>
      <c r="M526" s="1"/>
    </row>
    <row r="527" spans="2:13" x14ac:dyDescent="0.2">
      <c r="B527" s="17">
        <v>44066</v>
      </c>
      <c r="C527" s="16"/>
      <c r="D527" s="6"/>
      <c r="F527" s="1">
        <v>2145</v>
      </c>
      <c r="G527" s="2">
        <f t="shared" si="8"/>
        <v>-2145</v>
      </c>
      <c r="H527" t="s">
        <v>35</v>
      </c>
      <c r="K527" s="1"/>
      <c r="L527" s="1"/>
      <c r="M527" s="1"/>
    </row>
    <row r="528" spans="2:13" x14ac:dyDescent="0.2">
      <c r="B528" s="17">
        <v>44066</v>
      </c>
      <c r="C528" s="16"/>
      <c r="D528" s="6"/>
      <c r="F528" s="1">
        <v>2000</v>
      </c>
      <c r="G528" s="2">
        <f t="shared" si="8"/>
        <v>-2000</v>
      </c>
      <c r="H528" s="2" t="s">
        <v>42</v>
      </c>
      <c r="K528" s="1"/>
      <c r="L528" s="1"/>
      <c r="M528" s="1"/>
    </row>
    <row r="529" spans="2:13" x14ac:dyDescent="0.2">
      <c r="B529" s="17">
        <v>44066</v>
      </c>
      <c r="C529" s="16"/>
      <c r="D529" s="6"/>
      <c r="F529" s="1">
        <v>2000</v>
      </c>
      <c r="G529" s="2">
        <f t="shared" si="8"/>
        <v>-2000</v>
      </c>
      <c r="H529" s="2" t="s">
        <v>46</v>
      </c>
      <c r="K529" s="1"/>
      <c r="L529" s="1"/>
      <c r="M529" s="1"/>
    </row>
    <row r="530" spans="2:13" x14ac:dyDescent="0.2">
      <c r="B530" s="17">
        <v>44066</v>
      </c>
      <c r="C530" s="16"/>
      <c r="D530" s="6"/>
      <c r="F530" s="1">
        <v>2775</v>
      </c>
      <c r="G530" s="2">
        <f t="shared" si="8"/>
        <v>-2775</v>
      </c>
      <c r="H530" s="2" t="s">
        <v>60</v>
      </c>
      <c r="K530" s="1"/>
      <c r="L530" s="1"/>
      <c r="M530" s="1"/>
    </row>
    <row r="531" spans="2:13" x14ac:dyDescent="0.2">
      <c r="B531" s="17">
        <v>44067</v>
      </c>
      <c r="C531" s="16"/>
      <c r="D531" s="6"/>
      <c r="F531" s="1">
        <v>1660</v>
      </c>
      <c r="G531" s="2">
        <f t="shared" si="8"/>
        <v>-1660</v>
      </c>
      <c r="H531" s="2" t="s">
        <v>87</v>
      </c>
      <c r="K531" s="1"/>
      <c r="L531" s="1"/>
      <c r="M531" s="1"/>
    </row>
    <row r="532" spans="2:13" x14ac:dyDescent="0.2">
      <c r="B532" s="17">
        <v>44067</v>
      </c>
      <c r="C532" s="16"/>
      <c r="D532" s="6"/>
      <c r="F532" s="1">
        <v>700</v>
      </c>
      <c r="G532" s="2">
        <f t="shared" si="8"/>
        <v>-700</v>
      </c>
      <c r="H532" t="s">
        <v>39</v>
      </c>
      <c r="K532" s="1"/>
      <c r="L532" s="1"/>
      <c r="M532" s="1"/>
    </row>
    <row r="533" spans="2:13" x14ac:dyDescent="0.2">
      <c r="B533" s="17">
        <v>44069</v>
      </c>
      <c r="C533" s="16">
        <v>302</v>
      </c>
      <c r="D533" s="6">
        <v>575</v>
      </c>
      <c r="E533" s="1">
        <v>595</v>
      </c>
      <c r="G533" s="2">
        <f t="shared" si="8"/>
        <v>595</v>
      </c>
      <c r="H533" s="2" t="s">
        <v>14</v>
      </c>
      <c r="K533" s="1"/>
      <c r="L533" s="1"/>
      <c r="M533" s="1"/>
    </row>
    <row r="534" spans="2:13" x14ac:dyDescent="0.2">
      <c r="B534" s="17">
        <v>44069</v>
      </c>
      <c r="C534" s="16">
        <v>303</v>
      </c>
      <c r="D534" s="6">
        <v>1215</v>
      </c>
      <c r="E534" s="1">
        <v>1274</v>
      </c>
      <c r="G534" s="2">
        <f t="shared" si="8"/>
        <v>1274</v>
      </c>
      <c r="H534" s="2" t="s">
        <v>87</v>
      </c>
      <c r="K534" s="1"/>
      <c r="L534" s="1"/>
      <c r="M534" s="1"/>
    </row>
    <row r="535" spans="2:13" x14ac:dyDescent="0.2">
      <c r="B535" s="17">
        <v>44069</v>
      </c>
      <c r="C535" s="16">
        <v>304</v>
      </c>
      <c r="D535" s="6">
        <v>2422.34</v>
      </c>
      <c r="E535" s="1">
        <v>2779</v>
      </c>
      <c r="G535" s="2">
        <f t="shared" si="8"/>
        <v>2779</v>
      </c>
      <c r="H535" s="2" t="s">
        <v>42</v>
      </c>
      <c r="K535" s="1"/>
      <c r="L535" s="1"/>
      <c r="M535" s="1"/>
    </row>
    <row r="536" spans="2:13" x14ac:dyDescent="0.2">
      <c r="B536" s="17">
        <v>44069</v>
      </c>
      <c r="C536" s="16">
        <v>305</v>
      </c>
      <c r="D536" s="6">
        <v>1300</v>
      </c>
      <c r="E536" s="1">
        <v>1375</v>
      </c>
      <c r="G536" s="2">
        <f t="shared" si="8"/>
        <v>1375</v>
      </c>
      <c r="H536" s="2" t="s">
        <v>34</v>
      </c>
      <c r="K536" s="1"/>
      <c r="L536" s="1"/>
      <c r="M536" s="1"/>
    </row>
    <row r="537" spans="2:13" x14ac:dyDescent="0.2">
      <c r="B537" s="17">
        <v>44069</v>
      </c>
      <c r="C537" s="16"/>
      <c r="D537" s="6"/>
      <c r="F537" s="1">
        <v>5000</v>
      </c>
      <c r="G537" s="2">
        <f t="shared" si="8"/>
        <v>-5000</v>
      </c>
      <c r="H537" s="2" t="s">
        <v>14</v>
      </c>
      <c r="K537" s="1"/>
      <c r="L537" s="1"/>
      <c r="M537" s="1"/>
    </row>
    <row r="538" spans="2:13" x14ac:dyDescent="0.2">
      <c r="B538" s="17">
        <v>44069</v>
      </c>
      <c r="C538" s="16"/>
      <c r="D538" s="6"/>
      <c r="F538" s="1">
        <v>460</v>
      </c>
      <c r="G538" s="2">
        <f t="shared" si="8"/>
        <v>-460</v>
      </c>
      <c r="H538" t="s">
        <v>39</v>
      </c>
      <c r="K538" s="1"/>
      <c r="L538" s="1"/>
      <c r="M538" s="1"/>
    </row>
    <row r="539" spans="2:13" x14ac:dyDescent="0.2">
      <c r="B539" s="17">
        <v>44070</v>
      </c>
      <c r="C539" s="16"/>
      <c r="D539" s="6"/>
      <c r="F539" s="1">
        <v>3000</v>
      </c>
      <c r="G539" s="2">
        <f t="shared" si="8"/>
        <v>-3000</v>
      </c>
      <c r="H539" s="2" t="s">
        <v>45</v>
      </c>
      <c r="K539" s="1"/>
      <c r="L539" s="1"/>
      <c r="M539" s="1"/>
    </row>
    <row r="540" spans="2:13" x14ac:dyDescent="0.2">
      <c r="B540" s="17">
        <v>44073</v>
      </c>
      <c r="C540" s="16">
        <v>306</v>
      </c>
      <c r="D540" s="6">
        <v>21775</v>
      </c>
      <c r="E540" s="1">
        <v>22600</v>
      </c>
      <c r="G540" s="2">
        <f t="shared" si="8"/>
        <v>22600</v>
      </c>
      <c r="H540" s="2" t="s">
        <v>14</v>
      </c>
      <c r="K540" s="1"/>
      <c r="L540" s="1"/>
      <c r="M540" s="1"/>
    </row>
    <row r="541" spans="2:13" x14ac:dyDescent="0.2">
      <c r="B541" s="17">
        <v>44073</v>
      </c>
      <c r="C541" s="16">
        <v>307</v>
      </c>
      <c r="D541" s="6">
        <v>2300</v>
      </c>
      <c r="E541" s="1">
        <v>2450</v>
      </c>
      <c r="G541" s="2">
        <f t="shared" si="8"/>
        <v>2450</v>
      </c>
      <c r="H541" t="s">
        <v>39</v>
      </c>
      <c r="K541" s="1"/>
      <c r="L541" s="1"/>
      <c r="M541" s="1"/>
    </row>
    <row r="542" spans="2:13" x14ac:dyDescent="0.2">
      <c r="B542" s="17">
        <v>44073</v>
      </c>
      <c r="C542" s="16">
        <v>308</v>
      </c>
      <c r="D542" s="6">
        <v>300</v>
      </c>
      <c r="E542" s="1">
        <v>340</v>
      </c>
      <c r="G542" s="2">
        <f t="shared" si="8"/>
        <v>340</v>
      </c>
      <c r="H542" s="2" t="s">
        <v>34</v>
      </c>
      <c r="K542" s="1"/>
      <c r="L542" s="1"/>
      <c r="M542" s="1"/>
    </row>
    <row r="543" spans="2:13" x14ac:dyDescent="0.2">
      <c r="B543" s="17">
        <v>44073</v>
      </c>
      <c r="C543" s="16"/>
      <c r="D543" s="6"/>
      <c r="F543" s="1">
        <v>7000</v>
      </c>
      <c r="G543" s="2">
        <f t="shared" si="8"/>
        <v>-7000</v>
      </c>
      <c r="H543" s="2" t="s">
        <v>14</v>
      </c>
      <c r="K543" s="1"/>
      <c r="L543" s="1"/>
      <c r="M543" s="1"/>
    </row>
    <row r="544" spans="2:13" x14ac:dyDescent="0.2">
      <c r="B544" s="17">
        <v>44073</v>
      </c>
      <c r="C544" s="16"/>
      <c r="D544" s="6"/>
      <c r="F544" s="1">
        <v>43855</v>
      </c>
      <c r="G544" s="2">
        <f t="shared" si="8"/>
        <v>-43855</v>
      </c>
      <c r="H544" s="2" t="s">
        <v>50</v>
      </c>
      <c r="K544" s="1"/>
      <c r="L544" s="1"/>
      <c r="M544" s="1"/>
    </row>
    <row r="545" spans="2:13" x14ac:dyDescent="0.2">
      <c r="B545" s="17">
        <v>44073</v>
      </c>
      <c r="C545" s="16"/>
      <c r="D545" s="6"/>
      <c r="F545" s="1">
        <v>2450</v>
      </c>
      <c r="G545" s="2">
        <f t="shared" si="8"/>
        <v>-2450</v>
      </c>
      <c r="H545" t="s">
        <v>39</v>
      </c>
      <c r="K545" s="1"/>
      <c r="L545" s="1"/>
      <c r="M545" s="1"/>
    </row>
    <row r="546" spans="2:13" x14ac:dyDescent="0.2">
      <c r="B546" s="17">
        <v>44075</v>
      </c>
      <c r="C546" s="16">
        <v>309</v>
      </c>
      <c r="D546" s="6">
        <v>1030</v>
      </c>
      <c r="E546" s="1">
        <v>1125</v>
      </c>
      <c r="G546" s="2">
        <f t="shared" si="8"/>
        <v>1125</v>
      </c>
      <c r="H546" s="2" t="s">
        <v>42</v>
      </c>
      <c r="K546" s="1"/>
      <c r="L546" s="1"/>
      <c r="M546" s="1"/>
    </row>
    <row r="547" spans="2:13" x14ac:dyDescent="0.2">
      <c r="B547" s="17">
        <v>44075</v>
      </c>
      <c r="C547" s="16"/>
      <c r="D547" s="6"/>
      <c r="F547" s="1">
        <v>1080</v>
      </c>
      <c r="G547" s="2">
        <f t="shared" si="8"/>
        <v>-1080</v>
      </c>
      <c r="H547" s="2" t="s">
        <v>87</v>
      </c>
      <c r="K547" s="1"/>
      <c r="L547" s="1"/>
      <c r="M547" s="1"/>
    </row>
    <row r="548" spans="2:13" x14ac:dyDescent="0.2">
      <c r="B548" s="17">
        <v>44075</v>
      </c>
      <c r="C548" s="16"/>
      <c r="D548" s="6"/>
      <c r="F548" s="1">
        <v>1100</v>
      </c>
      <c r="G548" s="2">
        <f t="shared" si="8"/>
        <v>-1100</v>
      </c>
      <c r="H548" t="s">
        <v>39</v>
      </c>
      <c r="K548" s="1"/>
      <c r="L548" s="1"/>
      <c r="M548" s="1"/>
    </row>
    <row r="549" spans="2:13" x14ac:dyDescent="0.2">
      <c r="B549" s="17">
        <v>44075</v>
      </c>
      <c r="C549" s="16"/>
      <c r="D549" s="6"/>
      <c r="F549" s="1">
        <v>15000</v>
      </c>
      <c r="G549" s="2">
        <f t="shared" si="8"/>
        <v>-15000</v>
      </c>
      <c r="H549" s="2" t="s">
        <v>42</v>
      </c>
      <c r="K549" s="1"/>
      <c r="L549" s="1"/>
      <c r="M549" s="1"/>
    </row>
    <row r="550" spans="2:13" x14ac:dyDescent="0.2">
      <c r="B550" s="17">
        <v>44075</v>
      </c>
      <c r="C550" s="16"/>
      <c r="D550" s="6"/>
      <c r="F550" s="1">
        <v>25</v>
      </c>
      <c r="G550" s="2">
        <f t="shared" si="8"/>
        <v>-25</v>
      </c>
      <c r="H550" t="s">
        <v>39</v>
      </c>
      <c r="K550" s="1"/>
      <c r="L550" s="1"/>
      <c r="M550" s="1"/>
    </row>
    <row r="551" spans="2:13" x14ac:dyDescent="0.2">
      <c r="B551" s="17">
        <v>44076</v>
      </c>
      <c r="C551" s="16">
        <v>310</v>
      </c>
      <c r="D551" s="6">
        <v>2640</v>
      </c>
      <c r="E551" s="1">
        <v>2820</v>
      </c>
      <c r="G551" s="2">
        <f t="shared" si="8"/>
        <v>2820</v>
      </c>
      <c r="H551" s="2" t="s">
        <v>14</v>
      </c>
      <c r="K551" s="1"/>
      <c r="L551" s="1"/>
      <c r="M551" s="1"/>
    </row>
    <row r="552" spans="2:13" x14ac:dyDescent="0.2">
      <c r="B552" s="17">
        <v>44076</v>
      </c>
      <c r="C552" s="16">
        <v>311</v>
      </c>
      <c r="D552" s="6">
        <v>1000</v>
      </c>
      <c r="E552" s="1">
        <v>1125</v>
      </c>
      <c r="G552" s="2">
        <f t="shared" si="8"/>
        <v>1125</v>
      </c>
      <c r="H552" s="2" t="s">
        <v>46</v>
      </c>
      <c r="K552" s="1"/>
      <c r="L552" s="1"/>
      <c r="M552" s="1"/>
    </row>
    <row r="553" spans="2:13" x14ac:dyDescent="0.2">
      <c r="B553" s="17">
        <v>44076</v>
      </c>
      <c r="C553" s="16">
        <v>312</v>
      </c>
      <c r="D553" s="6">
        <v>2950</v>
      </c>
      <c r="E553" s="1">
        <v>3395</v>
      </c>
      <c r="G553" s="2">
        <f t="shared" si="8"/>
        <v>3395</v>
      </c>
      <c r="H553" s="2" t="s">
        <v>45</v>
      </c>
      <c r="K553" s="1"/>
      <c r="L553" s="1"/>
      <c r="M553" s="1"/>
    </row>
    <row r="554" spans="2:13" x14ac:dyDescent="0.2">
      <c r="B554" s="17">
        <v>44076</v>
      </c>
      <c r="C554" s="16">
        <v>313</v>
      </c>
      <c r="D554" s="6">
        <v>2161</v>
      </c>
      <c r="E554" s="1">
        <v>2490</v>
      </c>
      <c r="G554" s="2">
        <f t="shared" si="8"/>
        <v>2490</v>
      </c>
      <c r="H554" s="2" t="s">
        <v>42</v>
      </c>
      <c r="K554" s="1"/>
      <c r="L554" s="1"/>
      <c r="M554" s="1"/>
    </row>
    <row r="555" spans="2:13" x14ac:dyDescent="0.2">
      <c r="B555" s="17">
        <v>44076</v>
      </c>
      <c r="C555" s="16">
        <v>314</v>
      </c>
      <c r="D555" s="6">
        <v>33764.25</v>
      </c>
      <c r="E555" s="1">
        <v>36334.5</v>
      </c>
      <c r="G555" s="2">
        <f t="shared" si="8"/>
        <v>36334.5</v>
      </c>
      <c r="H555" s="2" t="s">
        <v>25</v>
      </c>
      <c r="K555" s="1"/>
      <c r="L555" s="1"/>
      <c r="M555" s="1"/>
    </row>
    <row r="556" spans="2:13" x14ac:dyDescent="0.2">
      <c r="B556" s="17">
        <v>44076</v>
      </c>
      <c r="C556" s="16">
        <v>315</v>
      </c>
      <c r="D556" s="6">
        <v>57.75</v>
      </c>
      <c r="E556" s="1">
        <v>66</v>
      </c>
      <c r="G556" s="2">
        <f t="shared" si="8"/>
        <v>66</v>
      </c>
      <c r="H556" s="2" t="s">
        <v>42</v>
      </c>
      <c r="K556" s="1"/>
      <c r="L556" s="1"/>
      <c r="M556" s="1"/>
    </row>
    <row r="557" spans="2:13" x14ac:dyDescent="0.2">
      <c r="B557" s="17">
        <v>44077</v>
      </c>
      <c r="C557" s="16"/>
      <c r="D557" s="6"/>
      <c r="F557" s="1">
        <v>2500</v>
      </c>
      <c r="G557" s="2">
        <f t="shared" si="8"/>
        <v>-2500</v>
      </c>
      <c r="H557" s="2" t="s">
        <v>45</v>
      </c>
      <c r="K557" s="1"/>
      <c r="L557" s="1"/>
      <c r="M557" s="1"/>
    </row>
    <row r="558" spans="2:13" x14ac:dyDescent="0.2">
      <c r="B558" s="17">
        <v>44077</v>
      </c>
      <c r="C558" s="16"/>
      <c r="D558" s="6"/>
      <c r="F558" s="1">
        <v>3000</v>
      </c>
      <c r="G558" s="2">
        <f t="shared" si="8"/>
        <v>-3000</v>
      </c>
      <c r="H558" t="s">
        <v>35</v>
      </c>
      <c r="K558" s="1"/>
      <c r="L558" s="1"/>
      <c r="M558" s="1"/>
    </row>
    <row r="559" spans="2:13" x14ac:dyDescent="0.2">
      <c r="B559" s="17">
        <v>44079</v>
      </c>
      <c r="C559" s="16"/>
      <c r="D559" s="6"/>
      <c r="F559" s="1">
        <v>2000</v>
      </c>
      <c r="G559" s="2">
        <f t="shared" si="8"/>
        <v>-2000</v>
      </c>
      <c r="H559" s="2" t="s">
        <v>46</v>
      </c>
      <c r="K559" s="1"/>
      <c r="L559" s="1"/>
      <c r="M559" s="1"/>
    </row>
    <row r="560" spans="2:13" x14ac:dyDescent="0.2">
      <c r="B560" s="17">
        <v>44080</v>
      </c>
      <c r="C560" s="16">
        <v>317</v>
      </c>
      <c r="D560" s="6">
        <v>17832</v>
      </c>
      <c r="E560" s="1">
        <v>18780</v>
      </c>
      <c r="G560" s="2">
        <f t="shared" si="8"/>
        <v>18780</v>
      </c>
      <c r="H560" s="2" t="s">
        <v>25</v>
      </c>
      <c r="K560" s="1"/>
      <c r="L560" s="1"/>
      <c r="M560" s="1"/>
    </row>
    <row r="561" spans="2:13" x14ac:dyDescent="0.2">
      <c r="B561" s="17">
        <v>44080</v>
      </c>
      <c r="C561" s="16">
        <v>318</v>
      </c>
      <c r="D561" s="6">
        <v>1800</v>
      </c>
      <c r="E561" s="1">
        <v>2135</v>
      </c>
      <c r="G561" s="2">
        <f t="shared" si="8"/>
        <v>2135</v>
      </c>
      <c r="H561" s="2" t="s">
        <v>46</v>
      </c>
      <c r="K561" s="1"/>
      <c r="L561" s="1"/>
      <c r="M561" s="1"/>
    </row>
    <row r="562" spans="2:13" x14ac:dyDescent="0.2">
      <c r="B562" s="17">
        <v>44080</v>
      </c>
      <c r="C562" s="16">
        <v>319</v>
      </c>
      <c r="D562" s="6">
        <v>1677.5</v>
      </c>
      <c r="E562" s="1">
        <v>1858.5</v>
      </c>
      <c r="G562" s="2">
        <f t="shared" si="8"/>
        <v>1858.5</v>
      </c>
      <c r="H562" s="2" t="s">
        <v>42</v>
      </c>
      <c r="K562" s="1"/>
      <c r="L562" s="1"/>
      <c r="M562" s="1"/>
    </row>
    <row r="563" spans="2:13" x14ac:dyDescent="0.2">
      <c r="B563" s="17">
        <v>44080</v>
      </c>
      <c r="C563" s="16">
        <v>320</v>
      </c>
      <c r="D563" s="6">
        <v>100</v>
      </c>
      <c r="E563" s="1">
        <v>110</v>
      </c>
      <c r="G563" s="2">
        <f t="shared" si="8"/>
        <v>110</v>
      </c>
      <c r="H563" s="2" t="s">
        <v>45</v>
      </c>
      <c r="K563" s="1"/>
      <c r="L563" s="1"/>
      <c r="M563" s="1"/>
    </row>
    <row r="564" spans="2:13" x14ac:dyDescent="0.2">
      <c r="B564" s="17">
        <v>44080</v>
      </c>
      <c r="C564" s="16">
        <v>321</v>
      </c>
      <c r="D564" s="6">
        <v>6960</v>
      </c>
      <c r="E564" s="1">
        <v>7440</v>
      </c>
      <c r="G564" s="2">
        <f t="shared" si="8"/>
        <v>7440</v>
      </c>
      <c r="H564" s="2" t="s">
        <v>59</v>
      </c>
      <c r="K564" s="1"/>
      <c r="L564" s="1"/>
      <c r="M564" s="1"/>
    </row>
    <row r="565" spans="2:13" x14ac:dyDescent="0.2">
      <c r="B565" s="17">
        <v>44080</v>
      </c>
      <c r="C565" s="16"/>
      <c r="D565" s="6"/>
      <c r="F565" s="1">
        <v>7440</v>
      </c>
      <c r="G565" s="2">
        <f t="shared" si="8"/>
        <v>-7440</v>
      </c>
      <c r="H565" s="2" t="s">
        <v>59</v>
      </c>
      <c r="K565" s="1"/>
      <c r="L565" s="1"/>
      <c r="M565" s="1"/>
    </row>
    <row r="566" spans="2:13" x14ac:dyDescent="0.2">
      <c r="B566" s="17">
        <v>44081</v>
      </c>
      <c r="C566" s="16"/>
      <c r="D566" s="6">
        <v>5700</v>
      </c>
      <c r="E566" s="1">
        <v>6187.5</v>
      </c>
      <c r="G566" s="2">
        <f t="shared" si="8"/>
        <v>6187.5</v>
      </c>
      <c r="H566" s="2" t="s">
        <v>58</v>
      </c>
      <c r="K566" s="1"/>
      <c r="L566" s="1"/>
      <c r="M566" s="1"/>
    </row>
    <row r="567" spans="2:13" x14ac:dyDescent="0.2">
      <c r="B567" s="17">
        <v>44081</v>
      </c>
      <c r="C567" s="16"/>
      <c r="D567" s="6"/>
      <c r="F567" s="1">
        <v>6187.5</v>
      </c>
      <c r="G567" s="2">
        <f t="shared" si="8"/>
        <v>-6187.5</v>
      </c>
      <c r="H567" s="2" t="s">
        <v>58</v>
      </c>
      <c r="K567" s="1"/>
      <c r="L567" s="1"/>
      <c r="M567" s="1"/>
    </row>
    <row r="568" spans="2:13" x14ac:dyDescent="0.2">
      <c r="B568" s="17">
        <v>44081</v>
      </c>
      <c r="C568" s="16"/>
      <c r="D568" s="6"/>
      <c r="F568" s="1">
        <v>7000</v>
      </c>
      <c r="G568" s="2">
        <f t="shared" si="8"/>
        <v>-7000</v>
      </c>
      <c r="H568" s="2" t="s">
        <v>14</v>
      </c>
      <c r="K568" s="1"/>
      <c r="L568" s="1"/>
      <c r="M568" s="1"/>
    </row>
    <row r="569" spans="2:13" x14ac:dyDescent="0.2">
      <c r="B569" s="17">
        <v>44081</v>
      </c>
      <c r="C569" s="16">
        <v>322</v>
      </c>
      <c r="D569" s="6">
        <v>1000</v>
      </c>
      <c r="E569" s="1">
        <v>1100</v>
      </c>
      <c r="G569" s="2">
        <f t="shared" si="8"/>
        <v>1100</v>
      </c>
      <c r="H569" s="2" t="s">
        <v>14</v>
      </c>
      <c r="K569" s="1"/>
      <c r="L569" s="1"/>
      <c r="M569" s="1"/>
    </row>
    <row r="570" spans="2:13" x14ac:dyDescent="0.2">
      <c r="B570" s="17">
        <v>44082</v>
      </c>
      <c r="C570" s="16"/>
      <c r="D570" s="6"/>
      <c r="F570" s="1">
        <v>7000</v>
      </c>
      <c r="G570" s="2">
        <f t="shared" si="8"/>
        <v>-7000</v>
      </c>
      <c r="H570" s="2" t="s">
        <v>42</v>
      </c>
      <c r="K570" s="1"/>
      <c r="L570" s="1"/>
      <c r="M570" s="1"/>
    </row>
    <row r="571" spans="2:13" x14ac:dyDescent="0.2">
      <c r="B571" s="17">
        <v>44083</v>
      </c>
      <c r="C571" s="16">
        <v>323</v>
      </c>
      <c r="D571" s="6">
        <v>931</v>
      </c>
      <c r="E571" s="1">
        <v>1050</v>
      </c>
      <c r="G571" s="2">
        <f t="shared" si="8"/>
        <v>1050</v>
      </c>
      <c r="H571" s="36" t="s">
        <v>35</v>
      </c>
      <c r="K571" s="1"/>
      <c r="L571" s="1"/>
      <c r="M571" s="1"/>
    </row>
    <row r="572" spans="2:13" x14ac:dyDescent="0.2">
      <c r="B572" s="17">
        <v>44083</v>
      </c>
      <c r="C572" s="16">
        <v>324</v>
      </c>
      <c r="D572" s="6">
        <v>2618.5</v>
      </c>
      <c r="E572" s="1">
        <v>2702</v>
      </c>
      <c r="G572" s="2">
        <f t="shared" si="8"/>
        <v>2702</v>
      </c>
      <c r="H572" s="1" t="s">
        <v>51</v>
      </c>
      <c r="K572" s="1"/>
      <c r="L572" s="1"/>
      <c r="M572" s="1"/>
    </row>
    <row r="573" spans="2:13" x14ac:dyDescent="0.2">
      <c r="B573" s="17">
        <v>44083</v>
      </c>
      <c r="C573" s="16">
        <v>325</v>
      </c>
      <c r="D573" s="6">
        <v>338</v>
      </c>
      <c r="E573" s="1">
        <v>380</v>
      </c>
      <c r="G573" s="2">
        <f t="shared" si="8"/>
        <v>380</v>
      </c>
      <c r="H573" s="2" t="s">
        <v>43</v>
      </c>
      <c r="K573" s="1"/>
      <c r="L573" s="1"/>
      <c r="M573" s="1"/>
    </row>
    <row r="574" spans="2:13" x14ac:dyDescent="0.2">
      <c r="B574" s="17">
        <v>44084</v>
      </c>
      <c r="C574" s="16"/>
      <c r="D574" s="6"/>
      <c r="F574" s="1">
        <v>40000</v>
      </c>
      <c r="G574" s="2">
        <f t="shared" si="8"/>
        <v>-40000</v>
      </c>
      <c r="H574" s="2" t="s">
        <v>25</v>
      </c>
      <c r="K574" s="1"/>
      <c r="L574" s="1"/>
      <c r="M574" s="1"/>
    </row>
    <row r="575" spans="2:13" x14ac:dyDescent="0.2">
      <c r="B575" s="17">
        <v>44084</v>
      </c>
      <c r="C575" s="16">
        <v>326</v>
      </c>
      <c r="D575" s="6">
        <v>875</v>
      </c>
      <c r="E575" s="1">
        <v>962.5</v>
      </c>
      <c r="G575" s="2">
        <f t="shared" si="8"/>
        <v>962.5</v>
      </c>
      <c r="H575" s="2" t="s">
        <v>37</v>
      </c>
      <c r="K575" s="1"/>
      <c r="L575" s="1"/>
      <c r="M575" s="1"/>
    </row>
    <row r="576" spans="2:13" x14ac:dyDescent="0.2">
      <c r="B576" s="17">
        <v>44084</v>
      </c>
      <c r="C576" s="16">
        <v>327</v>
      </c>
      <c r="D576" s="6">
        <v>1200</v>
      </c>
      <c r="E576" s="1">
        <v>1290</v>
      </c>
      <c r="G576" s="2">
        <f t="shared" si="8"/>
        <v>1290</v>
      </c>
      <c r="H576" s="2" t="s">
        <v>78</v>
      </c>
      <c r="K576" s="1"/>
      <c r="L576" s="1"/>
      <c r="M576" s="1"/>
    </row>
    <row r="577" spans="2:13" x14ac:dyDescent="0.2">
      <c r="B577" s="17">
        <v>44084</v>
      </c>
      <c r="C577" s="16">
        <v>328</v>
      </c>
      <c r="D577" s="6">
        <v>2098.09</v>
      </c>
      <c r="E577" s="1">
        <v>2428.25</v>
      </c>
      <c r="G577" s="2">
        <f t="shared" si="8"/>
        <v>2428.25</v>
      </c>
      <c r="H577" s="2" t="s">
        <v>42</v>
      </c>
      <c r="K577" s="1"/>
      <c r="L577" s="1"/>
      <c r="M577" s="1"/>
    </row>
    <row r="578" spans="2:13" x14ac:dyDescent="0.2">
      <c r="B578" s="17">
        <v>44084</v>
      </c>
      <c r="C578" s="16">
        <v>329</v>
      </c>
      <c r="D578" s="6">
        <v>35067.5</v>
      </c>
      <c r="E578" s="1">
        <v>36908.75</v>
      </c>
      <c r="G578" s="2">
        <f t="shared" si="8"/>
        <v>36908.75</v>
      </c>
      <c r="H578" s="2" t="s">
        <v>25</v>
      </c>
      <c r="K578" s="1"/>
      <c r="L578" s="1"/>
      <c r="M578" s="1"/>
    </row>
    <row r="579" spans="2:13" x14ac:dyDescent="0.2">
      <c r="B579" s="17">
        <v>44084</v>
      </c>
      <c r="C579" s="16">
        <v>330</v>
      </c>
      <c r="D579" s="6">
        <v>3780</v>
      </c>
      <c r="E579" s="1">
        <v>4050</v>
      </c>
      <c r="G579" s="2">
        <f t="shared" ref="G579:G642" si="9">E579-F579</f>
        <v>4050</v>
      </c>
      <c r="H579" t="s">
        <v>39</v>
      </c>
      <c r="K579" s="1"/>
      <c r="L579" s="1"/>
      <c r="M579" s="1"/>
    </row>
    <row r="580" spans="2:13" x14ac:dyDescent="0.2">
      <c r="B580" s="17">
        <v>44084</v>
      </c>
      <c r="C580" s="16"/>
      <c r="D580" s="6"/>
      <c r="F580" s="1">
        <v>4050</v>
      </c>
      <c r="G580" s="2">
        <f t="shared" si="9"/>
        <v>-4050</v>
      </c>
      <c r="H580" t="s">
        <v>39</v>
      </c>
      <c r="K580" s="1"/>
      <c r="L580" s="1"/>
      <c r="M580" s="1"/>
    </row>
    <row r="581" spans="2:13" x14ac:dyDescent="0.2">
      <c r="B581" s="17">
        <v>44084</v>
      </c>
      <c r="C581" s="16"/>
      <c r="D581" s="6"/>
      <c r="F581" s="1">
        <v>600</v>
      </c>
      <c r="G581" s="2">
        <f t="shared" si="9"/>
        <v>-600</v>
      </c>
      <c r="H581" s="2" t="s">
        <v>78</v>
      </c>
      <c r="K581" s="1"/>
      <c r="L581" s="1"/>
      <c r="M581" s="1"/>
    </row>
    <row r="582" spans="2:13" x14ac:dyDescent="0.2">
      <c r="B582" s="17">
        <v>44086</v>
      </c>
      <c r="C582" s="16"/>
      <c r="D582" s="6"/>
      <c r="F582" s="1">
        <v>5000</v>
      </c>
      <c r="G582" s="2">
        <f t="shared" si="9"/>
        <v>-5000</v>
      </c>
      <c r="H582" s="2" t="s">
        <v>46</v>
      </c>
      <c r="K582" s="1"/>
      <c r="L582" s="1"/>
      <c r="M582" s="1"/>
    </row>
    <row r="583" spans="2:13" x14ac:dyDescent="0.2">
      <c r="B583" s="17">
        <v>44086</v>
      </c>
      <c r="C583" s="16"/>
      <c r="D583" s="6"/>
      <c r="F583" s="1">
        <v>3000</v>
      </c>
      <c r="G583" s="2">
        <f t="shared" si="9"/>
        <v>-3000</v>
      </c>
      <c r="H583" s="2" t="s">
        <v>45</v>
      </c>
      <c r="K583" s="1"/>
      <c r="L583" s="1"/>
      <c r="M583" s="1"/>
    </row>
    <row r="584" spans="2:13" x14ac:dyDescent="0.2">
      <c r="B584" s="17">
        <v>44086</v>
      </c>
      <c r="C584" s="16"/>
      <c r="D584" s="6"/>
      <c r="F584" s="1">
        <v>1000</v>
      </c>
      <c r="G584" s="2">
        <f t="shared" si="9"/>
        <v>-1000</v>
      </c>
      <c r="H584" s="2" t="s">
        <v>51</v>
      </c>
      <c r="K584" s="1"/>
      <c r="L584" s="1"/>
      <c r="M584" s="1"/>
    </row>
    <row r="585" spans="2:13" x14ac:dyDescent="0.2">
      <c r="B585" s="17">
        <v>44087</v>
      </c>
      <c r="C585" s="16">
        <v>331</v>
      </c>
      <c r="D585" s="6">
        <v>8350</v>
      </c>
      <c r="E585" s="1">
        <v>8850</v>
      </c>
      <c r="G585" s="2">
        <f t="shared" si="9"/>
        <v>8850</v>
      </c>
      <c r="H585" s="2" t="s">
        <v>14</v>
      </c>
      <c r="K585" s="1"/>
      <c r="L585" s="1"/>
      <c r="M585" s="1"/>
    </row>
    <row r="586" spans="2:13" x14ac:dyDescent="0.2">
      <c r="B586" s="17">
        <v>44087</v>
      </c>
      <c r="C586" s="16">
        <v>332</v>
      </c>
      <c r="D586" s="6">
        <v>2627.5</v>
      </c>
      <c r="E586" s="1">
        <v>2732.5</v>
      </c>
      <c r="G586" s="2">
        <f t="shared" si="9"/>
        <v>2732.5</v>
      </c>
      <c r="H586" s="2" t="s">
        <v>34</v>
      </c>
      <c r="K586" s="1"/>
      <c r="L586" s="1"/>
      <c r="M586" s="1"/>
    </row>
    <row r="587" spans="2:13" x14ac:dyDescent="0.2">
      <c r="B587" s="17">
        <v>44087</v>
      </c>
      <c r="C587" s="16">
        <v>333</v>
      </c>
      <c r="D587" s="6">
        <v>1375</v>
      </c>
      <c r="E587" s="1">
        <v>1587.5</v>
      </c>
      <c r="G587" s="2">
        <f t="shared" si="9"/>
        <v>1587.5</v>
      </c>
      <c r="H587" s="2" t="s">
        <v>42</v>
      </c>
      <c r="K587" s="1"/>
      <c r="L587" s="1"/>
      <c r="M587" s="1"/>
    </row>
    <row r="588" spans="2:13" x14ac:dyDescent="0.2">
      <c r="B588" s="17">
        <v>44087</v>
      </c>
      <c r="C588" s="16">
        <v>334</v>
      </c>
      <c r="D588" s="6">
        <v>2850</v>
      </c>
      <c r="E588" s="1">
        <v>3200</v>
      </c>
      <c r="G588" s="2">
        <f t="shared" si="9"/>
        <v>3200</v>
      </c>
      <c r="H588" s="2" t="s">
        <v>45</v>
      </c>
      <c r="K588" s="1"/>
      <c r="L588" s="1"/>
      <c r="M588" s="1"/>
    </row>
    <row r="589" spans="2:13" x14ac:dyDescent="0.2">
      <c r="B589" s="17">
        <v>44087</v>
      </c>
      <c r="C589" s="16">
        <v>335</v>
      </c>
      <c r="D589" s="6">
        <v>7033.75</v>
      </c>
      <c r="E589" s="1">
        <v>8020</v>
      </c>
      <c r="G589" s="2">
        <f t="shared" si="9"/>
        <v>8020</v>
      </c>
      <c r="H589" s="2" t="s">
        <v>46</v>
      </c>
      <c r="K589" s="1"/>
      <c r="L589" s="1"/>
      <c r="M589" s="1"/>
    </row>
    <row r="590" spans="2:13" x14ac:dyDescent="0.2">
      <c r="B590" s="17">
        <v>44087</v>
      </c>
      <c r="C590" s="16"/>
      <c r="D590" s="6"/>
      <c r="F590" s="1">
        <v>7000</v>
      </c>
      <c r="G590" s="2">
        <f t="shared" si="9"/>
        <v>-7000</v>
      </c>
      <c r="H590" s="2" t="s">
        <v>14</v>
      </c>
      <c r="K590" s="1"/>
      <c r="L590" s="1"/>
      <c r="M590" s="1"/>
    </row>
    <row r="591" spans="2:13" x14ac:dyDescent="0.2">
      <c r="B591" s="17">
        <v>44087</v>
      </c>
      <c r="C591" s="16"/>
      <c r="D591" s="6"/>
      <c r="F591" s="1">
        <v>2000</v>
      </c>
      <c r="G591" s="2">
        <f t="shared" si="9"/>
        <v>-2000</v>
      </c>
      <c r="H591" s="2" t="s">
        <v>34</v>
      </c>
      <c r="K591" s="1"/>
      <c r="L591" s="1"/>
      <c r="M591" s="1"/>
    </row>
    <row r="592" spans="2:13" x14ac:dyDescent="0.2">
      <c r="B592" s="17">
        <v>44089</v>
      </c>
      <c r="C592" s="16">
        <v>336</v>
      </c>
      <c r="D592" s="6">
        <v>700</v>
      </c>
      <c r="E592" s="1">
        <v>800</v>
      </c>
      <c r="G592" s="2">
        <f t="shared" si="9"/>
        <v>800</v>
      </c>
      <c r="H592" t="s">
        <v>35</v>
      </c>
      <c r="K592" s="1"/>
      <c r="L592" s="1"/>
      <c r="M592" s="1"/>
    </row>
    <row r="593" spans="2:13" x14ac:dyDescent="0.2">
      <c r="B593" s="17">
        <v>44089</v>
      </c>
      <c r="C593" s="16">
        <v>337</v>
      </c>
      <c r="D593" s="6">
        <v>200</v>
      </c>
      <c r="E593" s="1">
        <v>240</v>
      </c>
      <c r="G593" s="2">
        <f t="shared" si="9"/>
        <v>240</v>
      </c>
      <c r="H593" t="s">
        <v>39</v>
      </c>
      <c r="K593" s="1"/>
      <c r="L593" s="1"/>
      <c r="M593" s="1"/>
    </row>
    <row r="594" spans="2:13" x14ac:dyDescent="0.2">
      <c r="B594" s="17">
        <v>44089</v>
      </c>
      <c r="C594" s="16">
        <v>338</v>
      </c>
      <c r="D594" s="6">
        <v>442.5</v>
      </c>
      <c r="E594" s="1">
        <v>492.5</v>
      </c>
      <c r="G594" s="2">
        <f t="shared" si="9"/>
        <v>492.5</v>
      </c>
      <c r="H594" s="2" t="s">
        <v>37</v>
      </c>
      <c r="K594" s="1"/>
      <c r="L594" s="1"/>
      <c r="M594" s="1"/>
    </row>
    <row r="595" spans="2:13" x14ac:dyDescent="0.2">
      <c r="B595" s="17">
        <v>44089</v>
      </c>
      <c r="C595" s="16">
        <v>339</v>
      </c>
      <c r="D595" s="6">
        <v>668.5</v>
      </c>
      <c r="E595" s="1">
        <v>832.5</v>
      </c>
      <c r="G595" s="2">
        <f t="shared" si="9"/>
        <v>832.5</v>
      </c>
      <c r="H595" s="2" t="s">
        <v>42</v>
      </c>
      <c r="K595" s="1"/>
      <c r="L595" s="1"/>
      <c r="M595" s="1"/>
    </row>
    <row r="596" spans="2:13" x14ac:dyDescent="0.2">
      <c r="B596" s="17">
        <v>44089</v>
      </c>
      <c r="C596" s="16">
        <v>340</v>
      </c>
      <c r="D596" s="6">
        <v>773.5</v>
      </c>
      <c r="E596" s="1">
        <v>823</v>
      </c>
      <c r="G596" s="2">
        <f t="shared" si="9"/>
        <v>823</v>
      </c>
      <c r="H596" t="s">
        <v>39</v>
      </c>
      <c r="K596" s="1"/>
      <c r="L596" s="1"/>
      <c r="M596" s="1"/>
    </row>
    <row r="597" spans="2:13" x14ac:dyDescent="0.2">
      <c r="B597" s="17">
        <v>44089</v>
      </c>
      <c r="C597" s="16"/>
      <c r="D597" s="6"/>
      <c r="F597" s="1">
        <v>240</v>
      </c>
      <c r="G597" s="2">
        <f t="shared" si="9"/>
        <v>-240</v>
      </c>
      <c r="H597" t="s">
        <v>39</v>
      </c>
      <c r="K597" s="1"/>
      <c r="L597" s="1"/>
      <c r="M597" s="1"/>
    </row>
    <row r="598" spans="2:13" x14ac:dyDescent="0.2">
      <c r="B598" s="17">
        <v>44089</v>
      </c>
      <c r="C598" s="16"/>
      <c r="D598" s="6"/>
      <c r="F598" s="1">
        <v>823</v>
      </c>
      <c r="G598" s="2">
        <f t="shared" si="9"/>
        <v>-823</v>
      </c>
      <c r="H598" t="s">
        <v>39</v>
      </c>
      <c r="K598" s="1"/>
      <c r="L598" s="1"/>
      <c r="M598" s="1"/>
    </row>
    <row r="599" spans="2:13" x14ac:dyDescent="0.2">
      <c r="B599" s="17">
        <v>44089</v>
      </c>
      <c r="C599" s="16"/>
      <c r="D599" s="6"/>
      <c r="F599" s="1">
        <v>6000</v>
      </c>
      <c r="G599" s="2">
        <f t="shared" si="9"/>
        <v>-6000</v>
      </c>
      <c r="H599" s="2" t="s">
        <v>25</v>
      </c>
      <c r="K599" s="1"/>
      <c r="L599" s="1"/>
      <c r="M599" s="1"/>
    </row>
    <row r="600" spans="2:13" x14ac:dyDescent="0.2">
      <c r="B600" s="17">
        <v>44090</v>
      </c>
      <c r="C600" s="16">
        <v>341</v>
      </c>
      <c r="D600" s="6">
        <v>2062.41</v>
      </c>
      <c r="E600" s="1">
        <v>2291.5</v>
      </c>
      <c r="G600" s="2">
        <f t="shared" si="9"/>
        <v>2291.5</v>
      </c>
      <c r="H600" s="2" t="s">
        <v>42</v>
      </c>
      <c r="K600" s="1"/>
      <c r="L600" s="1"/>
      <c r="M600" s="1"/>
    </row>
    <row r="601" spans="2:13" x14ac:dyDescent="0.2">
      <c r="B601" s="17">
        <v>44090</v>
      </c>
      <c r="C601" s="16">
        <v>342</v>
      </c>
      <c r="D601" s="6">
        <v>630</v>
      </c>
      <c r="E601" s="1">
        <v>720</v>
      </c>
      <c r="G601" s="2">
        <f t="shared" si="9"/>
        <v>720</v>
      </c>
      <c r="H601" t="s">
        <v>35</v>
      </c>
      <c r="K601" s="1"/>
      <c r="L601" s="1"/>
      <c r="M601" s="1"/>
    </row>
    <row r="602" spans="2:13" x14ac:dyDescent="0.2">
      <c r="B602" s="17">
        <v>44090</v>
      </c>
      <c r="C602" s="16">
        <v>343</v>
      </c>
      <c r="D602" s="6">
        <v>6870</v>
      </c>
      <c r="E602" s="1">
        <v>7075</v>
      </c>
      <c r="G602" s="2">
        <f t="shared" si="9"/>
        <v>7075</v>
      </c>
      <c r="H602" s="2" t="s">
        <v>14</v>
      </c>
      <c r="K602" s="1"/>
      <c r="L602" s="1"/>
      <c r="M602" s="1"/>
    </row>
    <row r="603" spans="2:13" x14ac:dyDescent="0.2">
      <c r="B603" s="17">
        <v>44090</v>
      </c>
      <c r="C603" s="16"/>
      <c r="D603" s="6"/>
      <c r="F603" s="1">
        <v>1500</v>
      </c>
      <c r="G603" s="2">
        <f t="shared" si="9"/>
        <v>-1500</v>
      </c>
      <c r="H603" t="s">
        <v>35</v>
      </c>
      <c r="K603" s="1"/>
      <c r="L603" s="1"/>
      <c r="M603" s="1"/>
    </row>
    <row r="604" spans="2:13" x14ac:dyDescent="0.2">
      <c r="B604" s="17">
        <v>44093</v>
      </c>
      <c r="C604" s="16"/>
      <c r="D604" s="6"/>
      <c r="F604" s="1">
        <v>2000</v>
      </c>
      <c r="G604" s="2">
        <f t="shared" si="9"/>
        <v>-2000</v>
      </c>
      <c r="H604" s="2" t="s">
        <v>45</v>
      </c>
      <c r="K604" s="1"/>
      <c r="L604" s="1"/>
      <c r="M604" s="1"/>
    </row>
    <row r="605" spans="2:13" x14ac:dyDescent="0.2">
      <c r="B605" s="17">
        <v>44093</v>
      </c>
      <c r="C605" s="16"/>
      <c r="D605" s="6"/>
      <c r="F605" s="1">
        <v>700</v>
      </c>
      <c r="G605" s="2">
        <f t="shared" si="9"/>
        <v>-700</v>
      </c>
      <c r="H605" s="2" t="s">
        <v>51</v>
      </c>
      <c r="K605" s="1"/>
      <c r="L605" s="1"/>
      <c r="M605" s="1"/>
    </row>
    <row r="606" spans="2:13" x14ac:dyDescent="0.2">
      <c r="B606" s="17">
        <v>44094</v>
      </c>
      <c r="C606" s="16">
        <v>344</v>
      </c>
      <c r="D606" s="6">
        <v>2575</v>
      </c>
      <c r="E606" s="1">
        <v>2875</v>
      </c>
      <c r="G606" s="2">
        <f t="shared" si="9"/>
        <v>2875</v>
      </c>
      <c r="H606" s="2" t="s">
        <v>37</v>
      </c>
      <c r="K606" s="1"/>
      <c r="L606" s="1"/>
      <c r="M606" s="1"/>
    </row>
    <row r="607" spans="2:13" x14ac:dyDescent="0.2">
      <c r="B607" s="17">
        <v>44094</v>
      </c>
      <c r="C607" s="16">
        <v>345</v>
      </c>
      <c r="D607" s="6">
        <v>700</v>
      </c>
      <c r="E607" s="1">
        <v>800</v>
      </c>
      <c r="G607" s="2">
        <f t="shared" si="9"/>
        <v>800</v>
      </c>
      <c r="H607" t="s">
        <v>35</v>
      </c>
      <c r="K607" s="1"/>
      <c r="L607" s="1"/>
      <c r="M607" s="1"/>
    </row>
    <row r="608" spans="2:13" x14ac:dyDescent="0.2">
      <c r="B608" s="17">
        <v>44094</v>
      </c>
      <c r="C608" s="16">
        <v>346</v>
      </c>
      <c r="D608" s="6">
        <v>2746</v>
      </c>
      <c r="E608" s="1">
        <v>3254.75</v>
      </c>
      <c r="G608" s="2">
        <f t="shared" si="9"/>
        <v>3254.75</v>
      </c>
      <c r="H608" s="2" t="s">
        <v>46</v>
      </c>
      <c r="K608" s="1"/>
      <c r="L608" s="1"/>
      <c r="M608" s="1"/>
    </row>
    <row r="609" spans="2:13" x14ac:dyDescent="0.2">
      <c r="B609" s="17">
        <v>44094</v>
      </c>
      <c r="C609" s="16">
        <v>347</v>
      </c>
      <c r="D609" s="6">
        <v>2997</v>
      </c>
      <c r="E609" s="1">
        <v>3257</v>
      </c>
      <c r="G609" s="2">
        <f t="shared" si="9"/>
        <v>3257</v>
      </c>
      <c r="H609" s="2" t="s">
        <v>45</v>
      </c>
      <c r="K609" s="1"/>
      <c r="L609" s="1"/>
      <c r="M609" s="1"/>
    </row>
    <row r="610" spans="2:13" x14ac:dyDescent="0.2">
      <c r="B610" s="17">
        <v>44094</v>
      </c>
      <c r="C610" s="16">
        <v>348</v>
      </c>
      <c r="D610" s="6">
        <v>3580</v>
      </c>
      <c r="E610" s="1">
        <v>3700</v>
      </c>
      <c r="G610" s="2">
        <f t="shared" si="9"/>
        <v>3700</v>
      </c>
      <c r="H610" s="2" t="s">
        <v>14</v>
      </c>
      <c r="K610" s="1"/>
      <c r="L610" s="1"/>
      <c r="M610" s="1"/>
    </row>
    <row r="611" spans="2:13" x14ac:dyDescent="0.2">
      <c r="B611" s="17">
        <v>44094</v>
      </c>
      <c r="C611" s="16"/>
      <c r="D611" s="6"/>
      <c r="F611" s="1">
        <v>1400</v>
      </c>
      <c r="G611" s="2">
        <f t="shared" si="9"/>
        <v>-1400</v>
      </c>
      <c r="H611" t="s">
        <v>35</v>
      </c>
      <c r="K611" s="1"/>
      <c r="L611" s="1"/>
      <c r="M611" s="1"/>
    </row>
    <row r="612" spans="2:13" x14ac:dyDescent="0.2">
      <c r="B612" s="17">
        <v>44094</v>
      </c>
      <c r="C612" s="16"/>
      <c r="D612" s="6"/>
      <c r="F612" s="1">
        <v>5000</v>
      </c>
      <c r="G612" s="2">
        <f t="shared" si="9"/>
        <v>-5000</v>
      </c>
      <c r="H612" s="2" t="s">
        <v>46</v>
      </c>
      <c r="K612" s="1"/>
      <c r="L612" s="1"/>
      <c r="M612" s="1"/>
    </row>
    <row r="613" spans="2:13" x14ac:dyDescent="0.2">
      <c r="B613" s="17">
        <v>44094</v>
      </c>
      <c r="C613" s="16">
        <v>349</v>
      </c>
      <c r="D613" s="6">
        <v>2125</v>
      </c>
      <c r="E613" s="1">
        <v>2200</v>
      </c>
      <c r="G613" s="2">
        <f t="shared" si="9"/>
        <v>2200</v>
      </c>
      <c r="H613" s="2" t="s">
        <v>48</v>
      </c>
      <c r="K613" s="1"/>
      <c r="L613" s="1"/>
      <c r="M613" s="1"/>
    </row>
    <row r="614" spans="2:13" x14ac:dyDescent="0.2">
      <c r="B614" s="17">
        <v>44096</v>
      </c>
      <c r="C614" s="16">
        <v>350</v>
      </c>
      <c r="D614" s="6">
        <v>800</v>
      </c>
      <c r="E614" s="1">
        <v>900</v>
      </c>
      <c r="G614" s="2">
        <f t="shared" si="9"/>
        <v>900</v>
      </c>
      <c r="H614" s="2" t="s">
        <v>42</v>
      </c>
      <c r="K614" s="1"/>
      <c r="L614" s="1"/>
      <c r="M614" s="1"/>
    </row>
    <row r="615" spans="2:13" x14ac:dyDescent="0.2">
      <c r="B615" s="17">
        <v>44096</v>
      </c>
      <c r="C615" s="16"/>
      <c r="D615" s="6"/>
      <c r="F615" s="1">
        <v>4230</v>
      </c>
      <c r="G615" s="2">
        <f t="shared" si="9"/>
        <v>-4230</v>
      </c>
      <c r="H615" s="2" t="s">
        <v>37</v>
      </c>
      <c r="K615" s="1"/>
      <c r="L615" s="1"/>
      <c r="M615" s="1"/>
    </row>
    <row r="616" spans="2:13" x14ac:dyDescent="0.2">
      <c r="B616" s="17">
        <v>44097</v>
      </c>
      <c r="C616" s="16">
        <v>351</v>
      </c>
      <c r="D616" s="6">
        <v>1725</v>
      </c>
      <c r="E616" s="1">
        <v>1980</v>
      </c>
      <c r="G616" s="2">
        <f t="shared" si="9"/>
        <v>1980</v>
      </c>
      <c r="H616" s="2" t="s">
        <v>51</v>
      </c>
      <c r="K616" s="1"/>
      <c r="L616" s="1"/>
      <c r="M616" s="1"/>
    </row>
    <row r="617" spans="2:13" x14ac:dyDescent="0.2">
      <c r="B617" s="17">
        <v>44097</v>
      </c>
      <c r="C617" s="16">
        <v>352</v>
      </c>
      <c r="D617" s="6">
        <v>3780</v>
      </c>
      <c r="E617" s="1">
        <v>4070</v>
      </c>
      <c r="G617" s="2">
        <f t="shared" si="9"/>
        <v>4070</v>
      </c>
      <c r="H617" s="2" t="s">
        <v>14</v>
      </c>
      <c r="K617" s="1"/>
      <c r="L617" s="1"/>
      <c r="M617" s="1"/>
    </row>
    <row r="618" spans="2:13" x14ac:dyDescent="0.2">
      <c r="B618" s="17">
        <v>44097</v>
      </c>
      <c r="C618" s="16">
        <v>353</v>
      </c>
      <c r="D618" s="6">
        <v>5004.32</v>
      </c>
      <c r="E618" s="1">
        <v>5548</v>
      </c>
      <c r="G618" s="2">
        <f t="shared" si="9"/>
        <v>5548</v>
      </c>
      <c r="H618" s="2" t="s">
        <v>42</v>
      </c>
      <c r="K618" s="1"/>
      <c r="L618" s="1"/>
      <c r="M618" s="1"/>
    </row>
    <row r="619" spans="2:13" x14ac:dyDescent="0.2">
      <c r="B619" s="17">
        <v>44097</v>
      </c>
      <c r="C619" s="16">
        <v>354</v>
      </c>
      <c r="D619" s="6">
        <v>2480</v>
      </c>
      <c r="E619" s="1">
        <v>2904</v>
      </c>
      <c r="G619" s="2">
        <f t="shared" si="9"/>
        <v>2904</v>
      </c>
      <c r="H619" s="2" t="s">
        <v>45</v>
      </c>
      <c r="K619" s="1"/>
      <c r="L619" s="1"/>
      <c r="M619" s="1"/>
    </row>
    <row r="620" spans="2:13" x14ac:dyDescent="0.2">
      <c r="B620" s="17">
        <v>44097</v>
      </c>
      <c r="C620" s="16">
        <v>355</v>
      </c>
      <c r="D620" s="6">
        <v>1485</v>
      </c>
      <c r="E620" s="1">
        <v>1513</v>
      </c>
      <c r="G620" s="2">
        <f t="shared" si="9"/>
        <v>1513</v>
      </c>
      <c r="H620" s="2" t="s">
        <v>48</v>
      </c>
      <c r="K620" s="1"/>
      <c r="L620" s="1"/>
      <c r="M620" s="1"/>
    </row>
    <row r="621" spans="2:13" x14ac:dyDescent="0.2">
      <c r="B621" s="17">
        <v>44097</v>
      </c>
      <c r="C621" s="16"/>
      <c r="D621" s="6"/>
      <c r="F621" s="1">
        <v>500</v>
      </c>
      <c r="G621" s="2">
        <f t="shared" si="9"/>
        <v>-500</v>
      </c>
      <c r="H621" s="2" t="s">
        <v>57</v>
      </c>
      <c r="K621" s="1"/>
      <c r="L621" s="1"/>
      <c r="M621" s="1"/>
    </row>
    <row r="622" spans="2:13" x14ac:dyDescent="0.2">
      <c r="B622" s="17">
        <v>44097</v>
      </c>
      <c r="C622" s="16"/>
      <c r="D622" s="6"/>
      <c r="F622" s="1">
        <v>9000</v>
      </c>
      <c r="G622" s="2">
        <f t="shared" si="9"/>
        <v>-9000</v>
      </c>
      <c r="H622" s="2" t="s">
        <v>48</v>
      </c>
      <c r="K622" s="1"/>
      <c r="L622" s="1"/>
      <c r="M622" s="1"/>
    </row>
    <row r="623" spans="2:13" x14ac:dyDescent="0.2">
      <c r="B623" s="17">
        <v>44098</v>
      </c>
      <c r="C623" s="16"/>
      <c r="D623" s="6"/>
      <c r="F623" s="1">
        <v>500</v>
      </c>
      <c r="G623" s="2">
        <f t="shared" si="9"/>
        <v>-500</v>
      </c>
      <c r="H623" s="2" t="s">
        <v>57</v>
      </c>
      <c r="K623" s="1"/>
      <c r="L623" s="1"/>
      <c r="M623" s="1"/>
    </row>
    <row r="624" spans="2:13" x14ac:dyDescent="0.2">
      <c r="B624" s="17">
        <v>44098</v>
      </c>
      <c r="C624" s="16"/>
      <c r="D624" s="6"/>
      <c r="F624" s="1">
        <v>7000</v>
      </c>
      <c r="G624" s="2">
        <f t="shared" si="9"/>
        <v>-7000</v>
      </c>
      <c r="H624" s="2" t="s">
        <v>14</v>
      </c>
      <c r="K624" s="1"/>
      <c r="L624" s="1"/>
      <c r="M624" s="1"/>
    </row>
    <row r="625" spans="2:13" x14ac:dyDescent="0.2">
      <c r="B625" s="17">
        <v>44098</v>
      </c>
      <c r="C625" s="16"/>
      <c r="D625" s="6"/>
      <c r="F625" s="1">
        <v>3000</v>
      </c>
      <c r="G625" s="2">
        <f t="shared" si="9"/>
        <v>-3000</v>
      </c>
      <c r="H625" s="2" t="s">
        <v>45</v>
      </c>
      <c r="K625" s="1"/>
      <c r="L625" s="1"/>
      <c r="M625" s="1"/>
    </row>
    <row r="626" spans="2:13" x14ac:dyDescent="0.2">
      <c r="B626" s="17">
        <v>44099</v>
      </c>
      <c r="C626" s="16">
        <v>356</v>
      </c>
      <c r="D626" s="6">
        <v>9955</v>
      </c>
      <c r="E626" s="1">
        <v>10270</v>
      </c>
      <c r="G626" s="2">
        <f t="shared" si="9"/>
        <v>10270</v>
      </c>
      <c r="H626" s="2" t="s">
        <v>48</v>
      </c>
      <c r="K626" s="1"/>
      <c r="L626" s="1"/>
      <c r="M626" s="1"/>
    </row>
    <row r="627" spans="2:13" x14ac:dyDescent="0.2">
      <c r="B627" s="17">
        <v>44101</v>
      </c>
      <c r="C627" s="16">
        <v>357</v>
      </c>
      <c r="D627" s="6">
        <v>599.5</v>
      </c>
      <c r="E627" s="1">
        <v>753</v>
      </c>
      <c r="G627" s="2">
        <f t="shared" si="9"/>
        <v>753</v>
      </c>
      <c r="H627" s="2" t="s">
        <v>51</v>
      </c>
      <c r="K627" s="1"/>
      <c r="L627" s="1"/>
      <c r="M627" s="1"/>
    </row>
    <row r="628" spans="2:13" x14ac:dyDescent="0.2">
      <c r="B628" s="17">
        <v>44101</v>
      </c>
      <c r="C628" s="16">
        <v>358</v>
      </c>
      <c r="D628" s="6">
        <v>650</v>
      </c>
      <c r="E628" s="1">
        <v>755</v>
      </c>
      <c r="G628" s="2">
        <f t="shared" si="9"/>
        <v>755</v>
      </c>
      <c r="H628" t="s">
        <v>35</v>
      </c>
      <c r="K628" s="1"/>
      <c r="L628" s="1"/>
      <c r="M628" s="1"/>
    </row>
    <row r="629" spans="2:13" x14ac:dyDescent="0.2">
      <c r="B629" s="17">
        <v>44101</v>
      </c>
      <c r="C629" s="16">
        <v>359</v>
      </c>
      <c r="D629" s="6">
        <v>3600</v>
      </c>
      <c r="E629" s="1">
        <v>4190.5</v>
      </c>
      <c r="G629" s="2">
        <f t="shared" si="9"/>
        <v>4190.5</v>
      </c>
      <c r="H629" s="2" t="s">
        <v>45</v>
      </c>
      <c r="K629" s="1"/>
      <c r="L629" s="1"/>
      <c r="M629" s="1"/>
    </row>
    <row r="630" spans="2:13" x14ac:dyDescent="0.2">
      <c r="B630" s="17">
        <v>44101</v>
      </c>
      <c r="C630" s="16">
        <v>360</v>
      </c>
      <c r="D630" s="6">
        <v>89</v>
      </c>
      <c r="E630" s="1">
        <v>105</v>
      </c>
      <c r="G630" s="2">
        <f t="shared" si="9"/>
        <v>105</v>
      </c>
      <c r="H630" s="2" t="s">
        <v>43</v>
      </c>
      <c r="K630" s="1"/>
      <c r="L630" s="1"/>
      <c r="M630" s="1"/>
    </row>
    <row r="631" spans="2:13" x14ac:dyDescent="0.2">
      <c r="B631" s="17">
        <v>44101</v>
      </c>
      <c r="C631" s="16">
        <v>361</v>
      </c>
      <c r="D631" s="6">
        <v>19800</v>
      </c>
      <c r="E631" s="1">
        <v>20400</v>
      </c>
      <c r="G631" s="2">
        <f t="shared" si="9"/>
        <v>20400</v>
      </c>
      <c r="H631" s="2" t="s">
        <v>14</v>
      </c>
      <c r="K631" s="1"/>
      <c r="L631" s="1"/>
      <c r="M631" s="1"/>
    </row>
    <row r="632" spans="2:13" x14ac:dyDescent="0.2">
      <c r="B632" s="17">
        <v>44101</v>
      </c>
      <c r="C632" s="16">
        <v>362</v>
      </c>
      <c r="D632" s="6">
        <v>1555</v>
      </c>
      <c r="E632" s="1">
        <v>1796.25</v>
      </c>
      <c r="G632" s="2">
        <f t="shared" si="9"/>
        <v>1796.25</v>
      </c>
      <c r="H632" s="2" t="s">
        <v>37</v>
      </c>
      <c r="K632" s="1"/>
      <c r="L632" s="1"/>
      <c r="M632" s="1"/>
    </row>
    <row r="633" spans="2:13" x14ac:dyDescent="0.2">
      <c r="B633" s="17">
        <v>44101</v>
      </c>
      <c r="C633" s="16">
        <v>363</v>
      </c>
      <c r="D633" s="6">
        <v>295</v>
      </c>
      <c r="E633" s="1">
        <v>335</v>
      </c>
      <c r="G633" s="2">
        <f t="shared" si="9"/>
        <v>335</v>
      </c>
      <c r="H633" t="s">
        <v>39</v>
      </c>
      <c r="K633" s="1"/>
      <c r="L633" s="1"/>
      <c r="M633" s="1"/>
    </row>
    <row r="634" spans="2:13" x14ac:dyDescent="0.2">
      <c r="B634" s="17">
        <v>44101</v>
      </c>
      <c r="C634" s="16">
        <v>364</v>
      </c>
      <c r="D634" s="6">
        <v>275.5</v>
      </c>
      <c r="E634" s="1">
        <v>319</v>
      </c>
      <c r="G634" s="2">
        <f t="shared" si="9"/>
        <v>319</v>
      </c>
      <c r="H634" t="s">
        <v>39</v>
      </c>
      <c r="K634" s="39"/>
    </row>
    <row r="635" spans="2:13" x14ac:dyDescent="0.2">
      <c r="B635" s="17">
        <v>44101</v>
      </c>
      <c r="C635" s="16">
        <v>365</v>
      </c>
      <c r="D635" s="6">
        <v>1167.5</v>
      </c>
      <c r="E635" s="1">
        <v>1380</v>
      </c>
      <c r="G635" s="2">
        <f t="shared" si="9"/>
        <v>1380</v>
      </c>
      <c r="H635" s="2" t="s">
        <v>42</v>
      </c>
      <c r="K635" s="39"/>
    </row>
    <row r="636" spans="2:13" x14ac:dyDescent="0.2">
      <c r="B636" s="17">
        <v>44101</v>
      </c>
      <c r="C636" s="16"/>
      <c r="D636" s="6"/>
      <c r="F636" s="1">
        <v>2000</v>
      </c>
      <c r="G636" s="2">
        <f t="shared" si="9"/>
        <v>-2000</v>
      </c>
      <c r="H636" s="2" t="s">
        <v>51</v>
      </c>
      <c r="K636" s="39"/>
    </row>
    <row r="637" spans="2:13" x14ac:dyDescent="0.2">
      <c r="B637" s="17">
        <v>44101</v>
      </c>
      <c r="C637" s="16"/>
      <c r="D637" s="6"/>
      <c r="F637" s="1">
        <v>300</v>
      </c>
      <c r="G637" s="2">
        <f t="shared" si="9"/>
        <v>-300</v>
      </c>
      <c r="H637" t="s">
        <v>39</v>
      </c>
      <c r="K637" s="39"/>
    </row>
    <row r="638" spans="2:13" x14ac:dyDescent="0.2">
      <c r="B638" s="17">
        <v>44101</v>
      </c>
      <c r="C638" s="16"/>
      <c r="D638" s="6"/>
      <c r="F638" s="1">
        <v>414</v>
      </c>
      <c r="G638" s="2">
        <f t="shared" si="9"/>
        <v>-414</v>
      </c>
      <c r="H638" t="s">
        <v>39</v>
      </c>
      <c r="K638" s="39"/>
    </row>
    <row r="639" spans="2:13" x14ac:dyDescent="0.2">
      <c r="B639" s="17">
        <v>44102</v>
      </c>
      <c r="C639" s="16">
        <v>366</v>
      </c>
      <c r="D639" s="6">
        <v>1275</v>
      </c>
      <c r="E639" s="1">
        <v>1320</v>
      </c>
      <c r="G639" s="2">
        <f t="shared" si="9"/>
        <v>1320</v>
      </c>
      <c r="H639" s="2" t="s">
        <v>48</v>
      </c>
      <c r="K639" s="39"/>
    </row>
    <row r="640" spans="2:13" x14ac:dyDescent="0.2">
      <c r="B640" s="17">
        <v>44102</v>
      </c>
      <c r="C640" s="16"/>
      <c r="D640" s="6"/>
      <c r="F640" s="1">
        <v>10000</v>
      </c>
      <c r="G640" s="2">
        <f t="shared" si="9"/>
        <v>-10000</v>
      </c>
      <c r="H640" s="2" t="s">
        <v>14</v>
      </c>
      <c r="K640" s="39"/>
    </row>
    <row r="641" spans="2:11" x14ac:dyDescent="0.2">
      <c r="B641" s="17">
        <v>44103</v>
      </c>
      <c r="C641" s="16"/>
      <c r="D641" s="6"/>
      <c r="F641" s="1">
        <v>2000</v>
      </c>
      <c r="G641" s="2">
        <f t="shared" si="9"/>
        <v>-2000</v>
      </c>
      <c r="H641" s="2" t="s">
        <v>45</v>
      </c>
      <c r="K641" s="39"/>
    </row>
    <row r="642" spans="2:11" x14ac:dyDescent="0.2">
      <c r="B642" s="17">
        <v>44103</v>
      </c>
      <c r="C642" s="16"/>
      <c r="D642" s="6"/>
      <c r="F642" s="1">
        <v>2000</v>
      </c>
      <c r="G642" s="2">
        <f t="shared" si="9"/>
        <v>-2000</v>
      </c>
      <c r="H642" s="2" t="s">
        <v>46</v>
      </c>
      <c r="K642" s="39"/>
    </row>
    <row r="643" spans="2:11" x14ac:dyDescent="0.2">
      <c r="B643" s="17">
        <v>44104</v>
      </c>
      <c r="C643" s="16">
        <v>367</v>
      </c>
      <c r="D643" s="6">
        <v>1200</v>
      </c>
      <c r="E643" s="1">
        <v>1290</v>
      </c>
      <c r="G643" s="2">
        <f t="shared" ref="G643:G706" si="10">E643-F643</f>
        <v>1290</v>
      </c>
      <c r="H643" s="2" t="s">
        <v>51</v>
      </c>
      <c r="K643" s="39"/>
    </row>
    <row r="644" spans="2:11" x14ac:dyDescent="0.2">
      <c r="B644" s="17">
        <v>44104</v>
      </c>
      <c r="C644" s="16">
        <v>368</v>
      </c>
      <c r="D644" s="6">
        <v>1325</v>
      </c>
      <c r="E644" s="1">
        <v>1450</v>
      </c>
      <c r="G644" s="2">
        <f t="shared" si="10"/>
        <v>1450</v>
      </c>
      <c r="H644" s="2" t="s">
        <v>37</v>
      </c>
      <c r="K644" s="39"/>
    </row>
    <row r="645" spans="2:11" x14ac:dyDescent="0.2">
      <c r="B645" s="17">
        <v>44104</v>
      </c>
      <c r="C645" s="16">
        <v>369</v>
      </c>
      <c r="D645" s="6">
        <v>3075</v>
      </c>
      <c r="E645" s="1">
        <v>3150</v>
      </c>
      <c r="G645" s="2">
        <f t="shared" si="10"/>
        <v>3150</v>
      </c>
      <c r="H645" s="2" t="s">
        <v>14</v>
      </c>
      <c r="K645" s="39"/>
    </row>
    <row r="646" spans="2:11" x14ac:dyDescent="0.2">
      <c r="B646" s="17">
        <v>44104</v>
      </c>
      <c r="C646" s="16">
        <v>370</v>
      </c>
      <c r="D646" s="6">
        <v>2160</v>
      </c>
      <c r="E646" s="1">
        <v>2470</v>
      </c>
      <c r="G646" s="2">
        <f t="shared" si="10"/>
        <v>2470</v>
      </c>
      <c r="H646" s="2" t="s">
        <v>46</v>
      </c>
      <c r="K646" s="39"/>
    </row>
    <row r="647" spans="2:11" x14ac:dyDescent="0.2">
      <c r="B647" s="17">
        <v>44104</v>
      </c>
      <c r="C647" s="16">
        <v>371</v>
      </c>
      <c r="D647" s="6">
        <v>2300</v>
      </c>
      <c r="E647" s="1">
        <v>2450</v>
      </c>
      <c r="G647" s="2">
        <f t="shared" si="10"/>
        <v>2450</v>
      </c>
      <c r="H647" t="s">
        <v>39</v>
      </c>
      <c r="K647" s="39"/>
    </row>
    <row r="648" spans="2:11" x14ac:dyDescent="0.2">
      <c r="B648" s="17">
        <v>44104</v>
      </c>
      <c r="C648" s="16">
        <v>372</v>
      </c>
      <c r="D648" s="6">
        <v>850</v>
      </c>
      <c r="E648" s="1">
        <v>1000</v>
      </c>
      <c r="G648" s="2">
        <f t="shared" si="10"/>
        <v>1000</v>
      </c>
      <c r="H648" s="2" t="s">
        <v>34</v>
      </c>
      <c r="K648" s="39"/>
    </row>
    <row r="649" spans="2:11" x14ac:dyDescent="0.2">
      <c r="B649" s="17">
        <v>44104</v>
      </c>
      <c r="C649" s="16">
        <v>373</v>
      </c>
      <c r="D649" s="1">
        <v>2397</v>
      </c>
      <c r="E649" s="1">
        <v>2763.5</v>
      </c>
      <c r="G649" s="2">
        <f t="shared" si="10"/>
        <v>2763.5</v>
      </c>
      <c r="H649" s="2" t="s">
        <v>45</v>
      </c>
      <c r="K649" s="39"/>
    </row>
    <row r="650" spans="2:11" x14ac:dyDescent="0.2">
      <c r="B650" s="17">
        <v>44104</v>
      </c>
      <c r="C650" s="16">
        <v>374</v>
      </c>
      <c r="D650" s="6">
        <v>602</v>
      </c>
      <c r="E650" s="1">
        <v>675</v>
      </c>
      <c r="G650" s="2">
        <f t="shared" si="10"/>
        <v>675</v>
      </c>
      <c r="H650" s="2" t="s">
        <v>42</v>
      </c>
      <c r="K650" s="39"/>
    </row>
    <row r="651" spans="2:11" x14ac:dyDescent="0.2">
      <c r="B651" s="17">
        <v>44104</v>
      </c>
      <c r="C651" s="16">
        <v>375</v>
      </c>
      <c r="D651" s="6">
        <v>940</v>
      </c>
      <c r="E651" s="1">
        <v>1040</v>
      </c>
      <c r="G651" s="2">
        <f t="shared" si="10"/>
        <v>1040</v>
      </c>
      <c r="H651" t="s">
        <v>35</v>
      </c>
      <c r="K651" s="39"/>
    </row>
    <row r="652" spans="2:11" x14ac:dyDescent="0.2">
      <c r="B652" s="17">
        <v>44104</v>
      </c>
      <c r="C652" s="16">
        <v>376</v>
      </c>
      <c r="D652" s="6">
        <v>50</v>
      </c>
      <c r="E652" s="1">
        <v>65</v>
      </c>
      <c r="G652" s="2">
        <f t="shared" si="10"/>
        <v>65</v>
      </c>
      <c r="H652" t="s">
        <v>39</v>
      </c>
      <c r="K652" s="39"/>
    </row>
    <row r="653" spans="2:11" x14ac:dyDescent="0.2">
      <c r="B653" s="17">
        <v>44104</v>
      </c>
      <c r="C653" s="16"/>
      <c r="D653" s="6"/>
      <c r="F653" s="1">
        <v>65</v>
      </c>
      <c r="G653" s="2">
        <f t="shared" si="10"/>
        <v>-65</v>
      </c>
      <c r="H653" t="s">
        <v>39</v>
      </c>
      <c r="K653" s="39"/>
    </row>
    <row r="654" spans="2:11" x14ac:dyDescent="0.2">
      <c r="B654" s="17">
        <v>44104</v>
      </c>
      <c r="C654" s="16">
        <v>377</v>
      </c>
      <c r="D654" s="6">
        <v>6025</v>
      </c>
      <c r="E654" s="1">
        <v>6255</v>
      </c>
      <c r="G654" s="2">
        <f t="shared" si="10"/>
        <v>6255</v>
      </c>
      <c r="H654" s="2" t="s">
        <v>48</v>
      </c>
      <c r="K654" s="39"/>
    </row>
    <row r="655" spans="2:11" x14ac:dyDescent="0.2">
      <c r="B655" s="17">
        <v>44105</v>
      </c>
      <c r="C655" s="16"/>
      <c r="D655" s="6"/>
      <c r="F655" s="1">
        <v>2540</v>
      </c>
      <c r="G655" s="2">
        <f t="shared" si="10"/>
        <v>-2540</v>
      </c>
      <c r="H655" t="s">
        <v>39</v>
      </c>
      <c r="K655" s="39"/>
    </row>
    <row r="656" spans="2:11" x14ac:dyDescent="0.2">
      <c r="B656" s="17">
        <v>44105</v>
      </c>
      <c r="C656" s="16"/>
      <c r="D656" s="6"/>
      <c r="F656" s="1">
        <v>2000</v>
      </c>
      <c r="G656" s="2">
        <f t="shared" si="10"/>
        <v>-2000</v>
      </c>
      <c r="H656" s="2" t="s">
        <v>34</v>
      </c>
      <c r="K656" s="39"/>
    </row>
    <row r="657" spans="2:11" x14ac:dyDescent="0.2">
      <c r="B657" s="17">
        <v>44107</v>
      </c>
      <c r="C657" s="16"/>
      <c r="D657" s="6"/>
      <c r="F657" s="1">
        <v>3100</v>
      </c>
      <c r="G657" s="2">
        <f t="shared" si="10"/>
        <v>-3100</v>
      </c>
      <c r="H657" s="2" t="s">
        <v>37</v>
      </c>
      <c r="K657" s="39"/>
    </row>
    <row r="658" spans="2:11" x14ac:dyDescent="0.2">
      <c r="B658" s="17">
        <v>44107</v>
      </c>
      <c r="C658" s="16"/>
      <c r="D658" s="6"/>
      <c r="F658" s="1">
        <v>1000</v>
      </c>
      <c r="G658" s="2">
        <f t="shared" si="10"/>
        <v>-1000</v>
      </c>
      <c r="H658" s="2" t="s">
        <v>46</v>
      </c>
      <c r="K658" s="39"/>
    </row>
    <row r="659" spans="2:11" x14ac:dyDescent="0.2">
      <c r="B659" s="17">
        <v>44107</v>
      </c>
      <c r="C659" s="16"/>
      <c r="D659" s="6"/>
      <c r="F659" s="1">
        <v>1000</v>
      </c>
      <c r="G659" s="2">
        <f t="shared" si="10"/>
        <v>-1000</v>
      </c>
      <c r="H659" s="2" t="s">
        <v>51</v>
      </c>
      <c r="K659" s="39"/>
    </row>
    <row r="660" spans="2:11" x14ac:dyDescent="0.2">
      <c r="B660" s="17">
        <v>44108</v>
      </c>
      <c r="C660" s="16">
        <v>378</v>
      </c>
      <c r="D660" s="6">
        <v>1060</v>
      </c>
      <c r="E660" s="1">
        <v>1215</v>
      </c>
      <c r="G660" s="2">
        <f t="shared" si="10"/>
        <v>1215</v>
      </c>
      <c r="H660" s="2" t="s">
        <v>34</v>
      </c>
      <c r="K660" s="39"/>
    </row>
    <row r="661" spans="2:11" x14ac:dyDescent="0.2">
      <c r="B661" s="17">
        <v>44109</v>
      </c>
      <c r="C661" s="16">
        <v>379</v>
      </c>
      <c r="D661" s="6">
        <v>1400</v>
      </c>
      <c r="E661" s="1">
        <v>1500</v>
      </c>
      <c r="G661" s="2">
        <f t="shared" si="10"/>
        <v>1500</v>
      </c>
      <c r="H661" t="s">
        <v>35</v>
      </c>
      <c r="K661" s="39"/>
    </row>
    <row r="662" spans="2:11" x14ac:dyDescent="0.2">
      <c r="B662" s="17">
        <v>44109</v>
      </c>
      <c r="C662" s="16">
        <v>380</v>
      </c>
      <c r="D662" s="6">
        <v>100</v>
      </c>
      <c r="E662" s="1">
        <v>120</v>
      </c>
      <c r="G662" s="2">
        <f t="shared" si="10"/>
        <v>120</v>
      </c>
      <c r="H662" t="s">
        <v>39</v>
      </c>
      <c r="K662" s="39"/>
    </row>
    <row r="663" spans="2:11" x14ac:dyDescent="0.2">
      <c r="B663" s="17">
        <v>44109</v>
      </c>
      <c r="C663" s="16">
        <v>381</v>
      </c>
      <c r="D663" s="6">
        <v>135</v>
      </c>
      <c r="E663" s="1">
        <v>140</v>
      </c>
      <c r="G663" s="2">
        <f t="shared" si="10"/>
        <v>140</v>
      </c>
      <c r="H663" s="2" t="s">
        <v>34</v>
      </c>
      <c r="K663" s="39"/>
    </row>
    <row r="664" spans="2:11" x14ac:dyDescent="0.2">
      <c r="B664" s="17">
        <v>44109</v>
      </c>
      <c r="C664" s="16"/>
      <c r="D664" s="6"/>
      <c r="F664" s="1">
        <v>23000</v>
      </c>
      <c r="G664" s="2">
        <f t="shared" si="10"/>
        <v>-23000</v>
      </c>
      <c r="H664" s="2" t="s">
        <v>25</v>
      </c>
      <c r="K664" s="39"/>
    </row>
    <row r="665" spans="2:11" x14ac:dyDescent="0.2">
      <c r="B665" s="17">
        <v>44109</v>
      </c>
      <c r="C665" s="16"/>
      <c r="D665" s="6"/>
      <c r="F665" s="1">
        <v>5000</v>
      </c>
      <c r="G665" s="2">
        <f t="shared" si="10"/>
        <v>-5000</v>
      </c>
      <c r="H665" s="2" t="s">
        <v>14</v>
      </c>
      <c r="K665" s="39"/>
    </row>
    <row r="666" spans="2:11" x14ac:dyDescent="0.2">
      <c r="B666" s="17">
        <v>44109</v>
      </c>
      <c r="C666" s="16"/>
      <c r="D666" s="6"/>
      <c r="F666" s="1">
        <v>2000</v>
      </c>
      <c r="G666" s="2">
        <f t="shared" si="10"/>
        <v>-2000</v>
      </c>
      <c r="H666" s="2" t="s">
        <v>34</v>
      </c>
      <c r="K666" s="39"/>
    </row>
    <row r="667" spans="2:11" x14ac:dyDescent="0.2">
      <c r="B667" s="17">
        <v>44110</v>
      </c>
      <c r="C667" s="16"/>
      <c r="D667" s="6"/>
      <c r="F667" s="1">
        <v>950</v>
      </c>
      <c r="G667" s="2">
        <f t="shared" si="10"/>
        <v>-950</v>
      </c>
      <c r="H667" s="2" t="s">
        <v>44</v>
      </c>
      <c r="K667" s="39"/>
    </row>
    <row r="668" spans="2:11" x14ac:dyDescent="0.2">
      <c r="B668" s="17">
        <v>44110</v>
      </c>
      <c r="C668" s="16"/>
      <c r="D668" s="6"/>
      <c r="F668" s="1">
        <v>1440</v>
      </c>
      <c r="G668" s="2">
        <f t="shared" si="10"/>
        <v>-1440</v>
      </c>
      <c r="H668" t="s">
        <v>32</v>
      </c>
      <c r="K668" s="39"/>
    </row>
    <row r="669" spans="2:11" x14ac:dyDescent="0.2">
      <c r="B669" s="17">
        <v>44110</v>
      </c>
      <c r="C669" s="16">
        <v>382</v>
      </c>
      <c r="D669" s="6">
        <v>1275</v>
      </c>
      <c r="E669" s="1">
        <v>1440</v>
      </c>
      <c r="G669" s="2">
        <f t="shared" si="10"/>
        <v>1440</v>
      </c>
      <c r="H669" t="s">
        <v>32</v>
      </c>
      <c r="K669" s="39"/>
    </row>
    <row r="670" spans="2:11" x14ac:dyDescent="0.2">
      <c r="B670" s="17">
        <v>44110</v>
      </c>
      <c r="C670" s="16">
        <v>383</v>
      </c>
      <c r="D670" s="6">
        <v>220</v>
      </c>
      <c r="E670" s="1">
        <v>240</v>
      </c>
      <c r="G670" s="2">
        <f t="shared" si="10"/>
        <v>240</v>
      </c>
      <c r="H670" t="s">
        <v>35</v>
      </c>
      <c r="K670" s="39"/>
    </row>
    <row r="671" spans="2:11" x14ac:dyDescent="0.2">
      <c r="B671" s="17">
        <v>44110</v>
      </c>
      <c r="C671" s="16">
        <v>384</v>
      </c>
      <c r="D671" s="6">
        <v>1000</v>
      </c>
      <c r="E671" s="1">
        <v>1150</v>
      </c>
      <c r="G671" s="2">
        <f t="shared" si="10"/>
        <v>1150</v>
      </c>
      <c r="H671" s="2" t="s">
        <v>37</v>
      </c>
      <c r="K671" s="39"/>
    </row>
    <row r="672" spans="2:11" x14ac:dyDescent="0.2">
      <c r="B672" s="17">
        <v>44110</v>
      </c>
      <c r="C672" s="16">
        <v>385</v>
      </c>
      <c r="D672" s="6">
        <v>900</v>
      </c>
      <c r="E672" s="1">
        <v>950</v>
      </c>
      <c r="G672" s="2">
        <f t="shared" si="10"/>
        <v>950</v>
      </c>
      <c r="H672" s="2" t="s">
        <v>44</v>
      </c>
      <c r="K672" s="39"/>
    </row>
    <row r="673" spans="2:11" x14ac:dyDescent="0.2">
      <c r="B673" s="17">
        <v>44111</v>
      </c>
      <c r="C673" s="16">
        <v>386</v>
      </c>
      <c r="D673" s="6">
        <v>6536</v>
      </c>
      <c r="E673" s="1">
        <v>6991.9999999999991</v>
      </c>
      <c r="G673" s="2">
        <f t="shared" si="10"/>
        <v>6991.9999999999991</v>
      </c>
      <c r="H673" s="2" t="s">
        <v>14</v>
      </c>
      <c r="K673" s="39"/>
    </row>
    <row r="674" spans="2:11" x14ac:dyDescent="0.2">
      <c r="B674" s="17">
        <v>44111</v>
      </c>
      <c r="C674" s="16">
        <v>387</v>
      </c>
      <c r="D674" s="6">
        <v>540</v>
      </c>
      <c r="E674" s="1">
        <v>560</v>
      </c>
      <c r="G674" s="2">
        <f t="shared" si="10"/>
        <v>560</v>
      </c>
      <c r="H674" s="2" t="s">
        <v>34</v>
      </c>
      <c r="K674" s="39"/>
    </row>
    <row r="675" spans="2:11" x14ac:dyDescent="0.2">
      <c r="B675" s="17">
        <v>44111</v>
      </c>
      <c r="C675" s="16">
        <v>388</v>
      </c>
      <c r="D675" s="6">
        <v>2800</v>
      </c>
      <c r="E675" s="1">
        <v>3060</v>
      </c>
      <c r="G675" s="2">
        <f t="shared" si="10"/>
        <v>3060</v>
      </c>
      <c r="H675" s="2" t="s">
        <v>45</v>
      </c>
      <c r="K675" s="39"/>
    </row>
    <row r="676" spans="2:11" x14ac:dyDescent="0.2">
      <c r="B676" s="17">
        <v>44111</v>
      </c>
      <c r="C676" s="16">
        <v>389</v>
      </c>
      <c r="D676" s="6">
        <v>550</v>
      </c>
      <c r="E676" s="1">
        <v>575</v>
      </c>
      <c r="G676" s="2">
        <f t="shared" si="10"/>
        <v>575</v>
      </c>
      <c r="H676" s="2" t="s">
        <v>48</v>
      </c>
      <c r="K676" s="39"/>
    </row>
    <row r="677" spans="2:11" x14ac:dyDescent="0.2">
      <c r="B677" s="17">
        <v>44111</v>
      </c>
      <c r="C677" s="16"/>
      <c r="D677" s="6"/>
      <c r="F677" s="1">
        <v>329</v>
      </c>
      <c r="G677" s="2">
        <f t="shared" si="10"/>
        <v>-329</v>
      </c>
      <c r="H677" t="s">
        <v>39</v>
      </c>
      <c r="K677" s="39"/>
    </row>
    <row r="678" spans="2:11" x14ac:dyDescent="0.2">
      <c r="B678" s="17">
        <v>44112</v>
      </c>
      <c r="C678" s="16"/>
      <c r="D678" s="6"/>
      <c r="F678" s="1">
        <v>10000</v>
      </c>
      <c r="G678" s="2">
        <f t="shared" si="10"/>
        <v>-10000</v>
      </c>
      <c r="H678" s="2" t="s">
        <v>46</v>
      </c>
      <c r="K678" s="39"/>
    </row>
    <row r="679" spans="2:11" x14ac:dyDescent="0.2">
      <c r="B679" s="17">
        <v>44114</v>
      </c>
      <c r="C679" s="16">
        <v>390</v>
      </c>
      <c r="D679" s="6">
        <v>740</v>
      </c>
      <c r="E679" s="1">
        <v>900</v>
      </c>
      <c r="G679" s="2">
        <f t="shared" si="10"/>
        <v>900</v>
      </c>
      <c r="H679" t="s">
        <v>35</v>
      </c>
      <c r="K679" s="39"/>
    </row>
    <row r="680" spans="2:11" x14ac:dyDescent="0.2">
      <c r="B680" s="17">
        <v>44115</v>
      </c>
      <c r="C680" s="16">
        <v>391</v>
      </c>
      <c r="D680" s="6">
        <v>14350</v>
      </c>
      <c r="E680" s="1">
        <v>17200</v>
      </c>
      <c r="G680" s="2">
        <f t="shared" si="10"/>
        <v>17200</v>
      </c>
      <c r="H680" s="2" t="s">
        <v>14</v>
      </c>
      <c r="K680" s="39"/>
    </row>
    <row r="681" spans="2:11" x14ac:dyDescent="0.2">
      <c r="B681" s="17">
        <v>44115</v>
      </c>
      <c r="C681" s="16">
        <v>392</v>
      </c>
      <c r="D681" s="6">
        <v>4574</v>
      </c>
      <c r="E681" s="1">
        <v>4795</v>
      </c>
      <c r="G681" s="2">
        <f t="shared" si="10"/>
        <v>4795</v>
      </c>
      <c r="H681" s="2" t="s">
        <v>45</v>
      </c>
      <c r="K681" s="39"/>
    </row>
    <row r="682" spans="2:11" x14ac:dyDescent="0.2">
      <c r="B682" s="17">
        <v>44115</v>
      </c>
      <c r="C682" s="16"/>
      <c r="D682" s="6"/>
      <c r="F682" s="1">
        <v>3120</v>
      </c>
      <c r="G682" s="2">
        <f t="shared" si="10"/>
        <v>-3120</v>
      </c>
      <c r="H682" s="2" t="s">
        <v>39</v>
      </c>
      <c r="K682" s="39"/>
    </row>
    <row r="683" spans="2:11" x14ac:dyDescent="0.2">
      <c r="B683" s="17">
        <v>44115</v>
      </c>
      <c r="C683" s="16">
        <v>393</v>
      </c>
      <c r="D683" s="6">
        <v>2700</v>
      </c>
      <c r="E683" s="1">
        <v>3120</v>
      </c>
      <c r="G683" s="2">
        <f t="shared" si="10"/>
        <v>3120</v>
      </c>
      <c r="H683" s="2" t="s">
        <v>39</v>
      </c>
      <c r="K683" s="39"/>
    </row>
    <row r="684" spans="2:11" x14ac:dyDescent="0.2">
      <c r="B684" s="17">
        <v>44115</v>
      </c>
      <c r="C684" s="16"/>
      <c r="D684" s="6"/>
      <c r="F684" s="1">
        <v>7000</v>
      </c>
      <c r="G684" s="2">
        <f t="shared" si="10"/>
        <v>-7000</v>
      </c>
      <c r="H684" s="2" t="s">
        <v>14</v>
      </c>
      <c r="K684" s="39"/>
    </row>
    <row r="685" spans="2:11" x14ac:dyDescent="0.2">
      <c r="B685" s="17">
        <v>44116</v>
      </c>
      <c r="C685" s="16">
        <v>394</v>
      </c>
      <c r="D685" s="6">
        <v>423</v>
      </c>
      <c r="E685" s="1">
        <v>564</v>
      </c>
      <c r="G685" s="2">
        <f t="shared" si="10"/>
        <v>564</v>
      </c>
      <c r="H685" s="2" t="s">
        <v>87</v>
      </c>
      <c r="K685" s="39"/>
    </row>
    <row r="686" spans="2:11" x14ac:dyDescent="0.2">
      <c r="B686" s="17">
        <v>44116</v>
      </c>
      <c r="C686" s="16">
        <v>395</v>
      </c>
      <c r="D686" s="6">
        <v>1450</v>
      </c>
      <c r="E686" s="1">
        <v>1650</v>
      </c>
      <c r="G686" s="2">
        <f t="shared" si="10"/>
        <v>1650</v>
      </c>
      <c r="H686" s="2" t="s">
        <v>37</v>
      </c>
      <c r="K686" s="39"/>
    </row>
    <row r="687" spans="2:11" x14ac:dyDescent="0.2">
      <c r="B687" s="17">
        <v>44116</v>
      </c>
      <c r="C687" s="16"/>
      <c r="D687" s="6"/>
      <c r="F687" s="1">
        <v>562</v>
      </c>
      <c r="G687" s="2">
        <f t="shared" si="10"/>
        <v>-562</v>
      </c>
      <c r="H687" s="2" t="s">
        <v>87</v>
      </c>
      <c r="K687" s="39"/>
    </row>
    <row r="688" spans="2:11" x14ac:dyDescent="0.2">
      <c r="B688" s="17">
        <v>44116</v>
      </c>
      <c r="C688" s="16"/>
      <c r="D688" s="6"/>
      <c r="F688" s="1">
        <v>3000</v>
      </c>
      <c r="G688" s="2">
        <f t="shared" si="10"/>
        <v>-3000</v>
      </c>
      <c r="H688" s="2" t="s">
        <v>45</v>
      </c>
      <c r="K688" s="39"/>
    </row>
    <row r="689" spans="2:11" x14ac:dyDescent="0.2">
      <c r="B689" s="17">
        <v>44116</v>
      </c>
      <c r="C689" s="16"/>
      <c r="D689" s="6"/>
      <c r="F689" s="1">
        <v>10000</v>
      </c>
      <c r="G689" s="2">
        <f t="shared" si="10"/>
        <v>-10000</v>
      </c>
      <c r="H689" s="2" t="s">
        <v>42</v>
      </c>
      <c r="K689" s="39"/>
    </row>
    <row r="690" spans="2:11" x14ac:dyDescent="0.2">
      <c r="B690" s="17">
        <v>44117</v>
      </c>
      <c r="C690" s="16"/>
      <c r="D690" s="6"/>
      <c r="F690" s="1">
        <v>2500</v>
      </c>
      <c r="G690" s="2">
        <f t="shared" si="10"/>
        <v>-2500</v>
      </c>
      <c r="H690" t="s">
        <v>35</v>
      </c>
      <c r="K690" s="39"/>
    </row>
    <row r="691" spans="2:11" x14ac:dyDescent="0.2">
      <c r="B691" s="17">
        <v>44117</v>
      </c>
      <c r="C691" s="16"/>
      <c r="D691" s="6"/>
      <c r="F691" s="1">
        <v>120</v>
      </c>
      <c r="G691" s="2">
        <f t="shared" si="10"/>
        <v>-120</v>
      </c>
      <c r="H691" t="s">
        <v>39</v>
      </c>
      <c r="K691" s="39"/>
    </row>
    <row r="692" spans="2:11" x14ac:dyDescent="0.2">
      <c r="B692" s="17">
        <v>44118</v>
      </c>
      <c r="C692" s="16">
        <v>396</v>
      </c>
      <c r="D692" s="6">
        <v>10000</v>
      </c>
      <c r="E692" s="1">
        <v>11000</v>
      </c>
      <c r="G692" s="2">
        <f t="shared" si="10"/>
        <v>11000</v>
      </c>
      <c r="H692" s="2" t="s">
        <v>14</v>
      </c>
      <c r="K692" s="39"/>
    </row>
    <row r="693" spans="2:11" x14ac:dyDescent="0.2">
      <c r="B693" s="17">
        <v>44119</v>
      </c>
      <c r="C693" s="16">
        <v>397</v>
      </c>
      <c r="D693" s="6">
        <v>1080</v>
      </c>
      <c r="E693" s="1">
        <v>1350</v>
      </c>
      <c r="G693" s="2">
        <f t="shared" si="10"/>
        <v>1350</v>
      </c>
      <c r="H693" t="s">
        <v>35</v>
      </c>
      <c r="K693" s="39"/>
    </row>
    <row r="694" spans="2:11" x14ac:dyDescent="0.2">
      <c r="B694" s="17">
        <v>44119</v>
      </c>
      <c r="C694" s="16">
        <v>398</v>
      </c>
      <c r="D694" s="6">
        <v>1200</v>
      </c>
      <c r="E694" s="1">
        <v>1305</v>
      </c>
      <c r="G694" s="2">
        <f t="shared" si="10"/>
        <v>1305</v>
      </c>
      <c r="H694" s="2" t="s">
        <v>34</v>
      </c>
      <c r="K694" s="39"/>
    </row>
    <row r="695" spans="2:11" x14ac:dyDescent="0.2">
      <c r="B695" s="17">
        <v>44121</v>
      </c>
      <c r="C695" s="16"/>
      <c r="D695" s="6"/>
      <c r="F695" s="1">
        <v>5000</v>
      </c>
      <c r="G695" s="2">
        <f t="shared" si="10"/>
        <v>-5000</v>
      </c>
      <c r="H695" s="2" t="s">
        <v>14</v>
      </c>
      <c r="K695" s="39"/>
    </row>
    <row r="696" spans="2:11" x14ac:dyDescent="0.2">
      <c r="B696" s="17">
        <v>44122</v>
      </c>
      <c r="C696" s="16">
        <v>399</v>
      </c>
      <c r="D696" s="6">
        <v>340</v>
      </c>
      <c r="E696" s="1">
        <v>400</v>
      </c>
      <c r="G696" s="2">
        <f t="shared" si="10"/>
        <v>400</v>
      </c>
      <c r="H696" s="2" t="s">
        <v>37</v>
      </c>
      <c r="K696" s="39"/>
    </row>
    <row r="697" spans="2:11" x14ac:dyDescent="0.2">
      <c r="B697" s="17">
        <v>44122</v>
      </c>
      <c r="C697" s="16">
        <v>400</v>
      </c>
      <c r="D697" s="6">
        <v>630</v>
      </c>
      <c r="E697" s="1">
        <v>720</v>
      </c>
      <c r="G697" s="2">
        <f t="shared" si="10"/>
        <v>720</v>
      </c>
      <c r="H697" s="2" t="s">
        <v>87</v>
      </c>
      <c r="K697" s="39"/>
    </row>
    <row r="698" spans="2:11" x14ac:dyDescent="0.2">
      <c r="B698" s="17">
        <v>44122</v>
      </c>
      <c r="C698" s="16">
        <v>401</v>
      </c>
      <c r="D698" s="6">
        <v>1632</v>
      </c>
      <c r="E698" s="1">
        <v>1709</v>
      </c>
      <c r="G698" s="2">
        <f t="shared" si="10"/>
        <v>1709</v>
      </c>
      <c r="H698" s="2" t="s">
        <v>45</v>
      </c>
      <c r="K698" s="39"/>
    </row>
    <row r="699" spans="2:11" x14ac:dyDescent="0.2">
      <c r="B699" s="17">
        <v>44122</v>
      </c>
      <c r="C699" s="16">
        <v>402</v>
      </c>
      <c r="D699" s="6">
        <v>230</v>
      </c>
      <c r="E699" s="1">
        <v>300</v>
      </c>
      <c r="G699" s="2">
        <f t="shared" si="10"/>
        <v>300</v>
      </c>
      <c r="H699" s="2" t="s">
        <v>46</v>
      </c>
      <c r="K699" s="39"/>
    </row>
    <row r="700" spans="2:11" x14ac:dyDescent="0.2">
      <c r="B700" s="17">
        <v>44122</v>
      </c>
      <c r="C700" s="16"/>
      <c r="D700" s="6"/>
      <c r="F700" s="1">
        <v>2000</v>
      </c>
      <c r="G700" s="2">
        <f t="shared" si="10"/>
        <v>-2000</v>
      </c>
      <c r="H700" s="2" t="s">
        <v>45</v>
      </c>
      <c r="K700" s="39"/>
    </row>
    <row r="701" spans="2:11" x14ac:dyDescent="0.2">
      <c r="B701" s="17">
        <v>44122</v>
      </c>
      <c r="C701" s="16"/>
      <c r="D701" s="6"/>
      <c r="F701" s="1">
        <v>1000</v>
      </c>
      <c r="G701" s="2">
        <f t="shared" si="10"/>
        <v>-1000</v>
      </c>
      <c r="H701" s="2" t="s">
        <v>34</v>
      </c>
      <c r="K701" s="39"/>
    </row>
    <row r="702" spans="2:11" x14ac:dyDescent="0.2">
      <c r="B702" s="17">
        <v>44123</v>
      </c>
      <c r="C702" s="16"/>
      <c r="D702" s="6"/>
      <c r="F702" s="1">
        <v>5000</v>
      </c>
      <c r="G702" s="2">
        <f t="shared" si="10"/>
        <v>-5000</v>
      </c>
      <c r="H702" s="2" t="s">
        <v>14</v>
      </c>
      <c r="K702" s="39"/>
    </row>
    <row r="703" spans="2:11" x14ac:dyDescent="0.2">
      <c r="B703" s="17">
        <v>44125</v>
      </c>
      <c r="C703" s="16">
        <v>403</v>
      </c>
      <c r="D703" s="6">
        <v>60</v>
      </c>
      <c r="E703" s="1">
        <v>90</v>
      </c>
      <c r="G703" s="2">
        <f t="shared" si="10"/>
        <v>90</v>
      </c>
      <c r="H703" t="s">
        <v>39</v>
      </c>
      <c r="K703" s="39"/>
    </row>
    <row r="704" spans="2:11" x14ac:dyDescent="0.2">
      <c r="B704" s="17">
        <v>44125</v>
      </c>
      <c r="C704" s="16">
        <v>404</v>
      </c>
      <c r="D704" s="6">
        <v>110</v>
      </c>
      <c r="E704" s="1">
        <v>140</v>
      </c>
      <c r="G704" s="2">
        <f t="shared" si="10"/>
        <v>140</v>
      </c>
      <c r="H704" t="s">
        <v>39</v>
      </c>
      <c r="K704" s="39"/>
    </row>
    <row r="705" spans="2:11" x14ac:dyDescent="0.2">
      <c r="B705" s="17">
        <v>44125</v>
      </c>
      <c r="C705" s="16"/>
      <c r="D705" s="6"/>
      <c r="F705" s="1">
        <v>90</v>
      </c>
      <c r="G705" s="2">
        <f t="shared" si="10"/>
        <v>-90</v>
      </c>
      <c r="H705" t="s">
        <v>39</v>
      </c>
      <c r="K705" s="39"/>
    </row>
    <row r="706" spans="2:11" x14ac:dyDescent="0.2">
      <c r="B706" s="17">
        <v>44125</v>
      </c>
      <c r="C706" s="16"/>
      <c r="D706" s="6"/>
      <c r="F706" s="1">
        <v>10</v>
      </c>
      <c r="G706" s="2">
        <f t="shared" si="10"/>
        <v>-10</v>
      </c>
      <c r="H706" t="s">
        <v>39</v>
      </c>
      <c r="K706" s="39"/>
    </row>
    <row r="707" spans="2:11" x14ac:dyDescent="0.2">
      <c r="B707" s="17">
        <v>44125</v>
      </c>
      <c r="C707" s="16">
        <v>405</v>
      </c>
      <c r="D707" s="6">
        <v>300</v>
      </c>
      <c r="E707" s="1">
        <v>360</v>
      </c>
      <c r="G707" s="2">
        <f t="shared" ref="G707:G770" si="11">E707-F707</f>
        <v>360</v>
      </c>
      <c r="H707" s="2" t="s">
        <v>51</v>
      </c>
      <c r="K707" s="39"/>
    </row>
    <row r="708" spans="2:11" x14ac:dyDescent="0.2">
      <c r="B708" s="17">
        <v>44125</v>
      </c>
      <c r="C708" s="16">
        <v>406</v>
      </c>
      <c r="D708" s="6">
        <v>265</v>
      </c>
      <c r="E708" s="1">
        <v>300</v>
      </c>
      <c r="G708" s="2">
        <f t="shared" si="11"/>
        <v>300</v>
      </c>
      <c r="H708" t="s">
        <v>35</v>
      </c>
      <c r="K708" s="39"/>
    </row>
    <row r="709" spans="2:11" x14ac:dyDescent="0.2">
      <c r="B709" s="17">
        <v>44125</v>
      </c>
      <c r="C709" s="16">
        <v>407</v>
      </c>
      <c r="D709" s="6">
        <v>3771</v>
      </c>
      <c r="E709" s="1">
        <v>4280</v>
      </c>
      <c r="G709" s="2">
        <f t="shared" si="11"/>
        <v>4280</v>
      </c>
      <c r="H709" s="2" t="s">
        <v>14</v>
      </c>
      <c r="K709" s="39"/>
    </row>
    <row r="710" spans="2:11" x14ac:dyDescent="0.2">
      <c r="B710" s="17">
        <v>44125</v>
      </c>
      <c r="C710" s="16">
        <v>408</v>
      </c>
      <c r="D710" s="6">
        <v>1020</v>
      </c>
      <c r="E710" s="1">
        <v>1080</v>
      </c>
      <c r="G710" s="2">
        <f t="shared" si="11"/>
        <v>1080</v>
      </c>
      <c r="H710" s="2" t="s">
        <v>34</v>
      </c>
      <c r="K710" s="39"/>
    </row>
    <row r="711" spans="2:11" x14ac:dyDescent="0.2">
      <c r="B711" s="17">
        <v>44125</v>
      </c>
      <c r="C711" s="16">
        <v>409</v>
      </c>
      <c r="D711" s="6">
        <v>875</v>
      </c>
      <c r="E711" s="1">
        <v>950</v>
      </c>
      <c r="G711" s="2">
        <f t="shared" si="11"/>
        <v>950</v>
      </c>
      <c r="H711" s="2" t="s">
        <v>37</v>
      </c>
      <c r="K711" s="39"/>
    </row>
    <row r="712" spans="2:11" x14ac:dyDescent="0.2">
      <c r="B712" s="17">
        <v>44125</v>
      </c>
      <c r="C712" s="16">
        <v>410</v>
      </c>
      <c r="D712" s="6">
        <v>690</v>
      </c>
      <c r="E712" s="1">
        <v>900</v>
      </c>
      <c r="G712" s="2">
        <f t="shared" si="11"/>
        <v>900</v>
      </c>
      <c r="H712" s="2" t="s">
        <v>46</v>
      </c>
      <c r="K712" s="39"/>
    </row>
    <row r="713" spans="2:11" x14ac:dyDescent="0.2">
      <c r="B713" s="17">
        <v>44125</v>
      </c>
      <c r="C713" s="16">
        <v>411</v>
      </c>
      <c r="D713" s="6">
        <v>3596.25</v>
      </c>
      <c r="E713" s="1">
        <v>3964.75</v>
      </c>
      <c r="G713" s="2">
        <f t="shared" si="11"/>
        <v>3964.75</v>
      </c>
      <c r="H713" s="2" t="s">
        <v>56</v>
      </c>
      <c r="K713" s="39"/>
    </row>
    <row r="714" spans="2:11" x14ac:dyDescent="0.2">
      <c r="B714" s="17">
        <v>44126</v>
      </c>
      <c r="C714" s="16"/>
      <c r="D714" s="6"/>
      <c r="F714" s="1">
        <v>4050</v>
      </c>
      <c r="G714" s="2">
        <f t="shared" si="11"/>
        <v>-4050</v>
      </c>
      <c r="H714" s="2" t="s">
        <v>56</v>
      </c>
      <c r="K714" s="39"/>
    </row>
    <row r="715" spans="2:11" x14ac:dyDescent="0.2">
      <c r="B715" s="17">
        <v>44126</v>
      </c>
      <c r="C715" s="16"/>
      <c r="D715" s="6"/>
      <c r="F715" s="1">
        <v>2000</v>
      </c>
      <c r="G715" s="2">
        <f t="shared" si="11"/>
        <v>-2000</v>
      </c>
      <c r="H715" s="2" t="s">
        <v>37</v>
      </c>
      <c r="K715" s="39"/>
    </row>
    <row r="716" spans="2:11" x14ac:dyDescent="0.2">
      <c r="B716" s="17">
        <v>44128</v>
      </c>
      <c r="C716" s="16">
        <v>412</v>
      </c>
      <c r="D716" s="6">
        <v>925</v>
      </c>
      <c r="E716" s="1">
        <v>1075</v>
      </c>
      <c r="G716" s="2">
        <f t="shared" si="11"/>
        <v>1075</v>
      </c>
      <c r="H716" s="2" t="s">
        <v>37</v>
      </c>
      <c r="K716" s="39"/>
    </row>
    <row r="717" spans="2:11" x14ac:dyDescent="0.2">
      <c r="B717" s="17">
        <v>44128</v>
      </c>
      <c r="C717" s="16"/>
      <c r="D717" s="6"/>
      <c r="F717" s="1">
        <v>10000</v>
      </c>
      <c r="G717" s="2">
        <f t="shared" si="11"/>
        <v>-10000</v>
      </c>
      <c r="H717" s="2" t="s">
        <v>14</v>
      </c>
      <c r="K717" s="39"/>
    </row>
    <row r="718" spans="2:11" x14ac:dyDescent="0.2">
      <c r="B718" s="17">
        <v>44129</v>
      </c>
      <c r="C718" s="16">
        <v>413</v>
      </c>
      <c r="D718" s="6">
        <v>975</v>
      </c>
      <c r="E718" s="1">
        <v>1235</v>
      </c>
      <c r="G718" s="2">
        <f t="shared" si="11"/>
        <v>1235</v>
      </c>
      <c r="H718" t="s">
        <v>35</v>
      </c>
      <c r="K718" s="39"/>
    </row>
    <row r="719" spans="2:11" x14ac:dyDescent="0.2">
      <c r="B719" s="17">
        <v>44129</v>
      </c>
      <c r="C719" s="16">
        <v>414</v>
      </c>
      <c r="D719" s="6">
        <v>875</v>
      </c>
      <c r="E719" s="1">
        <v>1050</v>
      </c>
      <c r="G719" s="2">
        <f t="shared" si="11"/>
        <v>1050</v>
      </c>
      <c r="H719" s="2" t="s">
        <v>34</v>
      </c>
      <c r="K719" s="39"/>
    </row>
    <row r="720" spans="2:11" x14ac:dyDescent="0.2">
      <c r="B720" s="17">
        <v>44129</v>
      </c>
      <c r="C720" s="16">
        <v>415</v>
      </c>
      <c r="D720" s="6">
        <v>7225</v>
      </c>
      <c r="E720" s="1">
        <v>7600</v>
      </c>
      <c r="G720" s="2">
        <f t="shared" si="11"/>
        <v>7600</v>
      </c>
      <c r="H720" s="2" t="s">
        <v>14</v>
      </c>
      <c r="K720" s="39"/>
    </row>
    <row r="721" spans="2:11" x14ac:dyDescent="0.2">
      <c r="B721" s="17">
        <v>44129</v>
      </c>
      <c r="C721" s="16">
        <v>416</v>
      </c>
      <c r="D721" s="6">
        <v>460</v>
      </c>
      <c r="E721" s="1">
        <v>510</v>
      </c>
      <c r="G721" s="2">
        <f t="shared" si="11"/>
        <v>510</v>
      </c>
      <c r="H721" t="s">
        <v>39</v>
      </c>
      <c r="K721" s="39"/>
    </row>
    <row r="722" spans="2:11" x14ac:dyDescent="0.2">
      <c r="B722" s="17">
        <v>44129</v>
      </c>
      <c r="C722" s="16">
        <v>417</v>
      </c>
      <c r="D722" s="6">
        <v>5230</v>
      </c>
      <c r="E722" s="1">
        <v>5436</v>
      </c>
      <c r="G722" s="2">
        <f t="shared" si="11"/>
        <v>5436</v>
      </c>
      <c r="H722" s="2" t="s">
        <v>48</v>
      </c>
      <c r="K722" s="39"/>
    </row>
    <row r="723" spans="2:11" x14ac:dyDescent="0.2">
      <c r="B723" s="17">
        <v>44129</v>
      </c>
      <c r="C723" s="16"/>
      <c r="D723" s="6"/>
      <c r="F723" s="1">
        <v>1250</v>
      </c>
      <c r="G723" s="2">
        <f t="shared" si="11"/>
        <v>-1250</v>
      </c>
      <c r="H723" s="2" t="s">
        <v>51</v>
      </c>
      <c r="K723" s="39"/>
    </row>
    <row r="724" spans="2:11" x14ac:dyDescent="0.2">
      <c r="B724" s="17">
        <v>44129</v>
      </c>
      <c r="C724" s="16"/>
      <c r="D724" s="6"/>
      <c r="F724" s="1">
        <v>3000</v>
      </c>
      <c r="G724" s="2">
        <f t="shared" si="11"/>
        <v>-3000</v>
      </c>
      <c r="H724" s="2" t="s">
        <v>48</v>
      </c>
      <c r="K724" s="39"/>
    </row>
    <row r="725" spans="2:11" x14ac:dyDescent="0.2">
      <c r="B725" s="17">
        <v>44130</v>
      </c>
      <c r="C725" s="16">
        <v>418</v>
      </c>
      <c r="D725" s="6">
        <v>370</v>
      </c>
      <c r="E725" s="1">
        <v>400</v>
      </c>
      <c r="G725" s="2">
        <f t="shared" si="11"/>
        <v>400</v>
      </c>
      <c r="H725" s="2" t="s">
        <v>49</v>
      </c>
      <c r="K725" s="39"/>
    </row>
    <row r="726" spans="2:11" x14ac:dyDescent="0.2">
      <c r="B726" s="17">
        <v>44130</v>
      </c>
      <c r="C726" s="16">
        <v>419</v>
      </c>
      <c r="D726" s="6">
        <v>2125</v>
      </c>
      <c r="E726" s="1">
        <v>2400</v>
      </c>
      <c r="G726" s="2">
        <f t="shared" si="11"/>
        <v>2400</v>
      </c>
      <c r="H726" t="s">
        <v>32</v>
      </c>
      <c r="K726" s="39"/>
    </row>
    <row r="727" spans="2:11" x14ac:dyDescent="0.2">
      <c r="B727" s="17">
        <v>44130</v>
      </c>
      <c r="C727" s="16"/>
      <c r="D727" s="6"/>
      <c r="F727" s="1">
        <v>2400</v>
      </c>
      <c r="G727" s="2">
        <f t="shared" si="11"/>
        <v>-2400</v>
      </c>
      <c r="H727" t="s">
        <v>32</v>
      </c>
      <c r="K727" s="39"/>
    </row>
    <row r="728" spans="2:11" x14ac:dyDescent="0.2">
      <c r="B728" s="17">
        <v>44131</v>
      </c>
      <c r="C728" s="16"/>
      <c r="D728" s="6"/>
      <c r="F728" s="1">
        <v>2000</v>
      </c>
      <c r="G728" s="2">
        <f t="shared" si="11"/>
        <v>-2000</v>
      </c>
      <c r="H728" s="2" t="s">
        <v>45</v>
      </c>
      <c r="K728" s="39"/>
    </row>
    <row r="729" spans="2:11" x14ac:dyDescent="0.2">
      <c r="B729" s="17">
        <v>44131</v>
      </c>
      <c r="C729" s="16"/>
      <c r="D729" s="6"/>
      <c r="F729" s="1">
        <v>2000</v>
      </c>
      <c r="G729" s="2">
        <f t="shared" si="11"/>
        <v>-2000</v>
      </c>
      <c r="H729" s="2" t="s">
        <v>46</v>
      </c>
      <c r="K729" s="39"/>
    </row>
    <row r="730" spans="2:11" x14ac:dyDescent="0.2">
      <c r="B730" s="17">
        <v>44132</v>
      </c>
      <c r="C730" s="16">
        <v>420</v>
      </c>
      <c r="D730" s="6">
        <v>425</v>
      </c>
      <c r="E730" s="1">
        <v>450</v>
      </c>
      <c r="G730" s="2">
        <f t="shared" si="11"/>
        <v>450</v>
      </c>
      <c r="H730" s="2" t="s">
        <v>48</v>
      </c>
      <c r="K730" s="39"/>
    </row>
    <row r="731" spans="2:11" x14ac:dyDescent="0.2">
      <c r="B731" s="17">
        <v>44132</v>
      </c>
      <c r="C731" s="16">
        <v>421</v>
      </c>
      <c r="D731" s="6">
        <v>240</v>
      </c>
      <c r="E731" s="1">
        <v>300</v>
      </c>
      <c r="G731" s="2">
        <f t="shared" si="11"/>
        <v>300</v>
      </c>
      <c r="H731" t="s">
        <v>39</v>
      </c>
      <c r="K731" s="39"/>
    </row>
    <row r="732" spans="2:11" x14ac:dyDescent="0.2">
      <c r="B732" s="17">
        <v>44132</v>
      </c>
      <c r="C732" s="16">
        <v>422</v>
      </c>
      <c r="D732" s="6">
        <v>2120</v>
      </c>
      <c r="E732" s="1">
        <v>2500</v>
      </c>
      <c r="G732" s="2">
        <f t="shared" si="11"/>
        <v>2500</v>
      </c>
      <c r="H732" s="2" t="s">
        <v>14</v>
      </c>
      <c r="K732" s="39"/>
    </row>
    <row r="733" spans="2:11" x14ac:dyDescent="0.2">
      <c r="B733" s="17">
        <v>44132</v>
      </c>
      <c r="C733" s="16">
        <v>423</v>
      </c>
      <c r="D733" s="6">
        <v>275</v>
      </c>
      <c r="E733" s="1">
        <v>300</v>
      </c>
      <c r="G733" s="2">
        <f t="shared" si="11"/>
        <v>300</v>
      </c>
      <c r="H733" t="s">
        <v>35</v>
      </c>
      <c r="K733" s="39"/>
    </row>
    <row r="734" spans="2:11" x14ac:dyDescent="0.2">
      <c r="B734" s="17">
        <v>44132</v>
      </c>
      <c r="C734" s="16"/>
      <c r="D734" s="6"/>
      <c r="F734" s="1">
        <v>3665</v>
      </c>
      <c r="G734" s="2">
        <f t="shared" si="11"/>
        <v>-3665</v>
      </c>
      <c r="H734" t="s">
        <v>35</v>
      </c>
      <c r="K734" s="39"/>
    </row>
    <row r="735" spans="2:11" x14ac:dyDescent="0.2">
      <c r="B735" s="17">
        <v>44132</v>
      </c>
      <c r="C735" s="16"/>
      <c r="D735" s="6"/>
      <c r="F735" s="1">
        <v>130</v>
      </c>
      <c r="G735" s="2">
        <f t="shared" si="11"/>
        <v>-130</v>
      </c>
      <c r="H735" t="s">
        <v>39</v>
      </c>
      <c r="K735" s="39"/>
    </row>
    <row r="736" spans="2:11" x14ac:dyDescent="0.2">
      <c r="B736" s="17">
        <v>44132</v>
      </c>
      <c r="C736" s="16"/>
      <c r="D736" s="6"/>
      <c r="F736" s="1">
        <v>300</v>
      </c>
      <c r="G736" s="2">
        <f t="shared" si="11"/>
        <v>-300</v>
      </c>
      <c r="H736" t="s">
        <v>39</v>
      </c>
      <c r="K736" s="39"/>
    </row>
    <row r="737" spans="2:11" x14ac:dyDescent="0.2">
      <c r="B737" s="17">
        <v>44132</v>
      </c>
      <c r="C737" s="16"/>
      <c r="D737" s="6"/>
      <c r="F737" s="1">
        <v>510</v>
      </c>
      <c r="G737" s="2">
        <f t="shared" si="11"/>
        <v>-510</v>
      </c>
      <c r="H737" t="s">
        <v>39</v>
      </c>
      <c r="K737" s="39"/>
    </row>
    <row r="738" spans="2:11" x14ac:dyDescent="0.2">
      <c r="B738" s="17">
        <v>44133</v>
      </c>
      <c r="C738" s="16"/>
      <c r="D738" s="6"/>
      <c r="F738" s="1">
        <v>7000</v>
      </c>
      <c r="G738" s="2">
        <f t="shared" si="11"/>
        <v>-7000</v>
      </c>
      <c r="H738" s="2" t="s">
        <v>14</v>
      </c>
      <c r="K738" s="39"/>
    </row>
    <row r="739" spans="2:11" x14ac:dyDescent="0.2">
      <c r="B739" s="17">
        <v>44135</v>
      </c>
      <c r="C739" s="16">
        <v>424</v>
      </c>
      <c r="D739" s="6">
        <v>500</v>
      </c>
      <c r="E739" s="1">
        <v>575</v>
      </c>
      <c r="G739" s="2">
        <f t="shared" si="11"/>
        <v>575</v>
      </c>
      <c r="H739" s="2" t="s">
        <v>37</v>
      </c>
      <c r="K739" s="39"/>
    </row>
    <row r="740" spans="2:11" x14ac:dyDescent="0.2">
      <c r="B740" s="17">
        <v>44136</v>
      </c>
      <c r="C740" s="16"/>
      <c r="D740" s="6"/>
      <c r="F740" s="1">
        <v>5000</v>
      </c>
      <c r="G740" s="2">
        <f t="shared" si="11"/>
        <v>-5000</v>
      </c>
      <c r="H740" s="2" t="s">
        <v>46</v>
      </c>
      <c r="K740" s="39"/>
    </row>
    <row r="741" spans="2:11" x14ac:dyDescent="0.2">
      <c r="B741" s="17">
        <v>44136</v>
      </c>
      <c r="C741" s="16"/>
      <c r="D741" s="6"/>
      <c r="F741" s="1">
        <v>1140</v>
      </c>
      <c r="G741" s="2">
        <f t="shared" si="11"/>
        <v>-1140</v>
      </c>
      <c r="H741" s="2" t="s">
        <v>54</v>
      </c>
      <c r="K741" s="39"/>
    </row>
    <row r="742" spans="2:11" x14ac:dyDescent="0.2">
      <c r="B742" s="17">
        <v>44136</v>
      </c>
      <c r="C742" s="16">
        <v>426</v>
      </c>
      <c r="D742" s="6">
        <v>11989</v>
      </c>
      <c r="E742" s="1">
        <v>12841</v>
      </c>
      <c r="G742" s="2">
        <f t="shared" si="11"/>
        <v>12841</v>
      </c>
      <c r="H742" s="2" t="s">
        <v>14</v>
      </c>
      <c r="K742" s="39"/>
    </row>
    <row r="743" spans="2:11" x14ac:dyDescent="0.2">
      <c r="B743" s="17">
        <v>44136</v>
      </c>
      <c r="C743" s="16">
        <v>427</v>
      </c>
      <c r="D743" s="6">
        <v>3841</v>
      </c>
      <c r="E743" s="1">
        <v>4085</v>
      </c>
      <c r="G743" s="2">
        <f t="shared" si="11"/>
        <v>4085</v>
      </c>
      <c r="H743" s="2" t="s">
        <v>45</v>
      </c>
      <c r="K743" s="39"/>
    </row>
    <row r="744" spans="2:11" x14ac:dyDescent="0.2">
      <c r="B744" s="17">
        <v>44136</v>
      </c>
      <c r="C744" s="16">
        <v>428</v>
      </c>
      <c r="D744" s="6">
        <v>800</v>
      </c>
      <c r="E744" s="1">
        <v>900</v>
      </c>
      <c r="G744" s="2">
        <f t="shared" si="11"/>
        <v>900</v>
      </c>
      <c r="H744" t="s">
        <v>35</v>
      </c>
      <c r="K744" s="39"/>
    </row>
    <row r="745" spans="2:11" x14ac:dyDescent="0.2">
      <c r="B745" s="17">
        <v>44137</v>
      </c>
      <c r="C745" s="16"/>
      <c r="D745" s="6"/>
      <c r="F745" s="1">
        <v>5000</v>
      </c>
      <c r="G745" s="2">
        <f t="shared" si="11"/>
        <v>-5000</v>
      </c>
      <c r="H745" s="2" t="s">
        <v>14</v>
      </c>
      <c r="K745" s="39"/>
    </row>
    <row r="746" spans="2:11" x14ac:dyDescent="0.2">
      <c r="B746" s="17">
        <v>44138</v>
      </c>
      <c r="C746" s="16"/>
      <c r="D746" s="6"/>
      <c r="F746" s="1">
        <v>3000</v>
      </c>
      <c r="G746" s="2">
        <f t="shared" si="11"/>
        <v>-3000</v>
      </c>
      <c r="H746" s="2" t="s">
        <v>45</v>
      </c>
      <c r="K746" s="39"/>
    </row>
    <row r="747" spans="2:11" x14ac:dyDescent="0.2">
      <c r="B747" s="17">
        <v>44140</v>
      </c>
      <c r="C747" s="16"/>
      <c r="D747" s="6"/>
      <c r="F747" s="1">
        <v>11500</v>
      </c>
      <c r="G747" s="2">
        <f t="shared" si="11"/>
        <v>-11500</v>
      </c>
      <c r="H747" s="2" t="s">
        <v>25</v>
      </c>
      <c r="K747" s="39"/>
    </row>
    <row r="748" spans="2:11" x14ac:dyDescent="0.2">
      <c r="B748" s="17">
        <v>44140</v>
      </c>
      <c r="C748" s="16"/>
      <c r="D748" s="6"/>
      <c r="F748" s="1">
        <v>1001</v>
      </c>
      <c r="G748" s="2">
        <f t="shared" si="11"/>
        <v>-1001</v>
      </c>
      <c r="H748" s="2" t="s">
        <v>85</v>
      </c>
      <c r="K748" s="39"/>
    </row>
    <row r="749" spans="2:11" x14ac:dyDescent="0.2">
      <c r="B749" s="17">
        <v>44140</v>
      </c>
      <c r="C749" s="16">
        <v>429</v>
      </c>
      <c r="D749" s="6">
        <v>600</v>
      </c>
      <c r="E749" s="1">
        <v>645</v>
      </c>
      <c r="G749" s="2">
        <f t="shared" si="11"/>
        <v>645</v>
      </c>
      <c r="H749" s="2" t="s">
        <v>49</v>
      </c>
      <c r="K749" s="39"/>
    </row>
    <row r="750" spans="2:11" x14ac:dyDescent="0.2">
      <c r="B750" s="17">
        <v>44140</v>
      </c>
      <c r="C750" s="16">
        <v>430</v>
      </c>
      <c r="D750" s="6">
        <v>1725</v>
      </c>
      <c r="E750" s="1">
        <v>2050</v>
      </c>
      <c r="G750" s="2">
        <f t="shared" si="11"/>
        <v>2050</v>
      </c>
      <c r="H750" t="s">
        <v>35</v>
      </c>
      <c r="K750" s="39"/>
    </row>
    <row r="751" spans="2:11" x14ac:dyDescent="0.2">
      <c r="B751" s="17">
        <v>44140</v>
      </c>
      <c r="C751" s="16">
        <v>431</v>
      </c>
      <c r="D751" s="6">
        <v>950</v>
      </c>
      <c r="E751" s="1">
        <v>1025</v>
      </c>
      <c r="G751" s="2">
        <f t="shared" si="11"/>
        <v>1025</v>
      </c>
      <c r="H751" s="2" t="s">
        <v>14</v>
      </c>
      <c r="K751" s="39"/>
    </row>
    <row r="752" spans="2:11" x14ac:dyDescent="0.2">
      <c r="B752" s="17">
        <v>44140</v>
      </c>
      <c r="C752" s="16">
        <v>432</v>
      </c>
      <c r="D752" s="6">
        <v>875</v>
      </c>
      <c r="E752" s="1">
        <v>950</v>
      </c>
      <c r="G752" s="2">
        <f t="shared" si="11"/>
        <v>950</v>
      </c>
      <c r="H752" s="2" t="s">
        <v>37</v>
      </c>
      <c r="K752" s="39"/>
    </row>
    <row r="753" spans="2:11" x14ac:dyDescent="0.2">
      <c r="B753" s="17">
        <v>44143</v>
      </c>
      <c r="C753" s="16">
        <v>433</v>
      </c>
      <c r="D753" s="6">
        <v>500</v>
      </c>
      <c r="E753" s="1">
        <v>575</v>
      </c>
      <c r="G753" s="2">
        <f t="shared" si="11"/>
        <v>575</v>
      </c>
      <c r="H753" s="2" t="s">
        <v>49</v>
      </c>
      <c r="K753" s="39"/>
    </row>
    <row r="754" spans="2:11" x14ac:dyDescent="0.2">
      <c r="B754" s="17">
        <v>44143</v>
      </c>
      <c r="C754" s="16">
        <v>434</v>
      </c>
      <c r="D754" s="6">
        <v>1652.5</v>
      </c>
      <c r="E754" s="1">
        <v>1900</v>
      </c>
      <c r="G754" s="2">
        <f t="shared" si="11"/>
        <v>1900</v>
      </c>
      <c r="H754" s="2" t="s">
        <v>14</v>
      </c>
      <c r="K754" s="39"/>
    </row>
    <row r="755" spans="2:11" x14ac:dyDescent="0.2">
      <c r="B755" s="17">
        <v>44143</v>
      </c>
      <c r="C755" s="16">
        <v>435</v>
      </c>
      <c r="D755" s="6">
        <v>4287.5</v>
      </c>
      <c r="E755" s="1">
        <v>4512.5</v>
      </c>
      <c r="G755" s="2">
        <f t="shared" si="11"/>
        <v>4512.5</v>
      </c>
      <c r="H755" t="s">
        <v>39</v>
      </c>
      <c r="K755" s="39"/>
    </row>
    <row r="756" spans="2:11" x14ac:dyDescent="0.2">
      <c r="B756" s="17">
        <v>44143</v>
      </c>
      <c r="C756" s="16">
        <v>436</v>
      </c>
      <c r="D756" s="6">
        <v>220</v>
      </c>
      <c r="E756" s="1">
        <v>240</v>
      </c>
      <c r="G756" s="2">
        <f t="shared" si="11"/>
        <v>240</v>
      </c>
      <c r="H756" t="s">
        <v>35</v>
      </c>
      <c r="K756" s="39"/>
    </row>
    <row r="757" spans="2:11" x14ac:dyDescent="0.2">
      <c r="B757" s="17">
        <v>44143</v>
      </c>
      <c r="C757" s="16"/>
      <c r="D757" s="6"/>
      <c r="F757" s="1">
        <v>2000</v>
      </c>
      <c r="G757" s="2">
        <f t="shared" si="11"/>
        <v>-2000</v>
      </c>
      <c r="H757" s="2" t="s">
        <v>34</v>
      </c>
      <c r="K757" s="39"/>
    </row>
    <row r="758" spans="2:11" x14ac:dyDescent="0.2">
      <c r="B758" s="17">
        <v>44145</v>
      </c>
      <c r="C758" s="16">
        <v>437</v>
      </c>
      <c r="D758" s="6">
        <v>248.5</v>
      </c>
      <c r="E758" s="1">
        <v>325</v>
      </c>
      <c r="G758" s="2">
        <f t="shared" si="11"/>
        <v>325</v>
      </c>
      <c r="H758" t="s">
        <v>39</v>
      </c>
      <c r="K758" s="39"/>
    </row>
    <row r="759" spans="2:11" x14ac:dyDescent="0.2">
      <c r="B759" s="17">
        <v>44145</v>
      </c>
      <c r="C759" s="16">
        <v>438</v>
      </c>
      <c r="D759" s="6">
        <v>1025</v>
      </c>
      <c r="E759" s="1">
        <v>1175</v>
      </c>
      <c r="G759" s="2">
        <f t="shared" si="11"/>
        <v>1175</v>
      </c>
      <c r="H759" s="2" t="s">
        <v>34</v>
      </c>
      <c r="K759" s="39"/>
    </row>
    <row r="760" spans="2:11" x14ac:dyDescent="0.2">
      <c r="B760" s="17">
        <v>44145</v>
      </c>
      <c r="C760" s="16"/>
      <c r="D760" s="6"/>
      <c r="F760" s="1">
        <v>1175</v>
      </c>
      <c r="G760" s="2">
        <f t="shared" si="11"/>
        <v>-1175</v>
      </c>
      <c r="H760" s="2" t="s">
        <v>34</v>
      </c>
      <c r="K760" s="39"/>
    </row>
    <row r="761" spans="2:11" x14ac:dyDescent="0.2">
      <c r="B761" s="17">
        <v>44145</v>
      </c>
      <c r="C761" s="16"/>
      <c r="D761" s="6"/>
      <c r="F761" s="1">
        <v>325</v>
      </c>
      <c r="G761" s="2">
        <f t="shared" si="11"/>
        <v>-325</v>
      </c>
      <c r="H761" t="s">
        <v>39</v>
      </c>
      <c r="K761" s="39"/>
    </row>
    <row r="762" spans="2:11" x14ac:dyDescent="0.2">
      <c r="B762" s="17">
        <v>44146</v>
      </c>
      <c r="C762" s="16">
        <v>439</v>
      </c>
      <c r="D762" s="6">
        <v>665</v>
      </c>
      <c r="E762" s="1">
        <v>760</v>
      </c>
      <c r="G762" s="2">
        <f t="shared" si="11"/>
        <v>760</v>
      </c>
      <c r="H762" s="2" t="s">
        <v>43</v>
      </c>
      <c r="K762" s="39"/>
    </row>
    <row r="763" spans="2:11" x14ac:dyDescent="0.2">
      <c r="B763" s="17">
        <v>44147</v>
      </c>
      <c r="C763" s="16">
        <v>440</v>
      </c>
      <c r="D763" s="6">
        <v>1250</v>
      </c>
      <c r="E763" s="1">
        <v>1400</v>
      </c>
      <c r="G763" s="2">
        <f t="shared" si="11"/>
        <v>1400</v>
      </c>
      <c r="H763" t="s">
        <v>35</v>
      </c>
      <c r="K763" s="39"/>
    </row>
    <row r="764" spans="2:11" x14ac:dyDescent="0.2">
      <c r="B764" s="17">
        <v>44147</v>
      </c>
      <c r="C764" s="16">
        <v>441</v>
      </c>
      <c r="D764" s="6">
        <v>575</v>
      </c>
      <c r="E764" s="1">
        <v>625</v>
      </c>
      <c r="G764" s="2">
        <f t="shared" si="11"/>
        <v>625</v>
      </c>
      <c r="H764" s="2" t="s">
        <v>14</v>
      </c>
      <c r="K764" s="39"/>
    </row>
    <row r="765" spans="2:11" x14ac:dyDescent="0.2">
      <c r="B765" s="17">
        <v>44149</v>
      </c>
      <c r="C765" s="16"/>
      <c r="D765" s="6"/>
      <c r="F765" s="1">
        <v>3000</v>
      </c>
      <c r="G765" s="2">
        <f t="shared" si="11"/>
        <v>-3000</v>
      </c>
      <c r="H765" s="2" t="s">
        <v>45</v>
      </c>
      <c r="K765" s="39"/>
    </row>
    <row r="766" spans="2:11" x14ac:dyDescent="0.2">
      <c r="B766" s="17">
        <v>44149</v>
      </c>
      <c r="C766" s="16"/>
      <c r="D766" s="6"/>
      <c r="F766" s="1">
        <v>1000</v>
      </c>
      <c r="G766" s="2">
        <f t="shared" si="11"/>
        <v>-1000</v>
      </c>
      <c r="H766" t="s">
        <v>35</v>
      </c>
      <c r="K766" s="39"/>
    </row>
    <row r="767" spans="2:11" x14ac:dyDescent="0.2">
      <c r="B767" s="17">
        <v>44149</v>
      </c>
      <c r="C767" s="16"/>
      <c r="D767" s="6"/>
      <c r="F767" s="1">
        <v>2512</v>
      </c>
      <c r="G767" s="2">
        <f t="shared" si="11"/>
        <v>-2512</v>
      </c>
      <c r="H767" t="s">
        <v>39</v>
      </c>
      <c r="K767" s="39"/>
    </row>
    <row r="768" spans="2:11" x14ac:dyDescent="0.2">
      <c r="B768" s="17">
        <v>44149</v>
      </c>
      <c r="C768" s="16"/>
      <c r="D768" s="6"/>
      <c r="F768" s="1">
        <v>2100</v>
      </c>
      <c r="G768" s="2">
        <f t="shared" si="11"/>
        <v>-2100</v>
      </c>
      <c r="H768" s="2" t="s">
        <v>37</v>
      </c>
      <c r="K768" s="39"/>
    </row>
    <row r="769" spans="2:11" x14ac:dyDescent="0.2">
      <c r="B769" s="17">
        <v>44149</v>
      </c>
      <c r="C769" s="16"/>
      <c r="D769" s="6"/>
      <c r="F769" s="1">
        <v>3500</v>
      </c>
      <c r="G769" s="2">
        <f t="shared" si="11"/>
        <v>-3500</v>
      </c>
      <c r="H769" t="s">
        <v>35</v>
      </c>
      <c r="K769" s="39"/>
    </row>
    <row r="770" spans="2:11" x14ac:dyDescent="0.2">
      <c r="B770" s="17">
        <v>44149</v>
      </c>
      <c r="C770" s="16"/>
      <c r="D770" s="6"/>
      <c r="F770" s="1">
        <v>820</v>
      </c>
      <c r="G770" s="2">
        <f t="shared" si="11"/>
        <v>-820</v>
      </c>
      <c r="H770" s="2" t="s">
        <v>51</v>
      </c>
      <c r="K770" s="39"/>
    </row>
    <row r="771" spans="2:11" x14ac:dyDescent="0.2">
      <c r="B771" s="17">
        <v>44150</v>
      </c>
      <c r="C771" s="16"/>
      <c r="D771" s="6"/>
      <c r="F771" s="1">
        <v>1650</v>
      </c>
      <c r="G771" s="2">
        <f t="shared" ref="G771:G834" si="12">E771-F771</f>
        <v>-1650</v>
      </c>
      <c r="H771" s="2" t="s">
        <v>45</v>
      </c>
      <c r="K771" s="39"/>
    </row>
    <row r="772" spans="2:11" x14ac:dyDescent="0.2">
      <c r="B772" s="17">
        <v>44150</v>
      </c>
      <c r="C772" s="16">
        <v>442</v>
      </c>
      <c r="D772" s="6">
        <v>3700</v>
      </c>
      <c r="E772" s="1">
        <v>4200</v>
      </c>
      <c r="G772" s="2">
        <f t="shared" si="12"/>
        <v>4200</v>
      </c>
      <c r="H772" s="2" t="s">
        <v>41</v>
      </c>
      <c r="K772" s="39"/>
    </row>
    <row r="773" spans="2:11" x14ac:dyDescent="0.2">
      <c r="B773" s="17">
        <v>44150</v>
      </c>
      <c r="C773" s="16">
        <v>443</v>
      </c>
      <c r="D773" s="6">
        <v>3540</v>
      </c>
      <c r="E773" s="1">
        <v>3800</v>
      </c>
      <c r="G773" s="2">
        <f t="shared" si="12"/>
        <v>3800</v>
      </c>
      <c r="H773" s="2" t="s">
        <v>14</v>
      </c>
      <c r="K773" s="39"/>
    </row>
    <row r="774" spans="2:11" x14ac:dyDescent="0.2">
      <c r="B774" s="17">
        <v>44150</v>
      </c>
      <c r="C774" s="16">
        <v>444</v>
      </c>
      <c r="D774" s="6">
        <v>4050</v>
      </c>
      <c r="E774" s="1">
        <v>4200</v>
      </c>
      <c r="G774" s="2">
        <f t="shared" si="12"/>
        <v>4200</v>
      </c>
      <c r="H774" s="2" t="s">
        <v>49</v>
      </c>
      <c r="K774" s="39"/>
    </row>
    <row r="775" spans="2:11" x14ac:dyDescent="0.2">
      <c r="B775" s="17">
        <v>44150</v>
      </c>
      <c r="C775" s="16">
        <v>445</v>
      </c>
      <c r="D775" s="6">
        <v>110</v>
      </c>
      <c r="E775" s="1">
        <v>130</v>
      </c>
      <c r="G775" s="2">
        <f t="shared" si="12"/>
        <v>130</v>
      </c>
      <c r="H775" t="s">
        <v>39</v>
      </c>
      <c r="K775" s="39"/>
    </row>
    <row r="776" spans="2:11" x14ac:dyDescent="0.2">
      <c r="B776" s="17">
        <v>44150</v>
      </c>
      <c r="C776" s="16">
        <v>446</v>
      </c>
      <c r="D776" s="6">
        <v>2600</v>
      </c>
      <c r="E776" s="1">
        <v>2900</v>
      </c>
      <c r="G776" s="2">
        <f t="shared" si="12"/>
        <v>2900</v>
      </c>
      <c r="H776" s="2" t="s">
        <v>45</v>
      </c>
      <c r="K776" s="39"/>
    </row>
    <row r="777" spans="2:11" x14ac:dyDescent="0.2">
      <c r="B777" s="17">
        <v>44151</v>
      </c>
      <c r="C777" s="16"/>
      <c r="D777" s="6"/>
      <c r="F777" s="1">
        <v>5000</v>
      </c>
      <c r="G777" s="2">
        <f t="shared" si="12"/>
        <v>-5000</v>
      </c>
      <c r="H777" s="2" t="s">
        <v>14</v>
      </c>
      <c r="K777" s="39"/>
    </row>
    <row r="778" spans="2:11" x14ac:dyDescent="0.2">
      <c r="B778" s="17">
        <v>44151</v>
      </c>
      <c r="C778" s="16"/>
      <c r="D778" s="6"/>
      <c r="F778" s="1">
        <v>3400</v>
      </c>
      <c r="G778" s="2">
        <f t="shared" si="12"/>
        <v>-3400</v>
      </c>
      <c r="H778" s="2" t="s">
        <v>48</v>
      </c>
      <c r="K778" s="39"/>
    </row>
    <row r="779" spans="2:11" x14ac:dyDescent="0.2">
      <c r="B779" s="17">
        <v>44151</v>
      </c>
      <c r="C779" s="16">
        <v>447</v>
      </c>
      <c r="D779" s="6">
        <v>5130</v>
      </c>
      <c r="E779" s="1">
        <v>5375</v>
      </c>
      <c r="G779" s="2">
        <f t="shared" si="12"/>
        <v>5375</v>
      </c>
      <c r="H779" s="2" t="s">
        <v>48</v>
      </c>
      <c r="K779" s="39"/>
    </row>
    <row r="780" spans="2:11" x14ac:dyDescent="0.2">
      <c r="B780" s="17">
        <v>44151</v>
      </c>
      <c r="C780" s="16">
        <v>448</v>
      </c>
      <c r="D780" s="6">
        <v>454</v>
      </c>
      <c r="E780" s="1">
        <v>510</v>
      </c>
      <c r="G780" s="2">
        <f t="shared" si="12"/>
        <v>510</v>
      </c>
      <c r="H780" s="2" t="s">
        <v>51</v>
      </c>
      <c r="K780" s="39"/>
    </row>
    <row r="781" spans="2:11" x14ac:dyDescent="0.2">
      <c r="B781" s="17">
        <v>44151</v>
      </c>
      <c r="C781" s="16">
        <v>449</v>
      </c>
      <c r="D781" s="1">
        <v>966</v>
      </c>
      <c r="E781" s="1">
        <v>1081</v>
      </c>
      <c r="G781" s="2">
        <f t="shared" si="12"/>
        <v>1081</v>
      </c>
      <c r="H781" s="2" t="s">
        <v>37</v>
      </c>
      <c r="K781" s="39"/>
    </row>
    <row r="782" spans="2:11" x14ac:dyDescent="0.2">
      <c r="B782" s="17">
        <v>44152</v>
      </c>
      <c r="C782" s="16">
        <v>450</v>
      </c>
      <c r="D782" s="6">
        <v>325</v>
      </c>
      <c r="E782" s="1">
        <v>375</v>
      </c>
      <c r="G782" s="2">
        <f t="shared" si="12"/>
        <v>375</v>
      </c>
      <c r="H782" s="2" t="s">
        <v>45</v>
      </c>
      <c r="K782" s="39"/>
    </row>
    <row r="783" spans="2:11" x14ac:dyDescent="0.2">
      <c r="B783" s="17">
        <v>44153</v>
      </c>
      <c r="C783" s="16"/>
      <c r="D783" s="6"/>
      <c r="F783" s="1">
        <v>1200</v>
      </c>
      <c r="G783" s="2">
        <f t="shared" si="12"/>
        <v>-1200</v>
      </c>
      <c r="H783" s="2" t="s">
        <v>78</v>
      </c>
      <c r="K783" s="39"/>
    </row>
    <row r="784" spans="2:11" x14ac:dyDescent="0.2">
      <c r="B784" s="17">
        <v>44153</v>
      </c>
      <c r="C784" s="16">
        <v>451</v>
      </c>
      <c r="D784" s="6">
        <v>410</v>
      </c>
      <c r="E784" s="1">
        <v>440</v>
      </c>
      <c r="G784" s="2">
        <f t="shared" si="12"/>
        <v>440</v>
      </c>
      <c r="H784" s="2" t="s">
        <v>56</v>
      </c>
      <c r="K784" s="39"/>
    </row>
    <row r="785" spans="2:11" x14ac:dyDescent="0.2">
      <c r="B785" s="17">
        <v>44153</v>
      </c>
      <c r="C785" s="16">
        <v>452</v>
      </c>
      <c r="D785" s="6">
        <v>3525</v>
      </c>
      <c r="E785" s="1">
        <v>3780</v>
      </c>
      <c r="G785" s="2">
        <f t="shared" si="12"/>
        <v>3780</v>
      </c>
      <c r="H785" t="s">
        <v>35</v>
      </c>
      <c r="K785" s="39"/>
    </row>
    <row r="786" spans="2:11" x14ac:dyDescent="0.2">
      <c r="B786" s="17">
        <v>44153</v>
      </c>
      <c r="C786" s="16">
        <v>453</v>
      </c>
      <c r="D786" s="6">
        <v>7208.75</v>
      </c>
      <c r="E786" s="1">
        <v>7465</v>
      </c>
      <c r="G786" s="2">
        <f t="shared" si="12"/>
        <v>7465</v>
      </c>
      <c r="H786" s="2" t="s">
        <v>14</v>
      </c>
      <c r="K786" s="39"/>
    </row>
    <row r="787" spans="2:11" x14ac:dyDescent="0.2">
      <c r="B787" s="17">
        <v>44153</v>
      </c>
      <c r="C787" s="16">
        <v>454</v>
      </c>
      <c r="D787" s="6">
        <v>37.5</v>
      </c>
      <c r="E787" s="1">
        <v>37.5</v>
      </c>
      <c r="G787" s="2">
        <f t="shared" si="12"/>
        <v>37.5</v>
      </c>
      <c r="H787" s="2" t="s">
        <v>22</v>
      </c>
      <c r="K787" s="39"/>
    </row>
    <row r="788" spans="2:11" x14ac:dyDescent="0.2">
      <c r="B788" s="17">
        <v>44153</v>
      </c>
      <c r="C788" s="16">
        <v>455</v>
      </c>
      <c r="D788" s="6">
        <v>2560</v>
      </c>
      <c r="E788" s="1">
        <v>2700</v>
      </c>
      <c r="G788" s="2">
        <f t="shared" si="12"/>
        <v>2700</v>
      </c>
      <c r="H788" s="2" t="s">
        <v>41</v>
      </c>
      <c r="K788" s="39"/>
    </row>
    <row r="789" spans="2:11" x14ac:dyDescent="0.2">
      <c r="B789" s="17">
        <v>44153</v>
      </c>
      <c r="C789" s="16">
        <v>456</v>
      </c>
      <c r="D789" s="6">
        <v>1350</v>
      </c>
      <c r="E789" s="1">
        <v>1450</v>
      </c>
      <c r="G789" s="2">
        <f t="shared" si="12"/>
        <v>1450</v>
      </c>
      <c r="H789" s="2" t="s">
        <v>78</v>
      </c>
      <c r="K789" s="39"/>
    </row>
    <row r="790" spans="2:11" x14ac:dyDescent="0.2">
      <c r="B790" s="17">
        <v>44153</v>
      </c>
      <c r="C790" s="16">
        <v>457</v>
      </c>
      <c r="D790" s="6">
        <v>650</v>
      </c>
      <c r="E790" s="1">
        <v>870</v>
      </c>
      <c r="G790" s="2">
        <f t="shared" si="12"/>
        <v>870</v>
      </c>
      <c r="H790" t="s">
        <v>39</v>
      </c>
      <c r="K790" s="39"/>
    </row>
    <row r="791" spans="2:11" x14ac:dyDescent="0.2">
      <c r="B791" s="17">
        <v>44153</v>
      </c>
      <c r="C791" s="16">
        <v>458</v>
      </c>
      <c r="D791" s="6">
        <v>1563</v>
      </c>
      <c r="E791" s="1">
        <v>1830</v>
      </c>
      <c r="G791" s="2">
        <f t="shared" si="12"/>
        <v>1830</v>
      </c>
      <c r="H791" s="2" t="s">
        <v>49</v>
      </c>
      <c r="K791" s="39"/>
    </row>
    <row r="792" spans="2:11" x14ac:dyDescent="0.2">
      <c r="B792" s="17">
        <v>44154</v>
      </c>
      <c r="C792" s="16"/>
      <c r="D792" s="6"/>
      <c r="F792" s="1">
        <v>2000</v>
      </c>
      <c r="G792" s="2">
        <f t="shared" si="12"/>
        <v>-2000</v>
      </c>
      <c r="H792" s="2" t="s">
        <v>41</v>
      </c>
      <c r="K792" s="39"/>
    </row>
    <row r="793" spans="2:11" x14ac:dyDescent="0.2">
      <c r="B793" s="17">
        <v>44154</v>
      </c>
      <c r="C793" s="16"/>
      <c r="D793" s="6"/>
      <c r="F793" s="1">
        <v>2000</v>
      </c>
      <c r="G793" s="2">
        <f t="shared" si="12"/>
        <v>-2000</v>
      </c>
      <c r="H793" s="2" t="s">
        <v>45</v>
      </c>
      <c r="K793" s="39"/>
    </row>
    <row r="794" spans="2:11" x14ac:dyDescent="0.2">
      <c r="B794" s="17">
        <v>44154</v>
      </c>
      <c r="C794" s="16">
        <v>459</v>
      </c>
      <c r="D794" s="6">
        <v>400</v>
      </c>
      <c r="E794" s="1">
        <v>540</v>
      </c>
      <c r="G794" s="2">
        <f t="shared" si="12"/>
        <v>540</v>
      </c>
      <c r="H794" s="2" t="s">
        <v>41</v>
      </c>
      <c r="K794" s="39"/>
    </row>
    <row r="795" spans="2:11" x14ac:dyDescent="0.2">
      <c r="B795" s="17">
        <v>44156</v>
      </c>
      <c r="C795" s="16">
        <v>460</v>
      </c>
      <c r="D795" s="6">
        <v>1706</v>
      </c>
      <c r="E795" s="1">
        <v>1871</v>
      </c>
      <c r="G795" s="2">
        <f t="shared" si="12"/>
        <v>1871</v>
      </c>
      <c r="H795" s="2" t="s">
        <v>37</v>
      </c>
      <c r="K795" s="39"/>
    </row>
    <row r="796" spans="2:11" x14ac:dyDescent="0.2">
      <c r="B796" s="17">
        <v>44157</v>
      </c>
      <c r="C796" s="16">
        <v>461</v>
      </c>
      <c r="D796" s="6">
        <v>1200</v>
      </c>
      <c r="E796" s="1">
        <v>1340</v>
      </c>
      <c r="G796" s="2">
        <f t="shared" si="12"/>
        <v>1340</v>
      </c>
      <c r="H796" t="s">
        <v>35</v>
      </c>
      <c r="K796" s="39"/>
    </row>
    <row r="797" spans="2:11" x14ac:dyDescent="0.2">
      <c r="B797" s="17">
        <v>44157</v>
      </c>
      <c r="C797" s="16">
        <v>462</v>
      </c>
      <c r="D797" s="6">
        <v>399</v>
      </c>
      <c r="E797" s="1">
        <v>420</v>
      </c>
      <c r="G797" s="2">
        <f t="shared" si="12"/>
        <v>420</v>
      </c>
      <c r="H797" s="2" t="s">
        <v>22</v>
      </c>
      <c r="K797" s="39"/>
    </row>
    <row r="798" spans="2:11" x14ac:dyDescent="0.2">
      <c r="B798" s="17">
        <v>44157</v>
      </c>
      <c r="C798" s="16">
        <v>463</v>
      </c>
      <c r="D798" s="6">
        <v>3575.25</v>
      </c>
      <c r="E798" s="1">
        <v>3944.25</v>
      </c>
      <c r="G798" s="2">
        <f t="shared" si="12"/>
        <v>3944.25</v>
      </c>
      <c r="H798" s="2" t="s">
        <v>13</v>
      </c>
      <c r="K798" s="39"/>
    </row>
    <row r="799" spans="2:11" x14ac:dyDescent="0.2">
      <c r="B799" s="17">
        <v>44157</v>
      </c>
      <c r="C799" s="16">
        <v>464</v>
      </c>
      <c r="D799" s="6">
        <v>320</v>
      </c>
      <c r="E799" s="1">
        <v>380</v>
      </c>
      <c r="G799" s="2">
        <f t="shared" si="12"/>
        <v>380</v>
      </c>
      <c r="H799" s="2" t="s">
        <v>9</v>
      </c>
      <c r="K799" s="39"/>
    </row>
    <row r="800" spans="2:11" x14ac:dyDescent="0.2">
      <c r="B800" s="17">
        <v>44158</v>
      </c>
      <c r="C800" s="16"/>
      <c r="D800" s="6"/>
      <c r="F800" s="1">
        <v>3000</v>
      </c>
      <c r="G800" s="2">
        <f t="shared" si="12"/>
        <v>-3000</v>
      </c>
      <c r="H800" s="2" t="s">
        <v>46</v>
      </c>
      <c r="K800" s="39"/>
    </row>
    <row r="801" spans="2:11" x14ac:dyDescent="0.2">
      <c r="B801" s="17">
        <v>44158</v>
      </c>
      <c r="C801" s="16"/>
      <c r="D801" s="6"/>
      <c r="F801" s="1">
        <v>495</v>
      </c>
      <c r="G801" s="2">
        <f t="shared" si="12"/>
        <v>-495</v>
      </c>
      <c r="H801" s="2" t="s">
        <v>22</v>
      </c>
      <c r="K801" s="39"/>
    </row>
    <row r="802" spans="2:11" x14ac:dyDescent="0.2">
      <c r="B802" s="17">
        <v>44158</v>
      </c>
      <c r="C802" s="16"/>
      <c r="D802" s="6"/>
      <c r="F802" s="1">
        <v>380</v>
      </c>
      <c r="G802" s="2">
        <f t="shared" si="12"/>
        <v>-380</v>
      </c>
      <c r="H802" s="2" t="s">
        <v>9</v>
      </c>
      <c r="K802" s="39"/>
    </row>
    <row r="803" spans="2:11" x14ac:dyDescent="0.2">
      <c r="B803" s="17">
        <v>44158</v>
      </c>
      <c r="C803" s="16">
        <v>465</v>
      </c>
      <c r="D803" s="6">
        <v>410</v>
      </c>
      <c r="E803" s="1">
        <v>450</v>
      </c>
      <c r="G803" s="2">
        <f t="shared" si="12"/>
        <v>450</v>
      </c>
      <c r="H803" s="2" t="s">
        <v>13</v>
      </c>
      <c r="K803" s="39"/>
    </row>
    <row r="804" spans="2:11" x14ac:dyDescent="0.2">
      <c r="B804" s="17">
        <v>44158</v>
      </c>
      <c r="C804" s="16">
        <v>466</v>
      </c>
      <c r="D804" s="6">
        <v>630</v>
      </c>
      <c r="E804" s="1">
        <v>705</v>
      </c>
      <c r="G804" s="2">
        <f t="shared" si="12"/>
        <v>705</v>
      </c>
      <c r="H804" s="2" t="s">
        <v>45</v>
      </c>
      <c r="K804" s="39"/>
    </row>
    <row r="805" spans="2:11" x14ac:dyDescent="0.2">
      <c r="B805" s="17">
        <v>44158</v>
      </c>
      <c r="C805" s="16">
        <v>467</v>
      </c>
      <c r="D805" s="6">
        <v>810</v>
      </c>
      <c r="E805" s="1">
        <v>865</v>
      </c>
      <c r="G805" s="2">
        <f t="shared" si="12"/>
        <v>865</v>
      </c>
      <c r="H805" t="s">
        <v>35</v>
      </c>
      <c r="K805" s="39"/>
    </row>
    <row r="806" spans="2:11" x14ac:dyDescent="0.2">
      <c r="B806" s="17">
        <v>44158</v>
      </c>
      <c r="C806" s="16">
        <v>468</v>
      </c>
      <c r="D806" s="6">
        <v>200</v>
      </c>
      <c r="E806" s="1">
        <v>270</v>
      </c>
      <c r="G806" s="2">
        <f t="shared" si="12"/>
        <v>270</v>
      </c>
      <c r="H806" t="s">
        <v>39</v>
      </c>
      <c r="K806" s="39"/>
    </row>
    <row r="807" spans="2:11" x14ac:dyDescent="0.2">
      <c r="B807" s="17">
        <v>44158</v>
      </c>
      <c r="C807" s="16"/>
      <c r="D807" s="6"/>
      <c r="F807" s="1">
        <v>270</v>
      </c>
      <c r="G807" s="2">
        <f t="shared" si="12"/>
        <v>-270</v>
      </c>
      <c r="H807" t="s">
        <v>39</v>
      </c>
      <c r="K807" s="39"/>
    </row>
    <row r="808" spans="2:11" x14ac:dyDescent="0.2">
      <c r="B808" s="17">
        <v>44159</v>
      </c>
      <c r="C808" s="16">
        <v>469</v>
      </c>
      <c r="D808" s="6">
        <v>1000</v>
      </c>
      <c r="E808" s="1">
        <v>1250</v>
      </c>
      <c r="G808" s="2">
        <f t="shared" si="12"/>
        <v>1250</v>
      </c>
      <c r="H808" s="2" t="s">
        <v>55</v>
      </c>
      <c r="K808" s="39"/>
    </row>
    <row r="809" spans="2:11" x14ac:dyDescent="0.2">
      <c r="B809" s="17">
        <v>44159</v>
      </c>
      <c r="C809" s="16"/>
      <c r="D809" s="6"/>
      <c r="F809" s="1">
        <v>1000</v>
      </c>
      <c r="G809" s="2">
        <f t="shared" si="12"/>
        <v>-1000</v>
      </c>
      <c r="H809" s="2" t="s">
        <v>34</v>
      </c>
      <c r="K809" s="39"/>
    </row>
    <row r="810" spans="2:11" x14ac:dyDescent="0.2">
      <c r="B810" s="17">
        <v>44159</v>
      </c>
      <c r="C810" s="16"/>
      <c r="D810" s="6"/>
      <c r="F810" s="1">
        <v>10000</v>
      </c>
      <c r="G810" s="2">
        <f t="shared" si="12"/>
        <v>-10000</v>
      </c>
      <c r="H810" s="2" t="s">
        <v>14</v>
      </c>
      <c r="K810" s="39"/>
    </row>
    <row r="811" spans="2:11" x14ac:dyDescent="0.2">
      <c r="B811" s="17">
        <v>44159</v>
      </c>
      <c r="C811" s="16"/>
      <c r="D811" s="6"/>
      <c r="F811" s="1">
        <v>1250</v>
      </c>
      <c r="G811" s="2">
        <f t="shared" si="12"/>
        <v>-1250</v>
      </c>
      <c r="H811" s="2" t="s">
        <v>55</v>
      </c>
      <c r="K811" s="39"/>
    </row>
    <row r="812" spans="2:11" x14ac:dyDescent="0.2">
      <c r="B812" s="17">
        <v>44159</v>
      </c>
      <c r="C812" s="16"/>
      <c r="D812" s="6"/>
      <c r="F812" s="1">
        <v>575</v>
      </c>
      <c r="G812" s="2">
        <f t="shared" si="12"/>
        <v>-575</v>
      </c>
      <c r="H812" s="2" t="s">
        <v>44</v>
      </c>
      <c r="K812" s="39"/>
    </row>
    <row r="813" spans="2:11" x14ac:dyDescent="0.2">
      <c r="B813" s="17">
        <v>44161</v>
      </c>
      <c r="C813" s="16">
        <v>470</v>
      </c>
      <c r="D813" s="6">
        <v>965</v>
      </c>
      <c r="E813" s="1">
        <v>1080</v>
      </c>
      <c r="G813" s="2">
        <f t="shared" si="12"/>
        <v>1080</v>
      </c>
      <c r="H813" t="s">
        <v>35</v>
      </c>
      <c r="K813" s="39"/>
    </row>
    <row r="814" spans="2:11" x14ac:dyDescent="0.2">
      <c r="B814" s="17">
        <v>44161</v>
      </c>
      <c r="C814" s="16">
        <v>471</v>
      </c>
      <c r="D814" s="6">
        <v>12465</v>
      </c>
      <c r="E814" s="1">
        <v>13400</v>
      </c>
      <c r="G814" s="2">
        <f t="shared" si="12"/>
        <v>13400</v>
      </c>
      <c r="H814" s="2" t="s">
        <v>14</v>
      </c>
      <c r="K814" s="39"/>
    </row>
    <row r="815" spans="2:11" x14ac:dyDescent="0.2">
      <c r="B815" s="17">
        <v>44161</v>
      </c>
      <c r="C815" s="16">
        <v>472</v>
      </c>
      <c r="D815" s="6">
        <v>320</v>
      </c>
      <c r="E815" s="1">
        <v>380</v>
      </c>
      <c r="G815" s="2">
        <f t="shared" si="12"/>
        <v>380</v>
      </c>
      <c r="H815" s="2" t="s">
        <v>9</v>
      </c>
      <c r="K815" s="39"/>
    </row>
    <row r="816" spans="2:11" x14ac:dyDescent="0.2">
      <c r="B816" s="17">
        <v>44161</v>
      </c>
      <c r="C816" s="16">
        <v>473</v>
      </c>
      <c r="D816" s="6">
        <v>1360.5</v>
      </c>
      <c r="E816" s="1">
        <v>1553</v>
      </c>
      <c r="G816" s="2">
        <f t="shared" si="12"/>
        <v>1553</v>
      </c>
      <c r="H816" s="2" t="s">
        <v>13</v>
      </c>
      <c r="K816" s="39"/>
    </row>
    <row r="817" spans="2:11" x14ac:dyDescent="0.2">
      <c r="B817" s="17">
        <v>44161</v>
      </c>
      <c r="C817" s="16"/>
      <c r="D817" s="6"/>
      <c r="F817" s="1">
        <v>380</v>
      </c>
      <c r="G817" s="2">
        <f t="shared" si="12"/>
        <v>-380</v>
      </c>
      <c r="H817" s="2" t="s">
        <v>9</v>
      </c>
      <c r="K817" s="39"/>
    </row>
    <row r="818" spans="2:11" x14ac:dyDescent="0.2">
      <c r="B818" s="17">
        <v>44161</v>
      </c>
      <c r="C818" s="16"/>
      <c r="D818" s="6"/>
      <c r="F818" s="1">
        <v>2000</v>
      </c>
      <c r="G818" s="2">
        <f t="shared" si="12"/>
        <v>-2000</v>
      </c>
      <c r="H818" s="2" t="s">
        <v>45</v>
      </c>
      <c r="K818" s="39"/>
    </row>
    <row r="819" spans="2:11" x14ac:dyDescent="0.2">
      <c r="B819" s="17">
        <v>44162</v>
      </c>
      <c r="C819" s="16"/>
      <c r="D819" s="6"/>
      <c r="F819" s="1">
        <v>865</v>
      </c>
      <c r="G819" s="2">
        <f t="shared" si="12"/>
        <v>-865</v>
      </c>
      <c r="H819" s="2" t="s">
        <v>43</v>
      </c>
      <c r="K819" s="39"/>
    </row>
    <row r="820" spans="2:11" x14ac:dyDescent="0.2">
      <c r="B820" s="17">
        <v>44162</v>
      </c>
      <c r="C820" s="16"/>
      <c r="D820" s="6"/>
      <c r="F820" s="1">
        <v>5000</v>
      </c>
      <c r="G820" s="2">
        <f t="shared" si="12"/>
        <v>-5000</v>
      </c>
      <c r="H820" s="2" t="s">
        <v>14</v>
      </c>
      <c r="K820" s="39"/>
    </row>
    <row r="821" spans="2:11" x14ac:dyDescent="0.2">
      <c r="B821" s="17">
        <v>44162</v>
      </c>
      <c r="C821" s="16"/>
      <c r="D821" s="6"/>
      <c r="F821" s="1">
        <v>562.5</v>
      </c>
      <c r="G821" s="2">
        <f t="shared" si="12"/>
        <v>-562.5</v>
      </c>
      <c r="H821" s="2" t="s">
        <v>43</v>
      </c>
      <c r="K821" s="39"/>
    </row>
    <row r="822" spans="2:11" x14ac:dyDescent="0.2">
      <c r="B822" s="17">
        <v>44164</v>
      </c>
      <c r="C822" s="16"/>
      <c r="D822" s="6"/>
      <c r="F822" s="1">
        <v>3000</v>
      </c>
      <c r="G822" s="2">
        <f t="shared" si="12"/>
        <v>-3000</v>
      </c>
      <c r="H822" s="2" t="s">
        <v>37</v>
      </c>
      <c r="K822" s="39"/>
    </row>
    <row r="823" spans="2:11" x14ac:dyDescent="0.2">
      <c r="B823" s="17">
        <v>44164</v>
      </c>
      <c r="C823" s="16"/>
      <c r="D823" s="6"/>
      <c r="F823" s="1">
        <v>305</v>
      </c>
      <c r="G823" s="2">
        <f t="shared" si="12"/>
        <v>-305</v>
      </c>
      <c r="H823" t="s">
        <v>39</v>
      </c>
      <c r="K823" s="39"/>
    </row>
    <row r="824" spans="2:11" x14ac:dyDescent="0.2">
      <c r="B824" s="17">
        <v>44165</v>
      </c>
      <c r="C824" s="16">
        <v>474</v>
      </c>
      <c r="D824" s="6">
        <v>2327.25</v>
      </c>
      <c r="E824" s="1">
        <v>2523.5</v>
      </c>
      <c r="G824" s="2">
        <f t="shared" si="12"/>
        <v>2523.5</v>
      </c>
      <c r="H824" s="2" t="s">
        <v>13</v>
      </c>
      <c r="K824" s="39"/>
    </row>
    <row r="825" spans="2:11" x14ac:dyDescent="0.2">
      <c r="B825" s="17">
        <v>44165</v>
      </c>
      <c r="C825" s="16">
        <v>475</v>
      </c>
      <c r="D825" s="6">
        <v>280</v>
      </c>
      <c r="E825" s="1">
        <v>305</v>
      </c>
      <c r="G825" s="2">
        <f t="shared" si="12"/>
        <v>305</v>
      </c>
      <c r="H825" t="s">
        <v>39</v>
      </c>
      <c r="K825" s="39"/>
    </row>
    <row r="826" spans="2:11" x14ac:dyDescent="0.2">
      <c r="B826" s="17">
        <v>44165</v>
      </c>
      <c r="C826" s="16">
        <v>476</v>
      </c>
      <c r="D826" s="6">
        <v>1250</v>
      </c>
      <c r="E826" s="1">
        <v>1450</v>
      </c>
      <c r="G826" s="2">
        <f t="shared" si="12"/>
        <v>1450</v>
      </c>
      <c r="H826" s="2" t="s">
        <v>37</v>
      </c>
      <c r="K826" s="39"/>
    </row>
    <row r="827" spans="2:11" x14ac:dyDescent="0.2">
      <c r="B827" s="17">
        <v>44165</v>
      </c>
      <c r="C827" s="16">
        <v>477</v>
      </c>
      <c r="D827" s="6">
        <v>90</v>
      </c>
      <c r="E827" s="1">
        <v>110</v>
      </c>
      <c r="G827" s="2">
        <f t="shared" si="12"/>
        <v>110</v>
      </c>
      <c r="H827" t="s">
        <v>39</v>
      </c>
      <c r="K827" s="39"/>
    </row>
    <row r="828" spans="2:11" x14ac:dyDescent="0.2">
      <c r="B828" s="17">
        <v>44165</v>
      </c>
      <c r="C828" s="16">
        <v>478</v>
      </c>
      <c r="D828" s="6">
        <v>550</v>
      </c>
      <c r="E828" s="1">
        <v>575</v>
      </c>
      <c r="G828" s="2">
        <f t="shared" si="12"/>
        <v>575</v>
      </c>
      <c r="H828" s="2" t="s">
        <v>44</v>
      </c>
      <c r="K828" s="39"/>
    </row>
    <row r="829" spans="2:11" x14ac:dyDescent="0.2">
      <c r="B829" s="17">
        <v>44165</v>
      </c>
      <c r="C829" s="16"/>
      <c r="D829" s="6"/>
      <c r="F829" s="1">
        <v>4000</v>
      </c>
      <c r="G829" s="2">
        <f t="shared" si="12"/>
        <v>-4000</v>
      </c>
      <c r="H829" t="s">
        <v>35</v>
      </c>
      <c r="K829" s="39"/>
    </row>
    <row r="830" spans="2:11" x14ac:dyDescent="0.2">
      <c r="B830" s="17">
        <v>44166</v>
      </c>
      <c r="C830" s="16"/>
      <c r="D830" s="6"/>
      <c r="F830" s="1">
        <v>1001.5</v>
      </c>
      <c r="G830" s="2">
        <f t="shared" si="12"/>
        <v>-1001.5</v>
      </c>
      <c r="H830" s="2" t="s">
        <v>54</v>
      </c>
      <c r="K830" s="39"/>
    </row>
    <row r="831" spans="2:11" x14ac:dyDescent="0.2">
      <c r="B831" s="17">
        <v>44167</v>
      </c>
      <c r="C831" s="16"/>
      <c r="D831" s="6"/>
      <c r="F831" s="1">
        <v>10000</v>
      </c>
      <c r="G831" s="2">
        <f t="shared" si="12"/>
        <v>-10000</v>
      </c>
      <c r="H831" s="2" t="s">
        <v>14</v>
      </c>
      <c r="K831" s="39"/>
    </row>
    <row r="832" spans="2:11" x14ac:dyDescent="0.2">
      <c r="B832" s="17">
        <v>44167</v>
      </c>
      <c r="C832" s="16"/>
      <c r="D832" s="6"/>
      <c r="F832" s="1">
        <v>5000</v>
      </c>
      <c r="G832" s="2">
        <f t="shared" si="12"/>
        <v>-5000</v>
      </c>
      <c r="H832" s="2" t="s">
        <v>46</v>
      </c>
      <c r="K832" s="39"/>
    </row>
    <row r="833" spans="2:11" x14ac:dyDescent="0.2">
      <c r="B833" s="17">
        <v>44167</v>
      </c>
      <c r="C833" s="16">
        <v>479</v>
      </c>
      <c r="D833" s="6">
        <v>465.00000000000006</v>
      </c>
      <c r="E833" s="1">
        <v>475</v>
      </c>
      <c r="G833" s="2">
        <f t="shared" si="12"/>
        <v>475</v>
      </c>
      <c r="H833" s="2" t="s">
        <v>43</v>
      </c>
      <c r="K833" s="39"/>
    </row>
    <row r="834" spans="2:11" x14ac:dyDescent="0.2">
      <c r="B834" s="17">
        <v>44167</v>
      </c>
      <c r="C834" s="16">
        <v>480</v>
      </c>
      <c r="D834" s="6">
        <v>1768</v>
      </c>
      <c r="E834" s="1">
        <v>1935</v>
      </c>
      <c r="G834" s="2">
        <f t="shared" si="12"/>
        <v>1935</v>
      </c>
      <c r="H834" t="s">
        <v>35</v>
      </c>
      <c r="K834" s="39"/>
    </row>
    <row r="835" spans="2:11" x14ac:dyDescent="0.2">
      <c r="B835" s="17">
        <v>44167</v>
      </c>
      <c r="C835" s="16">
        <v>481</v>
      </c>
      <c r="D835" s="6">
        <v>2750</v>
      </c>
      <c r="E835" s="1">
        <v>3088</v>
      </c>
      <c r="G835" s="2">
        <f t="shared" ref="G835:G898" si="13">E835-F835</f>
        <v>3088</v>
      </c>
      <c r="H835" s="2" t="s">
        <v>13</v>
      </c>
      <c r="K835" s="39"/>
    </row>
    <row r="836" spans="2:11" x14ac:dyDescent="0.2">
      <c r="B836" s="17">
        <v>44167</v>
      </c>
      <c r="C836" s="16">
        <v>482</v>
      </c>
      <c r="D836" s="6">
        <v>960</v>
      </c>
      <c r="E836" s="1">
        <v>1080</v>
      </c>
      <c r="G836" s="2">
        <f t="shared" si="13"/>
        <v>1080</v>
      </c>
      <c r="H836" s="2" t="s">
        <v>45</v>
      </c>
      <c r="K836" s="39"/>
    </row>
    <row r="837" spans="2:11" x14ac:dyDescent="0.2">
      <c r="B837" s="17">
        <v>44168</v>
      </c>
      <c r="C837" s="16">
        <v>483</v>
      </c>
      <c r="D837" s="6">
        <v>1600</v>
      </c>
      <c r="E837" s="1">
        <v>1800</v>
      </c>
      <c r="G837" s="2">
        <f t="shared" si="13"/>
        <v>1800</v>
      </c>
      <c r="H837" s="2" t="s">
        <v>14</v>
      </c>
      <c r="K837" s="39"/>
    </row>
    <row r="838" spans="2:11" x14ac:dyDescent="0.2">
      <c r="B838" s="17">
        <v>44168</v>
      </c>
      <c r="C838" s="16">
        <v>484</v>
      </c>
      <c r="D838" s="6">
        <v>675</v>
      </c>
      <c r="E838" s="1">
        <v>700</v>
      </c>
      <c r="G838" s="2">
        <f t="shared" si="13"/>
        <v>700</v>
      </c>
      <c r="H838" t="s">
        <v>39</v>
      </c>
      <c r="K838" s="39"/>
    </row>
    <row r="839" spans="2:11" x14ac:dyDescent="0.2">
      <c r="B839" s="17">
        <v>44170</v>
      </c>
      <c r="C839" s="16"/>
      <c r="D839" s="6"/>
      <c r="F839" s="1">
        <v>700</v>
      </c>
      <c r="G839" s="2">
        <f t="shared" si="13"/>
        <v>-700</v>
      </c>
      <c r="H839" t="s">
        <v>39</v>
      </c>
      <c r="K839" s="39"/>
    </row>
    <row r="840" spans="2:11" x14ac:dyDescent="0.2">
      <c r="B840" s="17">
        <v>44170</v>
      </c>
      <c r="C840" s="16">
        <v>485</v>
      </c>
      <c r="D840" s="6">
        <v>390</v>
      </c>
      <c r="E840" s="1">
        <v>450</v>
      </c>
      <c r="G840" s="2">
        <f t="shared" si="13"/>
        <v>450</v>
      </c>
      <c r="H840" t="s">
        <v>35</v>
      </c>
      <c r="K840" s="39"/>
    </row>
    <row r="841" spans="2:11" x14ac:dyDescent="0.2">
      <c r="B841" s="17">
        <v>44170</v>
      </c>
      <c r="C841" s="16">
        <v>486</v>
      </c>
      <c r="D841" s="6">
        <v>1350</v>
      </c>
      <c r="E841" s="1">
        <v>1420</v>
      </c>
      <c r="G841" s="2">
        <f t="shared" si="13"/>
        <v>1420</v>
      </c>
      <c r="H841" s="2" t="s">
        <v>13</v>
      </c>
      <c r="K841" s="39"/>
    </row>
    <row r="842" spans="2:11" x14ac:dyDescent="0.2">
      <c r="B842" s="17">
        <v>44172</v>
      </c>
      <c r="C842" s="16">
        <v>487</v>
      </c>
      <c r="D842" s="6">
        <v>1840</v>
      </c>
      <c r="E842" s="1">
        <v>2025</v>
      </c>
      <c r="G842" s="2">
        <f t="shared" si="13"/>
        <v>2025</v>
      </c>
      <c r="H842" t="s">
        <v>35</v>
      </c>
      <c r="K842" s="39"/>
    </row>
    <row r="843" spans="2:11" x14ac:dyDescent="0.2">
      <c r="B843" s="17">
        <v>44172</v>
      </c>
      <c r="C843" s="16">
        <v>488</v>
      </c>
      <c r="D843" s="6">
        <v>6150</v>
      </c>
      <c r="E843" s="1">
        <v>6800</v>
      </c>
      <c r="G843" s="2">
        <f t="shared" si="13"/>
        <v>6800</v>
      </c>
      <c r="H843" s="2" t="s">
        <v>14</v>
      </c>
      <c r="K843" s="39"/>
    </row>
    <row r="844" spans="2:11" x14ac:dyDescent="0.2">
      <c r="B844" s="17">
        <v>44172</v>
      </c>
      <c r="C844" s="16">
        <v>489</v>
      </c>
      <c r="D844" s="6">
        <v>3467.5</v>
      </c>
      <c r="E844" s="1">
        <v>3862.5</v>
      </c>
      <c r="G844" s="2">
        <f t="shared" si="13"/>
        <v>3862.5</v>
      </c>
      <c r="H844" s="2" t="s">
        <v>45</v>
      </c>
      <c r="K844" s="39"/>
    </row>
    <row r="845" spans="2:11" x14ac:dyDescent="0.2">
      <c r="B845" s="17">
        <v>44172</v>
      </c>
      <c r="C845" s="16"/>
      <c r="D845" s="6"/>
      <c r="F845" s="1">
        <v>3000</v>
      </c>
      <c r="G845" s="2">
        <f t="shared" si="13"/>
        <v>-3000</v>
      </c>
      <c r="H845" s="2" t="s">
        <v>45</v>
      </c>
      <c r="K845" s="39"/>
    </row>
    <row r="846" spans="2:11" x14ac:dyDescent="0.2">
      <c r="B846" s="17">
        <v>44172</v>
      </c>
      <c r="C846" s="16"/>
      <c r="D846" s="6"/>
      <c r="F846" s="1">
        <v>10000</v>
      </c>
      <c r="G846" s="2">
        <f t="shared" si="13"/>
        <v>-10000</v>
      </c>
      <c r="H846" s="2" t="s">
        <v>14</v>
      </c>
      <c r="K846" s="39"/>
    </row>
    <row r="847" spans="2:11" x14ac:dyDescent="0.2">
      <c r="B847" s="17">
        <v>44173</v>
      </c>
      <c r="C847" s="16">
        <v>490</v>
      </c>
      <c r="D847" s="6">
        <v>470</v>
      </c>
      <c r="E847" s="1">
        <v>470</v>
      </c>
      <c r="G847" s="2">
        <f t="shared" si="13"/>
        <v>470</v>
      </c>
      <c r="H847" s="2" t="s">
        <v>48</v>
      </c>
      <c r="K847" s="39"/>
    </row>
    <row r="848" spans="2:11" x14ac:dyDescent="0.2">
      <c r="B848" s="17">
        <v>44173</v>
      </c>
      <c r="C848" s="16">
        <v>491</v>
      </c>
      <c r="D848" s="6">
        <v>1000</v>
      </c>
      <c r="E848" s="1">
        <v>1100</v>
      </c>
      <c r="G848" s="2">
        <f t="shared" si="13"/>
        <v>1100</v>
      </c>
      <c r="H848" t="s">
        <v>39</v>
      </c>
      <c r="K848" s="39"/>
    </row>
    <row r="849" spans="2:11" x14ac:dyDescent="0.2">
      <c r="B849" s="17">
        <v>44173</v>
      </c>
      <c r="C849" s="16"/>
      <c r="D849" s="6"/>
      <c r="F849" s="1">
        <v>1500</v>
      </c>
      <c r="G849" s="2">
        <f t="shared" si="13"/>
        <v>-1500</v>
      </c>
      <c r="H849" s="2" t="s">
        <v>34</v>
      </c>
      <c r="K849" s="39"/>
    </row>
    <row r="850" spans="2:11" x14ac:dyDescent="0.2">
      <c r="B850" s="17">
        <v>44174</v>
      </c>
      <c r="C850" s="16"/>
      <c r="D850" s="6"/>
      <c r="F850" s="1">
        <v>3000</v>
      </c>
      <c r="G850" s="2">
        <f t="shared" si="13"/>
        <v>-3000</v>
      </c>
      <c r="H850" s="2" t="s">
        <v>13</v>
      </c>
      <c r="K850" s="39"/>
    </row>
    <row r="851" spans="2:11" x14ac:dyDescent="0.2">
      <c r="B851" s="17">
        <v>44175</v>
      </c>
      <c r="C851" s="16"/>
      <c r="D851" s="6"/>
      <c r="F851" s="1">
        <v>7000</v>
      </c>
      <c r="G851" s="2">
        <f t="shared" si="13"/>
        <v>-7000</v>
      </c>
      <c r="H851" s="2" t="s">
        <v>14</v>
      </c>
      <c r="K851" s="39"/>
    </row>
    <row r="852" spans="2:11" x14ac:dyDescent="0.2">
      <c r="B852" s="17">
        <v>44175</v>
      </c>
      <c r="C852" s="16"/>
      <c r="D852" s="6"/>
      <c r="F852" s="1">
        <v>3000</v>
      </c>
      <c r="G852" s="2">
        <f t="shared" si="13"/>
        <v>-3000</v>
      </c>
      <c r="H852" t="s">
        <v>35</v>
      </c>
      <c r="K852" s="39"/>
    </row>
    <row r="853" spans="2:11" x14ac:dyDescent="0.2">
      <c r="B853" s="17">
        <v>44177</v>
      </c>
      <c r="C853" s="16">
        <v>492</v>
      </c>
      <c r="D853" s="6">
        <v>150</v>
      </c>
      <c r="E853" s="1">
        <v>180</v>
      </c>
      <c r="G853" s="2">
        <f t="shared" si="13"/>
        <v>180</v>
      </c>
      <c r="H853" t="s">
        <v>35</v>
      </c>
      <c r="K853" s="39"/>
    </row>
    <row r="854" spans="2:11" x14ac:dyDescent="0.2">
      <c r="B854" s="17">
        <v>44177</v>
      </c>
      <c r="C854" s="16"/>
      <c r="D854" s="6"/>
      <c r="F854" s="1">
        <v>2000</v>
      </c>
      <c r="G854" s="2">
        <f t="shared" si="13"/>
        <v>-2000</v>
      </c>
      <c r="H854" t="s">
        <v>39</v>
      </c>
      <c r="K854" s="39"/>
    </row>
    <row r="855" spans="2:11" x14ac:dyDescent="0.2">
      <c r="B855" s="17">
        <v>44177</v>
      </c>
      <c r="C855" s="16"/>
      <c r="D855" s="6"/>
      <c r="F855" s="1">
        <v>10000</v>
      </c>
      <c r="G855" s="2">
        <f t="shared" si="13"/>
        <v>-10000</v>
      </c>
      <c r="H855" s="2" t="s">
        <v>42</v>
      </c>
      <c r="K855" s="39"/>
    </row>
    <row r="856" spans="2:11" x14ac:dyDescent="0.2">
      <c r="B856" s="17">
        <v>44178</v>
      </c>
      <c r="C856" s="16">
        <v>493</v>
      </c>
      <c r="D856" s="6">
        <v>1745</v>
      </c>
      <c r="E856" s="1">
        <v>1933</v>
      </c>
      <c r="G856" s="2">
        <f t="shared" si="13"/>
        <v>1933</v>
      </c>
      <c r="H856" s="2" t="s">
        <v>13</v>
      </c>
      <c r="K856" s="39"/>
    </row>
    <row r="857" spans="2:11" x14ac:dyDescent="0.2">
      <c r="B857" s="17">
        <v>44179</v>
      </c>
      <c r="C857" s="16">
        <v>494</v>
      </c>
      <c r="D857" s="6">
        <v>840</v>
      </c>
      <c r="E857" s="1">
        <v>910</v>
      </c>
      <c r="G857" s="2">
        <f t="shared" si="13"/>
        <v>910</v>
      </c>
      <c r="H857" s="2" t="s">
        <v>48</v>
      </c>
      <c r="K857" s="39"/>
    </row>
    <row r="858" spans="2:11" x14ac:dyDescent="0.2">
      <c r="B858" s="17">
        <v>44179</v>
      </c>
      <c r="C858" s="16">
        <v>495</v>
      </c>
      <c r="D858" s="6">
        <v>1250</v>
      </c>
      <c r="E858" s="1">
        <v>1375</v>
      </c>
      <c r="G858" s="2">
        <f t="shared" si="13"/>
        <v>1375</v>
      </c>
      <c r="H858" t="s">
        <v>39</v>
      </c>
      <c r="K858" s="39"/>
    </row>
    <row r="859" spans="2:11" x14ac:dyDescent="0.2">
      <c r="B859" s="17">
        <v>44179</v>
      </c>
      <c r="C859" s="16">
        <v>496</v>
      </c>
      <c r="D859" s="6">
        <v>7060</v>
      </c>
      <c r="E859" s="1">
        <v>7500</v>
      </c>
      <c r="G859" s="2">
        <f t="shared" si="13"/>
        <v>7500</v>
      </c>
      <c r="H859" s="2" t="s">
        <v>14</v>
      </c>
      <c r="K859" s="39"/>
    </row>
    <row r="860" spans="2:11" x14ac:dyDescent="0.2">
      <c r="B860" s="17">
        <v>44179</v>
      </c>
      <c r="C860" s="16"/>
      <c r="D860" s="6"/>
      <c r="F860" s="1">
        <v>3000</v>
      </c>
      <c r="G860" s="2">
        <f t="shared" si="13"/>
        <v>-3000</v>
      </c>
      <c r="H860" t="s">
        <v>35</v>
      </c>
      <c r="K860" s="39"/>
    </row>
    <row r="861" spans="2:11" x14ac:dyDescent="0.2">
      <c r="B861" s="17">
        <v>44179</v>
      </c>
      <c r="C861" s="16"/>
      <c r="D861" s="6"/>
      <c r="F861" s="1">
        <v>7000</v>
      </c>
      <c r="G861" s="2">
        <f t="shared" si="13"/>
        <v>-7000</v>
      </c>
      <c r="H861" s="2" t="s">
        <v>14</v>
      </c>
      <c r="K861" s="39"/>
    </row>
    <row r="862" spans="2:11" x14ac:dyDescent="0.2">
      <c r="B862" s="17">
        <v>44179</v>
      </c>
      <c r="C862" s="16"/>
      <c r="D862" s="6"/>
      <c r="F862" s="1">
        <v>2000</v>
      </c>
      <c r="G862" s="2">
        <f t="shared" si="13"/>
        <v>-2000</v>
      </c>
      <c r="H862" s="2" t="s">
        <v>46</v>
      </c>
      <c r="K862" s="39"/>
    </row>
    <row r="863" spans="2:11" x14ac:dyDescent="0.2">
      <c r="B863" s="17">
        <v>44180</v>
      </c>
      <c r="C863" s="16"/>
      <c r="D863" s="6"/>
      <c r="F863" s="1">
        <v>2000</v>
      </c>
      <c r="G863" s="2">
        <f t="shared" si="13"/>
        <v>-2000</v>
      </c>
      <c r="H863" s="2" t="s">
        <v>45</v>
      </c>
      <c r="K863" s="39"/>
    </row>
    <row r="864" spans="2:11" x14ac:dyDescent="0.2">
      <c r="B864" s="17">
        <v>44181</v>
      </c>
      <c r="C864" s="16">
        <v>497</v>
      </c>
      <c r="D864" s="6">
        <v>2153</v>
      </c>
      <c r="E864" s="1">
        <v>2375</v>
      </c>
      <c r="G864" s="2">
        <f t="shared" si="13"/>
        <v>2375</v>
      </c>
      <c r="H864" t="s">
        <v>35</v>
      </c>
      <c r="K864" s="39"/>
    </row>
    <row r="865" spans="2:11" x14ac:dyDescent="0.2">
      <c r="B865" s="17">
        <v>44182</v>
      </c>
      <c r="C865" s="16">
        <v>498</v>
      </c>
      <c r="D865" s="6">
        <v>1750</v>
      </c>
      <c r="E865" s="1">
        <v>1900</v>
      </c>
      <c r="G865" s="2">
        <f t="shared" si="13"/>
        <v>1900</v>
      </c>
      <c r="H865" s="2" t="s">
        <v>37</v>
      </c>
      <c r="K865" s="39"/>
    </row>
    <row r="866" spans="2:11" x14ac:dyDescent="0.2">
      <c r="B866" s="17">
        <v>44182</v>
      </c>
      <c r="C866" s="16"/>
      <c r="D866" s="6"/>
      <c r="F866" s="1">
        <v>7000</v>
      </c>
      <c r="G866" s="2">
        <f t="shared" si="13"/>
        <v>-7000</v>
      </c>
      <c r="H866" s="2" t="s">
        <v>14</v>
      </c>
      <c r="K866" s="39"/>
    </row>
    <row r="867" spans="2:11" x14ac:dyDescent="0.2">
      <c r="B867" s="17">
        <v>44184</v>
      </c>
      <c r="C867" s="16">
        <v>499</v>
      </c>
      <c r="D867" s="6">
        <v>1396.5</v>
      </c>
      <c r="E867" s="1">
        <v>1528.5</v>
      </c>
      <c r="G867" s="2">
        <f t="shared" si="13"/>
        <v>1528.5</v>
      </c>
      <c r="H867" s="2" t="s">
        <v>13</v>
      </c>
      <c r="K867" s="39"/>
    </row>
    <row r="868" spans="2:11" x14ac:dyDescent="0.2">
      <c r="B868" s="17">
        <v>44184</v>
      </c>
      <c r="C868" s="16">
        <v>500</v>
      </c>
      <c r="D868" s="6">
        <v>838</v>
      </c>
      <c r="E868" s="1">
        <v>900</v>
      </c>
      <c r="G868" s="2">
        <f t="shared" si="13"/>
        <v>900</v>
      </c>
      <c r="H868" s="2" t="s">
        <v>45</v>
      </c>
      <c r="K868" s="39"/>
    </row>
    <row r="869" spans="2:11" x14ac:dyDescent="0.2">
      <c r="B869" s="17">
        <v>44184</v>
      </c>
      <c r="C869" s="16">
        <v>501</v>
      </c>
      <c r="D869" s="6">
        <v>3980</v>
      </c>
      <c r="E869" s="1">
        <v>4350</v>
      </c>
      <c r="G869" s="2">
        <f t="shared" si="13"/>
        <v>4350</v>
      </c>
      <c r="H869" s="2" t="s">
        <v>49</v>
      </c>
      <c r="K869" s="39"/>
    </row>
    <row r="870" spans="2:11" x14ac:dyDescent="0.2">
      <c r="B870" s="17">
        <v>44185</v>
      </c>
      <c r="C870" s="16">
        <v>502</v>
      </c>
      <c r="D870" s="6">
        <v>5800</v>
      </c>
      <c r="E870" s="1">
        <v>7200</v>
      </c>
      <c r="G870" s="2">
        <f t="shared" si="13"/>
        <v>7200</v>
      </c>
      <c r="H870" s="2" t="s">
        <v>14</v>
      </c>
      <c r="K870" s="39"/>
    </row>
    <row r="871" spans="2:11" x14ac:dyDescent="0.2">
      <c r="B871" s="17">
        <v>44185</v>
      </c>
      <c r="C871" s="16"/>
      <c r="D871" s="6"/>
      <c r="F871" s="1">
        <v>7610</v>
      </c>
      <c r="G871" s="2">
        <f t="shared" si="13"/>
        <v>-7610</v>
      </c>
      <c r="H871" s="2" t="s">
        <v>49</v>
      </c>
      <c r="K871" s="39"/>
    </row>
    <row r="872" spans="2:11" x14ac:dyDescent="0.2">
      <c r="B872" s="17">
        <v>44186</v>
      </c>
      <c r="C872" s="16">
        <v>503</v>
      </c>
      <c r="D872" s="6">
        <v>572</v>
      </c>
      <c r="E872" s="1">
        <v>748</v>
      </c>
      <c r="G872" s="2">
        <f t="shared" si="13"/>
        <v>748</v>
      </c>
      <c r="H872" s="2" t="s">
        <v>9</v>
      </c>
      <c r="K872" s="39"/>
    </row>
    <row r="873" spans="2:11" x14ac:dyDescent="0.2">
      <c r="B873" s="17">
        <v>44186</v>
      </c>
      <c r="C873" s="16"/>
      <c r="D873" s="6"/>
      <c r="F873" s="1">
        <v>3000</v>
      </c>
      <c r="G873" s="2">
        <f t="shared" si="13"/>
        <v>-3000</v>
      </c>
      <c r="H873" s="2" t="s">
        <v>41</v>
      </c>
      <c r="K873" s="39"/>
    </row>
    <row r="874" spans="2:11" x14ac:dyDescent="0.2">
      <c r="B874" s="17">
        <v>44186</v>
      </c>
      <c r="C874" s="16"/>
      <c r="D874" s="6"/>
      <c r="F874" s="1">
        <v>750</v>
      </c>
      <c r="G874" s="2">
        <f t="shared" si="13"/>
        <v>-750</v>
      </c>
      <c r="H874" s="2" t="s">
        <v>9</v>
      </c>
      <c r="K874" s="39"/>
    </row>
    <row r="875" spans="2:11" x14ac:dyDescent="0.2">
      <c r="B875" s="17">
        <v>44187</v>
      </c>
      <c r="C875" s="16">
        <v>504</v>
      </c>
      <c r="D875" s="6">
        <v>700</v>
      </c>
      <c r="E875" s="1">
        <v>840</v>
      </c>
      <c r="G875" s="2">
        <f t="shared" si="13"/>
        <v>840</v>
      </c>
      <c r="H875" t="s">
        <v>35</v>
      </c>
      <c r="K875" s="39"/>
    </row>
    <row r="876" spans="2:11" x14ac:dyDescent="0.2">
      <c r="B876" s="17">
        <v>44187</v>
      </c>
      <c r="C876" s="16">
        <v>505</v>
      </c>
      <c r="D876" s="6">
        <v>5625</v>
      </c>
      <c r="E876" s="1">
        <v>6500</v>
      </c>
      <c r="G876" s="2">
        <f t="shared" si="13"/>
        <v>6500</v>
      </c>
      <c r="H876" s="2" t="s">
        <v>41</v>
      </c>
      <c r="K876" s="39"/>
    </row>
    <row r="877" spans="2:11" x14ac:dyDescent="0.2">
      <c r="B877" s="17">
        <v>44187</v>
      </c>
      <c r="C877" s="16"/>
      <c r="D877" s="6"/>
      <c r="F877" s="1">
        <v>5000</v>
      </c>
      <c r="G877" s="2">
        <f t="shared" si="13"/>
        <v>-5000</v>
      </c>
      <c r="H877" t="s">
        <v>35</v>
      </c>
      <c r="K877" s="39"/>
    </row>
    <row r="878" spans="2:11" x14ac:dyDescent="0.2">
      <c r="B878" s="17">
        <v>44188</v>
      </c>
      <c r="C878" s="16">
        <v>506</v>
      </c>
      <c r="D878" s="6">
        <v>2800</v>
      </c>
      <c r="E878" s="1">
        <v>3000</v>
      </c>
      <c r="G878" s="2">
        <f t="shared" si="13"/>
        <v>3000</v>
      </c>
      <c r="H878" s="2" t="s">
        <v>13</v>
      </c>
      <c r="K878" s="39"/>
    </row>
    <row r="879" spans="2:11" x14ac:dyDescent="0.2">
      <c r="B879" s="17">
        <v>44189</v>
      </c>
      <c r="C879" s="16">
        <v>507</v>
      </c>
      <c r="D879" s="6">
        <v>775</v>
      </c>
      <c r="E879" s="1">
        <v>825</v>
      </c>
      <c r="G879" s="2">
        <f t="shared" si="13"/>
        <v>825</v>
      </c>
      <c r="H879" s="2" t="s">
        <v>48</v>
      </c>
      <c r="K879" s="39"/>
    </row>
    <row r="880" spans="2:11" x14ac:dyDescent="0.2">
      <c r="B880" s="17">
        <v>44189</v>
      </c>
      <c r="C880" s="16">
        <v>508</v>
      </c>
      <c r="D880" s="6">
        <v>1100</v>
      </c>
      <c r="E880" s="1">
        <v>1200</v>
      </c>
      <c r="G880" s="2">
        <f t="shared" si="13"/>
        <v>1200</v>
      </c>
      <c r="H880" t="s">
        <v>35</v>
      </c>
      <c r="K880" s="39"/>
    </row>
    <row r="881" spans="2:11" x14ac:dyDescent="0.2">
      <c r="B881" s="17">
        <v>44189</v>
      </c>
      <c r="C881" s="16">
        <v>509</v>
      </c>
      <c r="D881" s="6">
        <v>450</v>
      </c>
      <c r="E881" s="1">
        <v>500</v>
      </c>
      <c r="G881" s="2">
        <f t="shared" si="13"/>
        <v>500</v>
      </c>
      <c r="H881" s="2" t="s">
        <v>49</v>
      </c>
      <c r="K881" s="39"/>
    </row>
    <row r="882" spans="2:11" x14ac:dyDescent="0.2">
      <c r="B882" s="17">
        <v>44189</v>
      </c>
      <c r="C882" s="16">
        <v>510</v>
      </c>
      <c r="D882" s="6">
        <v>4400</v>
      </c>
      <c r="E882" s="1">
        <v>4800</v>
      </c>
      <c r="G882" s="2">
        <f t="shared" si="13"/>
        <v>4800</v>
      </c>
      <c r="H882" t="s">
        <v>39</v>
      </c>
      <c r="K882" s="39"/>
    </row>
    <row r="883" spans="2:11" x14ac:dyDescent="0.2">
      <c r="B883" s="17">
        <v>44189</v>
      </c>
      <c r="C883" s="16"/>
      <c r="D883" s="6"/>
      <c r="F883" s="1">
        <v>2000</v>
      </c>
      <c r="G883" s="2">
        <f t="shared" si="13"/>
        <v>-2000</v>
      </c>
      <c r="H883" s="2" t="s">
        <v>34</v>
      </c>
      <c r="K883" s="39"/>
    </row>
    <row r="884" spans="2:11" x14ac:dyDescent="0.2">
      <c r="B884" s="17">
        <v>44189</v>
      </c>
      <c r="C884" s="16"/>
      <c r="D884" s="6"/>
      <c r="F884" s="1">
        <v>7000</v>
      </c>
      <c r="G884" s="2">
        <f t="shared" si="13"/>
        <v>-7000</v>
      </c>
      <c r="H884" s="2" t="s">
        <v>14</v>
      </c>
      <c r="K884" s="39"/>
    </row>
    <row r="885" spans="2:11" x14ac:dyDescent="0.2">
      <c r="B885" s="17">
        <v>44189</v>
      </c>
      <c r="C885" s="16"/>
      <c r="D885" s="6"/>
      <c r="F885" s="1">
        <v>4800</v>
      </c>
      <c r="G885" s="2">
        <f t="shared" si="13"/>
        <v>-4800</v>
      </c>
      <c r="H885" t="s">
        <v>39</v>
      </c>
      <c r="K885" s="39"/>
    </row>
    <row r="886" spans="2:11" x14ac:dyDescent="0.2">
      <c r="B886" s="17">
        <v>44190</v>
      </c>
      <c r="C886" s="16"/>
      <c r="D886" s="6"/>
      <c r="F886" s="1">
        <v>32880</v>
      </c>
      <c r="G886" s="2">
        <f t="shared" si="13"/>
        <v>-32880</v>
      </c>
      <c r="H886" s="2" t="s">
        <v>50</v>
      </c>
      <c r="K886" s="39"/>
    </row>
    <row r="887" spans="2:11" x14ac:dyDescent="0.2">
      <c r="B887" s="17">
        <v>44191</v>
      </c>
      <c r="C887" s="16">
        <v>511</v>
      </c>
      <c r="D887" s="6">
        <v>700</v>
      </c>
      <c r="E887" s="1">
        <v>840</v>
      </c>
      <c r="G887" s="2">
        <f t="shared" si="13"/>
        <v>840</v>
      </c>
      <c r="H887" t="s">
        <v>35</v>
      </c>
      <c r="K887" s="39"/>
    </row>
    <row r="888" spans="2:11" x14ac:dyDescent="0.2">
      <c r="B888" s="17">
        <v>44192</v>
      </c>
      <c r="C888" s="16">
        <v>512</v>
      </c>
      <c r="D888" s="6">
        <v>1065</v>
      </c>
      <c r="E888" s="1">
        <v>1200</v>
      </c>
      <c r="G888" s="2">
        <f t="shared" si="13"/>
        <v>1200</v>
      </c>
      <c r="H888" t="s">
        <v>39</v>
      </c>
      <c r="K888" s="39"/>
    </row>
    <row r="889" spans="2:11" x14ac:dyDescent="0.2">
      <c r="B889" s="17">
        <v>44192</v>
      </c>
      <c r="C889" s="16">
        <v>513</v>
      </c>
      <c r="D889" s="6">
        <v>4235</v>
      </c>
      <c r="E889" s="1">
        <v>4450</v>
      </c>
      <c r="G889" s="2">
        <f t="shared" si="13"/>
        <v>4450</v>
      </c>
      <c r="H889" s="2" t="s">
        <v>14</v>
      </c>
      <c r="K889" s="39"/>
    </row>
    <row r="890" spans="2:11" x14ac:dyDescent="0.2">
      <c r="B890" s="17">
        <v>44192</v>
      </c>
      <c r="C890" s="16">
        <v>514</v>
      </c>
      <c r="D890" s="6">
        <v>3000</v>
      </c>
      <c r="E890" s="1">
        <v>3500</v>
      </c>
      <c r="G890" s="2">
        <f t="shared" si="13"/>
        <v>3500</v>
      </c>
      <c r="H890" s="2" t="s">
        <v>45</v>
      </c>
      <c r="K890" s="39"/>
    </row>
    <row r="891" spans="2:11" x14ac:dyDescent="0.2">
      <c r="B891" s="17">
        <v>44192</v>
      </c>
      <c r="C891" s="16">
        <v>515</v>
      </c>
      <c r="D891" s="6">
        <v>3185</v>
      </c>
      <c r="E891" s="1">
        <v>3406.25</v>
      </c>
      <c r="G891" s="2">
        <f t="shared" si="13"/>
        <v>3406.25</v>
      </c>
      <c r="H891" s="2" t="s">
        <v>13</v>
      </c>
      <c r="K891" s="39"/>
    </row>
    <row r="892" spans="2:11" x14ac:dyDescent="0.2">
      <c r="B892" s="17">
        <v>44192</v>
      </c>
      <c r="C892" s="16">
        <v>516</v>
      </c>
      <c r="D892" s="6">
        <v>260.33</v>
      </c>
      <c r="E892" s="1">
        <v>285</v>
      </c>
      <c r="G892" s="2">
        <f t="shared" si="13"/>
        <v>285</v>
      </c>
      <c r="H892" s="2" t="s">
        <v>25</v>
      </c>
      <c r="K892" s="39"/>
    </row>
    <row r="893" spans="2:11" x14ac:dyDescent="0.2">
      <c r="B893" s="17">
        <v>44192</v>
      </c>
      <c r="C893" s="16"/>
      <c r="D893" s="6"/>
      <c r="F893" s="1">
        <v>3250</v>
      </c>
      <c r="G893" s="2">
        <f t="shared" si="13"/>
        <v>-3250</v>
      </c>
      <c r="H893" s="2" t="s">
        <v>37</v>
      </c>
      <c r="K893" s="39"/>
    </row>
    <row r="894" spans="2:11" x14ac:dyDescent="0.2">
      <c r="B894" s="17">
        <v>44192</v>
      </c>
      <c r="C894" s="16"/>
      <c r="D894" s="6"/>
      <c r="F894" s="1">
        <v>1500</v>
      </c>
      <c r="G894" s="2">
        <f t="shared" si="13"/>
        <v>-1500</v>
      </c>
      <c r="H894" s="2" t="s">
        <v>78</v>
      </c>
      <c r="K894" s="39"/>
    </row>
    <row r="895" spans="2:11" x14ac:dyDescent="0.2">
      <c r="B895" s="17">
        <v>44192</v>
      </c>
      <c r="C895" s="16"/>
      <c r="D895" s="38">
        <v>1350</v>
      </c>
      <c r="E895" s="1">
        <v>1500</v>
      </c>
      <c r="G895" s="2">
        <f t="shared" si="13"/>
        <v>1500</v>
      </c>
      <c r="H895" s="2" t="s">
        <v>78</v>
      </c>
      <c r="K895" s="39"/>
    </row>
    <row r="896" spans="2:11" x14ac:dyDescent="0.2">
      <c r="B896" s="17">
        <v>44192</v>
      </c>
      <c r="C896" s="16"/>
      <c r="D896" s="6"/>
      <c r="F896" s="1">
        <v>3000</v>
      </c>
      <c r="G896" s="2">
        <f t="shared" si="13"/>
        <v>-3000</v>
      </c>
      <c r="H896" s="2" t="s">
        <v>45</v>
      </c>
      <c r="K896" s="39"/>
    </row>
    <row r="897" spans="2:11" x14ac:dyDescent="0.2">
      <c r="B897" s="17">
        <v>44192</v>
      </c>
      <c r="C897" s="16"/>
      <c r="D897" s="6"/>
      <c r="F897" s="1">
        <v>5000</v>
      </c>
      <c r="G897" s="2">
        <f t="shared" si="13"/>
        <v>-5000</v>
      </c>
      <c r="H897" s="2" t="s">
        <v>13</v>
      </c>
      <c r="K897" s="39"/>
    </row>
    <row r="898" spans="2:11" x14ac:dyDescent="0.2">
      <c r="B898" s="17">
        <v>44192</v>
      </c>
      <c r="C898" s="16">
        <v>517</v>
      </c>
      <c r="D898" s="6">
        <v>1745</v>
      </c>
      <c r="E898" s="1">
        <v>2090</v>
      </c>
      <c r="G898" s="2">
        <f t="shared" si="13"/>
        <v>2090</v>
      </c>
      <c r="H898" s="2" t="s">
        <v>37</v>
      </c>
      <c r="K898" s="39"/>
    </row>
    <row r="899" spans="2:11" x14ac:dyDescent="0.2">
      <c r="B899" s="17">
        <v>44194</v>
      </c>
      <c r="C899" s="16">
        <v>518</v>
      </c>
      <c r="D899" s="6">
        <v>377.5</v>
      </c>
      <c r="E899" s="1">
        <v>435</v>
      </c>
      <c r="G899" s="2">
        <f t="shared" ref="G899:G962" si="14">E899-F899</f>
        <v>435</v>
      </c>
      <c r="H899" t="s">
        <v>35</v>
      </c>
      <c r="K899" s="39"/>
    </row>
    <row r="900" spans="2:11" x14ac:dyDescent="0.2">
      <c r="B900" s="17">
        <v>44194</v>
      </c>
      <c r="C900" s="16">
        <v>519</v>
      </c>
      <c r="D900" s="6">
        <v>3256</v>
      </c>
      <c r="E900" s="1">
        <v>3488</v>
      </c>
      <c r="G900" s="2">
        <f t="shared" si="14"/>
        <v>3488</v>
      </c>
      <c r="H900" t="s">
        <v>39</v>
      </c>
      <c r="K900" s="39"/>
    </row>
    <row r="901" spans="2:11" x14ac:dyDescent="0.2">
      <c r="B901" s="17">
        <v>44194</v>
      </c>
      <c r="C901" s="16">
        <v>520</v>
      </c>
      <c r="D901" s="6">
        <v>6750</v>
      </c>
      <c r="E901" s="1">
        <v>7650</v>
      </c>
      <c r="G901" s="2">
        <f t="shared" si="14"/>
        <v>7650</v>
      </c>
      <c r="H901" t="s">
        <v>39</v>
      </c>
      <c r="K901" s="39"/>
    </row>
    <row r="902" spans="2:11" x14ac:dyDescent="0.2">
      <c r="B902" s="17">
        <v>44194</v>
      </c>
      <c r="C902" s="16">
        <v>521</v>
      </c>
      <c r="D902" s="6">
        <v>675</v>
      </c>
      <c r="E902" s="1">
        <v>900</v>
      </c>
      <c r="G902" s="2">
        <f t="shared" si="14"/>
        <v>900</v>
      </c>
      <c r="H902" s="2" t="s">
        <v>52</v>
      </c>
      <c r="K902" s="39"/>
    </row>
    <row r="903" spans="2:11" x14ac:dyDescent="0.2">
      <c r="B903" s="17">
        <v>44194</v>
      </c>
      <c r="C903" s="16">
        <v>522</v>
      </c>
      <c r="D903" s="6">
        <v>1500</v>
      </c>
      <c r="E903" s="1">
        <v>1750</v>
      </c>
      <c r="G903" s="2">
        <f t="shared" si="14"/>
        <v>1750</v>
      </c>
      <c r="H903" s="2" t="s">
        <v>14</v>
      </c>
      <c r="K903" s="39"/>
    </row>
    <row r="904" spans="2:11" x14ac:dyDescent="0.2">
      <c r="B904" s="17">
        <v>44194</v>
      </c>
      <c r="C904" s="16">
        <v>523</v>
      </c>
      <c r="D904" s="6">
        <v>724</v>
      </c>
      <c r="E904" s="1">
        <v>889</v>
      </c>
      <c r="G904" s="2">
        <f t="shared" si="14"/>
        <v>889</v>
      </c>
      <c r="H904" s="2" t="s">
        <v>9</v>
      </c>
      <c r="K904" s="39"/>
    </row>
    <row r="905" spans="2:11" x14ac:dyDescent="0.2">
      <c r="B905" s="17">
        <v>44194</v>
      </c>
      <c r="C905" s="16">
        <v>524</v>
      </c>
      <c r="D905" s="6">
        <v>225</v>
      </c>
      <c r="E905" s="1">
        <v>300</v>
      </c>
      <c r="G905" s="2">
        <f t="shared" si="14"/>
        <v>300</v>
      </c>
      <c r="H905" s="2" t="s">
        <v>13</v>
      </c>
      <c r="K905" s="39"/>
    </row>
    <row r="906" spans="2:11" x14ac:dyDescent="0.2">
      <c r="B906" s="17">
        <v>44194</v>
      </c>
      <c r="C906" s="16">
        <v>525</v>
      </c>
      <c r="D906" s="6">
        <v>400</v>
      </c>
      <c r="E906" s="1">
        <v>450</v>
      </c>
      <c r="G906" s="2">
        <f t="shared" si="14"/>
        <v>450</v>
      </c>
      <c r="H906" s="2" t="s">
        <v>53</v>
      </c>
      <c r="K906" s="39"/>
    </row>
    <row r="907" spans="2:11" x14ac:dyDescent="0.2">
      <c r="B907" s="17">
        <v>44194</v>
      </c>
      <c r="C907" s="16"/>
      <c r="D907" s="6"/>
      <c r="F907" s="1">
        <v>450</v>
      </c>
      <c r="G907" s="2">
        <f t="shared" si="14"/>
        <v>-450</v>
      </c>
      <c r="H907" s="2" t="s">
        <v>53</v>
      </c>
      <c r="K907" s="39"/>
    </row>
    <row r="908" spans="2:11" x14ac:dyDescent="0.2">
      <c r="B908" s="17">
        <v>44194</v>
      </c>
      <c r="C908" s="16"/>
      <c r="D908" s="6"/>
      <c r="F908" s="1">
        <v>889</v>
      </c>
      <c r="G908" s="2">
        <f t="shared" si="14"/>
        <v>-889</v>
      </c>
      <c r="H908" s="2" t="s">
        <v>9</v>
      </c>
      <c r="K908" s="39"/>
    </row>
    <row r="909" spans="2:11" x14ac:dyDescent="0.2">
      <c r="B909" s="17">
        <v>44196</v>
      </c>
      <c r="C909" s="16">
        <v>526</v>
      </c>
      <c r="D909" s="6">
        <v>760</v>
      </c>
      <c r="E909" s="1">
        <v>820</v>
      </c>
      <c r="G909" s="2">
        <f t="shared" si="14"/>
        <v>820</v>
      </c>
      <c r="H909" s="2" t="s">
        <v>43</v>
      </c>
      <c r="K909" s="39"/>
    </row>
    <row r="910" spans="2:11" x14ac:dyDescent="0.2">
      <c r="B910" s="17">
        <v>44196</v>
      </c>
      <c r="C910" s="16">
        <v>527</v>
      </c>
      <c r="D910" s="6">
        <v>1100</v>
      </c>
      <c r="E910" s="1">
        <v>1310</v>
      </c>
      <c r="G910" s="2">
        <f t="shared" si="14"/>
        <v>1310</v>
      </c>
      <c r="H910" t="s">
        <v>35</v>
      </c>
      <c r="K910" s="39"/>
    </row>
    <row r="911" spans="2:11" x14ac:dyDescent="0.2">
      <c r="B911" s="17">
        <v>44196</v>
      </c>
      <c r="C911" s="16">
        <v>528</v>
      </c>
      <c r="D911" s="6">
        <v>987.5</v>
      </c>
      <c r="E911" s="1">
        <v>1162.5</v>
      </c>
      <c r="G911" s="2">
        <f t="shared" si="14"/>
        <v>1162.5</v>
      </c>
      <c r="H911" s="2" t="s">
        <v>14</v>
      </c>
      <c r="K911" s="39"/>
    </row>
    <row r="912" spans="2:11" x14ac:dyDescent="0.2">
      <c r="B912" s="17">
        <v>44196</v>
      </c>
      <c r="C912" s="16">
        <v>529</v>
      </c>
      <c r="D912" s="6">
        <v>28018</v>
      </c>
      <c r="E912" s="1">
        <v>29915</v>
      </c>
      <c r="G912" s="2">
        <f t="shared" si="14"/>
        <v>29915</v>
      </c>
      <c r="H912" s="2" t="s">
        <v>25</v>
      </c>
      <c r="K912" s="39"/>
    </row>
    <row r="913" spans="2:11" x14ac:dyDescent="0.2">
      <c r="B913" s="17">
        <v>44196</v>
      </c>
      <c r="C913" s="16">
        <v>530</v>
      </c>
      <c r="D913" s="6">
        <v>1680</v>
      </c>
      <c r="E913" s="1">
        <v>1850</v>
      </c>
      <c r="G913" s="2">
        <f t="shared" si="14"/>
        <v>1850</v>
      </c>
      <c r="H913" s="2" t="s">
        <v>9</v>
      </c>
      <c r="K913" s="39"/>
    </row>
    <row r="914" spans="2:11" x14ac:dyDescent="0.2">
      <c r="B914" s="17">
        <v>44196</v>
      </c>
      <c r="C914" s="16"/>
      <c r="D914" s="6"/>
      <c r="F914" s="1">
        <v>12950</v>
      </c>
      <c r="G914" s="2">
        <f t="shared" si="14"/>
        <v>-12950</v>
      </c>
      <c r="H914" s="2" t="s">
        <v>14</v>
      </c>
      <c r="K914" s="39"/>
    </row>
    <row r="915" spans="2:11" x14ac:dyDescent="0.2">
      <c r="B915" s="17">
        <v>44196</v>
      </c>
      <c r="C915" s="16"/>
      <c r="D915" s="6"/>
      <c r="F915" s="1">
        <v>4000</v>
      </c>
      <c r="G915" s="2">
        <f t="shared" si="14"/>
        <v>-4000</v>
      </c>
      <c r="H915" t="s">
        <v>35</v>
      </c>
      <c r="K915" s="39"/>
    </row>
    <row r="916" spans="2:11" x14ac:dyDescent="0.2">
      <c r="B916" s="17">
        <v>44196</v>
      </c>
      <c r="C916" s="16"/>
      <c r="D916" s="6"/>
      <c r="F916" s="1">
        <v>11500</v>
      </c>
      <c r="G916" s="2">
        <f t="shared" si="14"/>
        <v>-11500</v>
      </c>
      <c r="H916" s="2" t="s">
        <v>25</v>
      </c>
      <c r="K916" s="39"/>
    </row>
    <row r="917" spans="2:11" x14ac:dyDescent="0.2">
      <c r="B917" s="17">
        <v>44196</v>
      </c>
      <c r="C917" s="16"/>
      <c r="D917" s="6"/>
      <c r="F917" s="1">
        <v>1850</v>
      </c>
      <c r="G917" s="2">
        <f t="shared" si="14"/>
        <v>-1850</v>
      </c>
      <c r="H917" s="2" t="s">
        <v>9</v>
      </c>
      <c r="K917" s="39"/>
    </row>
    <row r="918" spans="2:11" x14ac:dyDescent="0.2">
      <c r="B918" s="17">
        <v>44196</v>
      </c>
      <c r="C918" s="16"/>
      <c r="D918" s="6"/>
      <c r="F918" s="1">
        <v>2000</v>
      </c>
      <c r="G918" s="2">
        <f t="shared" si="14"/>
        <v>-2000</v>
      </c>
      <c r="H918" s="2" t="s">
        <v>45</v>
      </c>
      <c r="K918" s="39"/>
    </row>
    <row r="919" spans="2:11" x14ac:dyDescent="0.2">
      <c r="B919" s="17">
        <v>44196</v>
      </c>
      <c r="C919" s="16">
        <v>531</v>
      </c>
      <c r="D919" s="6">
        <v>960</v>
      </c>
      <c r="E919" s="1">
        <v>1050</v>
      </c>
      <c r="G919" s="2">
        <f t="shared" si="14"/>
        <v>1050</v>
      </c>
      <c r="H919" s="2" t="s">
        <v>45</v>
      </c>
      <c r="K919" s="39"/>
    </row>
    <row r="920" spans="2:11" x14ac:dyDescent="0.2">
      <c r="B920" s="17">
        <v>44198</v>
      </c>
      <c r="C920" s="16">
        <v>532</v>
      </c>
      <c r="D920" s="6">
        <v>417.5</v>
      </c>
      <c r="E920" s="1">
        <v>490</v>
      </c>
      <c r="G920" s="2">
        <f t="shared" si="14"/>
        <v>490</v>
      </c>
      <c r="H920" t="s">
        <v>32</v>
      </c>
      <c r="K920" s="39"/>
    </row>
    <row r="921" spans="2:11" x14ac:dyDescent="0.2">
      <c r="B921" s="17">
        <v>44198</v>
      </c>
      <c r="C921" s="16"/>
      <c r="D921" s="6"/>
      <c r="F921" s="1">
        <v>14500</v>
      </c>
      <c r="G921" s="2">
        <f t="shared" si="14"/>
        <v>-14500</v>
      </c>
      <c r="H921" s="2" t="s">
        <v>25</v>
      </c>
      <c r="K921" s="39"/>
    </row>
    <row r="922" spans="2:11" x14ac:dyDescent="0.2">
      <c r="B922" s="21">
        <v>44199</v>
      </c>
      <c r="C922" s="16"/>
      <c r="D922" s="6"/>
      <c r="F922" s="1">
        <v>1000</v>
      </c>
      <c r="G922" s="20">
        <f t="shared" si="14"/>
        <v>-1000</v>
      </c>
      <c r="H922" s="20" t="s">
        <v>34</v>
      </c>
      <c r="K922" s="39"/>
    </row>
    <row r="923" spans="2:11" x14ac:dyDescent="0.2">
      <c r="B923" s="17">
        <v>44200</v>
      </c>
      <c r="C923" s="16">
        <v>533</v>
      </c>
      <c r="D923" s="6">
        <v>400</v>
      </c>
      <c r="E923" s="1">
        <v>400</v>
      </c>
      <c r="G923" s="2">
        <f t="shared" si="14"/>
        <v>400</v>
      </c>
      <c r="H923" s="2" t="s">
        <v>14</v>
      </c>
      <c r="K923" s="39"/>
    </row>
    <row r="924" spans="2:11" x14ac:dyDescent="0.2">
      <c r="B924" s="17">
        <v>44200</v>
      </c>
      <c r="C924" s="16">
        <v>534</v>
      </c>
      <c r="D924" s="6">
        <v>1215</v>
      </c>
      <c r="E924" s="1">
        <v>1440</v>
      </c>
      <c r="G924" s="2">
        <f t="shared" si="14"/>
        <v>1440</v>
      </c>
      <c r="H924" s="2" t="s">
        <v>14</v>
      </c>
      <c r="K924" s="39"/>
    </row>
    <row r="925" spans="2:11" x14ac:dyDescent="0.2">
      <c r="B925" s="17">
        <v>44200</v>
      </c>
      <c r="C925" s="16">
        <v>535</v>
      </c>
      <c r="D925" s="6">
        <v>2402.5</v>
      </c>
      <c r="E925" s="1">
        <v>2621.5</v>
      </c>
      <c r="G925" s="2">
        <f t="shared" si="14"/>
        <v>2621.5</v>
      </c>
      <c r="H925" s="2" t="s">
        <v>13</v>
      </c>
      <c r="K925" s="39"/>
    </row>
    <row r="926" spans="2:11" x14ac:dyDescent="0.2">
      <c r="B926" s="17">
        <v>44200</v>
      </c>
      <c r="C926" s="16">
        <v>536</v>
      </c>
      <c r="D926" s="6">
        <v>3074</v>
      </c>
      <c r="E926" s="1">
        <v>3375</v>
      </c>
      <c r="G926" s="2">
        <f t="shared" si="14"/>
        <v>3375</v>
      </c>
      <c r="H926" t="s">
        <v>35</v>
      </c>
      <c r="K926" s="39"/>
    </row>
    <row r="927" spans="2:11" x14ac:dyDescent="0.2">
      <c r="B927" s="17">
        <v>44200</v>
      </c>
      <c r="C927" s="16">
        <v>537</v>
      </c>
      <c r="D927" s="6">
        <v>735</v>
      </c>
      <c r="E927" s="1">
        <v>775</v>
      </c>
      <c r="G927" s="2">
        <f t="shared" si="14"/>
        <v>775</v>
      </c>
      <c r="H927" s="2" t="s">
        <v>45</v>
      </c>
      <c r="K927" s="39"/>
    </row>
    <row r="928" spans="2:11" x14ac:dyDescent="0.2">
      <c r="B928" s="17">
        <v>44200</v>
      </c>
      <c r="C928" s="16">
        <v>538</v>
      </c>
      <c r="D928" s="6">
        <v>280</v>
      </c>
      <c r="E928" s="1">
        <v>290</v>
      </c>
      <c r="G928" s="2">
        <f t="shared" si="14"/>
        <v>290</v>
      </c>
      <c r="H928" t="s">
        <v>39</v>
      </c>
      <c r="K928" s="39"/>
    </row>
    <row r="929" spans="2:11" x14ac:dyDescent="0.2">
      <c r="B929" s="17">
        <v>44200</v>
      </c>
      <c r="C929" s="16"/>
      <c r="D929" s="6"/>
      <c r="F929" s="1">
        <v>5000</v>
      </c>
      <c r="G929" s="2">
        <f t="shared" si="14"/>
        <v>-5000</v>
      </c>
      <c r="H929" s="2" t="s">
        <v>13</v>
      </c>
      <c r="K929" s="39"/>
    </row>
    <row r="930" spans="2:11" x14ac:dyDescent="0.2">
      <c r="B930" s="17">
        <v>44200</v>
      </c>
      <c r="C930" s="16"/>
      <c r="D930" s="6"/>
      <c r="F930" s="1">
        <v>3000</v>
      </c>
      <c r="G930" s="2">
        <f t="shared" si="14"/>
        <v>-3000</v>
      </c>
      <c r="H930" s="2" t="s">
        <v>46</v>
      </c>
      <c r="K930" s="39"/>
    </row>
    <row r="931" spans="2:11" x14ac:dyDescent="0.2">
      <c r="B931" s="17">
        <v>44200</v>
      </c>
      <c r="C931" s="16"/>
      <c r="D931" s="6"/>
      <c r="F931" s="1">
        <v>290</v>
      </c>
      <c r="G931" s="2">
        <f t="shared" si="14"/>
        <v>-290</v>
      </c>
      <c r="H931" t="s">
        <v>39</v>
      </c>
      <c r="K931" s="39"/>
    </row>
    <row r="932" spans="2:11" x14ac:dyDescent="0.2">
      <c r="B932" s="17">
        <v>44201</v>
      </c>
      <c r="C932" s="16">
        <v>539</v>
      </c>
      <c r="D932" s="6">
        <v>1130.5999999999999</v>
      </c>
      <c r="E932" s="1">
        <v>1295</v>
      </c>
      <c r="G932" s="2">
        <f t="shared" si="14"/>
        <v>1295</v>
      </c>
      <c r="H932" s="2" t="s">
        <v>13</v>
      </c>
      <c r="K932" s="39"/>
    </row>
    <row r="933" spans="2:11" x14ac:dyDescent="0.2">
      <c r="B933" s="17">
        <v>44201</v>
      </c>
      <c r="C933" s="16">
        <v>540</v>
      </c>
      <c r="D933" s="6">
        <v>450</v>
      </c>
      <c r="E933" s="1">
        <v>500</v>
      </c>
      <c r="G933" s="2">
        <f t="shared" si="14"/>
        <v>500</v>
      </c>
      <c r="H933" s="2" t="s">
        <v>49</v>
      </c>
      <c r="K933" s="39"/>
    </row>
    <row r="934" spans="2:11" x14ac:dyDescent="0.2">
      <c r="B934" s="17">
        <v>44202</v>
      </c>
      <c r="C934" s="16">
        <v>541</v>
      </c>
      <c r="D934" s="6">
        <v>6600</v>
      </c>
      <c r="E934" s="1">
        <v>7460</v>
      </c>
      <c r="G934" s="2">
        <f t="shared" si="14"/>
        <v>7460</v>
      </c>
      <c r="H934" s="2" t="s">
        <v>14</v>
      </c>
      <c r="K934" s="39"/>
    </row>
    <row r="935" spans="2:11" x14ac:dyDescent="0.2">
      <c r="B935" s="17">
        <v>44202</v>
      </c>
      <c r="C935" s="16">
        <v>542</v>
      </c>
      <c r="D935" s="6">
        <v>728.5</v>
      </c>
      <c r="E935" s="1">
        <v>897.5</v>
      </c>
      <c r="G935" s="2">
        <f t="shared" si="14"/>
        <v>897.5</v>
      </c>
      <c r="H935" s="2" t="s">
        <v>25</v>
      </c>
      <c r="K935" s="39"/>
    </row>
    <row r="936" spans="2:11" x14ac:dyDescent="0.2">
      <c r="B936" s="17">
        <v>44202</v>
      </c>
      <c r="C936" s="16">
        <v>543</v>
      </c>
      <c r="D936" s="6">
        <v>1869.5</v>
      </c>
      <c r="E936" s="1">
        <v>2043</v>
      </c>
      <c r="G936" s="2">
        <f t="shared" si="14"/>
        <v>2043</v>
      </c>
      <c r="H936" s="2" t="s">
        <v>13</v>
      </c>
      <c r="K936" s="39"/>
    </row>
    <row r="937" spans="2:11" x14ac:dyDescent="0.2">
      <c r="B937" s="17">
        <v>44202</v>
      </c>
      <c r="C937" s="16">
        <v>544</v>
      </c>
      <c r="D937" s="6">
        <v>1600</v>
      </c>
      <c r="E937" s="1">
        <v>2000</v>
      </c>
      <c r="G937" s="2">
        <f t="shared" si="14"/>
        <v>2000</v>
      </c>
      <c r="H937" s="2" t="s">
        <v>45</v>
      </c>
      <c r="K937" s="39"/>
    </row>
    <row r="938" spans="2:11" x14ac:dyDescent="0.2">
      <c r="B938" s="17">
        <v>44202</v>
      </c>
      <c r="C938" s="16">
        <v>545</v>
      </c>
      <c r="D938" s="6">
        <v>725</v>
      </c>
      <c r="E938" s="1">
        <v>950</v>
      </c>
      <c r="G938" s="2">
        <f t="shared" si="14"/>
        <v>950</v>
      </c>
      <c r="H938" s="2" t="s">
        <v>37</v>
      </c>
      <c r="K938" s="39"/>
    </row>
    <row r="939" spans="2:11" x14ac:dyDescent="0.2">
      <c r="B939" s="17">
        <v>44205</v>
      </c>
      <c r="C939" s="16">
        <v>546</v>
      </c>
      <c r="D939" s="6">
        <v>1522.5</v>
      </c>
      <c r="E939" s="1">
        <v>1705</v>
      </c>
      <c r="G939" s="2">
        <f t="shared" si="14"/>
        <v>1705</v>
      </c>
      <c r="H939" s="2" t="s">
        <v>34</v>
      </c>
      <c r="K939" s="39"/>
    </row>
    <row r="940" spans="2:11" x14ac:dyDescent="0.2">
      <c r="B940" s="17">
        <v>44205</v>
      </c>
      <c r="C940" s="16">
        <v>547</v>
      </c>
      <c r="D940" s="6">
        <v>108</v>
      </c>
      <c r="E940" s="1">
        <v>130</v>
      </c>
      <c r="G940" s="2">
        <f t="shared" si="14"/>
        <v>130</v>
      </c>
      <c r="H940" s="2" t="s">
        <v>25</v>
      </c>
      <c r="K940" s="39"/>
    </row>
    <row r="941" spans="2:11" x14ac:dyDescent="0.2">
      <c r="B941" s="17">
        <v>44205</v>
      </c>
      <c r="C941" s="16">
        <v>548</v>
      </c>
      <c r="D941" s="6">
        <v>3625</v>
      </c>
      <c r="E941" s="1">
        <v>3875</v>
      </c>
      <c r="G941" s="2">
        <f t="shared" si="14"/>
        <v>3875</v>
      </c>
      <c r="H941" s="2" t="s">
        <v>48</v>
      </c>
      <c r="K941" s="39"/>
    </row>
    <row r="942" spans="2:11" x14ac:dyDescent="0.2">
      <c r="B942" s="17">
        <v>44205</v>
      </c>
      <c r="C942" s="16">
        <v>549</v>
      </c>
      <c r="D942" s="6">
        <v>6515</v>
      </c>
      <c r="E942" s="1">
        <v>7025</v>
      </c>
      <c r="G942" s="2">
        <f t="shared" si="14"/>
        <v>7025</v>
      </c>
      <c r="H942" t="s">
        <v>39</v>
      </c>
      <c r="K942" s="39"/>
    </row>
    <row r="943" spans="2:11" x14ac:dyDescent="0.2">
      <c r="B943" s="19">
        <v>44205</v>
      </c>
      <c r="C943" s="16"/>
      <c r="D943" s="6"/>
      <c r="F943" s="1">
        <v>1705</v>
      </c>
      <c r="G943" s="4">
        <f t="shared" si="14"/>
        <v>-1705</v>
      </c>
      <c r="H943" s="4" t="s">
        <v>34</v>
      </c>
      <c r="K943" s="39"/>
    </row>
    <row r="944" spans="2:11" x14ac:dyDescent="0.2">
      <c r="B944" s="17">
        <v>44205</v>
      </c>
      <c r="C944" s="16"/>
      <c r="D944" s="6"/>
      <c r="F944" s="1">
        <v>1300</v>
      </c>
      <c r="G944" s="2">
        <f t="shared" si="14"/>
        <v>-1300</v>
      </c>
      <c r="H944" s="2" t="s">
        <v>25</v>
      </c>
      <c r="K944" s="39"/>
    </row>
    <row r="945" spans="2:11" x14ac:dyDescent="0.2">
      <c r="B945" s="17">
        <v>44206</v>
      </c>
      <c r="C945" s="16">
        <v>550</v>
      </c>
      <c r="D945" s="6">
        <v>16260</v>
      </c>
      <c r="E945" s="1">
        <v>17150</v>
      </c>
      <c r="G945" s="2">
        <f t="shared" si="14"/>
        <v>17150</v>
      </c>
      <c r="H945" s="2" t="s">
        <v>14</v>
      </c>
      <c r="K945" s="39"/>
    </row>
    <row r="946" spans="2:11" x14ac:dyDescent="0.2">
      <c r="B946" s="17">
        <v>44206</v>
      </c>
      <c r="C946" s="16">
        <v>551</v>
      </c>
      <c r="D946" s="6">
        <v>6181.85</v>
      </c>
      <c r="E946" s="1">
        <v>6803.5</v>
      </c>
      <c r="G946" s="2">
        <f t="shared" si="14"/>
        <v>6803.5</v>
      </c>
      <c r="H946" s="2" t="s">
        <v>25</v>
      </c>
      <c r="K946" s="39"/>
    </row>
    <row r="947" spans="2:11" x14ac:dyDescent="0.2">
      <c r="B947" s="17">
        <v>44206</v>
      </c>
      <c r="C947" s="16"/>
      <c r="D947" s="6"/>
      <c r="F947" s="1">
        <v>2000</v>
      </c>
      <c r="G947" s="2">
        <f t="shared" si="14"/>
        <v>-2000</v>
      </c>
      <c r="H947" s="2" t="s">
        <v>13</v>
      </c>
      <c r="K947" s="39"/>
    </row>
    <row r="948" spans="2:11" x14ac:dyDescent="0.2">
      <c r="B948" s="17">
        <v>44206</v>
      </c>
      <c r="C948" s="16"/>
      <c r="D948" s="6"/>
      <c r="F948" s="1">
        <v>7000</v>
      </c>
      <c r="G948" s="2">
        <f t="shared" si="14"/>
        <v>-7000</v>
      </c>
      <c r="H948" s="2" t="s">
        <v>14</v>
      </c>
      <c r="K948" s="39"/>
    </row>
    <row r="949" spans="2:11" x14ac:dyDescent="0.2">
      <c r="B949" s="17">
        <v>44207</v>
      </c>
      <c r="C949" s="16">
        <v>552</v>
      </c>
      <c r="D949" s="6">
        <v>2072.5</v>
      </c>
      <c r="E949" s="1">
        <v>2287.5</v>
      </c>
      <c r="G949" s="2">
        <f t="shared" si="14"/>
        <v>2287.5</v>
      </c>
      <c r="H949" t="s">
        <v>35</v>
      </c>
      <c r="K949" s="39"/>
    </row>
    <row r="950" spans="2:11" x14ac:dyDescent="0.2">
      <c r="B950" s="17">
        <v>44207</v>
      </c>
      <c r="C950" s="16">
        <v>553</v>
      </c>
      <c r="D950" s="6">
        <v>1260</v>
      </c>
      <c r="E950" s="1">
        <v>1410</v>
      </c>
      <c r="G950" s="2">
        <f t="shared" si="14"/>
        <v>1410</v>
      </c>
      <c r="H950" s="2" t="s">
        <v>37</v>
      </c>
      <c r="K950" s="39"/>
    </row>
    <row r="951" spans="2:11" x14ac:dyDescent="0.2">
      <c r="B951" s="17">
        <v>44208</v>
      </c>
      <c r="C951" s="16">
        <v>554</v>
      </c>
      <c r="D951" s="6">
        <v>3204.5</v>
      </c>
      <c r="E951" s="1">
        <v>3486</v>
      </c>
      <c r="G951" s="2">
        <f t="shared" si="14"/>
        <v>3486</v>
      </c>
      <c r="H951" s="2" t="s">
        <v>25</v>
      </c>
      <c r="K951" s="39"/>
    </row>
    <row r="952" spans="2:11" x14ac:dyDescent="0.2">
      <c r="B952" s="17">
        <v>44208</v>
      </c>
      <c r="C952" s="16">
        <v>555</v>
      </c>
      <c r="D952" s="6">
        <v>720</v>
      </c>
      <c r="E952" s="1">
        <v>95</v>
      </c>
      <c r="G952" s="2">
        <f t="shared" si="14"/>
        <v>95</v>
      </c>
      <c r="H952" s="2" t="s">
        <v>14</v>
      </c>
      <c r="K952" s="39"/>
    </row>
    <row r="953" spans="2:11" x14ac:dyDescent="0.2">
      <c r="B953" s="17">
        <v>44208</v>
      </c>
      <c r="C953" s="16">
        <v>556</v>
      </c>
      <c r="D953" s="6">
        <v>2100</v>
      </c>
      <c r="E953" s="1">
        <v>2400</v>
      </c>
      <c r="G953" s="2">
        <f t="shared" si="14"/>
        <v>2400</v>
      </c>
      <c r="H953" t="s">
        <v>32</v>
      </c>
      <c r="K953" s="39"/>
    </row>
    <row r="954" spans="2:11" x14ac:dyDescent="0.2">
      <c r="B954" s="17">
        <v>44208</v>
      </c>
      <c r="C954" s="16"/>
      <c r="D954" s="6"/>
      <c r="F954" s="1">
        <v>5000</v>
      </c>
      <c r="G954" s="2">
        <f t="shared" si="14"/>
        <v>-5000</v>
      </c>
      <c r="H954" s="2" t="s">
        <v>25</v>
      </c>
      <c r="K954" s="39"/>
    </row>
    <row r="955" spans="2:11" x14ac:dyDescent="0.2">
      <c r="B955" s="17">
        <v>44208</v>
      </c>
      <c r="C955" s="16"/>
      <c r="D955" s="6"/>
      <c r="F955" s="1">
        <v>2000</v>
      </c>
      <c r="G955" s="2">
        <f t="shared" si="14"/>
        <v>-2000</v>
      </c>
      <c r="H955" s="2" t="s">
        <v>45</v>
      </c>
      <c r="K955" s="39"/>
    </row>
    <row r="956" spans="2:11" x14ac:dyDescent="0.2">
      <c r="B956" s="17">
        <v>44208</v>
      </c>
      <c r="C956" s="16"/>
      <c r="D956" s="6"/>
      <c r="F956" s="1">
        <v>1000</v>
      </c>
      <c r="G956" s="2">
        <f t="shared" si="14"/>
        <v>-1000</v>
      </c>
      <c r="H956" s="2" t="s">
        <v>34</v>
      </c>
      <c r="K956" s="39"/>
    </row>
    <row r="957" spans="2:11" x14ac:dyDescent="0.2">
      <c r="B957" s="17">
        <v>44208</v>
      </c>
      <c r="C957" s="16"/>
      <c r="D957" s="6"/>
      <c r="F957" s="1">
        <v>7000</v>
      </c>
      <c r="G957" s="2">
        <f t="shared" si="14"/>
        <v>-7000</v>
      </c>
      <c r="H957" s="2" t="s">
        <v>14</v>
      </c>
      <c r="K957" s="39"/>
    </row>
    <row r="958" spans="2:11" x14ac:dyDescent="0.2">
      <c r="B958" s="17">
        <v>44209</v>
      </c>
      <c r="C958" s="16">
        <v>557</v>
      </c>
      <c r="D958" s="6">
        <v>110</v>
      </c>
      <c r="E958" s="1">
        <v>130</v>
      </c>
      <c r="G958" s="2">
        <f t="shared" si="14"/>
        <v>130</v>
      </c>
      <c r="H958" t="s">
        <v>35</v>
      </c>
      <c r="K958" s="39"/>
    </row>
    <row r="959" spans="2:11" x14ac:dyDescent="0.2">
      <c r="B959" s="17">
        <v>44210</v>
      </c>
      <c r="C959" s="16"/>
      <c r="D959" s="6"/>
      <c r="F959" s="1">
        <v>3300</v>
      </c>
      <c r="G959" s="2">
        <f t="shared" si="14"/>
        <v>-3300</v>
      </c>
      <c r="H959" s="2" t="s">
        <v>37</v>
      </c>
      <c r="K959" s="39"/>
    </row>
    <row r="960" spans="2:11" x14ac:dyDescent="0.2">
      <c r="B960" s="17">
        <v>44210</v>
      </c>
      <c r="C960" s="16"/>
      <c r="D960" s="6"/>
      <c r="F960" s="1">
        <v>4000</v>
      </c>
      <c r="G960" s="2">
        <f t="shared" si="14"/>
        <v>-4000</v>
      </c>
      <c r="H960" s="2" t="s">
        <v>41</v>
      </c>
      <c r="K960" s="39"/>
    </row>
    <row r="961" spans="2:11" x14ac:dyDescent="0.2">
      <c r="B961" s="17">
        <v>44212</v>
      </c>
      <c r="C961" s="16"/>
      <c r="D961" s="6"/>
      <c r="F961" s="1">
        <v>2890</v>
      </c>
      <c r="G961" s="2">
        <f t="shared" si="14"/>
        <v>-2890</v>
      </c>
      <c r="H961" t="s">
        <v>32</v>
      </c>
      <c r="K961" s="39"/>
    </row>
    <row r="962" spans="2:11" x14ac:dyDescent="0.2">
      <c r="B962" s="17">
        <v>44213</v>
      </c>
      <c r="C962" s="16">
        <v>558</v>
      </c>
      <c r="D962" s="6">
        <v>3625</v>
      </c>
      <c r="E962" s="1">
        <v>3935</v>
      </c>
      <c r="G962" s="2">
        <f t="shared" si="14"/>
        <v>3935</v>
      </c>
      <c r="H962" t="s">
        <v>35</v>
      </c>
      <c r="K962" s="39"/>
    </row>
    <row r="963" spans="2:11" x14ac:dyDescent="0.2">
      <c r="B963" s="17">
        <v>44213</v>
      </c>
      <c r="C963" s="16">
        <v>559</v>
      </c>
      <c r="D963" s="6">
        <v>725</v>
      </c>
      <c r="E963" s="1">
        <v>950</v>
      </c>
      <c r="G963" s="2">
        <f t="shared" ref="G963:G1026" si="15">E963-F963</f>
        <v>950</v>
      </c>
      <c r="H963" s="2" t="s">
        <v>37</v>
      </c>
      <c r="K963" s="39"/>
    </row>
    <row r="964" spans="2:11" x14ac:dyDescent="0.2">
      <c r="B964" s="17">
        <v>44213</v>
      </c>
      <c r="C964" s="16">
        <v>560</v>
      </c>
      <c r="D964" s="6">
        <v>2100</v>
      </c>
      <c r="E964" s="1">
        <v>2700</v>
      </c>
      <c r="G964" s="2">
        <f t="shared" si="15"/>
        <v>2700</v>
      </c>
      <c r="H964" s="2" t="s">
        <v>41</v>
      </c>
      <c r="K964" s="39"/>
    </row>
    <row r="965" spans="2:11" x14ac:dyDescent="0.2">
      <c r="B965" s="17">
        <v>44213</v>
      </c>
      <c r="C965" s="16">
        <v>561</v>
      </c>
      <c r="D965" s="6">
        <v>7350</v>
      </c>
      <c r="E965" s="1">
        <v>7750</v>
      </c>
      <c r="G965" s="2">
        <f t="shared" si="15"/>
        <v>7750</v>
      </c>
      <c r="H965" s="2" t="s">
        <v>49</v>
      </c>
      <c r="K965" s="39"/>
    </row>
    <row r="966" spans="2:11" x14ac:dyDescent="0.2">
      <c r="B966" s="17">
        <v>44213</v>
      </c>
      <c r="C966" s="16">
        <v>562</v>
      </c>
      <c r="D966" s="6">
        <v>1604</v>
      </c>
      <c r="E966" s="1">
        <v>1862</v>
      </c>
      <c r="G966" s="2">
        <f t="shared" si="15"/>
        <v>1862</v>
      </c>
      <c r="H966" s="2" t="s">
        <v>13</v>
      </c>
      <c r="K966" s="39"/>
    </row>
    <row r="967" spans="2:11" x14ac:dyDescent="0.2">
      <c r="B967" s="17">
        <v>44214</v>
      </c>
      <c r="C967" s="16"/>
      <c r="D967" s="6"/>
      <c r="F967" s="1">
        <v>7000</v>
      </c>
      <c r="G967" s="2">
        <f t="shared" si="15"/>
        <v>-7000</v>
      </c>
      <c r="H967" s="2" t="s">
        <v>14</v>
      </c>
      <c r="K967" s="39"/>
    </row>
    <row r="968" spans="2:11" x14ac:dyDescent="0.2">
      <c r="B968" s="17">
        <v>44215</v>
      </c>
      <c r="C968" s="16">
        <v>563</v>
      </c>
      <c r="D968" s="6">
        <v>1065</v>
      </c>
      <c r="E968" s="1">
        <v>1305</v>
      </c>
      <c r="G968" s="2">
        <f t="shared" si="15"/>
        <v>1305</v>
      </c>
      <c r="H968" s="2" t="s">
        <v>37</v>
      </c>
      <c r="K968" s="39"/>
    </row>
    <row r="969" spans="2:11" x14ac:dyDescent="0.2">
      <c r="B969" s="17">
        <v>44215</v>
      </c>
      <c r="C969" s="16">
        <v>564</v>
      </c>
      <c r="D969" s="6">
        <v>798</v>
      </c>
      <c r="E969" s="1">
        <v>836</v>
      </c>
      <c r="G969" s="2">
        <f t="shared" si="15"/>
        <v>836</v>
      </c>
      <c r="H969" s="2" t="s">
        <v>48</v>
      </c>
      <c r="K969" s="39"/>
    </row>
    <row r="970" spans="2:11" x14ac:dyDescent="0.2">
      <c r="B970" s="17">
        <v>44216</v>
      </c>
      <c r="C970" s="16">
        <v>565</v>
      </c>
      <c r="D970" s="6">
        <v>4297.5</v>
      </c>
      <c r="E970" s="1">
        <v>4600</v>
      </c>
      <c r="G970" s="2">
        <f t="shared" si="15"/>
        <v>4600</v>
      </c>
      <c r="H970" s="2" t="s">
        <v>14</v>
      </c>
      <c r="K970" s="39"/>
    </row>
    <row r="971" spans="2:11" x14ac:dyDescent="0.2">
      <c r="B971" s="17">
        <v>44216</v>
      </c>
      <c r="C971" s="16">
        <v>566</v>
      </c>
      <c r="D971" s="6">
        <v>390</v>
      </c>
      <c r="E971" s="1">
        <v>420</v>
      </c>
      <c r="G971" s="2">
        <f t="shared" si="15"/>
        <v>420</v>
      </c>
      <c r="H971" s="2" t="s">
        <v>45</v>
      </c>
      <c r="K971" s="39"/>
    </row>
    <row r="972" spans="2:11" x14ac:dyDescent="0.2">
      <c r="B972" s="17">
        <v>44216</v>
      </c>
      <c r="C972" s="16">
        <v>567</v>
      </c>
      <c r="D972" s="6">
        <v>155</v>
      </c>
      <c r="E972" s="1">
        <v>180</v>
      </c>
      <c r="G972" s="2">
        <f t="shared" si="15"/>
        <v>180</v>
      </c>
      <c r="H972" t="s">
        <v>35</v>
      </c>
      <c r="K972" s="39"/>
    </row>
    <row r="973" spans="2:11" x14ac:dyDescent="0.2">
      <c r="B973" s="17">
        <v>44216</v>
      </c>
      <c r="C973" s="16">
        <v>568</v>
      </c>
      <c r="D973" s="6">
        <v>800</v>
      </c>
      <c r="E973" s="1">
        <v>1000</v>
      </c>
      <c r="G973" s="2">
        <f t="shared" si="15"/>
        <v>1000</v>
      </c>
      <c r="H973" s="2" t="s">
        <v>41</v>
      </c>
      <c r="K973" s="39"/>
    </row>
    <row r="974" spans="2:11" x14ac:dyDescent="0.2">
      <c r="B974" s="17">
        <v>44216</v>
      </c>
      <c r="C974" s="16"/>
      <c r="D974" s="6"/>
      <c r="F974" s="1">
        <v>5000</v>
      </c>
      <c r="G974" s="2">
        <f t="shared" si="15"/>
        <v>-5000</v>
      </c>
      <c r="H974" s="2" t="s">
        <v>14</v>
      </c>
      <c r="K974" s="39"/>
    </row>
    <row r="975" spans="2:11" x14ac:dyDescent="0.2">
      <c r="B975" s="17">
        <v>44217</v>
      </c>
      <c r="C975" s="16">
        <v>569</v>
      </c>
      <c r="D975" s="6">
        <v>1809</v>
      </c>
      <c r="E975" s="1">
        <v>2075</v>
      </c>
      <c r="G975" s="2">
        <f t="shared" si="15"/>
        <v>2075</v>
      </c>
      <c r="H975" s="2" t="s">
        <v>13</v>
      </c>
      <c r="K975" s="39"/>
    </row>
    <row r="976" spans="2:11" x14ac:dyDescent="0.2">
      <c r="B976" s="17">
        <v>44217</v>
      </c>
      <c r="C976" s="16">
        <v>570</v>
      </c>
      <c r="D976" s="6">
        <v>360</v>
      </c>
      <c r="E976" s="1">
        <v>500</v>
      </c>
      <c r="G976" s="2">
        <f t="shared" si="15"/>
        <v>500</v>
      </c>
      <c r="H976" s="2" t="s">
        <v>34</v>
      </c>
      <c r="K976" s="39"/>
    </row>
    <row r="977" spans="2:11" x14ac:dyDescent="0.2">
      <c r="B977" s="17">
        <v>44219</v>
      </c>
      <c r="C977" s="16"/>
      <c r="D977" s="6"/>
      <c r="F977" s="1">
        <v>900</v>
      </c>
      <c r="G977" s="2">
        <f t="shared" si="15"/>
        <v>-900</v>
      </c>
      <c r="H977" s="2" t="s">
        <v>52</v>
      </c>
      <c r="K977" s="39"/>
    </row>
    <row r="978" spans="2:11" x14ac:dyDescent="0.2">
      <c r="B978" s="17">
        <v>44219</v>
      </c>
      <c r="C978" s="16"/>
      <c r="D978" s="6"/>
      <c r="F978" s="1">
        <v>7710</v>
      </c>
      <c r="G978" s="2">
        <f t="shared" si="15"/>
        <v>-7710</v>
      </c>
      <c r="H978" s="2" t="s">
        <v>49</v>
      </c>
      <c r="K978" s="39"/>
    </row>
    <row r="979" spans="2:11" x14ac:dyDescent="0.2">
      <c r="B979" s="17">
        <v>44219</v>
      </c>
      <c r="C979" s="16"/>
      <c r="D979" s="6"/>
      <c r="F979" s="1">
        <v>3000</v>
      </c>
      <c r="G979" s="2">
        <f t="shared" si="15"/>
        <v>-3000</v>
      </c>
      <c r="H979" s="2" t="s">
        <v>45</v>
      </c>
      <c r="K979" s="39"/>
    </row>
    <row r="980" spans="2:11" x14ac:dyDescent="0.2">
      <c r="B980" s="17">
        <v>44219</v>
      </c>
      <c r="C980" s="16"/>
      <c r="D980" s="6"/>
      <c r="F980" s="1">
        <v>5000</v>
      </c>
      <c r="G980" s="2">
        <f t="shared" si="15"/>
        <v>-5000</v>
      </c>
      <c r="H980" s="2" t="s">
        <v>13</v>
      </c>
      <c r="K980" s="39"/>
    </row>
    <row r="981" spans="2:11" x14ac:dyDescent="0.2">
      <c r="B981" s="17">
        <v>44220</v>
      </c>
      <c r="C981" s="16">
        <v>571</v>
      </c>
      <c r="D981" s="6">
        <v>1260</v>
      </c>
      <c r="E981" s="1">
        <v>1410</v>
      </c>
      <c r="G981" s="2">
        <f t="shared" si="15"/>
        <v>1410</v>
      </c>
      <c r="H981" s="2" t="s">
        <v>37</v>
      </c>
      <c r="K981" s="39"/>
    </row>
    <row r="982" spans="2:11" x14ac:dyDescent="0.2">
      <c r="B982" s="17">
        <v>44220</v>
      </c>
      <c r="C982" s="16">
        <v>572</v>
      </c>
      <c r="D982" s="6">
        <v>1470</v>
      </c>
      <c r="E982" s="1">
        <v>1550</v>
      </c>
      <c r="G982" s="2">
        <f t="shared" si="15"/>
        <v>1550</v>
      </c>
      <c r="H982" s="2" t="s">
        <v>41</v>
      </c>
      <c r="K982" s="39"/>
    </row>
    <row r="983" spans="2:11" x14ac:dyDescent="0.2">
      <c r="B983" s="17">
        <v>44220</v>
      </c>
      <c r="C983" s="16">
        <v>573</v>
      </c>
      <c r="D983" s="6">
        <v>1663</v>
      </c>
      <c r="E983" s="1">
        <v>1829</v>
      </c>
      <c r="G983" s="2">
        <f t="shared" si="15"/>
        <v>1829</v>
      </c>
      <c r="H983" s="2" t="s">
        <v>13</v>
      </c>
      <c r="K983" s="39"/>
    </row>
    <row r="984" spans="2:11" x14ac:dyDescent="0.2">
      <c r="B984" s="17">
        <v>44220</v>
      </c>
      <c r="C984" s="16">
        <v>574</v>
      </c>
      <c r="D984" s="6">
        <v>2940</v>
      </c>
      <c r="E984" s="1">
        <v>3100</v>
      </c>
      <c r="G984" s="2">
        <f t="shared" si="15"/>
        <v>3100</v>
      </c>
      <c r="H984" s="2" t="s">
        <v>13</v>
      </c>
      <c r="K984" s="39"/>
    </row>
    <row r="985" spans="2:11" x14ac:dyDescent="0.2">
      <c r="B985" s="17">
        <v>44221</v>
      </c>
      <c r="C985" s="16">
        <v>575</v>
      </c>
      <c r="D985" s="6">
        <v>155</v>
      </c>
      <c r="E985" s="1">
        <v>170</v>
      </c>
      <c r="G985" s="2">
        <f t="shared" si="15"/>
        <v>170</v>
      </c>
      <c r="H985" s="2" t="s">
        <v>13</v>
      </c>
      <c r="K985" s="39"/>
    </row>
    <row r="986" spans="2:11" x14ac:dyDescent="0.2">
      <c r="B986" s="17">
        <v>44221</v>
      </c>
      <c r="C986" s="16"/>
      <c r="D986" s="6"/>
      <c r="F986" s="1">
        <v>5000</v>
      </c>
      <c r="G986" s="2">
        <f t="shared" si="15"/>
        <v>-5000</v>
      </c>
      <c r="H986" s="2" t="s">
        <v>14</v>
      </c>
      <c r="K986" s="39"/>
    </row>
    <row r="987" spans="2:11" x14ac:dyDescent="0.2">
      <c r="B987" s="17">
        <v>44221</v>
      </c>
      <c r="C987" s="16"/>
      <c r="D987" s="6"/>
      <c r="F987" s="1">
        <v>1000</v>
      </c>
      <c r="G987" s="2">
        <f t="shared" si="15"/>
        <v>-1000</v>
      </c>
      <c r="H987" s="2" t="s">
        <v>34</v>
      </c>
      <c r="K987" s="39"/>
    </row>
    <row r="988" spans="2:11" x14ac:dyDescent="0.2">
      <c r="B988" s="17">
        <v>44221</v>
      </c>
      <c r="C988" s="16"/>
      <c r="D988" s="6"/>
      <c r="F988" s="1">
        <v>3100</v>
      </c>
      <c r="G988" s="2">
        <f t="shared" si="15"/>
        <v>-3100</v>
      </c>
      <c r="H988" s="2" t="s">
        <v>13</v>
      </c>
      <c r="K988" s="39"/>
    </row>
    <row r="989" spans="2:11" x14ac:dyDescent="0.2">
      <c r="B989" s="17">
        <v>44222</v>
      </c>
      <c r="C989" s="16"/>
      <c r="D989" s="6"/>
      <c r="F989" s="1">
        <v>1000</v>
      </c>
      <c r="G989" s="2">
        <f t="shared" si="15"/>
        <v>-1000</v>
      </c>
      <c r="H989" s="2" t="s">
        <v>51</v>
      </c>
      <c r="K989" s="39"/>
    </row>
    <row r="990" spans="2:11" x14ac:dyDescent="0.2">
      <c r="B990" s="17">
        <v>44223</v>
      </c>
      <c r="C990" s="16">
        <v>576</v>
      </c>
      <c r="D990" s="6">
        <v>1315</v>
      </c>
      <c r="E990" s="1">
        <v>1435</v>
      </c>
      <c r="G990" s="2">
        <f t="shared" si="15"/>
        <v>1435</v>
      </c>
      <c r="H990" t="s">
        <v>35</v>
      </c>
      <c r="K990" s="39"/>
    </row>
    <row r="991" spans="2:11" x14ac:dyDescent="0.2">
      <c r="B991" s="17">
        <v>44223</v>
      </c>
      <c r="C991" s="16">
        <v>577</v>
      </c>
      <c r="D991" s="6">
        <v>350</v>
      </c>
      <c r="E991" s="1">
        <v>450</v>
      </c>
      <c r="G991" s="2">
        <f t="shared" si="15"/>
        <v>450</v>
      </c>
      <c r="H991" s="2" t="s">
        <v>34</v>
      </c>
      <c r="K991" s="39"/>
    </row>
    <row r="992" spans="2:11" x14ac:dyDescent="0.2">
      <c r="B992" s="17">
        <v>44223</v>
      </c>
      <c r="C992" s="16">
        <v>578</v>
      </c>
      <c r="D992" s="6">
        <v>16050</v>
      </c>
      <c r="E992" s="1">
        <v>17250</v>
      </c>
      <c r="G992" s="2">
        <f t="shared" si="15"/>
        <v>17250</v>
      </c>
      <c r="H992" s="2" t="s">
        <v>14</v>
      </c>
      <c r="K992" s="39"/>
    </row>
    <row r="993" spans="2:11" x14ac:dyDescent="0.2">
      <c r="B993" s="17">
        <v>44226</v>
      </c>
      <c r="C993" s="16">
        <v>579</v>
      </c>
      <c r="D993" s="6">
        <v>603.5</v>
      </c>
      <c r="E993" s="1">
        <v>683.75</v>
      </c>
      <c r="G993" s="2">
        <f t="shared" si="15"/>
        <v>683.75</v>
      </c>
      <c r="H993" t="s">
        <v>35</v>
      </c>
      <c r="K993" s="39"/>
    </row>
    <row r="994" spans="2:11" x14ac:dyDescent="0.2">
      <c r="B994" s="17">
        <v>44227</v>
      </c>
      <c r="C994" s="16"/>
      <c r="D994" s="6"/>
      <c r="F994" s="1">
        <v>5000</v>
      </c>
      <c r="G994" s="2">
        <f t="shared" si="15"/>
        <v>-5000</v>
      </c>
      <c r="H994" s="2" t="s">
        <v>14</v>
      </c>
      <c r="K994" s="39"/>
    </row>
    <row r="995" spans="2:11" x14ac:dyDescent="0.2">
      <c r="B995" s="19">
        <v>44227</v>
      </c>
      <c r="C995" s="16"/>
      <c r="D995" s="6"/>
      <c r="F995" s="1">
        <v>700</v>
      </c>
      <c r="G995" s="4">
        <f t="shared" si="15"/>
        <v>-700</v>
      </c>
      <c r="K995" s="39"/>
    </row>
    <row r="996" spans="2:11" x14ac:dyDescent="0.2">
      <c r="B996" s="17">
        <v>44228</v>
      </c>
      <c r="C996" s="16"/>
      <c r="D996" s="6"/>
      <c r="F996" s="1">
        <v>5000</v>
      </c>
      <c r="G996" s="2">
        <f t="shared" si="15"/>
        <v>-5000</v>
      </c>
      <c r="H996" t="s">
        <v>13</v>
      </c>
      <c r="K996" s="39"/>
    </row>
    <row r="997" spans="2:11" x14ac:dyDescent="0.2">
      <c r="B997" s="17">
        <v>44229</v>
      </c>
      <c r="C997" s="16"/>
      <c r="D997" s="6"/>
      <c r="F997" s="1">
        <v>4000</v>
      </c>
      <c r="G997" s="2">
        <f t="shared" si="15"/>
        <v>-4000</v>
      </c>
      <c r="H997" t="s">
        <v>35</v>
      </c>
      <c r="K997" s="39"/>
    </row>
    <row r="998" spans="2:11" x14ac:dyDescent="0.2">
      <c r="B998" s="17">
        <v>44229</v>
      </c>
      <c r="C998" s="16">
        <v>580</v>
      </c>
      <c r="D998" s="6">
        <v>915</v>
      </c>
      <c r="E998" s="1">
        <v>1215</v>
      </c>
      <c r="G998" s="2">
        <f t="shared" si="15"/>
        <v>1215</v>
      </c>
      <c r="H998" t="s">
        <v>35</v>
      </c>
      <c r="K998" s="39"/>
    </row>
    <row r="999" spans="2:11" x14ac:dyDescent="0.2">
      <c r="B999" s="17">
        <v>44230</v>
      </c>
      <c r="C999" s="16">
        <v>581</v>
      </c>
      <c r="D999" s="6">
        <v>5050</v>
      </c>
      <c r="E999" s="1">
        <v>5500</v>
      </c>
      <c r="G999" s="2">
        <f t="shared" si="15"/>
        <v>5500</v>
      </c>
      <c r="H999" t="s">
        <v>14</v>
      </c>
      <c r="K999" s="39"/>
    </row>
    <row r="1000" spans="2:11" x14ac:dyDescent="0.2">
      <c r="B1000" s="17">
        <v>44230</v>
      </c>
      <c r="C1000" s="16">
        <v>582</v>
      </c>
      <c r="D1000" s="6">
        <v>1325</v>
      </c>
      <c r="E1000" s="1">
        <v>1476.25</v>
      </c>
      <c r="G1000" s="2">
        <f t="shared" si="15"/>
        <v>1476.25</v>
      </c>
      <c r="H1000" t="s">
        <v>13</v>
      </c>
      <c r="K1000" s="39"/>
    </row>
    <row r="1001" spans="2:11" x14ac:dyDescent="0.2">
      <c r="B1001" s="17">
        <v>44231</v>
      </c>
      <c r="C1001" s="16"/>
      <c r="D1001" s="6"/>
      <c r="F1001" s="1">
        <v>3700</v>
      </c>
      <c r="G1001" s="2">
        <f t="shared" si="15"/>
        <v>-3700</v>
      </c>
      <c r="H1001" t="s">
        <v>37</v>
      </c>
      <c r="K1001" s="39"/>
    </row>
    <row r="1002" spans="2:11" x14ac:dyDescent="0.2">
      <c r="B1002" s="17">
        <v>44231</v>
      </c>
      <c r="C1002" s="16"/>
      <c r="D1002" s="6"/>
      <c r="F1002" s="1">
        <v>5000</v>
      </c>
      <c r="G1002" s="2">
        <f t="shared" si="15"/>
        <v>-5000</v>
      </c>
      <c r="H1002" t="s">
        <v>14</v>
      </c>
      <c r="K1002" s="39"/>
    </row>
    <row r="1003" spans="2:11" x14ac:dyDescent="0.2">
      <c r="B1003" s="17">
        <v>44233</v>
      </c>
      <c r="C1003" s="16">
        <v>583</v>
      </c>
      <c r="D1003" s="6">
        <v>1600</v>
      </c>
      <c r="E1003" s="1">
        <v>1960</v>
      </c>
      <c r="G1003" s="2">
        <f t="shared" si="15"/>
        <v>1960</v>
      </c>
      <c r="H1003" t="s">
        <v>35</v>
      </c>
      <c r="K1003" s="39"/>
    </row>
    <row r="1004" spans="2:11" x14ac:dyDescent="0.2">
      <c r="B1004" s="17">
        <v>44233</v>
      </c>
      <c r="C1004" s="16">
        <v>584</v>
      </c>
      <c r="D1004" s="6">
        <v>725</v>
      </c>
      <c r="E1004" s="1">
        <v>875</v>
      </c>
      <c r="G1004" s="2">
        <f t="shared" si="15"/>
        <v>875</v>
      </c>
      <c r="H1004" t="s">
        <v>37</v>
      </c>
      <c r="K1004" s="39"/>
    </row>
    <row r="1005" spans="2:11" x14ac:dyDescent="0.2">
      <c r="B1005" s="17">
        <v>44234</v>
      </c>
      <c r="C1005" s="16">
        <v>585</v>
      </c>
      <c r="D1005" s="6">
        <v>876</v>
      </c>
      <c r="E1005" s="1">
        <v>927.25</v>
      </c>
      <c r="G1005" s="2">
        <f t="shared" si="15"/>
        <v>927.25</v>
      </c>
      <c r="H1005" t="s">
        <v>43</v>
      </c>
      <c r="K1005" s="39"/>
    </row>
    <row r="1006" spans="2:11" x14ac:dyDescent="0.2">
      <c r="B1006" s="17">
        <v>44234</v>
      </c>
      <c r="C1006" s="16">
        <v>586</v>
      </c>
      <c r="D1006" s="6">
        <v>757.5</v>
      </c>
      <c r="E1006" s="1">
        <v>877.5</v>
      </c>
      <c r="G1006" s="2">
        <f t="shared" si="15"/>
        <v>877.5</v>
      </c>
      <c r="H1006" t="s">
        <v>47</v>
      </c>
      <c r="K1006" s="39"/>
    </row>
    <row r="1007" spans="2:11" x14ac:dyDescent="0.2">
      <c r="B1007" s="17">
        <v>44234</v>
      </c>
      <c r="C1007" s="16"/>
      <c r="D1007" s="6"/>
      <c r="F1007" s="1">
        <v>10000</v>
      </c>
      <c r="G1007" s="2">
        <f t="shared" si="15"/>
        <v>-10000</v>
      </c>
      <c r="H1007" t="s">
        <v>25</v>
      </c>
      <c r="K1007" s="39"/>
    </row>
    <row r="1008" spans="2:11" x14ac:dyDescent="0.2">
      <c r="B1008" s="17">
        <v>44234</v>
      </c>
      <c r="C1008" s="16"/>
      <c r="D1008" s="6"/>
      <c r="F1008" s="1">
        <v>5000</v>
      </c>
      <c r="G1008" s="2">
        <f t="shared" si="15"/>
        <v>-5000</v>
      </c>
      <c r="H1008" t="s">
        <v>41</v>
      </c>
      <c r="K1008" s="39"/>
    </row>
    <row r="1009" spans="2:11" x14ac:dyDescent="0.2">
      <c r="B1009" s="17">
        <v>44236</v>
      </c>
      <c r="C1009" s="16">
        <v>587</v>
      </c>
      <c r="D1009" s="6">
        <v>998.5</v>
      </c>
      <c r="E1009" s="1">
        <v>1072.5</v>
      </c>
      <c r="G1009" s="2">
        <f t="shared" si="15"/>
        <v>1072.5</v>
      </c>
      <c r="H1009" t="s">
        <v>13</v>
      </c>
      <c r="K1009" s="39"/>
    </row>
    <row r="1010" spans="2:11" x14ac:dyDescent="0.2">
      <c r="B1010" s="17">
        <v>44236</v>
      </c>
      <c r="C1010" s="16">
        <v>588</v>
      </c>
      <c r="D1010" s="6">
        <v>530</v>
      </c>
      <c r="E1010" s="1">
        <v>575</v>
      </c>
      <c r="G1010" s="2">
        <f t="shared" si="15"/>
        <v>575</v>
      </c>
      <c r="H1010" t="s">
        <v>14</v>
      </c>
      <c r="K1010" s="39"/>
    </row>
    <row r="1011" spans="2:11" x14ac:dyDescent="0.2">
      <c r="B1011" s="17">
        <v>44236</v>
      </c>
      <c r="C1011" s="16">
        <v>589</v>
      </c>
      <c r="D1011" s="6">
        <v>750</v>
      </c>
      <c r="E1011" s="1">
        <v>950</v>
      </c>
      <c r="G1011" s="2">
        <f t="shared" si="15"/>
        <v>950</v>
      </c>
      <c r="H1011" t="s">
        <v>37</v>
      </c>
      <c r="K1011" s="39"/>
    </row>
    <row r="1012" spans="2:11" x14ac:dyDescent="0.2">
      <c r="B1012" s="17">
        <v>44238</v>
      </c>
      <c r="C1012" s="16"/>
      <c r="D1012" s="6"/>
      <c r="F1012" s="1">
        <v>2000</v>
      </c>
      <c r="G1012" s="2">
        <f t="shared" si="15"/>
        <v>-2000</v>
      </c>
      <c r="H1012" t="s">
        <v>45</v>
      </c>
      <c r="K1012" s="39"/>
    </row>
    <row r="1013" spans="2:11" x14ac:dyDescent="0.2">
      <c r="B1013" s="17">
        <v>44240</v>
      </c>
      <c r="C1013" s="16"/>
      <c r="D1013" s="6"/>
      <c r="F1013" s="1">
        <v>10000</v>
      </c>
      <c r="G1013" s="2">
        <f t="shared" si="15"/>
        <v>-10000</v>
      </c>
      <c r="H1013" t="s">
        <v>14</v>
      </c>
      <c r="K1013" s="39"/>
    </row>
    <row r="1014" spans="2:11" x14ac:dyDescent="0.2">
      <c r="B1014" s="17">
        <v>44240</v>
      </c>
      <c r="C1014" s="16">
        <v>590</v>
      </c>
      <c r="D1014" s="6">
        <v>420</v>
      </c>
      <c r="E1014" s="1">
        <v>495</v>
      </c>
      <c r="G1014" s="2">
        <f t="shared" si="15"/>
        <v>495</v>
      </c>
      <c r="H1014" t="s">
        <v>47</v>
      </c>
      <c r="K1014" s="39"/>
    </row>
    <row r="1015" spans="2:11" x14ac:dyDescent="0.2">
      <c r="B1015" s="17">
        <v>44240</v>
      </c>
      <c r="C1015" s="16">
        <v>591</v>
      </c>
      <c r="D1015" s="6">
        <v>1500</v>
      </c>
      <c r="E1015" s="1">
        <v>1650</v>
      </c>
      <c r="G1015" s="2">
        <f t="shared" si="15"/>
        <v>1650</v>
      </c>
      <c r="H1015" t="s">
        <v>13</v>
      </c>
      <c r="K1015" s="39"/>
    </row>
    <row r="1016" spans="2:11" x14ac:dyDescent="0.2">
      <c r="B1016" s="17">
        <v>44241</v>
      </c>
      <c r="C1016" s="16">
        <v>592</v>
      </c>
      <c r="D1016" s="6">
        <v>580</v>
      </c>
      <c r="E1016" s="1">
        <v>800</v>
      </c>
      <c r="G1016" s="2">
        <f t="shared" si="15"/>
        <v>800</v>
      </c>
      <c r="H1016" t="s">
        <v>35</v>
      </c>
      <c r="K1016" s="39"/>
    </row>
    <row r="1017" spans="2:11" x14ac:dyDescent="0.2">
      <c r="B1017" s="17">
        <v>44241</v>
      </c>
      <c r="C1017" s="16">
        <v>593</v>
      </c>
      <c r="D1017" s="6">
        <v>687.5</v>
      </c>
      <c r="E1017" s="1">
        <v>875</v>
      </c>
      <c r="G1017" s="2">
        <f t="shared" si="15"/>
        <v>875</v>
      </c>
      <c r="H1017" t="s">
        <v>37</v>
      </c>
      <c r="K1017" s="39"/>
    </row>
    <row r="1018" spans="2:11" x14ac:dyDescent="0.2">
      <c r="B1018" s="17">
        <v>44241</v>
      </c>
      <c r="C1018" s="16">
        <v>594</v>
      </c>
      <c r="D1018" s="6">
        <v>6055.5</v>
      </c>
      <c r="E1018" s="1">
        <v>6575</v>
      </c>
      <c r="G1018" s="2">
        <f t="shared" si="15"/>
        <v>6575</v>
      </c>
      <c r="H1018" t="s">
        <v>27</v>
      </c>
      <c r="K1018" s="39"/>
    </row>
    <row r="1019" spans="2:11" x14ac:dyDescent="0.2">
      <c r="B1019" s="17">
        <v>44241</v>
      </c>
      <c r="C1019" s="16">
        <v>595</v>
      </c>
      <c r="D1019" s="6">
        <v>20864.5</v>
      </c>
      <c r="E1019" s="1">
        <v>22487</v>
      </c>
      <c r="G1019" s="2">
        <f t="shared" si="15"/>
        <v>22487</v>
      </c>
      <c r="H1019" t="s">
        <v>14</v>
      </c>
      <c r="K1019" s="39"/>
    </row>
    <row r="1020" spans="2:11" x14ac:dyDescent="0.2">
      <c r="B1020" s="17">
        <v>44242</v>
      </c>
      <c r="C1020" s="16"/>
      <c r="D1020" s="6"/>
      <c r="F1020" s="1">
        <v>1200</v>
      </c>
      <c r="G1020" s="2">
        <f t="shared" si="15"/>
        <v>-1200</v>
      </c>
      <c r="H1020" t="s">
        <v>47</v>
      </c>
      <c r="K1020" s="39"/>
    </row>
    <row r="1021" spans="2:11" x14ac:dyDescent="0.2">
      <c r="B1021" s="17">
        <v>44242</v>
      </c>
      <c r="C1021" s="16"/>
      <c r="D1021" s="6"/>
      <c r="F1021" s="1">
        <v>16440</v>
      </c>
      <c r="G1021" s="2">
        <f t="shared" si="15"/>
        <v>-16440</v>
      </c>
      <c r="H1021" t="s">
        <v>50</v>
      </c>
      <c r="K1021" s="39"/>
    </row>
    <row r="1022" spans="2:11" x14ac:dyDescent="0.2">
      <c r="B1022" s="17">
        <v>44244</v>
      </c>
      <c r="C1022" s="16">
        <v>596</v>
      </c>
      <c r="D1022" s="6">
        <v>360</v>
      </c>
      <c r="E1022" s="1">
        <v>390</v>
      </c>
      <c r="G1022" s="2">
        <f t="shared" si="15"/>
        <v>390</v>
      </c>
      <c r="H1022" t="s">
        <v>43</v>
      </c>
      <c r="K1022" s="39"/>
    </row>
    <row r="1023" spans="2:11" x14ac:dyDescent="0.2">
      <c r="B1023" s="17">
        <v>44245</v>
      </c>
      <c r="C1023" s="16">
        <v>597</v>
      </c>
      <c r="D1023" s="6">
        <v>361.75</v>
      </c>
      <c r="E1023" s="1">
        <v>409</v>
      </c>
      <c r="G1023" s="2">
        <f t="shared" si="15"/>
        <v>409</v>
      </c>
      <c r="H1023" t="s">
        <v>13</v>
      </c>
      <c r="K1023" s="39"/>
    </row>
    <row r="1024" spans="2:11" x14ac:dyDescent="0.2">
      <c r="B1024" s="17">
        <v>44245</v>
      </c>
      <c r="C1024" s="16">
        <v>598</v>
      </c>
      <c r="D1024" s="6">
        <v>455</v>
      </c>
      <c r="E1024" s="1">
        <v>495</v>
      </c>
      <c r="G1024" s="2">
        <f t="shared" si="15"/>
        <v>495</v>
      </c>
      <c r="H1024" t="s">
        <v>35</v>
      </c>
      <c r="K1024" s="39"/>
    </row>
    <row r="1025" spans="2:11" x14ac:dyDescent="0.2">
      <c r="B1025" s="17">
        <v>44247</v>
      </c>
      <c r="C1025" s="16"/>
      <c r="D1025" s="6"/>
      <c r="F1025" s="1">
        <v>5000</v>
      </c>
      <c r="G1025" s="2">
        <f t="shared" si="15"/>
        <v>-5000</v>
      </c>
      <c r="H1025" t="s">
        <v>14</v>
      </c>
      <c r="K1025" s="39"/>
    </row>
    <row r="1026" spans="2:11" x14ac:dyDescent="0.2">
      <c r="B1026" s="17">
        <v>44248</v>
      </c>
      <c r="C1026" s="16">
        <v>599</v>
      </c>
      <c r="D1026" s="6">
        <v>325</v>
      </c>
      <c r="E1026" s="1">
        <v>350</v>
      </c>
      <c r="G1026" s="2">
        <f t="shared" si="15"/>
        <v>350</v>
      </c>
      <c r="H1026" t="s">
        <v>14</v>
      </c>
      <c r="K1026" s="39"/>
    </row>
    <row r="1027" spans="2:11" x14ac:dyDescent="0.2">
      <c r="B1027" s="17">
        <v>44248</v>
      </c>
      <c r="C1027" s="16">
        <v>600</v>
      </c>
      <c r="D1027" s="6">
        <v>290</v>
      </c>
      <c r="E1027" s="1">
        <v>350</v>
      </c>
      <c r="G1027" s="2">
        <f t="shared" ref="G1027:G1090" si="16">E1027-F1027</f>
        <v>350</v>
      </c>
      <c r="H1027" t="s">
        <v>47</v>
      </c>
      <c r="K1027" s="39"/>
    </row>
    <row r="1028" spans="2:11" x14ac:dyDescent="0.2">
      <c r="B1028" s="17">
        <v>44248</v>
      </c>
      <c r="C1028" s="16">
        <v>601</v>
      </c>
      <c r="D1028" s="6">
        <v>725</v>
      </c>
      <c r="E1028" s="1">
        <v>800</v>
      </c>
      <c r="G1028" s="2">
        <f t="shared" si="16"/>
        <v>800</v>
      </c>
      <c r="H1028" t="s">
        <v>33</v>
      </c>
      <c r="K1028" s="39"/>
    </row>
    <row r="1029" spans="2:11" x14ac:dyDescent="0.2">
      <c r="B1029" s="17">
        <v>44248</v>
      </c>
      <c r="C1029" s="16">
        <v>602</v>
      </c>
      <c r="D1029" s="6">
        <v>537.5</v>
      </c>
      <c r="E1029" s="1">
        <v>665</v>
      </c>
      <c r="G1029" s="2">
        <f t="shared" si="16"/>
        <v>665</v>
      </c>
      <c r="H1029" t="s">
        <v>13</v>
      </c>
      <c r="K1029" s="39"/>
    </row>
    <row r="1030" spans="2:11" x14ac:dyDescent="0.2">
      <c r="B1030" s="17">
        <v>44248</v>
      </c>
      <c r="C1030" s="16">
        <v>603</v>
      </c>
      <c r="D1030" s="6">
        <v>275</v>
      </c>
      <c r="E1030" s="1">
        <v>300</v>
      </c>
      <c r="G1030" s="2">
        <f t="shared" si="16"/>
        <v>300</v>
      </c>
      <c r="H1030" t="s">
        <v>36</v>
      </c>
      <c r="K1030" s="39"/>
    </row>
    <row r="1031" spans="2:11" x14ac:dyDescent="0.2">
      <c r="B1031" s="17">
        <v>44248</v>
      </c>
      <c r="C1031" s="16">
        <v>604</v>
      </c>
      <c r="D1031" s="6">
        <v>2898.48</v>
      </c>
      <c r="E1031" s="1">
        <v>3128.75</v>
      </c>
      <c r="G1031" s="2">
        <f t="shared" si="16"/>
        <v>3128.75</v>
      </c>
      <c r="H1031" t="s">
        <v>27</v>
      </c>
      <c r="K1031" s="39"/>
    </row>
    <row r="1032" spans="2:11" x14ac:dyDescent="0.2">
      <c r="B1032" s="17">
        <v>44248</v>
      </c>
      <c r="C1032" s="16"/>
      <c r="D1032" s="6"/>
      <c r="F1032" s="1">
        <v>800</v>
      </c>
      <c r="G1032" s="2">
        <f t="shared" si="16"/>
        <v>-800</v>
      </c>
      <c r="H1032" t="s">
        <v>33</v>
      </c>
      <c r="K1032" s="39"/>
    </row>
    <row r="1033" spans="2:11" x14ac:dyDescent="0.2">
      <c r="B1033" s="17">
        <v>44249</v>
      </c>
      <c r="C1033" s="16">
        <v>605</v>
      </c>
      <c r="D1033" s="6">
        <v>380</v>
      </c>
      <c r="E1033" s="1">
        <v>415</v>
      </c>
      <c r="G1033" s="2">
        <f t="shared" si="16"/>
        <v>415</v>
      </c>
      <c r="H1033" t="s">
        <v>36</v>
      </c>
      <c r="K1033" s="39"/>
    </row>
    <row r="1034" spans="2:11" x14ac:dyDescent="0.2">
      <c r="B1034" s="17">
        <v>44249</v>
      </c>
      <c r="C1034" s="16">
        <v>606</v>
      </c>
      <c r="D1034" s="6">
        <v>2880</v>
      </c>
      <c r="E1034" s="1">
        <v>3060</v>
      </c>
      <c r="G1034" s="2">
        <f t="shared" si="16"/>
        <v>3060</v>
      </c>
      <c r="H1034" t="s">
        <v>14</v>
      </c>
      <c r="K1034" s="39"/>
    </row>
    <row r="1035" spans="2:11" x14ac:dyDescent="0.2">
      <c r="B1035" s="17">
        <v>44249</v>
      </c>
      <c r="C1035" s="16">
        <v>607</v>
      </c>
      <c r="D1035" s="6">
        <v>580</v>
      </c>
      <c r="E1035" s="1">
        <v>700</v>
      </c>
      <c r="G1035" s="2">
        <f t="shared" si="16"/>
        <v>700</v>
      </c>
      <c r="H1035" t="s">
        <v>47</v>
      </c>
      <c r="K1035" s="39"/>
    </row>
    <row r="1036" spans="2:11" x14ac:dyDescent="0.2">
      <c r="B1036" s="17">
        <v>44249</v>
      </c>
      <c r="C1036" s="16">
        <v>608</v>
      </c>
      <c r="D1036" s="6">
        <v>91</v>
      </c>
      <c r="E1036" s="1">
        <v>100</v>
      </c>
      <c r="G1036" s="2">
        <f t="shared" si="16"/>
        <v>100</v>
      </c>
      <c r="H1036" t="s">
        <v>25</v>
      </c>
      <c r="K1036" s="39"/>
    </row>
    <row r="1037" spans="2:11" x14ac:dyDescent="0.2">
      <c r="B1037" s="17">
        <v>44249</v>
      </c>
      <c r="C1037" s="16">
        <v>609</v>
      </c>
      <c r="D1037" s="6">
        <v>6100</v>
      </c>
      <c r="E1037" s="1">
        <v>6760</v>
      </c>
      <c r="G1037" s="2">
        <f t="shared" si="16"/>
        <v>6760</v>
      </c>
      <c r="H1037" t="s">
        <v>27</v>
      </c>
      <c r="K1037" s="39"/>
    </row>
    <row r="1038" spans="2:11" x14ac:dyDescent="0.2">
      <c r="B1038" s="17">
        <v>44249</v>
      </c>
      <c r="C1038" s="16"/>
      <c r="D1038" s="6"/>
      <c r="F1038" s="1">
        <v>5000</v>
      </c>
      <c r="G1038" s="2">
        <f t="shared" si="16"/>
        <v>-5000</v>
      </c>
      <c r="H1038" t="s">
        <v>27</v>
      </c>
      <c r="K1038" s="39"/>
    </row>
    <row r="1039" spans="2:11" x14ac:dyDescent="0.2">
      <c r="B1039" s="17">
        <v>44250</v>
      </c>
      <c r="C1039" s="16">
        <v>610</v>
      </c>
      <c r="D1039" s="6">
        <v>225</v>
      </c>
      <c r="E1039" s="1">
        <v>245.00000000000003</v>
      </c>
      <c r="G1039" s="2">
        <f t="shared" si="16"/>
        <v>245.00000000000003</v>
      </c>
      <c r="H1039" t="s">
        <v>13</v>
      </c>
      <c r="K1039" s="39"/>
    </row>
    <row r="1040" spans="2:11" x14ac:dyDescent="0.2">
      <c r="B1040" s="17">
        <v>44250</v>
      </c>
      <c r="C1040" s="16">
        <v>611</v>
      </c>
      <c r="D1040" s="6">
        <v>1330</v>
      </c>
      <c r="E1040" s="1">
        <v>1575</v>
      </c>
      <c r="G1040" s="2">
        <f t="shared" si="16"/>
        <v>1575</v>
      </c>
      <c r="H1040" t="s">
        <v>35</v>
      </c>
      <c r="K1040" s="39"/>
    </row>
    <row r="1041" spans="2:11" x14ac:dyDescent="0.2">
      <c r="B1041" s="17">
        <v>44250</v>
      </c>
      <c r="C1041" s="16"/>
      <c r="D1041" s="6"/>
      <c r="F1041" s="1">
        <v>2000</v>
      </c>
      <c r="G1041" s="2">
        <f t="shared" si="16"/>
        <v>-2000</v>
      </c>
      <c r="H1041" t="s">
        <v>45</v>
      </c>
      <c r="K1041" s="39"/>
    </row>
    <row r="1042" spans="2:11" x14ac:dyDescent="0.2">
      <c r="B1042" s="17">
        <v>44251</v>
      </c>
      <c r="C1042" s="16">
        <v>612</v>
      </c>
      <c r="D1042" s="6">
        <v>875</v>
      </c>
      <c r="E1042" s="1">
        <v>1050</v>
      </c>
      <c r="G1042" s="2">
        <f t="shared" si="16"/>
        <v>1050</v>
      </c>
      <c r="H1042" t="s">
        <v>9</v>
      </c>
      <c r="K1042" s="39"/>
    </row>
    <row r="1043" spans="2:11" x14ac:dyDescent="0.2">
      <c r="B1043" s="17">
        <v>44251</v>
      </c>
      <c r="C1043" s="16"/>
      <c r="D1043" s="6"/>
      <c r="F1043" s="1">
        <v>1050</v>
      </c>
      <c r="G1043" s="2">
        <f t="shared" si="16"/>
        <v>-1050</v>
      </c>
      <c r="H1043" t="s">
        <v>9</v>
      </c>
      <c r="K1043" s="39"/>
    </row>
    <row r="1044" spans="2:11" x14ac:dyDescent="0.2">
      <c r="B1044" s="17">
        <v>44252</v>
      </c>
      <c r="C1044" s="16">
        <v>613</v>
      </c>
      <c r="D1044" s="6">
        <v>945</v>
      </c>
      <c r="E1044" s="1">
        <v>1040</v>
      </c>
      <c r="G1044" s="2">
        <f t="shared" si="16"/>
        <v>1040</v>
      </c>
      <c r="H1044" t="s">
        <v>35</v>
      </c>
      <c r="K1044" s="39"/>
    </row>
    <row r="1045" spans="2:11" x14ac:dyDescent="0.2">
      <c r="B1045" s="17">
        <v>44252</v>
      </c>
      <c r="C1045" s="16">
        <v>614</v>
      </c>
      <c r="D1045" s="6">
        <v>1065</v>
      </c>
      <c r="E1045" s="1">
        <v>1163</v>
      </c>
      <c r="G1045" s="2">
        <f t="shared" si="16"/>
        <v>1163</v>
      </c>
      <c r="H1045" t="s">
        <v>39</v>
      </c>
      <c r="K1045" s="39"/>
    </row>
    <row r="1046" spans="2:11" x14ac:dyDescent="0.2">
      <c r="B1046" s="17">
        <v>44252</v>
      </c>
      <c r="C1046" s="16"/>
      <c r="D1046" s="6"/>
      <c r="F1046" s="1">
        <v>1163</v>
      </c>
      <c r="G1046" s="2">
        <f t="shared" si="16"/>
        <v>-1163</v>
      </c>
      <c r="H1046" t="s">
        <v>39</v>
      </c>
      <c r="K1046" s="39"/>
    </row>
    <row r="1047" spans="2:11" x14ac:dyDescent="0.2">
      <c r="B1047" s="17">
        <v>44252</v>
      </c>
      <c r="C1047" s="16"/>
      <c r="D1047" s="6"/>
      <c r="F1047" s="1">
        <v>4000</v>
      </c>
      <c r="G1047" s="2">
        <f t="shared" si="16"/>
        <v>-4000</v>
      </c>
      <c r="H1047" t="s">
        <v>35</v>
      </c>
      <c r="K1047" s="39"/>
    </row>
    <row r="1048" spans="2:11" x14ac:dyDescent="0.2">
      <c r="B1048" s="17">
        <v>44252</v>
      </c>
      <c r="C1048" s="16"/>
      <c r="D1048" s="6"/>
      <c r="F1048" s="1">
        <v>7000</v>
      </c>
      <c r="G1048" s="2">
        <f t="shared" si="16"/>
        <v>-7000</v>
      </c>
      <c r="H1048" t="s">
        <v>14</v>
      </c>
      <c r="K1048" s="39"/>
    </row>
    <row r="1049" spans="2:11" x14ac:dyDescent="0.2">
      <c r="B1049" s="17">
        <v>44255</v>
      </c>
      <c r="C1049" s="16"/>
      <c r="D1049" s="6"/>
      <c r="F1049" s="1">
        <v>4800</v>
      </c>
      <c r="G1049" s="2">
        <f t="shared" si="16"/>
        <v>-4800</v>
      </c>
      <c r="H1049" t="s">
        <v>49</v>
      </c>
      <c r="K1049" s="39"/>
    </row>
    <row r="1050" spans="2:11" x14ac:dyDescent="0.2">
      <c r="B1050" s="17">
        <v>44255</v>
      </c>
      <c r="C1050" s="16"/>
      <c r="D1050" s="6"/>
      <c r="F1050" s="1">
        <v>3000</v>
      </c>
      <c r="G1050" s="2">
        <f t="shared" si="16"/>
        <v>-3000</v>
      </c>
      <c r="H1050" t="s">
        <v>13</v>
      </c>
      <c r="K1050" s="39"/>
    </row>
    <row r="1051" spans="2:11" x14ac:dyDescent="0.2">
      <c r="B1051" s="17">
        <v>44255</v>
      </c>
      <c r="C1051" s="16"/>
      <c r="D1051" s="6"/>
      <c r="F1051" s="1">
        <v>8000</v>
      </c>
      <c r="G1051" s="2">
        <f t="shared" si="16"/>
        <v>-8000</v>
      </c>
      <c r="H1051" t="s">
        <v>46</v>
      </c>
      <c r="K1051" s="39"/>
    </row>
    <row r="1052" spans="2:11" x14ac:dyDescent="0.2">
      <c r="B1052" s="17">
        <v>44255</v>
      </c>
      <c r="C1052" s="16"/>
      <c r="D1052" s="6"/>
      <c r="F1052" s="1">
        <v>630</v>
      </c>
      <c r="G1052" s="2">
        <f t="shared" si="16"/>
        <v>-630</v>
      </c>
      <c r="H1052" t="s">
        <v>49</v>
      </c>
    </row>
    <row r="1053" spans="2:11" x14ac:dyDescent="0.2">
      <c r="B1053" s="17">
        <v>44256</v>
      </c>
      <c r="C1053" s="16">
        <v>615</v>
      </c>
      <c r="D1053" s="6">
        <v>3295</v>
      </c>
      <c r="E1053" s="1">
        <v>3570</v>
      </c>
      <c r="G1053" s="2">
        <f t="shared" si="16"/>
        <v>3570</v>
      </c>
      <c r="H1053" t="s">
        <v>13</v>
      </c>
    </row>
    <row r="1054" spans="2:11" x14ac:dyDescent="0.2">
      <c r="B1054" s="17">
        <v>44256</v>
      </c>
      <c r="C1054" s="16">
        <v>616</v>
      </c>
      <c r="D1054" s="6">
        <v>725</v>
      </c>
      <c r="E1054" s="1">
        <v>875</v>
      </c>
      <c r="G1054" s="2">
        <f t="shared" si="16"/>
        <v>875</v>
      </c>
      <c r="H1054" t="s">
        <v>37</v>
      </c>
    </row>
    <row r="1055" spans="2:11" x14ac:dyDescent="0.2">
      <c r="B1055" s="17">
        <v>44256</v>
      </c>
      <c r="C1055" s="16">
        <v>617</v>
      </c>
      <c r="D1055" s="6">
        <v>420</v>
      </c>
      <c r="E1055" s="1">
        <v>450</v>
      </c>
      <c r="G1055" s="2">
        <f t="shared" si="16"/>
        <v>450</v>
      </c>
      <c r="H1055" t="s">
        <v>36</v>
      </c>
    </row>
    <row r="1056" spans="2:11" x14ac:dyDescent="0.2">
      <c r="B1056" s="17">
        <v>44258</v>
      </c>
      <c r="C1056" s="16">
        <v>618</v>
      </c>
      <c r="D1056" s="6">
        <v>4516</v>
      </c>
      <c r="E1056" s="1">
        <v>4990</v>
      </c>
      <c r="G1056" s="2">
        <f t="shared" si="16"/>
        <v>4990</v>
      </c>
      <c r="H1056" t="s">
        <v>27</v>
      </c>
    </row>
    <row r="1057" spans="2:8" x14ac:dyDescent="0.2">
      <c r="B1057" s="17">
        <v>44258</v>
      </c>
      <c r="C1057" s="16">
        <v>619</v>
      </c>
      <c r="D1057" s="6">
        <v>850</v>
      </c>
      <c r="E1057" s="1">
        <v>1150</v>
      </c>
      <c r="G1057" s="2">
        <f t="shared" si="16"/>
        <v>1150</v>
      </c>
      <c r="H1057" t="s">
        <v>35</v>
      </c>
    </row>
    <row r="1058" spans="2:8" x14ac:dyDescent="0.2">
      <c r="B1058" s="17">
        <v>44259</v>
      </c>
      <c r="C1058" s="16">
        <v>620</v>
      </c>
      <c r="D1058" s="6">
        <v>611.5</v>
      </c>
      <c r="E1058" s="1">
        <v>658</v>
      </c>
      <c r="G1058" s="2">
        <f t="shared" si="16"/>
        <v>658</v>
      </c>
      <c r="H1058" t="s">
        <v>13</v>
      </c>
    </row>
    <row r="1059" spans="2:8" x14ac:dyDescent="0.2">
      <c r="B1059" s="17">
        <v>44259</v>
      </c>
      <c r="C1059" s="16">
        <v>621</v>
      </c>
      <c r="D1059" s="6">
        <v>3400</v>
      </c>
      <c r="E1059" s="1">
        <v>3700</v>
      </c>
      <c r="G1059" s="2">
        <f t="shared" si="16"/>
        <v>3700</v>
      </c>
      <c r="H1059" t="s">
        <v>9</v>
      </c>
    </row>
    <row r="1060" spans="2:8" x14ac:dyDescent="0.2">
      <c r="B1060" s="17">
        <v>44259</v>
      </c>
      <c r="C1060" s="16"/>
      <c r="D1060" s="6"/>
      <c r="F1060" s="1">
        <v>2000</v>
      </c>
      <c r="G1060" s="2">
        <f t="shared" si="16"/>
        <v>-2000</v>
      </c>
      <c r="H1060" t="s">
        <v>45</v>
      </c>
    </row>
    <row r="1061" spans="2:8" x14ac:dyDescent="0.2">
      <c r="B1061" s="17">
        <v>44259</v>
      </c>
      <c r="C1061" s="16"/>
      <c r="D1061" s="6"/>
      <c r="F1061" s="1">
        <v>10000</v>
      </c>
      <c r="G1061" s="2">
        <f t="shared" si="16"/>
        <v>-10000</v>
      </c>
      <c r="H1061" t="s">
        <v>14</v>
      </c>
    </row>
    <row r="1062" spans="2:8" x14ac:dyDescent="0.2">
      <c r="B1062" s="17">
        <v>44259</v>
      </c>
      <c r="C1062" s="16"/>
      <c r="D1062" s="6"/>
      <c r="F1062" s="1">
        <v>24910</v>
      </c>
      <c r="G1062" s="2">
        <f t="shared" si="16"/>
        <v>-24910</v>
      </c>
      <c r="H1062" s="2" t="s">
        <v>48</v>
      </c>
    </row>
    <row r="1063" spans="2:8" x14ac:dyDescent="0.2">
      <c r="B1063" s="17">
        <v>44259</v>
      </c>
      <c r="C1063" s="16"/>
      <c r="D1063" s="6"/>
      <c r="F1063" s="1">
        <v>21838</v>
      </c>
      <c r="G1063" s="2">
        <f t="shared" si="16"/>
        <v>-21838</v>
      </c>
      <c r="H1063" t="s">
        <v>39</v>
      </c>
    </row>
    <row r="1064" spans="2:8" x14ac:dyDescent="0.2">
      <c r="B1064" s="17">
        <v>44261</v>
      </c>
      <c r="C1064" s="16"/>
      <c r="D1064" s="6"/>
      <c r="F1064" s="1">
        <v>1000</v>
      </c>
      <c r="G1064" s="2">
        <f t="shared" si="16"/>
        <v>-1000</v>
      </c>
      <c r="H1064" t="s">
        <v>47</v>
      </c>
    </row>
    <row r="1065" spans="2:8" x14ac:dyDescent="0.2">
      <c r="B1065" s="17">
        <v>44261</v>
      </c>
      <c r="C1065" s="16"/>
      <c r="D1065" s="6"/>
      <c r="F1065" s="1">
        <v>800</v>
      </c>
      <c r="G1065" s="2">
        <f t="shared" si="16"/>
        <v>-800</v>
      </c>
      <c r="H1065" t="s">
        <v>36</v>
      </c>
    </row>
    <row r="1066" spans="2:8" x14ac:dyDescent="0.2">
      <c r="B1066" s="17">
        <v>44262</v>
      </c>
      <c r="C1066" s="16">
        <v>622</v>
      </c>
      <c r="D1066" s="6">
        <v>3700</v>
      </c>
      <c r="E1066" s="1">
        <v>4000</v>
      </c>
      <c r="G1066" s="2">
        <f t="shared" si="16"/>
        <v>4000</v>
      </c>
      <c r="H1066" t="s">
        <v>33</v>
      </c>
    </row>
    <row r="1067" spans="2:8" x14ac:dyDescent="0.2">
      <c r="B1067" s="17">
        <v>44262</v>
      </c>
      <c r="C1067" s="16">
        <v>623</v>
      </c>
      <c r="D1067" s="6">
        <v>5190</v>
      </c>
      <c r="E1067" s="1">
        <v>5550</v>
      </c>
      <c r="G1067" s="2">
        <f t="shared" si="16"/>
        <v>5550</v>
      </c>
      <c r="H1067" t="s">
        <v>14</v>
      </c>
    </row>
    <row r="1068" spans="2:8" x14ac:dyDescent="0.2">
      <c r="B1068" s="17">
        <v>44263</v>
      </c>
      <c r="C1068" s="16"/>
      <c r="D1068" s="6"/>
      <c r="F1068" s="1">
        <v>5000</v>
      </c>
      <c r="G1068" s="2">
        <f t="shared" si="16"/>
        <v>-5000</v>
      </c>
      <c r="H1068" t="s">
        <v>14</v>
      </c>
    </row>
    <row r="1069" spans="2:8" x14ac:dyDescent="0.2">
      <c r="B1069" s="17">
        <v>44263</v>
      </c>
      <c r="C1069" s="16"/>
      <c r="D1069" s="6"/>
      <c r="F1069" s="1">
        <v>3000</v>
      </c>
      <c r="G1069" s="2">
        <f t="shared" si="16"/>
        <v>-3000</v>
      </c>
      <c r="H1069" t="s">
        <v>33</v>
      </c>
    </row>
    <row r="1070" spans="2:8" x14ac:dyDescent="0.2">
      <c r="B1070" s="17">
        <v>44263</v>
      </c>
      <c r="C1070" s="16"/>
      <c r="D1070" s="6"/>
      <c r="F1070" s="1">
        <v>5000</v>
      </c>
      <c r="G1070" s="2">
        <f t="shared" si="16"/>
        <v>-5000</v>
      </c>
      <c r="H1070" t="s">
        <v>25</v>
      </c>
    </row>
    <row r="1071" spans="2:8" x14ac:dyDescent="0.2">
      <c r="B1071" s="17">
        <v>44263</v>
      </c>
      <c r="C1071" s="16"/>
      <c r="D1071" s="6"/>
      <c r="F1071" s="1">
        <v>3500</v>
      </c>
      <c r="G1071" s="2">
        <f t="shared" si="16"/>
        <v>-3500</v>
      </c>
      <c r="H1071" t="s">
        <v>27</v>
      </c>
    </row>
    <row r="1072" spans="2:8" x14ac:dyDescent="0.2">
      <c r="B1072" s="17">
        <v>44264</v>
      </c>
      <c r="C1072" s="16">
        <v>624</v>
      </c>
      <c r="D1072" s="6">
        <v>1260</v>
      </c>
      <c r="E1072" s="1">
        <v>1350</v>
      </c>
      <c r="G1072" s="2">
        <f t="shared" si="16"/>
        <v>1350</v>
      </c>
      <c r="H1072" t="s">
        <v>36</v>
      </c>
    </row>
    <row r="1073" spans="2:8" x14ac:dyDescent="0.2">
      <c r="B1073" s="17">
        <v>44264</v>
      </c>
      <c r="C1073" s="16">
        <v>625</v>
      </c>
      <c r="D1073" s="6">
        <v>2093</v>
      </c>
      <c r="E1073" s="1">
        <v>2460</v>
      </c>
      <c r="G1073" s="2">
        <f t="shared" si="16"/>
        <v>2460</v>
      </c>
      <c r="H1073" t="s">
        <v>35</v>
      </c>
    </row>
    <row r="1074" spans="2:8" x14ac:dyDescent="0.2">
      <c r="B1074" s="17">
        <v>44264</v>
      </c>
      <c r="C1074" s="16">
        <v>626</v>
      </c>
      <c r="D1074" s="6">
        <v>740</v>
      </c>
      <c r="E1074" s="1">
        <v>850</v>
      </c>
      <c r="G1074" s="2">
        <f t="shared" si="16"/>
        <v>850</v>
      </c>
      <c r="H1074" t="s">
        <v>43</v>
      </c>
    </row>
    <row r="1075" spans="2:8" x14ac:dyDescent="0.2">
      <c r="B1075" s="17">
        <v>44264</v>
      </c>
      <c r="C1075" s="16">
        <v>627</v>
      </c>
      <c r="D1075" s="6">
        <v>6230</v>
      </c>
      <c r="E1075" s="1">
        <v>6750</v>
      </c>
      <c r="G1075" s="2">
        <f t="shared" si="16"/>
        <v>6750</v>
      </c>
      <c r="H1075" t="s">
        <v>14</v>
      </c>
    </row>
    <row r="1076" spans="2:8" x14ac:dyDescent="0.2">
      <c r="B1076" s="17">
        <v>44264</v>
      </c>
      <c r="C1076" s="16">
        <v>628</v>
      </c>
      <c r="D1076" s="6">
        <v>2808.16</v>
      </c>
      <c r="E1076" s="1">
        <v>3166</v>
      </c>
      <c r="G1076" s="2">
        <f t="shared" si="16"/>
        <v>3166</v>
      </c>
      <c r="H1076" t="s">
        <v>13</v>
      </c>
    </row>
    <row r="1077" spans="2:8" x14ac:dyDescent="0.2">
      <c r="B1077" s="17">
        <v>44264</v>
      </c>
      <c r="C1077" s="16"/>
      <c r="D1077" s="6"/>
      <c r="F1077" s="1">
        <v>1000</v>
      </c>
      <c r="G1077" s="2">
        <f t="shared" si="16"/>
        <v>-1000</v>
      </c>
      <c r="H1077" t="s">
        <v>33</v>
      </c>
    </row>
    <row r="1078" spans="2:8" x14ac:dyDescent="0.2">
      <c r="B1078" s="17">
        <v>44264</v>
      </c>
      <c r="C1078" s="16"/>
      <c r="D1078" s="6"/>
      <c r="F1078" s="1">
        <v>5000</v>
      </c>
      <c r="G1078" s="2">
        <f t="shared" si="16"/>
        <v>-5000</v>
      </c>
      <c r="H1078" t="s">
        <v>13</v>
      </c>
    </row>
    <row r="1079" spans="2:8" x14ac:dyDescent="0.2">
      <c r="B1079" s="17">
        <v>44266</v>
      </c>
      <c r="C1079" s="16">
        <v>629</v>
      </c>
      <c r="D1079" s="6">
        <v>1087.5</v>
      </c>
      <c r="E1079" s="1">
        <v>1200</v>
      </c>
      <c r="G1079" s="2">
        <f t="shared" si="16"/>
        <v>1200</v>
      </c>
      <c r="H1079" t="s">
        <v>33</v>
      </c>
    </row>
    <row r="1080" spans="2:8" x14ac:dyDescent="0.2">
      <c r="B1080" s="17">
        <v>44266</v>
      </c>
      <c r="C1080" s="16">
        <v>630</v>
      </c>
      <c r="D1080" s="6">
        <v>1565</v>
      </c>
      <c r="E1080" s="1">
        <v>1775</v>
      </c>
      <c r="G1080" s="2">
        <f t="shared" si="16"/>
        <v>1775</v>
      </c>
      <c r="H1080" t="s">
        <v>37</v>
      </c>
    </row>
    <row r="1081" spans="2:8" x14ac:dyDescent="0.2">
      <c r="B1081" s="17">
        <v>44266</v>
      </c>
      <c r="C1081" s="16"/>
      <c r="D1081" s="6"/>
      <c r="F1081" s="1">
        <v>3000</v>
      </c>
      <c r="G1081" s="2">
        <f t="shared" si="16"/>
        <v>-3000</v>
      </c>
      <c r="H1081" t="s">
        <v>37</v>
      </c>
    </row>
    <row r="1082" spans="2:8" x14ac:dyDescent="0.2">
      <c r="B1082" s="17">
        <v>44266</v>
      </c>
      <c r="C1082" s="16"/>
      <c r="D1082" s="6"/>
      <c r="F1082" s="1">
        <v>5000</v>
      </c>
      <c r="G1082" s="2">
        <f t="shared" si="16"/>
        <v>-5000</v>
      </c>
      <c r="H1082" t="s">
        <v>14</v>
      </c>
    </row>
    <row r="1083" spans="2:8" x14ac:dyDescent="0.2">
      <c r="B1083" s="17">
        <v>44269</v>
      </c>
      <c r="C1083" s="16"/>
      <c r="D1083" s="6"/>
      <c r="F1083" s="1">
        <v>1794</v>
      </c>
      <c r="G1083" s="2">
        <f t="shared" si="16"/>
        <v>-1794</v>
      </c>
      <c r="H1083" t="s">
        <v>32</v>
      </c>
    </row>
    <row r="1084" spans="2:8" x14ac:dyDescent="0.2">
      <c r="B1084" s="17">
        <v>44269</v>
      </c>
      <c r="C1084" s="16"/>
      <c r="D1084" s="6"/>
      <c r="F1084" s="1">
        <v>3383</v>
      </c>
      <c r="G1084" s="2">
        <f t="shared" si="16"/>
        <v>-3383</v>
      </c>
      <c r="H1084" t="s">
        <v>46</v>
      </c>
    </row>
    <row r="1085" spans="2:8" x14ac:dyDescent="0.2">
      <c r="B1085" s="17">
        <v>44269</v>
      </c>
      <c r="C1085" s="16"/>
      <c r="D1085" s="6"/>
      <c r="F1085" s="1">
        <v>1200</v>
      </c>
      <c r="G1085" s="2">
        <f t="shared" si="16"/>
        <v>-1200</v>
      </c>
      <c r="H1085" t="s">
        <v>33</v>
      </c>
    </row>
    <row r="1086" spans="2:8" x14ac:dyDescent="0.2">
      <c r="B1086" s="17">
        <v>44269</v>
      </c>
      <c r="C1086" s="16">
        <v>631</v>
      </c>
      <c r="D1086" s="6">
        <v>1638</v>
      </c>
      <c r="E1086" s="1">
        <v>1794</v>
      </c>
      <c r="G1086" s="2">
        <f t="shared" si="16"/>
        <v>1794</v>
      </c>
      <c r="H1086" t="s">
        <v>32</v>
      </c>
    </row>
    <row r="1087" spans="2:8" x14ac:dyDescent="0.2">
      <c r="B1087" s="17">
        <v>44269</v>
      </c>
      <c r="C1087" s="16">
        <v>632</v>
      </c>
      <c r="D1087" s="6">
        <v>865</v>
      </c>
      <c r="E1087" s="1">
        <v>1180</v>
      </c>
      <c r="G1087" s="2">
        <f t="shared" si="16"/>
        <v>1180</v>
      </c>
      <c r="H1087" t="s">
        <v>35</v>
      </c>
    </row>
    <row r="1088" spans="2:8" x14ac:dyDescent="0.2">
      <c r="B1088" s="17">
        <v>44269</v>
      </c>
      <c r="C1088" s="16">
        <v>633</v>
      </c>
      <c r="D1088" s="6">
        <v>1765.5</v>
      </c>
      <c r="E1088" s="1">
        <v>1893</v>
      </c>
      <c r="G1088" s="2">
        <f t="shared" si="16"/>
        <v>1893</v>
      </c>
      <c r="H1088" t="s">
        <v>13</v>
      </c>
    </row>
    <row r="1089" spans="2:8" x14ac:dyDescent="0.2">
      <c r="B1089" s="17">
        <v>44270</v>
      </c>
      <c r="C1089" s="16"/>
      <c r="D1089" s="6"/>
      <c r="F1089" s="1">
        <v>5190</v>
      </c>
      <c r="G1089" s="2">
        <f t="shared" si="16"/>
        <v>-5190</v>
      </c>
      <c r="H1089" t="s">
        <v>41</v>
      </c>
    </row>
    <row r="1090" spans="2:8" x14ac:dyDescent="0.2">
      <c r="B1090" s="17">
        <v>44270</v>
      </c>
      <c r="C1090" s="16"/>
      <c r="D1090" s="6"/>
      <c r="F1090" s="1">
        <v>10000</v>
      </c>
      <c r="G1090" s="2">
        <f t="shared" si="16"/>
        <v>-10000</v>
      </c>
      <c r="H1090" t="s">
        <v>35</v>
      </c>
    </row>
    <row r="1091" spans="2:8" x14ac:dyDescent="0.2">
      <c r="B1091" s="17">
        <v>44271</v>
      </c>
      <c r="C1091" s="16"/>
      <c r="D1091" s="6"/>
      <c r="F1091" s="1">
        <v>3500</v>
      </c>
      <c r="G1091" s="2">
        <f t="shared" ref="G1091:G1154" si="17">E1091-F1091</f>
        <v>-3500</v>
      </c>
      <c r="H1091" t="s">
        <v>27</v>
      </c>
    </row>
    <row r="1092" spans="2:8" x14ac:dyDescent="0.2">
      <c r="B1092" s="17">
        <v>44272</v>
      </c>
      <c r="C1092" s="16"/>
      <c r="D1092" s="6"/>
      <c r="F1092" s="1">
        <v>5000</v>
      </c>
      <c r="G1092" s="2">
        <f t="shared" si="17"/>
        <v>-5000</v>
      </c>
      <c r="H1092" t="s">
        <v>14</v>
      </c>
    </row>
    <row r="1093" spans="2:8" x14ac:dyDescent="0.2">
      <c r="B1093" s="17">
        <v>44272</v>
      </c>
      <c r="C1093" s="16">
        <v>634</v>
      </c>
      <c r="D1093" s="6">
        <v>700</v>
      </c>
      <c r="E1093" s="1">
        <v>875</v>
      </c>
      <c r="G1093" s="2">
        <f t="shared" si="17"/>
        <v>875</v>
      </c>
      <c r="H1093" t="s">
        <v>37</v>
      </c>
    </row>
    <row r="1094" spans="2:8" x14ac:dyDescent="0.2">
      <c r="B1094" s="17">
        <v>44272</v>
      </c>
      <c r="C1094" s="16">
        <v>635</v>
      </c>
      <c r="D1094" s="6">
        <v>1965</v>
      </c>
      <c r="E1094" s="1">
        <v>2330</v>
      </c>
      <c r="G1094" s="2">
        <f t="shared" si="17"/>
        <v>2330</v>
      </c>
      <c r="H1094" t="s">
        <v>35</v>
      </c>
    </row>
    <row r="1095" spans="2:8" x14ac:dyDescent="0.2">
      <c r="B1095" s="17">
        <v>44272</v>
      </c>
      <c r="C1095" s="16">
        <v>636</v>
      </c>
      <c r="D1095" s="6">
        <v>946.25</v>
      </c>
      <c r="E1095" s="1">
        <v>1020.75</v>
      </c>
      <c r="G1095" s="2">
        <f t="shared" si="17"/>
        <v>1020.75</v>
      </c>
      <c r="H1095" t="s">
        <v>39</v>
      </c>
    </row>
    <row r="1096" spans="2:8" x14ac:dyDescent="0.2">
      <c r="B1096" s="17">
        <v>44273</v>
      </c>
      <c r="C1096" s="16">
        <v>637</v>
      </c>
      <c r="D1096" s="6">
        <v>2850</v>
      </c>
      <c r="E1096" s="1">
        <v>3150</v>
      </c>
      <c r="G1096" s="2">
        <f t="shared" si="17"/>
        <v>3150</v>
      </c>
      <c r="H1096" t="s">
        <v>41</v>
      </c>
    </row>
    <row r="1097" spans="2:8" x14ac:dyDescent="0.2">
      <c r="B1097" s="17">
        <v>44273</v>
      </c>
      <c r="C1097" s="16">
        <v>638</v>
      </c>
      <c r="D1097" s="6">
        <v>33400</v>
      </c>
      <c r="E1097" s="1">
        <v>34850</v>
      </c>
      <c r="G1097" s="2">
        <f t="shared" si="17"/>
        <v>34850</v>
      </c>
      <c r="H1097" t="s">
        <v>14</v>
      </c>
    </row>
    <row r="1098" spans="2:8" x14ac:dyDescent="0.2">
      <c r="B1098" s="17">
        <v>44273</v>
      </c>
      <c r="C1098" s="16"/>
      <c r="D1098" s="6"/>
      <c r="F1098" s="1">
        <v>1020.75</v>
      </c>
      <c r="G1098" s="2">
        <f t="shared" si="17"/>
        <v>-1020.75</v>
      </c>
      <c r="H1098" t="s">
        <v>39</v>
      </c>
    </row>
    <row r="1099" spans="2:8" x14ac:dyDescent="0.2">
      <c r="B1099" s="17">
        <v>44273</v>
      </c>
      <c r="C1099" s="16"/>
      <c r="D1099" s="6"/>
      <c r="F1099" s="1">
        <v>1000</v>
      </c>
      <c r="G1099" s="2">
        <f t="shared" si="17"/>
        <v>-1000</v>
      </c>
      <c r="H1099" t="s">
        <v>45</v>
      </c>
    </row>
    <row r="1100" spans="2:8" x14ac:dyDescent="0.2">
      <c r="B1100" s="17">
        <v>44275</v>
      </c>
      <c r="C1100" s="16"/>
      <c r="D1100" s="6"/>
      <c r="F1100" s="1">
        <v>1400</v>
      </c>
      <c r="G1100" s="2">
        <f t="shared" si="17"/>
        <v>-1400</v>
      </c>
      <c r="H1100" t="s">
        <v>43</v>
      </c>
    </row>
    <row r="1101" spans="2:8" x14ac:dyDescent="0.2">
      <c r="B1101" s="17">
        <v>44276</v>
      </c>
      <c r="C1101" s="16">
        <v>639</v>
      </c>
      <c r="D1101" s="6">
        <v>487.1</v>
      </c>
      <c r="E1101" s="1">
        <v>547</v>
      </c>
      <c r="G1101" s="2">
        <f t="shared" si="17"/>
        <v>547</v>
      </c>
      <c r="H1101" t="s">
        <v>13</v>
      </c>
    </row>
    <row r="1102" spans="2:8" x14ac:dyDescent="0.2">
      <c r="B1102" s="17">
        <v>44276</v>
      </c>
      <c r="C1102" s="16"/>
      <c r="D1102" s="6"/>
      <c r="F1102" s="1">
        <v>10000</v>
      </c>
      <c r="G1102" s="2">
        <f t="shared" si="17"/>
        <v>-10000</v>
      </c>
      <c r="H1102" t="s">
        <v>14</v>
      </c>
    </row>
    <row r="1103" spans="2:8" x14ac:dyDescent="0.2">
      <c r="B1103" s="17">
        <v>44276</v>
      </c>
      <c r="C1103" s="16"/>
      <c r="D1103" s="6"/>
      <c r="F1103" s="1">
        <v>5000</v>
      </c>
      <c r="G1103" s="2">
        <f t="shared" si="17"/>
        <v>-5000</v>
      </c>
      <c r="H1103" t="s">
        <v>13</v>
      </c>
    </row>
    <row r="1104" spans="2:8" x14ac:dyDescent="0.2">
      <c r="B1104" s="17">
        <v>44276</v>
      </c>
      <c r="C1104" s="16"/>
      <c r="D1104" s="6"/>
      <c r="F1104" s="1">
        <v>3000</v>
      </c>
      <c r="G1104" s="2">
        <f t="shared" si="17"/>
        <v>-3000</v>
      </c>
      <c r="H1104" t="s">
        <v>37</v>
      </c>
    </row>
    <row r="1105" spans="2:8" x14ac:dyDescent="0.2">
      <c r="B1105" s="17">
        <v>44278</v>
      </c>
      <c r="C1105" s="16"/>
      <c r="D1105" s="6"/>
      <c r="F1105" s="1">
        <v>3700</v>
      </c>
      <c r="G1105" s="2">
        <f t="shared" si="17"/>
        <v>-3700</v>
      </c>
      <c r="H1105" t="s">
        <v>9</v>
      </c>
    </row>
    <row r="1106" spans="2:8" x14ac:dyDescent="0.2">
      <c r="B1106" s="17">
        <v>44278</v>
      </c>
      <c r="C1106" s="16"/>
      <c r="D1106" s="6"/>
      <c r="F1106" s="1">
        <v>1000</v>
      </c>
      <c r="G1106" s="2">
        <f t="shared" si="17"/>
        <v>-1000</v>
      </c>
      <c r="H1106" t="s">
        <v>45</v>
      </c>
    </row>
    <row r="1107" spans="2:8" x14ac:dyDescent="0.2">
      <c r="B1107" s="17">
        <v>44279</v>
      </c>
      <c r="C1107" s="16">
        <v>640</v>
      </c>
      <c r="D1107" s="6">
        <v>3900</v>
      </c>
      <c r="E1107" s="1">
        <v>4125</v>
      </c>
      <c r="G1107" s="2">
        <f t="shared" si="17"/>
        <v>4125</v>
      </c>
      <c r="H1107" t="s">
        <v>14</v>
      </c>
    </row>
    <row r="1108" spans="2:8" x14ac:dyDescent="0.2">
      <c r="B1108" s="17">
        <v>44279</v>
      </c>
      <c r="C1108" s="16">
        <v>641</v>
      </c>
      <c r="D1108" s="6">
        <v>7479</v>
      </c>
      <c r="E1108" s="1">
        <v>8242</v>
      </c>
      <c r="G1108" s="2">
        <f t="shared" si="17"/>
        <v>8242</v>
      </c>
      <c r="H1108" t="s">
        <v>27</v>
      </c>
    </row>
    <row r="1109" spans="2:8" x14ac:dyDescent="0.2">
      <c r="B1109" s="17">
        <v>44279</v>
      </c>
      <c r="C1109" s="16">
        <v>642</v>
      </c>
      <c r="D1109" s="6">
        <v>1400</v>
      </c>
      <c r="E1109" s="1">
        <v>1500</v>
      </c>
      <c r="G1109" s="2">
        <f t="shared" si="17"/>
        <v>1500</v>
      </c>
      <c r="H1109" t="s">
        <v>9</v>
      </c>
    </row>
    <row r="1110" spans="2:8" x14ac:dyDescent="0.2">
      <c r="B1110" s="17">
        <v>44280</v>
      </c>
      <c r="C1110" s="16">
        <v>643</v>
      </c>
      <c r="D1110" s="6">
        <v>2231</v>
      </c>
      <c r="E1110" s="1">
        <v>2418.75</v>
      </c>
      <c r="G1110" s="2">
        <f t="shared" si="17"/>
        <v>2418.75</v>
      </c>
      <c r="H1110" t="s">
        <v>13</v>
      </c>
    </row>
    <row r="1111" spans="2:8" x14ac:dyDescent="0.2">
      <c r="B1111" s="17">
        <v>44280</v>
      </c>
      <c r="C1111" s="16">
        <v>644</v>
      </c>
      <c r="D1111" s="6">
        <v>1792</v>
      </c>
      <c r="E1111" s="1">
        <v>1888</v>
      </c>
      <c r="G1111" s="2">
        <f t="shared" si="17"/>
        <v>1888</v>
      </c>
      <c r="H1111" t="s">
        <v>27</v>
      </c>
    </row>
    <row r="1112" spans="2:8" x14ac:dyDescent="0.2">
      <c r="B1112" s="17">
        <v>44280</v>
      </c>
      <c r="C1112" s="16">
        <v>645</v>
      </c>
      <c r="D1112" s="6">
        <v>3550</v>
      </c>
      <c r="E1112" s="1">
        <v>3800</v>
      </c>
      <c r="G1112" s="2">
        <f t="shared" si="17"/>
        <v>3800</v>
      </c>
      <c r="H1112" t="s">
        <v>14</v>
      </c>
    </row>
    <row r="1113" spans="2:8" x14ac:dyDescent="0.2">
      <c r="B1113" s="17">
        <v>44280</v>
      </c>
      <c r="C1113" s="16"/>
      <c r="D1113" s="6"/>
      <c r="F1113" s="1">
        <v>5000</v>
      </c>
      <c r="G1113" s="2">
        <f t="shared" si="17"/>
        <v>-5000</v>
      </c>
      <c r="H1113" t="s">
        <v>42</v>
      </c>
    </row>
    <row r="1114" spans="2:8" x14ac:dyDescent="0.2">
      <c r="B1114" s="17">
        <v>44280</v>
      </c>
      <c r="C1114" s="16">
        <v>646</v>
      </c>
      <c r="D1114" s="6">
        <v>700</v>
      </c>
      <c r="E1114" s="1">
        <v>875</v>
      </c>
      <c r="G1114" s="2">
        <f t="shared" si="17"/>
        <v>875</v>
      </c>
      <c r="H1114" t="s">
        <v>37</v>
      </c>
    </row>
    <row r="1115" spans="2:8" x14ac:dyDescent="0.2">
      <c r="B1115" s="17">
        <v>44280</v>
      </c>
      <c r="C1115" s="16">
        <v>647</v>
      </c>
      <c r="D1115" s="6">
        <v>197</v>
      </c>
      <c r="E1115" s="1">
        <v>920</v>
      </c>
      <c r="G1115" s="2">
        <f t="shared" si="17"/>
        <v>920</v>
      </c>
      <c r="H1115" t="s">
        <v>13</v>
      </c>
    </row>
    <row r="1116" spans="2:8" x14ac:dyDescent="0.2">
      <c r="B1116" s="17">
        <v>44281</v>
      </c>
      <c r="C1116" s="16">
        <v>648</v>
      </c>
      <c r="D1116" s="6">
        <v>1315</v>
      </c>
      <c r="E1116" s="1">
        <v>1615</v>
      </c>
      <c r="G1116" s="2">
        <f t="shared" si="17"/>
        <v>1615</v>
      </c>
      <c r="H1116" t="s">
        <v>35</v>
      </c>
    </row>
    <row r="1117" spans="2:8" x14ac:dyDescent="0.2">
      <c r="B1117" s="17">
        <v>44284</v>
      </c>
      <c r="C1117" s="16"/>
      <c r="D1117" s="6"/>
      <c r="F1117" s="1">
        <v>1000</v>
      </c>
      <c r="G1117" s="2">
        <f t="shared" si="17"/>
        <v>-1000</v>
      </c>
      <c r="H1117" t="s">
        <v>45</v>
      </c>
    </row>
    <row r="1118" spans="2:8" x14ac:dyDescent="0.2">
      <c r="B1118" s="17">
        <v>44284</v>
      </c>
      <c r="C1118" s="16"/>
      <c r="D1118" s="6"/>
      <c r="F1118" s="1">
        <v>1500</v>
      </c>
      <c r="G1118" s="2">
        <f t="shared" si="17"/>
        <v>-1500</v>
      </c>
      <c r="H1118" t="s">
        <v>9</v>
      </c>
    </row>
    <row r="1119" spans="2:8" x14ac:dyDescent="0.2">
      <c r="B1119" s="17">
        <v>44286</v>
      </c>
      <c r="C1119" s="16">
        <v>649</v>
      </c>
      <c r="D1119" s="6">
        <v>1780</v>
      </c>
      <c r="E1119" s="1">
        <v>2135</v>
      </c>
      <c r="G1119" s="2">
        <f t="shared" si="17"/>
        <v>2135</v>
      </c>
      <c r="H1119" t="s">
        <v>37</v>
      </c>
    </row>
    <row r="1120" spans="2:8" x14ac:dyDescent="0.2">
      <c r="B1120" s="17">
        <v>44286</v>
      </c>
      <c r="C1120" s="16">
        <v>650</v>
      </c>
      <c r="D1120" s="6">
        <v>4447.5</v>
      </c>
      <c r="E1120" s="1">
        <v>4932.5</v>
      </c>
      <c r="G1120" s="2">
        <f t="shared" si="17"/>
        <v>4932.5</v>
      </c>
      <c r="H1120" t="s">
        <v>41</v>
      </c>
    </row>
    <row r="1121" spans="2:8" x14ac:dyDescent="0.2">
      <c r="B1121" s="17">
        <v>44286</v>
      </c>
      <c r="C1121" s="16">
        <v>651</v>
      </c>
      <c r="D1121" s="6">
        <v>247.5</v>
      </c>
      <c r="E1121" s="1">
        <v>270</v>
      </c>
      <c r="G1121" s="2">
        <f t="shared" si="17"/>
        <v>270</v>
      </c>
      <c r="H1121" t="s">
        <v>14</v>
      </c>
    </row>
    <row r="1122" spans="2:8" x14ac:dyDescent="0.2">
      <c r="B1122" s="17">
        <v>44286</v>
      </c>
      <c r="C1122" s="16">
        <v>652</v>
      </c>
      <c r="D1122" s="6">
        <v>862.5</v>
      </c>
      <c r="E1122" s="1">
        <v>937.5</v>
      </c>
      <c r="G1122" s="2">
        <f t="shared" si="17"/>
        <v>937.5</v>
      </c>
      <c r="H1122" t="s">
        <v>13</v>
      </c>
    </row>
    <row r="1123" spans="2:8" x14ac:dyDescent="0.2">
      <c r="B1123" s="17">
        <v>44287</v>
      </c>
      <c r="C1123" s="16">
        <v>653</v>
      </c>
      <c r="D1123" s="6">
        <v>3800</v>
      </c>
      <c r="E1123" s="1">
        <v>4200</v>
      </c>
      <c r="G1123" s="2">
        <f t="shared" si="17"/>
        <v>4200</v>
      </c>
      <c r="H1123" t="s">
        <v>33</v>
      </c>
    </row>
    <row r="1124" spans="2:8" x14ac:dyDescent="0.2">
      <c r="B1124" s="17">
        <v>44287</v>
      </c>
      <c r="C1124" s="16">
        <v>654</v>
      </c>
      <c r="D1124" s="6">
        <v>1656</v>
      </c>
      <c r="E1124" s="1">
        <v>2020.2</v>
      </c>
      <c r="G1124" s="2">
        <f t="shared" si="17"/>
        <v>2020.2</v>
      </c>
      <c r="H1124" t="s">
        <v>13</v>
      </c>
    </row>
    <row r="1125" spans="2:8" x14ac:dyDescent="0.2">
      <c r="B1125" s="17">
        <v>44287</v>
      </c>
      <c r="C1125" s="16"/>
      <c r="D1125" s="6"/>
      <c r="F1125" s="1">
        <v>10000</v>
      </c>
      <c r="G1125" s="2">
        <f t="shared" si="17"/>
        <v>-10000</v>
      </c>
      <c r="H1125" t="s">
        <v>14</v>
      </c>
    </row>
    <row r="1126" spans="2:8" x14ac:dyDescent="0.2">
      <c r="B1126" s="17">
        <v>44287</v>
      </c>
      <c r="C1126" s="16"/>
      <c r="D1126" s="6"/>
      <c r="F1126" s="1">
        <v>1500</v>
      </c>
      <c r="G1126" s="2">
        <f t="shared" si="17"/>
        <v>-1500</v>
      </c>
      <c r="H1126" t="s">
        <v>34</v>
      </c>
    </row>
    <row r="1127" spans="2:8" x14ac:dyDescent="0.2">
      <c r="B1127" s="17">
        <v>44290</v>
      </c>
      <c r="C1127" s="16"/>
      <c r="D1127" s="6"/>
      <c r="F1127" s="1">
        <v>2200</v>
      </c>
      <c r="G1127" s="2">
        <f t="shared" si="17"/>
        <v>-2200</v>
      </c>
      <c r="H1127" t="s">
        <v>33</v>
      </c>
    </row>
    <row r="1128" spans="2:8" x14ac:dyDescent="0.2">
      <c r="B1128" s="17">
        <v>44290</v>
      </c>
      <c r="C1128" s="16"/>
      <c r="D1128" s="6"/>
      <c r="F1128" s="1">
        <v>5000</v>
      </c>
      <c r="G1128" s="2">
        <f t="shared" si="17"/>
        <v>-5000</v>
      </c>
      <c r="H1128" t="s">
        <v>14</v>
      </c>
    </row>
    <row r="1129" spans="2:8" x14ac:dyDescent="0.2">
      <c r="B1129" s="17">
        <v>44290</v>
      </c>
      <c r="C1129" s="16"/>
      <c r="D1129" s="6"/>
      <c r="F1129" s="1">
        <v>5000</v>
      </c>
      <c r="G1129" s="2">
        <f t="shared" si="17"/>
        <v>-5000</v>
      </c>
      <c r="H1129" t="s">
        <v>13</v>
      </c>
    </row>
    <row r="1130" spans="2:8" x14ac:dyDescent="0.2">
      <c r="B1130" s="17">
        <v>44291</v>
      </c>
      <c r="C1130" s="16">
        <v>655</v>
      </c>
      <c r="D1130" s="6">
        <v>675</v>
      </c>
      <c r="E1130" s="1">
        <v>800</v>
      </c>
      <c r="G1130" s="2">
        <f t="shared" si="17"/>
        <v>800</v>
      </c>
      <c r="H1130" t="s">
        <v>33</v>
      </c>
    </row>
    <row r="1131" spans="2:8" x14ac:dyDescent="0.2">
      <c r="B1131" s="17">
        <v>44291</v>
      </c>
      <c r="C1131" s="16">
        <v>656</v>
      </c>
      <c r="D1131" s="6">
        <v>145</v>
      </c>
      <c r="E1131" s="1">
        <v>175</v>
      </c>
      <c r="G1131" s="2">
        <f t="shared" si="17"/>
        <v>175</v>
      </c>
      <c r="H1131" t="s">
        <v>34</v>
      </c>
    </row>
    <row r="1132" spans="2:8" x14ac:dyDescent="0.2">
      <c r="B1132" s="17">
        <v>44291</v>
      </c>
      <c r="C1132" s="16">
        <v>657</v>
      </c>
      <c r="D1132" s="6">
        <v>10842.5</v>
      </c>
      <c r="E1132" s="1">
        <v>11446.078431372549</v>
      </c>
      <c r="G1132" s="18">
        <f t="shared" si="17"/>
        <v>11446.078431372549</v>
      </c>
      <c r="H1132" t="s">
        <v>27</v>
      </c>
    </row>
    <row r="1133" spans="2:8" x14ac:dyDescent="0.2">
      <c r="B1133" s="17">
        <v>44291</v>
      </c>
      <c r="C1133" s="16"/>
      <c r="D1133" s="6"/>
      <c r="F1133" s="1">
        <v>5300</v>
      </c>
      <c r="G1133" s="2">
        <f t="shared" si="17"/>
        <v>-5300</v>
      </c>
      <c r="H1133" t="s">
        <v>25</v>
      </c>
    </row>
    <row r="1134" spans="2:8" x14ac:dyDescent="0.2">
      <c r="B1134" s="17">
        <v>44292</v>
      </c>
      <c r="C1134" s="16">
        <v>658</v>
      </c>
      <c r="D1134" s="6">
        <v>145</v>
      </c>
      <c r="E1134" s="1">
        <v>155</v>
      </c>
      <c r="G1134" s="2">
        <f t="shared" si="17"/>
        <v>155</v>
      </c>
      <c r="H1134" s="2" t="s">
        <v>48</v>
      </c>
    </row>
    <row r="1135" spans="2:8" x14ac:dyDescent="0.2">
      <c r="B1135" s="17">
        <v>44292</v>
      </c>
      <c r="C1135" s="16">
        <v>659</v>
      </c>
      <c r="D1135" s="6">
        <v>402.5</v>
      </c>
      <c r="E1135" s="1">
        <v>446.5</v>
      </c>
      <c r="G1135" s="2">
        <f t="shared" si="17"/>
        <v>446.5</v>
      </c>
      <c r="H1135" t="s">
        <v>13</v>
      </c>
    </row>
    <row r="1136" spans="2:8" x14ac:dyDescent="0.2">
      <c r="B1136" s="17">
        <v>44292</v>
      </c>
      <c r="C1136" s="16">
        <v>660</v>
      </c>
      <c r="D1136" s="6">
        <v>338</v>
      </c>
      <c r="E1136" s="1">
        <v>360</v>
      </c>
      <c r="G1136" s="2">
        <f t="shared" si="17"/>
        <v>360</v>
      </c>
      <c r="H1136" t="s">
        <v>41</v>
      </c>
    </row>
    <row r="1137" spans="2:8" x14ac:dyDescent="0.2">
      <c r="B1137" s="17">
        <v>44293</v>
      </c>
      <c r="C1137" s="16">
        <v>661</v>
      </c>
      <c r="D1137" s="6">
        <v>900</v>
      </c>
      <c r="E1137" s="1">
        <v>1117.5</v>
      </c>
      <c r="G1137" s="2">
        <f t="shared" si="17"/>
        <v>1117.5</v>
      </c>
      <c r="H1137" t="s">
        <v>35</v>
      </c>
    </row>
    <row r="1138" spans="2:8" x14ac:dyDescent="0.2">
      <c r="B1138" s="17">
        <v>44293</v>
      </c>
      <c r="C1138" s="16">
        <v>662</v>
      </c>
      <c r="D1138" s="6">
        <v>1625</v>
      </c>
      <c r="E1138" s="1">
        <v>1900</v>
      </c>
      <c r="G1138" s="2">
        <f t="shared" si="17"/>
        <v>1900</v>
      </c>
      <c r="H1138" t="s">
        <v>37</v>
      </c>
    </row>
    <row r="1139" spans="2:8" x14ac:dyDescent="0.2">
      <c r="B1139" s="17">
        <v>44293</v>
      </c>
      <c r="C1139" s="16"/>
      <c r="D1139" s="6"/>
      <c r="F1139" s="1">
        <v>1300</v>
      </c>
      <c r="G1139" s="2">
        <f t="shared" si="17"/>
        <v>-1300</v>
      </c>
      <c r="H1139" t="s">
        <v>33</v>
      </c>
    </row>
    <row r="1140" spans="2:8" x14ac:dyDescent="0.2">
      <c r="B1140" s="17">
        <v>44293</v>
      </c>
      <c r="C1140" s="16"/>
      <c r="D1140" s="6"/>
      <c r="F1140" s="1">
        <v>4250</v>
      </c>
      <c r="G1140" s="2">
        <f t="shared" si="17"/>
        <v>-4250</v>
      </c>
      <c r="H1140" t="s">
        <v>37</v>
      </c>
    </row>
    <row r="1141" spans="2:8" x14ac:dyDescent="0.2">
      <c r="B1141" s="17">
        <v>44294</v>
      </c>
      <c r="C1141" s="16"/>
      <c r="D1141" s="6"/>
      <c r="F1141" s="1">
        <v>3000</v>
      </c>
      <c r="G1141" s="2">
        <f t="shared" si="17"/>
        <v>-3000</v>
      </c>
      <c r="H1141" t="s">
        <v>41</v>
      </c>
    </row>
    <row r="1142" spans="2:8" x14ac:dyDescent="0.2">
      <c r="B1142" s="17">
        <v>44294</v>
      </c>
      <c r="C1142" s="16"/>
      <c r="D1142" s="6"/>
      <c r="F1142" s="1">
        <v>2000</v>
      </c>
      <c r="G1142" s="2">
        <f t="shared" si="17"/>
        <v>-2000</v>
      </c>
      <c r="H1142" t="s">
        <v>45</v>
      </c>
    </row>
    <row r="1143" spans="2:8" x14ac:dyDescent="0.2">
      <c r="B1143" s="17">
        <v>44296</v>
      </c>
      <c r="C1143" s="16">
        <v>663</v>
      </c>
      <c r="D1143" s="6">
        <v>3410</v>
      </c>
      <c r="E1143" s="1">
        <v>3750</v>
      </c>
      <c r="G1143" s="2">
        <f t="shared" si="17"/>
        <v>3750</v>
      </c>
      <c r="H1143" t="s">
        <v>13</v>
      </c>
    </row>
    <row r="1144" spans="2:8" x14ac:dyDescent="0.2">
      <c r="B1144" s="17">
        <v>44296</v>
      </c>
      <c r="C1144" s="16"/>
      <c r="D1144" s="6"/>
      <c r="F1144" s="1">
        <v>5000</v>
      </c>
      <c r="G1144" s="2">
        <f t="shared" si="17"/>
        <v>-5000</v>
      </c>
      <c r="H1144" t="s">
        <v>13</v>
      </c>
    </row>
    <row r="1145" spans="2:8" x14ac:dyDescent="0.2">
      <c r="B1145" s="17">
        <v>44296</v>
      </c>
      <c r="C1145" s="16"/>
      <c r="D1145" s="6"/>
      <c r="F1145" s="1">
        <v>5000</v>
      </c>
      <c r="G1145" s="2">
        <f t="shared" si="17"/>
        <v>-5000</v>
      </c>
      <c r="H1145" t="s">
        <v>14</v>
      </c>
    </row>
    <row r="1146" spans="2:8" x14ac:dyDescent="0.2">
      <c r="B1146" s="17">
        <v>44297</v>
      </c>
      <c r="C1146" s="16">
        <v>664</v>
      </c>
      <c r="D1146" s="6">
        <v>822.2</v>
      </c>
      <c r="E1146" s="1">
        <v>1001.5</v>
      </c>
      <c r="G1146" s="2">
        <f t="shared" si="17"/>
        <v>1001.5</v>
      </c>
      <c r="H1146" t="s">
        <v>27</v>
      </c>
    </row>
    <row r="1147" spans="2:8" x14ac:dyDescent="0.2">
      <c r="B1147" s="17">
        <v>44298</v>
      </c>
      <c r="C1147" s="16"/>
      <c r="D1147" s="6"/>
      <c r="F1147" s="1">
        <v>5000</v>
      </c>
      <c r="G1147" s="2">
        <f t="shared" si="17"/>
        <v>-5000</v>
      </c>
      <c r="H1147" t="s">
        <v>27</v>
      </c>
    </row>
    <row r="1148" spans="2:8" x14ac:dyDescent="0.2">
      <c r="B1148" s="17">
        <v>44298</v>
      </c>
      <c r="C1148" s="16">
        <v>665</v>
      </c>
      <c r="D1148" s="6">
        <v>8667.25</v>
      </c>
      <c r="E1148" s="1">
        <v>10390</v>
      </c>
      <c r="G1148" s="2">
        <f t="shared" si="17"/>
        <v>10390</v>
      </c>
      <c r="H1148" t="s">
        <v>41</v>
      </c>
    </row>
    <row r="1149" spans="2:8" x14ac:dyDescent="0.2">
      <c r="B1149" s="17">
        <v>44299</v>
      </c>
      <c r="C1149" s="16">
        <v>666</v>
      </c>
      <c r="D1149" s="6">
        <v>480</v>
      </c>
      <c r="E1149" s="1">
        <v>480</v>
      </c>
      <c r="G1149" s="2">
        <f t="shared" si="17"/>
        <v>480</v>
      </c>
      <c r="H1149" s="1" t="s">
        <v>83</v>
      </c>
    </row>
    <row r="1150" spans="2:8" x14ac:dyDescent="0.2">
      <c r="B1150" s="17">
        <v>44299</v>
      </c>
      <c r="C1150" s="16">
        <v>667</v>
      </c>
      <c r="D1150" s="6">
        <v>570</v>
      </c>
      <c r="E1150" s="1">
        <v>607.5</v>
      </c>
      <c r="G1150" s="2">
        <f t="shared" si="17"/>
        <v>607.5</v>
      </c>
      <c r="H1150" s="2" t="s">
        <v>48</v>
      </c>
    </row>
    <row r="1151" spans="2:8" x14ac:dyDescent="0.2">
      <c r="B1151" s="17">
        <v>44300</v>
      </c>
      <c r="C1151" s="16">
        <v>668</v>
      </c>
      <c r="D1151" s="6">
        <v>620</v>
      </c>
      <c r="E1151" s="1">
        <v>640</v>
      </c>
      <c r="G1151" s="2">
        <f t="shared" si="17"/>
        <v>640</v>
      </c>
      <c r="H1151" t="s">
        <v>33</v>
      </c>
    </row>
    <row r="1152" spans="2:8" x14ac:dyDescent="0.2">
      <c r="B1152" s="17">
        <v>44300</v>
      </c>
      <c r="C1152" s="16">
        <v>669</v>
      </c>
      <c r="D1152" s="6">
        <v>969.7</v>
      </c>
      <c r="E1152" s="1">
        <v>1076</v>
      </c>
      <c r="G1152" s="2">
        <f t="shared" si="17"/>
        <v>1076</v>
      </c>
      <c r="H1152" t="s">
        <v>27</v>
      </c>
    </row>
    <row r="1153" spans="2:8" x14ac:dyDescent="0.2">
      <c r="B1153" s="17">
        <v>44300</v>
      </c>
      <c r="C1153" s="16"/>
      <c r="D1153" s="6"/>
      <c r="F1153" s="1">
        <v>980</v>
      </c>
      <c r="G1153" s="2">
        <f t="shared" si="17"/>
        <v>-980</v>
      </c>
      <c r="H1153" t="s">
        <v>27</v>
      </c>
    </row>
    <row r="1154" spans="2:8" x14ac:dyDescent="0.2">
      <c r="B1154" s="17">
        <v>44301</v>
      </c>
      <c r="C1154" s="16"/>
      <c r="D1154" s="6"/>
      <c r="F1154" s="1">
        <v>3000</v>
      </c>
      <c r="G1154" s="2">
        <f t="shared" si="17"/>
        <v>-3000</v>
      </c>
      <c r="H1154" t="s">
        <v>45</v>
      </c>
    </row>
    <row r="1155" spans="2:8" x14ac:dyDescent="0.2">
      <c r="B1155" s="17">
        <v>44301</v>
      </c>
      <c r="C1155" s="16"/>
      <c r="D1155" s="6"/>
      <c r="F1155" s="1">
        <v>3500</v>
      </c>
      <c r="G1155" s="2">
        <f t="shared" ref="G1155:G1218" si="18">E1155-F1155</f>
        <v>-3500</v>
      </c>
      <c r="H1155" t="s">
        <v>41</v>
      </c>
    </row>
    <row r="1156" spans="2:8" x14ac:dyDescent="0.2">
      <c r="B1156" s="17">
        <v>44304</v>
      </c>
      <c r="C1156" s="16">
        <v>670</v>
      </c>
      <c r="D1156" s="6">
        <v>1471.75</v>
      </c>
      <c r="E1156" s="1">
        <v>1598.5</v>
      </c>
      <c r="G1156" s="2">
        <f t="shared" si="18"/>
        <v>1598.5</v>
      </c>
      <c r="H1156" t="s">
        <v>27</v>
      </c>
    </row>
    <row r="1157" spans="2:8" x14ac:dyDescent="0.2">
      <c r="B1157" s="17">
        <v>44304</v>
      </c>
      <c r="C1157" s="16">
        <v>671</v>
      </c>
      <c r="D1157" s="6">
        <v>1656</v>
      </c>
      <c r="E1157" s="1">
        <v>1875</v>
      </c>
      <c r="G1157" s="2">
        <f t="shared" si="18"/>
        <v>1875</v>
      </c>
      <c r="H1157" t="s">
        <v>35</v>
      </c>
    </row>
    <row r="1158" spans="2:8" x14ac:dyDescent="0.2">
      <c r="B1158" s="17">
        <v>44304</v>
      </c>
      <c r="C1158" s="16">
        <v>672</v>
      </c>
      <c r="D1158" s="6">
        <v>1962.5</v>
      </c>
      <c r="E1158" s="1">
        <v>2125</v>
      </c>
      <c r="G1158" s="2">
        <f t="shared" si="18"/>
        <v>2125</v>
      </c>
      <c r="H1158" t="s">
        <v>41</v>
      </c>
    </row>
    <row r="1159" spans="2:8" x14ac:dyDescent="0.2">
      <c r="B1159" s="17">
        <v>44304</v>
      </c>
      <c r="C1159" s="16">
        <v>673</v>
      </c>
      <c r="D1159" s="6">
        <v>2451.25</v>
      </c>
      <c r="E1159" s="1">
        <v>2791.25</v>
      </c>
      <c r="G1159" s="2">
        <f t="shared" si="18"/>
        <v>2791.25</v>
      </c>
      <c r="H1159" t="s">
        <v>13</v>
      </c>
    </row>
    <row r="1160" spans="2:8" x14ac:dyDescent="0.2">
      <c r="B1160" s="17">
        <v>44304</v>
      </c>
      <c r="C1160" s="16"/>
      <c r="D1160" s="6"/>
      <c r="F1160" s="1">
        <v>1075</v>
      </c>
      <c r="G1160" s="2">
        <f t="shared" si="18"/>
        <v>-1075</v>
      </c>
      <c r="H1160" t="s">
        <v>27</v>
      </c>
    </row>
    <row r="1161" spans="2:8" x14ac:dyDescent="0.2">
      <c r="B1161" s="17">
        <v>44304</v>
      </c>
      <c r="C1161" s="16"/>
      <c r="D1161" s="6"/>
      <c r="F1161" s="1">
        <v>5000</v>
      </c>
      <c r="G1161" s="2">
        <f t="shared" si="18"/>
        <v>-5000</v>
      </c>
      <c r="H1161" t="s">
        <v>14</v>
      </c>
    </row>
    <row r="1162" spans="2:8" x14ac:dyDescent="0.2">
      <c r="B1162" s="17">
        <v>44305</v>
      </c>
      <c r="C1162" s="16">
        <v>674</v>
      </c>
      <c r="D1162" s="6">
        <v>553.25</v>
      </c>
      <c r="E1162" s="1">
        <v>602.5</v>
      </c>
      <c r="G1162" s="2">
        <f t="shared" si="18"/>
        <v>602.5</v>
      </c>
      <c r="H1162" t="s">
        <v>27</v>
      </c>
    </row>
    <row r="1163" spans="2:8" x14ac:dyDescent="0.2">
      <c r="B1163" s="17">
        <v>44305</v>
      </c>
      <c r="C1163" s="16">
        <v>675</v>
      </c>
      <c r="D1163" s="6">
        <v>1500</v>
      </c>
      <c r="E1163" s="1">
        <v>1900</v>
      </c>
      <c r="G1163" s="2">
        <f t="shared" si="18"/>
        <v>1900</v>
      </c>
      <c r="H1163" t="s">
        <v>37</v>
      </c>
    </row>
    <row r="1164" spans="2:8" x14ac:dyDescent="0.2">
      <c r="B1164" s="17">
        <v>44306</v>
      </c>
      <c r="C1164" s="16">
        <v>676</v>
      </c>
      <c r="D1164" s="6">
        <v>4787.5</v>
      </c>
      <c r="E1164" s="1">
        <v>5300</v>
      </c>
      <c r="G1164" s="2">
        <f t="shared" si="18"/>
        <v>5300</v>
      </c>
      <c r="H1164" t="s">
        <v>33</v>
      </c>
    </row>
    <row r="1165" spans="2:8" x14ac:dyDescent="0.2">
      <c r="B1165" s="17">
        <v>44307</v>
      </c>
      <c r="C1165" s="16"/>
      <c r="D1165" s="6"/>
      <c r="F1165" s="1">
        <v>820</v>
      </c>
      <c r="G1165" s="2">
        <f t="shared" si="18"/>
        <v>-820</v>
      </c>
      <c r="H1165" t="s">
        <v>43</v>
      </c>
    </row>
    <row r="1166" spans="2:8" x14ac:dyDescent="0.2">
      <c r="B1166" s="17">
        <v>44307</v>
      </c>
      <c r="C1166" s="16"/>
      <c r="D1166" s="6"/>
      <c r="F1166" s="1">
        <v>3000</v>
      </c>
      <c r="G1166" s="2">
        <f t="shared" si="18"/>
        <v>-3000</v>
      </c>
      <c r="H1166" t="s">
        <v>35</v>
      </c>
    </row>
    <row r="1167" spans="2:8" x14ac:dyDescent="0.2">
      <c r="B1167" s="17">
        <v>44307</v>
      </c>
      <c r="C1167" s="16">
        <v>677</v>
      </c>
      <c r="D1167" s="6">
        <v>1425</v>
      </c>
      <c r="E1167" s="1">
        <v>1615</v>
      </c>
      <c r="G1167" s="2">
        <f t="shared" si="18"/>
        <v>1615</v>
      </c>
      <c r="H1167" t="s">
        <v>14</v>
      </c>
    </row>
    <row r="1168" spans="2:8" x14ac:dyDescent="0.2">
      <c r="B1168" s="17">
        <v>44308</v>
      </c>
      <c r="C1168" s="16"/>
      <c r="D1168" s="6"/>
      <c r="F1168" s="1">
        <v>2830</v>
      </c>
      <c r="G1168" s="2">
        <f t="shared" si="18"/>
        <v>-2830</v>
      </c>
      <c r="H1168" t="s">
        <v>45</v>
      </c>
    </row>
    <row r="1169" spans="2:8" x14ac:dyDescent="0.2">
      <c r="B1169" s="17">
        <v>44308</v>
      </c>
      <c r="C1169" s="16"/>
      <c r="D1169" s="6"/>
      <c r="F1169" s="1">
        <v>350</v>
      </c>
      <c r="G1169" s="2">
        <f t="shared" si="18"/>
        <v>-350</v>
      </c>
      <c r="H1169" t="s">
        <v>25</v>
      </c>
    </row>
    <row r="1170" spans="2:8" x14ac:dyDescent="0.2">
      <c r="B1170" s="17">
        <v>44308</v>
      </c>
      <c r="C1170" s="16"/>
      <c r="D1170" s="6"/>
      <c r="F1170" s="1">
        <v>622</v>
      </c>
      <c r="G1170" s="2">
        <f t="shared" si="18"/>
        <v>-622</v>
      </c>
      <c r="H1170" t="s">
        <v>45</v>
      </c>
    </row>
    <row r="1171" spans="2:8" x14ac:dyDescent="0.2">
      <c r="B1171" s="17">
        <v>44310</v>
      </c>
      <c r="C1171" s="16"/>
      <c r="D1171" s="6"/>
      <c r="F1171" s="1">
        <v>3440</v>
      </c>
      <c r="G1171" s="2">
        <f t="shared" si="18"/>
        <v>-3440</v>
      </c>
      <c r="H1171" t="s">
        <v>33</v>
      </c>
    </row>
    <row r="1172" spans="2:8" x14ac:dyDescent="0.2">
      <c r="B1172" s="17">
        <v>44310</v>
      </c>
      <c r="C1172" s="16"/>
      <c r="D1172" s="6"/>
      <c r="F1172" s="1">
        <v>5000</v>
      </c>
      <c r="G1172" s="2">
        <f t="shared" si="18"/>
        <v>-5000</v>
      </c>
      <c r="H1172" t="s">
        <v>13</v>
      </c>
    </row>
    <row r="1173" spans="2:8" x14ac:dyDescent="0.2">
      <c r="B1173" s="17">
        <v>44310</v>
      </c>
      <c r="C1173" s="16">
        <v>678</v>
      </c>
      <c r="D1173" s="6">
        <v>1713</v>
      </c>
      <c r="E1173" s="1">
        <v>1935</v>
      </c>
      <c r="G1173" s="2">
        <f t="shared" si="18"/>
        <v>1935</v>
      </c>
      <c r="H1173" t="s">
        <v>35</v>
      </c>
    </row>
    <row r="1174" spans="2:8" x14ac:dyDescent="0.2">
      <c r="B1174" s="17">
        <v>44310</v>
      </c>
      <c r="C1174" s="16">
        <v>679</v>
      </c>
      <c r="D1174" s="6">
        <v>2931.5</v>
      </c>
      <c r="E1174" s="1">
        <v>3314</v>
      </c>
      <c r="G1174" s="2">
        <f t="shared" si="18"/>
        <v>3314</v>
      </c>
      <c r="H1174" t="s">
        <v>13</v>
      </c>
    </row>
    <row r="1175" spans="2:8" x14ac:dyDescent="0.2">
      <c r="B1175" s="17">
        <v>44311</v>
      </c>
      <c r="C1175" s="16"/>
      <c r="D1175" s="6"/>
      <c r="F1175" s="1">
        <v>5000</v>
      </c>
      <c r="G1175" s="2">
        <f t="shared" si="18"/>
        <v>-5000</v>
      </c>
      <c r="H1175" t="s">
        <v>14</v>
      </c>
    </row>
    <row r="1176" spans="2:8" x14ac:dyDescent="0.2">
      <c r="B1176" s="17">
        <v>44311</v>
      </c>
      <c r="C1176" s="16">
        <v>680</v>
      </c>
      <c r="D1176" s="6">
        <v>5300</v>
      </c>
      <c r="E1176" s="1">
        <v>5800</v>
      </c>
      <c r="G1176" s="2">
        <f t="shared" si="18"/>
        <v>5800</v>
      </c>
      <c r="H1176" t="s">
        <v>14</v>
      </c>
    </row>
    <row r="1177" spans="2:8" x14ac:dyDescent="0.2">
      <c r="B1177" s="17">
        <v>44312</v>
      </c>
      <c r="C1177" s="16"/>
      <c r="D1177" s="6"/>
      <c r="F1177" s="1">
        <v>5000</v>
      </c>
      <c r="G1177" s="2">
        <f t="shared" si="18"/>
        <v>-5000</v>
      </c>
      <c r="H1177" t="s">
        <v>27</v>
      </c>
    </row>
    <row r="1178" spans="2:8" x14ac:dyDescent="0.2">
      <c r="B1178" s="17">
        <v>44312</v>
      </c>
      <c r="C1178" s="16">
        <v>681</v>
      </c>
      <c r="D1178" s="6">
        <v>900</v>
      </c>
      <c r="E1178" s="1">
        <v>1050</v>
      </c>
      <c r="G1178" s="2">
        <f t="shared" si="18"/>
        <v>1050</v>
      </c>
      <c r="H1178" t="s">
        <v>38</v>
      </c>
    </row>
    <row r="1179" spans="2:8" x14ac:dyDescent="0.2">
      <c r="B1179" s="17">
        <v>44312</v>
      </c>
      <c r="C1179" s="16">
        <v>682</v>
      </c>
      <c r="D1179" s="6">
        <v>1950</v>
      </c>
      <c r="E1179" s="1">
        <v>2250</v>
      </c>
      <c r="G1179" s="2">
        <f t="shared" si="18"/>
        <v>2250</v>
      </c>
      <c r="H1179" t="s">
        <v>13</v>
      </c>
    </row>
    <row r="1180" spans="2:8" x14ac:dyDescent="0.2">
      <c r="B1180" s="17">
        <v>44313</v>
      </c>
      <c r="C1180" s="16"/>
      <c r="D1180" s="6"/>
      <c r="F1180" s="1">
        <v>2000</v>
      </c>
      <c r="G1180" s="2">
        <f t="shared" si="18"/>
        <v>-2000</v>
      </c>
      <c r="H1180" t="s">
        <v>34</v>
      </c>
    </row>
    <row r="1181" spans="2:8" x14ac:dyDescent="0.2">
      <c r="B1181" s="17">
        <v>44313</v>
      </c>
      <c r="C1181" s="16">
        <v>683</v>
      </c>
      <c r="D1181" s="6">
        <v>2991</v>
      </c>
      <c r="E1181" s="1">
        <v>3191</v>
      </c>
      <c r="G1181" s="2">
        <f t="shared" si="18"/>
        <v>3191</v>
      </c>
      <c r="H1181" t="s">
        <v>14</v>
      </c>
    </row>
    <row r="1182" spans="2:8" x14ac:dyDescent="0.2">
      <c r="B1182" s="17">
        <v>44313</v>
      </c>
      <c r="C1182" s="16"/>
      <c r="D1182" s="6"/>
      <c r="F1182" s="1">
        <v>3648</v>
      </c>
      <c r="G1182" s="2">
        <f t="shared" si="18"/>
        <v>-3648</v>
      </c>
      <c r="H1182" t="s">
        <v>34</v>
      </c>
    </row>
    <row r="1183" spans="2:8" x14ac:dyDescent="0.2">
      <c r="B1183" s="17">
        <v>44314</v>
      </c>
      <c r="C1183" s="16">
        <v>684</v>
      </c>
      <c r="D1183" s="6">
        <v>540</v>
      </c>
      <c r="E1183" s="1">
        <v>580</v>
      </c>
      <c r="G1183" s="2">
        <f t="shared" si="18"/>
        <v>580</v>
      </c>
      <c r="H1183" t="s">
        <v>44</v>
      </c>
    </row>
    <row r="1184" spans="2:8" x14ac:dyDescent="0.2">
      <c r="B1184" s="17">
        <v>44314</v>
      </c>
      <c r="C1184" s="16"/>
      <c r="D1184" s="6"/>
      <c r="F1184" s="1">
        <v>2000</v>
      </c>
      <c r="G1184" s="2">
        <f t="shared" si="18"/>
        <v>-2000</v>
      </c>
      <c r="H1184" t="s">
        <v>33</v>
      </c>
    </row>
    <row r="1185" spans="2:8" x14ac:dyDescent="0.2">
      <c r="B1185" s="17">
        <v>44314</v>
      </c>
      <c r="C1185" s="16"/>
      <c r="D1185" s="6"/>
      <c r="F1185" s="1">
        <v>5000</v>
      </c>
      <c r="G1185" s="2">
        <f t="shared" si="18"/>
        <v>-5000</v>
      </c>
      <c r="H1185" t="s">
        <v>35</v>
      </c>
    </row>
    <row r="1186" spans="2:8" x14ac:dyDescent="0.2">
      <c r="B1186" s="17">
        <v>44314</v>
      </c>
      <c r="C1186" s="16"/>
      <c r="D1186" s="6"/>
      <c r="F1186" s="1">
        <v>580</v>
      </c>
      <c r="G1186" s="2">
        <f t="shared" si="18"/>
        <v>-580</v>
      </c>
      <c r="H1186" t="s">
        <v>44</v>
      </c>
    </row>
    <row r="1187" spans="2:8" x14ac:dyDescent="0.2">
      <c r="B1187" s="17">
        <v>44315</v>
      </c>
      <c r="C1187" s="16">
        <v>685</v>
      </c>
      <c r="D1187" s="6">
        <v>720</v>
      </c>
      <c r="E1187" s="1">
        <v>860</v>
      </c>
      <c r="G1187" s="2">
        <f t="shared" si="18"/>
        <v>860</v>
      </c>
      <c r="H1187" t="s">
        <v>32</v>
      </c>
    </row>
    <row r="1188" spans="2:8" x14ac:dyDescent="0.2">
      <c r="B1188" s="17">
        <v>44316</v>
      </c>
      <c r="C1188" s="16"/>
      <c r="D1188" s="6"/>
      <c r="F1188" s="1">
        <v>860</v>
      </c>
      <c r="G1188" s="2">
        <f t="shared" si="18"/>
        <v>-860</v>
      </c>
      <c r="H1188" t="s">
        <v>32</v>
      </c>
    </row>
    <row r="1189" spans="2:8" x14ac:dyDescent="0.2">
      <c r="B1189" s="17">
        <v>44316</v>
      </c>
      <c r="C1189" s="16"/>
      <c r="D1189" s="6"/>
      <c r="F1189" s="1">
        <v>1954</v>
      </c>
      <c r="G1189" s="2">
        <f t="shared" si="18"/>
        <v>-1954</v>
      </c>
      <c r="H1189" s="2" t="s">
        <v>48</v>
      </c>
    </row>
    <row r="1190" spans="2:8" x14ac:dyDescent="0.2">
      <c r="B1190" s="17">
        <v>44317</v>
      </c>
      <c r="C1190" s="16"/>
      <c r="D1190" s="6"/>
      <c r="F1190" s="1">
        <v>5000</v>
      </c>
      <c r="G1190" s="2">
        <f t="shared" si="18"/>
        <v>-5000</v>
      </c>
      <c r="H1190" t="s">
        <v>14</v>
      </c>
    </row>
    <row r="1191" spans="2:8" x14ac:dyDescent="0.2">
      <c r="B1191" s="17">
        <v>44318</v>
      </c>
      <c r="C1191" s="16">
        <v>686</v>
      </c>
      <c r="D1191" s="6">
        <v>2899.2</v>
      </c>
      <c r="E1191" s="1">
        <v>3175</v>
      </c>
      <c r="G1191" s="2">
        <f t="shared" si="18"/>
        <v>3175</v>
      </c>
      <c r="H1191" t="s">
        <v>35</v>
      </c>
    </row>
    <row r="1192" spans="2:8" x14ac:dyDescent="0.2">
      <c r="B1192" s="17">
        <v>44319</v>
      </c>
      <c r="C1192" s="16">
        <v>687</v>
      </c>
      <c r="D1192" s="6">
        <v>2160</v>
      </c>
      <c r="E1192" s="1">
        <v>2320</v>
      </c>
      <c r="G1192" s="2">
        <f t="shared" si="18"/>
        <v>2320</v>
      </c>
      <c r="H1192" t="s">
        <v>14</v>
      </c>
    </row>
    <row r="1193" spans="2:8" x14ac:dyDescent="0.2">
      <c r="B1193" s="17">
        <v>44320</v>
      </c>
      <c r="C1193" s="16"/>
      <c r="D1193" s="6"/>
      <c r="F1193" s="1">
        <v>4050</v>
      </c>
      <c r="G1193" s="2">
        <f t="shared" si="18"/>
        <v>-4050</v>
      </c>
      <c r="H1193" t="s">
        <v>37</v>
      </c>
    </row>
    <row r="1194" spans="2:8" x14ac:dyDescent="0.2">
      <c r="B1194" s="17">
        <v>44322</v>
      </c>
      <c r="C1194" s="16"/>
      <c r="D1194" s="6"/>
      <c r="F1194" s="1">
        <v>5000</v>
      </c>
      <c r="G1194" s="2">
        <f t="shared" si="18"/>
        <v>-5000</v>
      </c>
      <c r="H1194" t="s">
        <v>13</v>
      </c>
    </row>
    <row r="1195" spans="2:8" x14ac:dyDescent="0.2">
      <c r="B1195" s="17">
        <v>44322</v>
      </c>
      <c r="C1195" s="16">
        <v>688</v>
      </c>
      <c r="D1195" s="6">
        <v>400</v>
      </c>
      <c r="E1195" s="1">
        <v>700</v>
      </c>
      <c r="G1195" s="2">
        <f t="shared" si="18"/>
        <v>700</v>
      </c>
      <c r="H1195" t="s">
        <v>41</v>
      </c>
    </row>
    <row r="1196" spans="2:8" x14ac:dyDescent="0.2">
      <c r="B1196" s="17">
        <v>44322</v>
      </c>
      <c r="C1196" s="16">
        <v>689</v>
      </c>
      <c r="D1196" s="6">
        <v>1576.8</v>
      </c>
      <c r="E1196" s="1">
        <v>1941</v>
      </c>
      <c r="G1196" s="2">
        <f t="shared" si="18"/>
        <v>1941</v>
      </c>
      <c r="H1196" t="s">
        <v>13</v>
      </c>
    </row>
    <row r="1197" spans="2:8" x14ac:dyDescent="0.2">
      <c r="B1197" s="17">
        <v>44322</v>
      </c>
      <c r="C1197" s="16">
        <v>690</v>
      </c>
      <c r="D1197" s="6">
        <v>6783.75</v>
      </c>
      <c r="E1197" s="1">
        <v>7451.25</v>
      </c>
      <c r="G1197" s="2">
        <f t="shared" si="18"/>
        <v>7451.25</v>
      </c>
      <c r="H1197" t="s">
        <v>27</v>
      </c>
    </row>
    <row r="1198" spans="2:8" x14ac:dyDescent="0.2">
      <c r="B1198" s="17">
        <v>44322</v>
      </c>
      <c r="C1198" s="16">
        <v>691</v>
      </c>
      <c r="D1198" s="6">
        <v>5750</v>
      </c>
      <c r="E1198" s="1">
        <v>6050</v>
      </c>
      <c r="G1198" s="2">
        <f t="shared" si="18"/>
        <v>6050</v>
      </c>
      <c r="H1198" t="s">
        <v>14</v>
      </c>
    </row>
    <row r="1199" spans="2:8" x14ac:dyDescent="0.2">
      <c r="B1199" s="17">
        <v>44322</v>
      </c>
      <c r="C1199" s="16">
        <v>692</v>
      </c>
      <c r="D1199" s="6">
        <v>780</v>
      </c>
      <c r="E1199" s="1">
        <v>925</v>
      </c>
      <c r="G1199" s="2">
        <f t="shared" si="18"/>
        <v>925</v>
      </c>
      <c r="H1199" t="s">
        <v>37</v>
      </c>
    </row>
    <row r="1200" spans="2:8" x14ac:dyDescent="0.2">
      <c r="B1200" s="17">
        <v>44324</v>
      </c>
      <c r="C1200" s="16">
        <v>693</v>
      </c>
      <c r="D1200" s="6">
        <v>3700</v>
      </c>
      <c r="E1200" s="1">
        <v>4250</v>
      </c>
      <c r="G1200" s="2">
        <f t="shared" si="18"/>
        <v>4250</v>
      </c>
      <c r="H1200" t="s">
        <v>13</v>
      </c>
    </row>
    <row r="1201" spans="2:8" x14ac:dyDescent="0.2">
      <c r="B1201" s="17">
        <v>44325</v>
      </c>
      <c r="C1201" s="16">
        <v>694</v>
      </c>
      <c r="D1201" s="6">
        <v>1396</v>
      </c>
      <c r="E1201" s="1">
        <v>1659</v>
      </c>
      <c r="G1201" s="2">
        <f t="shared" si="18"/>
        <v>1659</v>
      </c>
      <c r="H1201" t="s">
        <v>35</v>
      </c>
    </row>
    <row r="1202" spans="2:8" x14ac:dyDescent="0.2">
      <c r="B1202" s="17">
        <v>44326</v>
      </c>
      <c r="C1202" s="16"/>
      <c r="D1202" s="6"/>
      <c r="F1202" s="1">
        <v>5000</v>
      </c>
      <c r="G1202" s="2">
        <f t="shared" si="18"/>
        <v>-5000</v>
      </c>
      <c r="H1202" t="s">
        <v>13</v>
      </c>
    </row>
    <row r="1203" spans="2:8" x14ac:dyDescent="0.2">
      <c r="B1203" s="17">
        <v>44326</v>
      </c>
      <c r="C1203" s="16"/>
      <c r="D1203" s="6"/>
      <c r="F1203" s="1">
        <v>1050</v>
      </c>
      <c r="G1203" s="2">
        <f t="shared" si="18"/>
        <v>-1050</v>
      </c>
      <c r="H1203" t="s">
        <v>38</v>
      </c>
    </row>
    <row r="1204" spans="2:8" x14ac:dyDescent="0.2">
      <c r="B1204" s="17">
        <v>44326</v>
      </c>
      <c r="C1204" s="16">
        <v>695</v>
      </c>
      <c r="D1204" s="6">
        <v>15200</v>
      </c>
      <c r="E1204" s="1">
        <v>15600</v>
      </c>
      <c r="G1204" s="2">
        <f t="shared" si="18"/>
        <v>15600</v>
      </c>
      <c r="H1204" t="s">
        <v>38</v>
      </c>
    </row>
    <row r="1205" spans="2:8" x14ac:dyDescent="0.2">
      <c r="B1205" s="17">
        <v>44326</v>
      </c>
      <c r="C1205" s="16">
        <v>696</v>
      </c>
      <c r="D1205" s="6">
        <v>520</v>
      </c>
      <c r="E1205" s="1">
        <v>560</v>
      </c>
      <c r="G1205" s="2">
        <f t="shared" si="18"/>
        <v>560</v>
      </c>
      <c r="H1205" t="s">
        <v>14</v>
      </c>
    </row>
    <row r="1206" spans="2:8" x14ac:dyDescent="0.2">
      <c r="B1206" s="17">
        <v>44326</v>
      </c>
      <c r="C1206" s="16">
        <v>697</v>
      </c>
      <c r="D1206" s="6">
        <v>1050</v>
      </c>
      <c r="E1206" s="1">
        <v>1070</v>
      </c>
      <c r="G1206" s="2">
        <f t="shared" si="18"/>
        <v>1070</v>
      </c>
      <c r="H1206" t="s">
        <v>14</v>
      </c>
    </row>
    <row r="1207" spans="2:8" x14ac:dyDescent="0.2">
      <c r="B1207" s="17">
        <v>44327</v>
      </c>
      <c r="C1207" s="16"/>
      <c r="D1207" s="6"/>
      <c r="F1207" s="1">
        <v>10000</v>
      </c>
      <c r="G1207" s="2">
        <f t="shared" si="18"/>
        <v>-10000</v>
      </c>
      <c r="H1207" t="s">
        <v>14</v>
      </c>
    </row>
    <row r="1208" spans="2:8" x14ac:dyDescent="0.2">
      <c r="B1208" s="17">
        <v>44327</v>
      </c>
      <c r="C1208" s="16">
        <v>698</v>
      </c>
      <c r="D1208" s="6">
        <v>1075</v>
      </c>
      <c r="E1208" s="1">
        <v>1400</v>
      </c>
      <c r="G1208" s="2">
        <f t="shared" si="18"/>
        <v>1400</v>
      </c>
      <c r="H1208" t="s">
        <v>37</v>
      </c>
    </row>
    <row r="1209" spans="2:8" x14ac:dyDescent="0.2">
      <c r="B1209" s="17">
        <v>44332</v>
      </c>
      <c r="C1209" s="16">
        <v>699</v>
      </c>
      <c r="D1209" s="6">
        <v>2141</v>
      </c>
      <c r="E1209" s="1">
        <v>2460</v>
      </c>
      <c r="G1209" s="2">
        <f t="shared" si="18"/>
        <v>2460</v>
      </c>
      <c r="H1209" t="s">
        <v>13</v>
      </c>
    </row>
    <row r="1210" spans="2:8" x14ac:dyDescent="0.2">
      <c r="B1210" s="17">
        <v>44333</v>
      </c>
      <c r="C1210" s="16">
        <v>700</v>
      </c>
      <c r="D1210" s="6">
        <v>2378.4</v>
      </c>
      <c r="E1210" s="1">
        <v>2701</v>
      </c>
      <c r="G1210" s="2">
        <f t="shared" si="18"/>
        <v>2701</v>
      </c>
      <c r="H1210" t="s">
        <v>35</v>
      </c>
    </row>
    <row r="1211" spans="2:8" x14ac:dyDescent="0.2">
      <c r="B1211" s="17">
        <v>44333</v>
      </c>
      <c r="C1211" s="16">
        <v>701</v>
      </c>
      <c r="D1211" s="6">
        <v>1360</v>
      </c>
      <c r="E1211" s="1">
        <v>1600</v>
      </c>
      <c r="G1211" s="2">
        <f t="shared" si="18"/>
        <v>1600</v>
      </c>
      <c r="H1211" t="s">
        <v>32</v>
      </c>
    </row>
    <row r="1212" spans="2:8" x14ac:dyDescent="0.2">
      <c r="B1212" s="17">
        <v>44333</v>
      </c>
      <c r="C1212" s="16"/>
      <c r="D1212" s="6"/>
      <c r="F1212" s="1">
        <v>2000</v>
      </c>
      <c r="G1212" s="2">
        <f t="shared" si="18"/>
        <v>-2000</v>
      </c>
      <c r="H1212" t="s">
        <v>33</v>
      </c>
    </row>
    <row r="1213" spans="2:8" x14ac:dyDescent="0.2">
      <c r="B1213" s="17">
        <v>44333</v>
      </c>
      <c r="C1213" s="16"/>
      <c r="D1213" s="6"/>
      <c r="F1213" s="1">
        <v>8446</v>
      </c>
      <c r="G1213" s="2">
        <f t="shared" si="18"/>
        <v>-8446</v>
      </c>
      <c r="H1213" t="s">
        <v>27</v>
      </c>
    </row>
    <row r="1214" spans="2:8" x14ac:dyDescent="0.2">
      <c r="B1214" s="17">
        <v>44333</v>
      </c>
      <c r="C1214" s="16"/>
      <c r="D1214" s="6"/>
      <c r="F1214" s="1">
        <v>2200</v>
      </c>
      <c r="G1214" s="2">
        <f t="shared" si="18"/>
        <v>-2200</v>
      </c>
      <c r="H1214" t="s">
        <v>27</v>
      </c>
    </row>
    <row r="1215" spans="2:8" x14ac:dyDescent="0.2">
      <c r="B1215" s="17">
        <v>44333</v>
      </c>
      <c r="C1215" s="16"/>
      <c r="D1215" s="6"/>
      <c r="F1215" s="1">
        <v>5000</v>
      </c>
      <c r="G1215" s="2">
        <f t="shared" si="18"/>
        <v>-5000</v>
      </c>
      <c r="H1215" t="s">
        <v>35</v>
      </c>
    </row>
    <row r="1216" spans="2:8" x14ac:dyDescent="0.2">
      <c r="B1216" s="17">
        <v>44335</v>
      </c>
      <c r="C1216" s="16"/>
      <c r="D1216" s="6"/>
      <c r="F1216" s="1">
        <v>5000</v>
      </c>
      <c r="G1216" s="2">
        <f t="shared" si="18"/>
        <v>-5000</v>
      </c>
      <c r="H1216" t="s">
        <v>14</v>
      </c>
    </row>
    <row r="1217" spans="2:8" x14ac:dyDescent="0.2">
      <c r="B1217" s="17">
        <v>44335</v>
      </c>
      <c r="C1217" s="16"/>
      <c r="D1217" s="6"/>
      <c r="F1217" s="1">
        <v>8500</v>
      </c>
      <c r="G1217" s="2">
        <f t="shared" si="18"/>
        <v>-8500</v>
      </c>
      <c r="H1217" t="s">
        <v>39</v>
      </c>
    </row>
    <row r="1218" spans="2:8" x14ac:dyDescent="0.2">
      <c r="B1218" s="17">
        <v>44335</v>
      </c>
      <c r="C1218" s="16">
        <v>702</v>
      </c>
      <c r="D1218" s="6">
        <v>2751.25</v>
      </c>
      <c r="E1218" s="1">
        <v>2862.5</v>
      </c>
      <c r="G1218" s="2">
        <f t="shared" si="18"/>
        <v>2862.5</v>
      </c>
      <c r="H1218" t="s">
        <v>14</v>
      </c>
    </row>
    <row r="1219" spans="2:8" x14ac:dyDescent="0.2">
      <c r="B1219" s="17">
        <v>44335</v>
      </c>
      <c r="C1219" s="16">
        <v>703</v>
      </c>
      <c r="D1219" s="6">
        <v>2061.75</v>
      </c>
      <c r="E1219" s="1">
        <v>2282.5</v>
      </c>
      <c r="G1219" s="2">
        <f t="shared" ref="G1219:G1282" si="19">E1219-F1219</f>
        <v>2282.5</v>
      </c>
      <c r="H1219" s="2" t="s">
        <v>48</v>
      </c>
    </row>
    <row r="1220" spans="2:8" x14ac:dyDescent="0.2">
      <c r="B1220" s="17">
        <v>44338</v>
      </c>
      <c r="C1220" s="16"/>
      <c r="D1220" s="6"/>
      <c r="F1220" s="1">
        <v>8000</v>
      </c>
      <c r="G1220" s="2">
        <f t="shared" si="19"/>
        <v>-8000</v>
      </c>
      <c r="H1220" t="s">
        <v>38</v>
      </c>
    </row>
    <row r="1221" spans="2:8" x14ac:dyDescent="0.2">
      <c r="B1221" s="17">
        <v>44339</v>
      </c>
      <c r="C1221" s="16">
        <v>704</v>
      </c>
      <c r="D1221" s="6">
        <v>857</v>
      </c>
      <c r="E1221" s="1">
        <v>1030</v>
      </c>
      <c r="G1221" s="2">
        <f t="shared" si="19"/>
        <v>1030</v>
      </c>
      <c r="H1221" t="s">
        <v>35</v>
      </c>
    </row>
    <row r="1222" spans="2:8" x14ac:dyDescent="0.2">
      <c r="B1222" s="17">
        <v>44340</v>
      </c>
      <c r="C1222" s="16"/>
      <c r="D1222" s="6"/>
      <c r="F1222" s="1">
        <v>5000</v>
      </c>
      <c r="G1222" s="2">
        <f t="shared" si="19"/>
        <v>-5000</v>
      </c>
      <c r="H1222" t="s">
        <v>14</v>
      </c>
    </row>
    <row r="1223" spans="2:8" x14ac:dyDescent="0.2">
      <c r="B1223" s="17">
        <v>44340</v>
      </c>
      <c r="C1223" s="16">
        <v>705</v>
      </c>
      <c r="D1223" s="6">
        <v>9269.7999999999993</v>
      </c>
      <c r="E1223" s="1">
        <v>9870</v>
      </c>
      <c r="G1223" s="2">
        <f t="shared" si="19"/>
        <v>9870</v>
      </c>
      <c r="H1223" t="s">
        <v>14</v>
      </c>
    </row>
    <row r="1224" spans="2:8" x14ac:dyDescent="0.2">
      <c r="B1224" s="17">
        <v>44340</v>
      </c>
      <c r="C1224" s="16">
        <v>706</v>
      </c>
      <c r="D1224" s="6">
        <v>900</v>
      </c>
      <c r="E1224" s="1">
        <v>1100</v>
      </c>
      <c r="G1224" s="2">
        <f t="shared" si="19"/>
        <v>1100</v>
      </c>
      <c r="H1224" t="s">
        <v>41</v>
      </c>
    </row>
    <row r="1225" spans="2:8" x14ac:dyDescent="0.2">
      <c r="B1225" s="17">
        <v>44340</v>
      </c>
      <c r="C1225" s="16">
        <v>707</v>
      </c>
      <c r="D1225" s="6">
        <v>3815</v>
      </c>
      <c r="E1225" s="1">
        <v>4000</v>
      </c>
      <c r="G1225" s="2">
        <f t="shared" si="19"/>
        <v>4000</v>
      </c>
      <c r="H1225" t="s">
        <v>13</v>
      </c>
    </row>
    <row r="1226" spans="2:8" x14ac:dyDescent="0.2">
      <c r="B1226" s="17">
        <v>44341</v>
      </c>
      <c r="C1226" s="16"/>
      <c r="D1226" s="6"/>
      <c r="F1226" s="1">
        <v>5000</v>
      </c>
      <c r="G1226" s="2">
        <f t="shared" si="19"/>
        <v>-5000</v>
      </c>
      <c r="H1226" t="s">
        <v>13</v>
      </c>
    </row>
    <row r="1227" spans="2:8" x14ac:dyDescent="0.2">
      <c r="B1227" s="17">
        <v>44341</v>
      </c>
      <c r="C1227" s="16">
        <v>708</v>
      </c>
      <c r="D1227" s="6">
        <v>1480</v>
      </c>
      <c r="E1227" s="1">
        <v>1792.5</v>
      </c>
      <c r="G1227" s="2">
        <f t="shared" si="19"/>
        <v>1792.5</v>
      </c>
      <c r="H1227" t="s">
        <v>13</v>
      </c>
    </row>
    <row r="1228" spans="2:8" x14ac:dyDescent="0.2">
      <c r="B1228" s="17">
        <v>44342</v>
      </c>
      <c r="C1228" s="16">
        <v>709</v>
      </c>
      <c r="D1228" s="6">
        <v>2502</v>
      </c>
      <c r="E1228" s="1">
        <v>2790</v>
      </c>
      <c r="G1228" s="2">
        <f t="shared" si="19"/>
        <v>2790</v>
      </c>
      <c r="H1228" t="s">
        <v>35</v>
      </c>
    </row>
    <row r="1229" spans="2:8" x14ac:dyDescent="0.2">
      <c r="B1229" s="17">
        <v>44344</v>
      </c>
      <c r="C1229" s="16">
        <v>710</v>
      </c>
      <c r="D1229" s="6">
        <v>1941</v>
      </c>
      <c r="E1229" s="1">
        <v>2400</v>
      </c>
      <c r="G1229" s="2">
        <f t="shared" si="19"/>
        <v>2400</v>
      </c>
      <c r="H1229" t="s">
        <v>37</v>
      </c>
    </row>
    <row r="1230" spans="2:8" x14ac:dyDescent="0.2">
      <c r="B1230" s="17">
        <v>44345</v>
      </c>
      <c r="C1230" s="16">
        <v>711</v>
      </c>
      <c r="D1230" s="6">
        <v>3290</v>
      </c>
      <c r="E1230" s="1">
        <v>3600</v>
      </c>
      <c r="G1230" s="2">
        <f t="shared" si="19"/>
        <v>3600</v>
      </c>
      <c r="H1230" t="s">
        <v>14</v>
      </c>
    </row>
    <row r="1231" spans="2:8" x14ac:dyDescent="0.2">
      <c r="B1231" s="17">
        <v>44345</v>
      </c>
      <c r="C1231" s="16"/>
      <c r="D1231" s="6"/>
      <c r="F1231" s="1">
        <v>7000</v>
      </c>
      <c r="G1231" s="2">
        <f t="shared" si="19"/>
        <v>-7000</v>
      </c>
      <c r="H1231" t="s">
        <v>14</v>
      </c>
    </row>
    <row r="1232" spans="2:8" x14ac:dyDescent="0.2">
      <c r="B1232" s="17">
        <v>44345</v>
      </c>
      <c r="C1232" s="16"/>
      <c r="D1232" s="6"/>
      <c r="F1232" s="1">
        <v>3500</v>
      </c>
      <c r="G1232" s="2">
        <f t="shared" si="19"/>
        <v>-3500</v>
      </c>
      <c r="H1232" t="s">
        <v>27</v>
      </c>
    </row>
    <row r="1233" spans="2:8" x14ac:dyDescent="0.2">
      <c r="B1233" s="17">
        <v>44346</v>
      </c>
      <c r="C1233" s="16"/>
      <c r="D1233" s="6"/>
      <c r="F1233" s="1">
        <v>5000</v>
      </c>
      <c r="G1233" s="2">
        <f t="shared" si="19"/>
        <v>-5000</v>
      </c>
      <c r="H1233" t="s">
        <v>13</v>
      </c>
    </row>
    <row r="1234" spans="2:8" x14ac:dyDescent="0.2">
      <c r="B1234" s="17">
        <v>44346</v>
      </c>
      <c r="C1234" s="16">
        <v>712</v>
      </c>
      <c r="D1234" s="6">
        <v>2685</v>
      </c>
      <c r="E1234" s="1">
        <v>2790</v>
      </c>
      <c r="G1234" s="2">
        <f t="shared" si="19"/>
        <v>2790</v>
      </c>
      <c r="H1234" t="s">
        <v>13</v>
      </c>
    </row>
    <row r="1235" spans="2:8" x14ac:dyDescent="0.2">
      <c r="B1235" s="17">
        <v>44347</v>
      </c>
      <c r="C1235" s="16">
        <v>713</v>
      </c>
      <c r="D1235" s="6">
        <v>1752.5</v>
      </c>
      <c r="E1235" s="1">
        <v>1910</v>
      </c>
      <c r="G1235" s="2">
        <f t="shared" si="19"/>
        <v>1910</v>
      </c>
      <c r="H1235" t="s">
        <v>14</v>
      </c>
    </row>
    <row r="1236" spans="2:8" x14ac:dyDescent="0.2">
      <c r="B1236" s="17">
        <v>44347</v>
      </c>
      <c r="C1236" s="16">
        <v>714</v>
      </c>
      <c r="D1236" s="6">
        <v>1260</v>
      </c>
      <c r="E1236" s="1">
        <v>1429</v>
      </c>
      <c r="G1236" s="2">
        <f t="shared" si="19"/>
        <v>1429</v>
      </c>
      <c r="H1236" s="2" t="s">
        <v>48</v>
      </c>
    </row>
    <row r="1237" spans="2:8" x14ac:dyDescent="0.2">
      <c r="B1237" s="17">
        <v>44347</v>
      </c>
      <c r="C1237" s="16">
        <v>715</v>
      </c>
      <c r="D1237" s="6">
        <v>7965</v>
      </c>
      <c r="E1237" s="1">
        <v>8715</v>
      </c>
      <c r="G1237" s="2">
        <f t="shared" si="19"/>
        <v>8715</v>
      </c>
      <c r="H1237" t="s">
        <v>39</v>
      </c>
    </row>
    <row r="1238" spans="2:8" x14ac:dyDescent="0.2">
      <c r="B1238" s="17">
        <v>44347</v>
      </c>
      <c r="C1238" s="16">
        <v>716</v>
      </c>
      <c r="D1238" s="6">
        <v>1140</v>
      </c>
      <c r="E1238" s="1">
        <v>1160</v>
      </c>
      <c r="G1238" s="2">
        <f t="shared" si="19"/>
        <v>1160</v>
      </c>
      <c r="H1238" t="s">
        <v>31</v>
      </c>
    </row>
    <row r="1239" spans="2:8" x14ac:dyDescent="0.2">
      <c r="B1239" s="17">
        <v>44349</v>
      </c>
      <c r="C1239" s="16">
        <v>717</v>
      </c>
      <c r="D1239" s="6">
        <v>1378.6</v>
      </c>
      <c r="E1239" s="1">
        <v>1574</v>
      </c>
      <c r="G1239" s="2">
        <f t="shared" si="19"/>
        <v>1574</v>
      </c>
      <c r="H1239" t="s">
        <v>35</v>
      </c>
    </row>
    <row r="1240" spans="2:8" x14ac:dyDescent="0.2">
      <c r="B1240" s="17">
        <v>44349</v>
      </c>
      <c r="C1240" s="16">
        <v>718</v>
      </c>
      <c r="D1240" s="6">
        <v>9735</v>
      </c>
      <c r="E1240" s="1">
        <v>10497</v>
      </c>
      <c r="G1240" s="2">
        <f t="shared" si="19"/>
        <v>10497</v>
      </c>
      <c r="H1240" t="s">
        <v>14</v>
      </c>
    </row>
    <row r="1241" spans="2:8" x14ac:dyDescent="0.2">
      <c r="B1241" s="17">
        <v>44349</v>
      </c>
      <c r="C1241" s="16">
        <v>719</v>
      </c>
      <c r="D1241" s="6">
        <v>1156</v>
      </c>
      <c r="E1241" s="1">
        <v>1200</v>
      </c>
      <c r="G1241" s="2">
        <f t="shared" si="19"/>
        <v>1200</v>
      </c>
      <c r="H1241" t="s">
        <v>31</v>
      </c>
    </row>
    <row r="1242" spans="2:8" x14ac:dyDescent="0.2">
      <c r="B1242" s="17">
        <v>44354</v>
      </c>
      <c r="C1242" s="16">
        <v>720</v>
      </c>
      <c r="D1242" s="6">
        <v>5300</v>
      </c>
      <c r="E1242" s="1">
        <v>5800</v>
      </c>
      <c r="G1242" s="2">
        <f t="shared" si="19"/>
        <v>5800</v>
      </c>
      <c r="H1242" t="s">
        <v>27</v>
      </c>
    </row>
    <row r="1243" spans="2:8" x14ac:dyDescent="0.2">
      <c r="B1243" s="17">
        <v>44354</v>
      </c>
      <c r="C1243" s="16">
        <v>721</v>
      </c>
      <c r="D1243" s="6">
        <v>5341</v>
      </c>
      <c r="E1243" s="1">
        <v>5511</v>
      </c>
      <c r="G1243" s="2">
        <f t="shared" si="19"/>
        <v>5511</v>
      </c>
      <c r="H1243" t="s">
        <v>13</v>
      </c>
    </row>
    <row r="1244" spans="2:8" x14ac:dyDescent="0.2">
      <c r="B1244" s="17">
        <v>44354</v>
      </c>
      <c r="C1244" s="16">
        <v>722</v>
      </c>
      <c r="D1244" s="6">
        <v>420</v>
      </c>
      <c r="E1244" s="1">
        <v>450</v>
      </c>
      <c r="G1244" s="2">
        <f t="shared" si="19"/>
        <v>450</v>
      </c>
      <c r="H1244" t="s">
        <v>39</v>
      </c>
    </row>
    <row r="1245" spans="2:8" x14ac:dyDescent="0.2">
      <c r="B1245" s="17">
        <v>44354</v>
      </c>
      <c r="C1245" s="16"/>
      <c r="D1245" s="6"/>
      <c r="F1245" s="1">
        <v>450</v>
      </c>
      <c r="G1245" s="2">
        <f t="shared" si="19"/>
        <v>-450</v>
      </c>
      <c r="H1245" t="s">
        <v>39</v>
      </c>
    </row>
    <row r="1246" spans="2:8" x14ac:dyDescent="0.2">
      <c r="B1246" s="17">
        <v>44355</v>
      </c>
      <c r="C1246" s="16">
        <v>723</v>
      </c>
      <c r="D1246" s="6">
        <v>3675</v>
      </c>
      <c r="E1246" s="1">
        <v>3500</v>
      </c>
      <c r="G1246" s="2">
        <f t="shared" si="19"/>
        <v>3500</v>
      </c>
      <c r="H1246" t="s">
        <v>39</v>
      </c>
    </row>
    <row r="1247" spans="2:8" x14ac:dyDescent="0.2">
      <c r="B1247" s="17">
        <v>44355</v>
      </c>
      <c r="C1247" s="16"/>
      <c r="D1247" s="6"/>
      <c r="F1247" s="1">
        <v>2500</v>
      </c>
      <c r="G1247" s="2">
        <f t="shared" si="19"/>
        <v>-2500</v>
      </c>
      <c r="H1247" t="s">
        <v>27</v>
      </c>
    </row>
    <row r="1248" spans="2:8" x14ac:dyDescent="0.2">
      <c r="B1248" s="17">
        <v>44355</v>
      </c>
      <c r="C1248" s="16"/>
      <c r="D1248" s="6"/>
      <c r="F1248" s="1">
        <v>5000</v>
      </c>
      <c r="G1248" s="2">
        <f t="shared" si="19"/>
        <v>-5000</v>
      </c>
      <c r="H1248" t="s">
        <v>41</v>
      </c>
    </row>
    <row r="1249" spans="2:8" x14ac:dyDescent="0.2">
      <c r="B1249" s="17">
        <v>44356</v>
      </c>
      <c r="C1249" s="16"/>
      <c r="D1249" s="6"/>
      <c r="F1249" s="1">
        <v>5000</v>
      </c>
      <c r="G1249" s="2">
        <f t="shared" si="19"/>
        <v>-5000</v>
      </c>
      <c r="H1249" t="s">
        <v>13</v>
      </c>
    </row>
    <row r="1250" spans="2:8" x14ac:dyDescent="0.2">
      <c r="B1250" s="17">
        <v>44356</v>
      </c>
      <c r="C1250" s="16">
        <v>724</v>
      </c>
      <c r="D1250" s="6">
        <v>2525</v>
      </c>
      <c r="E1250" s="1">
        <v>2835</v>
      </c>
      <c r="G1250" s="2">
        <f t="shared" si="19"/>
        <v>2835</v>
      </c>
      <c r="H1250" t="s">
        <v>35</v>
      </c>
    </row>
    <row r="1251" spans="2:8" x14ac:dyDescent="0.2">
      <c r="B1251" s="17">
        <v>44356</v>
      </c>
      <c r="C1251" s="16">
        <v>725</v>
      </c>
      <c r="D1251" s="6">
        <v>1850</v>
      </c>
      <c r="E1251" s="1">
        <v>2400</v>
      </c>
      <c r="G1251" s="2">
        <f t="shared" si="19"/>
        <v>2400</v>
      </c>
      <c r="H1251" t="s">
        <v>37</v>
      </c>
    </row>
    <row r="1252" spans="2:8" x14ac:dyDescent="0.2">
      <c r="B1252" s="17">
        <v>44357</v>
      </c>
      <c r="C1252" s="16"/>
      <c r="D1252" s="6"/>
      <c r="F1252" s="1">
        <v>10000</v>
      </c>
      <c r="G1252" s="2">
        <f t="shared" si="19"/>
        <v>-10000</v>
      </c>
      <c r="H1252" t="s">
        <v>14</v>
      </c>
    </row>
    <row r="1253" spans="2:8" x14ac:dyDescent="0.2">
      <c r="B1253" s="17">
        <v>44359</v>
      </c>
      <c r="C1253" s="16"/>
      <c r="D1253" s="6"/>
      <c r="F1253" s="1">
        <v>6000</v>
      </c>
      <c r="G1253" s="2">
        <f t="shared" si="19"/>
        <v>-6000</v>
      </c>
      <c r="H1253" t="s">
        <v>35</v>
      </c>
    </row>
    <row r="1254" spans="2:8" x14ac:dyDescent="0.2">
      <c r="B1254" s="17">
        <v>44359</v>
      </c>
      <c r="C1254" s="16"/>
      <c r="D1254" s="6"/>
      <c r="F1254" s="1">
        <v>6500</v>
      </c>
      <c r="G1254" s="2">
        <f t="shared" si="19"/>
        <v>-6500</v>
      </c>
      <c r="H1254" t="s">
        <v>37</v>
      </c>
    </row>
    <row r="1255" spans="2:8" x14ac:dyDescent="0.2">
      <c r="B1255" s="17">
        <v>44360</v>
      </c>
      <c r="C1255" s="16"/>
      <c r="D1255" s="6"/>
      <c r="F1255" s="1">
        <v>3500</v>
      </c>
      <c r="G1255" s="2">
        <f t="shared" si="19"/>
        <v>-3500</v>
      </c>
      <c r="H1255" t="s">
        <v>27</v>
      </c>
    </row>
    <row r="1256" spans="2:8" x14ac:dyDescent="0.2">
      <c r="B1256" s="17">
        <v>44360</v>
      </c>
      <c r="C1256" s="16">
        <v>726</v>
      </c>
      <c r="D1256" s="6">
        <v>570</v>
      </c>
      <c r="E1256" s="1">
        <v>607.5</v>
      </c>
      <c r="G1256" s="2">
        <f t="shared" si="19"/>
        <v>607.5</v>
      </c>
      <c r="H1256" s="2" t="s">
        <v>48</v>
      </c>
    </row>
    <row r="1257" spans="2:8" x14ac:dyDescent="0.2">
      <c r="B1257" s="17">
        <v>44360</v>
      </c>
      <c r="C1257" s="16">
        <v>727</v>
      </c>
      <c r="D1257" s="6">
        <v>450</v>
      </c>
      <c r="E1257" s="1">
        <v>700</v>
      </c>
      <c r="G1257" s="2">
        <f t="shared" si="19"/>
        <v>700</v>
      </c>
      <c r="H1257" t="s">
        <v>41</v>
      </c>
    </row>
    <row r="1258" spans="2:8" x14ac:dyDescent="0.2">
      <c r="B1258" s="17">
        <v>44363</v>
      </c>
      <c r="C1258" s="16">
        <v>728</v>
      </c>
      <c r="D1258" s="6">
        <v>6800</v>
      </c>
      <c r="E1258" s="1">
        <v>7600</v>
      </c>
      <c r="G1258" s="2">
        <f t="shared" si="19"/>
        <v>7600</v>
      </c>
      <c r="H1258" t="s">
        <v>27</v>
      </c>
    </row>
    <row r="1259" spans="2:8" x14ac:dyDescent="0.2">
      <c r="B1259" s="17">
        <v>44363</v>
      </c>
      <c r="C1259" s="16">
        <v>729</v>
      </c>
      <c r="D1259" s="6">
        <v>564</v>
      </c>
      <c r="E1259" s="1">
        <v>595</v>
      </c>
      <c r="G1259" s="2">
        <f t="shared" si="19"/>
        <v>595</v>
      </c>
      <c r="H1259" t="s">
        <v>14</v>
      </c>
    </row>
    <row r="1260" spans="2:8" x14ac:dyDescent="0.2">
      <c r="B1260" s="17">
        <v>44364</v>
      </c>
      <c r="C1260" s="16">
        <v>730</v>
      </c>
      <c r="D1260" s="6">
        <v>1022</v>
      </c>
      <c r="E1260" s="1">
        <v>1215</v>
      </c>
      <c r="G1260" s="2">
        <f t="shared" si="19"/>
        <v>1215</v>
      </c>
      <c r="H1260" t="s">
        <v>35</v>
      </c>
    </row>
    <row r="1261" spans="2:8" x14ac:dyDescent="0.2">
      <c r="B1261" s="17">
        <v>44364</v>
      </c>
      <c r="C1261" s="16"/>
      <c r="D1261" s="6"/>
      <c r="F1261" s="1">
        <v>5000</v>
      </c>
      <c r="G1261" s="2">
        <f t="shared" si="19"/>
        <v>-5000</v>
      </c>
      <c r="H1261" t="s">
        <v>14</v>
      </c>
    </row>
    <row r="1262" spans="2:8" x14ac:dyDescent="0.2">
      <c r="B1262" s="17">
        <v>44364</v>
      </c>
      <c r="C1262" s="16"/>
      <c r="D1262" s="6"/>
      <c r="F1262" s="1">
        <v>1240</v>
      </c>
      <c r="G1262" s="2">
        <f t="shared" si="19"/>
        <v>-1240</v>
      </c>
      <c r="H1262" t="s">
        <v>43</v>
      </c>
    </row>
    <row r="1263" spans="2:8" x14ac:dyDescent="0.2">
      <c r="B1263" s="17">
        <v>44364</v>
      </c>
      <c r="C1263" s="16"/>
      <c r="D1263" s="6"/>
      <c r="F1263" s="1">
        <v>7600</v>
      </c>
      <c r="G1263" s="2">
        <f t="shared" si="19"/>
        <v>-7600</v>
      </c>
      <c r="H1263" t="s">
        <v>38</v>
      </c>
    </row>
    <row r="1264" spans="2:8" x14ac:dyDescent="0.2">
      <c r="B1264" s="17">
        <v>44364</v>
      </c>
      <c r="C1264" s="16"/>
      <c r="D1264" s="6"/>
      <c r="F1264" s="1">
        <v>2.25</v>
      </c>
      <c r="G1264" s="2">
        <f t="shared" si="19"/>
        <v>-2.25</v>
      </c>
      <c r="H1264" t="s">
        <v>43</v>
      </c>
    </row>
    <row r="1265" spans="2:8" x14ac:dyDescent="0.2">
      <c r="B1265" s="17">
        <v>44367</v>
      </c>
      <c r="C1265" s="16">
        <v>731</v>
      </c>
      <c r="D1265" s="6">
        <v>6835</v>
      </c>
      <c r="E1265" s="1">
        <v>7165</v>
      </c>
      <c r="G1265" s="2">
        <f t="shared" si="19"/>
        <v>7165</v>
      </c>
      <c r="H1265" t="s">
        <v>14</v>
      </c>
    </row>
    <row r="1266" spans="2:8" x14ac:dyDescent="0.2">
      <c r="B1266" s="17">
        <v>44367</v>
      </c>
      <c r="C1266" s="16">
        <v>732</v>
      </c>
      <c r="D1266" s="6">
        <v>1545</v>
      </c>
      <c r="E1266" s="1">
        <v>1807.5</v>
      </c>
      <c r="G1266" s="2">
        <f t="shared" si="19"/>
        <v>1807.5</v>
      </c>
      <c r="H1266" t="s">
        <v>13</v>
      </c>
    </row>
    <row r="1267" spans="2:8" x14ac:dyDescent="0.2">
      <c r="B1267" s="17">
        <v>44368</v>
      </c>
      <c r="C1267" s="16">
        <v>733</v>
      </c>
      <c r="D1267" s="6">
        <v>1465</v>
      </c>
      <c r="E1267" s="1">
        <v>1600</v>
      </c>
      <c r="G1267" s="2">
        <f t="shared" si="19"/>
        <v>1600</v>
      </c>
      <c r="H1267" t="s">
        <v>35</v>
      </c>
    </row>
    <row r="1268" spans="2:8" x14ac:dyDescent="0.2">
      <c r="B1268" s="17">
        <v>44368</v>
      </c>
      <c r="C1268" s="16">
        <v>734</v>
      </c>
      <c r="D1268" s="6">
        <v>65186.540000000008</v>
      </c>
      <c r="E1268" s="1">
        <v>70206.25</v>
      </c>
      <c r="G1268" s="2">
        <f t="shared" si="19"/>
        <v>70206.25</v>
      </c>
      <c r="H1268" t="s">
        <v>30</v>
      </c>
    </row>
    <row r="1269" spans="2:8" x14ac:dyDescent="0.2">
      <c r="B1269" s="17">
        <v>44368</v>
      </c>
      <c r="C1269" s="16"/>
      <c r="D1269" s="6"/>
      <c r="F1269" s="1">
        <v>7000</v>
      </c>
      <c r="G1269" s="2">
        <f t="shared" si="19"/>
        <v>-7000</v>
      </c>
      <c r="H1269" t="s">
        <v>14</v>
      </c>
    </row>
    <row r="1270" spans="2:8" x14ac:dyDescent="0.2">
      <c r="B1270" s="17">
        <v>44368</v>
      </c>
      <c r="C1270" s="16"/>
      <c r="D1270" s="6"/>
      <c r="F1270" s="1">
        <v>3800</v>
      </c>
      <c r="G1270" s="2">
        <f t="shared" si="19"/>
        <v>-3800</v>
      </c>
      <c r="H1270" t="s">
        <v>27</v>
      </c>
    </row>
    <row r="1271" spans="2:8" x14ac:dyDescent="0.2">
      <c r="B1271" s="17">
        <v>44368</v>
      </c>
      <c r="C1271" s="16"/>
      <c r="D1271" s="6"/>
      <c r="F1271" s="1">
        <v>3000</v>
      </c>
      <c r="G1271" s="2">
        <f t="shared" si="19"/>
        <v>-3000</v>
      </c>
      <c r="H1271" t="s">
        <v>39</v>
      </c>
    </row>
    <row r="1272" spans="2:8" x14ac:dyDescent="0.2">
      <c r="B1272" s="17">
        <v>44370</v>
      </c>
      <c r="C1272" s="16"/>
      <c r="D1272" s="6"/>
      <c r="F1272" s="1">
        <v>6000</v>
      </c>
      <c r="G1272" s="2">
        <f t="shared" si="19"/>
        <v>-6000</v>
      </c>
      <c r="H1272" t="s">
        <v>41</v>
      </c>
    </row>
    <row r="1273" spans="2:8" x14ac:dyDescent="0.2">
      <c r="B1273" s="17">
        <v>44371</v>
      </c>
      <c r="C1273" s="16"/>
      <c r="D1273" s="6"/>
      <c r="F1273" s="1">
        <v>37000</v>
      </c>
      <c r="G1273" s="2">
        <f t="shared" si="19"/>
        <v>-37000</v>
      </c>
      <c r="H1273" t="s">
        <v>30</v>
      </c>
    </row>
    <row r="1274" spans="2:8" x14ac:dyDescent="0.2">
      <c r="B1274" s="17">
        <v>44373</v>
      </c>
      <c r="C1274" s="16"/>
      <c r="D1274" s="6"/>
      <c r="F1274" s="1">
        <v>5000</v>
      </c>
      <c r="G1274" s="2">
        <f t="shared" si="19"/>
        <v>-5000</v>
      </c>
      <c r="H1274" t="s">
        <v>13</v>
      </c>
    </row>
    <row r="1275" spans="2:8" x14ac:dyDescent="0.2">
      <c r="B1275" s="17">
        <v>44373</v>
      </c>
      <c r="C1275" s="16">
        <v>735</v>
      </c>
      <c r="D1275" s="6">
        <v>19360</v>
      </c>
      <c r="E1275" s="1">
        <v>21598.75</v>
      </c>
      <c r="G1275" s="2">
        <f t="shared" si="19"/>
        <v>21598.75</v>
      </c>
      <c r="H1275" t="s">
        <v>14</v>
      </c>
    </row>
    <row r="1276" spans="2:8" x14ac:dyDescent="0.2">
      <c r="B1276" s="17">
        <v>44373</v>
      </c>
      <c r="C1276" s="16">
        <v>736</v>
      </c>
      <c r="D1276" s="6">
        <v>3200</v>
      </c>
      <c r="E1276" s="1">
        <v>3438.25</v>
      </c>
      <c r="G1276" s="2">
        <f t="shared" si="19"/>
        <v>3438.25</v>
      </c>
      <c r="H1276" t="s">
        <v>13</v>
      </c>
    </row>
    <row r="1277" spans="2:8" x14ac:dyDescent="0.2">
      <c r="B1277" s="17">
        <v>44373</v>
      </c>
      <c r="C1277" s="16">
        <v>737</v>
      </c>
      <c r="D1277" s="6">
        <v>1805</v>
      </c>
      <c r="E1277" s="1">
        <v>1880</v>
      </c>
      <c r="G1277" s="2">
        <f t="shared" si="19"/>
        <v>1880</v>
      </c>
      <c r="H1277" t="s">
        <v>40</v>
      </c>
    </row>
    <row r="1278" spans="2:8" x14ac:dyDescent="0.2">
      <c r="B1278" s="17">
        <v>44374</v>
      </c>
      <c r="C1278" s="16">
        <v>738</v>
      </c>
      <c r="D1278" s="6">
        <v>11275</v>
      </c>
      <c r="E1278" s="1">
        <v>12690</v>
      </c>
      <c r="G1278" s="2">
        <f t="shared" si="19"/>
        <v>12690</v>
      </c>
      <c r="H1278" t="s">
        <v>14</v>
      </c>
    </row>
    <row r="1279" spans="2:8" x14ac:dyDescent="0.2">
      <c r="B1279" s="17">
        <v>44374</v>
      </c>
      <c r="C1279" s="16">
        <v>739</v>
      </c>
      <c r="D1279" s="6">
        <v>893</v>
      </c>
      <c r="E1279" s="1">
        <v>992.5</v>
      </c>
      <c r="G1279" s="2">
        <f t="shared" si="19"/>
        <v>992.5</v>
      </c>
      <c r="H1279" t="s">
        <v>13</v>
      </c>
    </row>
    <row r="1280" spans="2:8" x14ac:dyDescent="0.2">
      <c r="B1280" s="17">
        <v>44374</v>
      </c>
      <c r="C1280" s="16">
        <v>740</v>
      </c>
      <c r="D1280" s="6">
        <v>695</v>
      </c>
      <c r="E1280" s="1">
        <v>725</v>
      </c>
      <c r="G1280" s="2">
        <f t="shared" si="19"/>
        <v>725</v>
      </c>
      <c r="H1280" s="2" t="s">
        <v>48</v>
      </c>
    </row>
    <row r="1281" spans="2:8" x14ac:dyDescent="0.2">
      <c r="B1281" s="17">
        <v>44374</v>
      </c>
      <c r="C1281" s="16">
        <v>741</v>
      </c>
      <c r="D1281" s="6">
        <v>675</v>
      </c>
      <c r="E1281" s="1">
        <v>725</v>
      </c>
      <c r="G1281" s="2">
        <f t="shared" si="19"/>
        <v>725</v>
      </c>
      <c r="H1281" t="s">
        <v>31</v>
      </c>
    </row>
    <row r="1282" spans="2:8" x14ac:dyDescent="0.2">
      <c r="B1282" s="17">
        <v>44375</v>
      </c>
      <c r="C1282" s="16">
        <v>742</v>
      </c>
      <c r="D1282" s="6">
        <v>1085</v>
      </c>
      <c r="E1282" s="1">
        <v>1270</v>
      </c>
      <c r="G1282" s="2">
        <f t="shared" si="19"/>
        <v>1270</v>
      </c>
      <c r="H1282" t="s">
        <v>35</v>
      </c>
    </row>
    <row r="1283" spans="2:8" x14ac:dyDescent="0.2">
      <c r="B1283" s="17">
        <v>44375</v>
      </c>
      <c r="C1283" s="16">
        <v>743</v>
      </c>
      <c r="D1283" s="6">
        <v>1385</v>
      </c>
      <c r="E1283" s="1">
        <v>1447.5</v>
      </c>
      <c r="G1283" s="2">
        <f t="shared" ref="G1283:G1346" si="20">E1283-F1283</f>
        <v>1447.5</v>
      </c>
      <c r="H1283" t="s">
        <v>40</v>
      </c>
    </row>
    <row r="1284" spans="2:8" x14ac:dyDescent="0.2">
      <c r="B1284" s="17">
        <v>44375</v>
      </c>
      <c r="C1284" s="16">
        <v>744</v>
      </c>
      <c r="D1284" s="6">
        <v>1487</v>
      </c>
      <c r="E1284" s="1">
        <v>1641.3</v>
      </c>
      <c r="G1284" s="2">
        <f t="shared" si="20"/>
        <v>1641.3</v>
      </c>
      <c r="H1284" t="s">
        <v>30</v>
      </c>
    </row>
    <row r="1285" spans="2:8" x14ac:dyDescent="0.2">
      <c r="B1285" s="17">
        <v>44376</v>
      </c>
      <c r="C1285" s="16">
        <v>745</v>
      </c>
      <c r="D1285" s="6">
        <v>6682</v>
      </c>
      <c r="E1285" s="1">
        <v>7052</v>
      </c>
      <c r="G1285" s="2">
        <f t="shared" si="20"/>
        <v>7052</v>
      </c>
      <c r="H1285" t="s">
        <v>14</v>
      </c>
    </row>
    <row r="1286" spans="2:8" x14ac:dyDescent="0.2">
      <c r="B1286" s="17">
        <v>44376</v>
      </c>
      <c r="C1286" s="16">
        <v>746</v>
      </c>
      <c r="D1286" s="6">
        <v>405</v>
      </c>
      <c r="E1286" s="1">
        <v>500</v>
      </c>
      <c r="G1286" s="2">
        <f t="shared" si="20"/>
        <v>500</v>
      </c>
      <c r="H1286" t="s">
        <v>30</v>
      </c>
    </row>
    <row r="1287" spans="2:8" x14ac:dyDescent="0.2">
      <c r="B1287" s="17">
        <v>44377</v>
      </c>
      <c r="C1287" s="16"/>
      <c r="D1287" s="6"/>
      <c r="F1287" s="1">
        <v>7000</v>
      </c>
      <c r="G1287" s="2">
        <f t="shared" si="20"/>
        <v>-7000</v>
      </c>
      <c r="H1287" t="s">
        <v>14</v>
      </c>
    </row>
    <row r="1288" spans="2:8" x14ac:dyDescent="0.2">
      <c r="B1288" s="17">
        <v>44377</v>
      </c>
      <c r="C1288" s="16"/>
      <c r="D1288" s="6"/>
      <c r="F1288" s="1">
        <v>4800</v>
      </c>
      <c r="G1288" s="2">
        <f t="shared" si="20"/>
        <v>-4800</v>
      </c>
      <c r="H1288" t="s">
        <v>14</v>
      </c>
    </row>
    <row r="1289" spans="2:8" x14ac:dyDescent="0.2">
      <c r="B1289" s="17">
        <v>44377</v>
      </c>
      <c r="C1289" s="16"/>
      <c r="D1289" s="6"/>
      <c r="F1289" s="1">
        <v>3500</v>
      </c>
      <c r="G1289" s="2">
        <f t="shared" si="20"/>
        <v>-3500</v>
      </c>
      <c r="H1289" t="s">
        <v>27</v>
      </c>
    </row>
    <row r="1290" spans="2:8" x14ac:dyDescent="0.2">
      <c r="B1290" s="17">
        <v>44377</v>
      </c>
      <c r="C1290" s="16"/>
      <c r="D1290" s="6"/>
      <c r="F1290" s="1">
        <v>5019</v>
      </c>
      <c r="G1290" s="2">
        <f t="shared" si="20"/>
        <v>-5019</v>
      </c>
      <c r="H1290" s="2" t="s">
        <v>48</v>
      </c>
    </row>
    <row r="1291" spans="2:8" x14ac:dyDescent="0.2">
      <c r="B1291" s="17">
        <v>44378</v>
      </c>
      <c r="C1291" s="16"/>
      <c r="D1291" s="6"/>
      <c r="F1291" s="1">
        <v>5000</v>
      </c>
      <c r="G1291" s="2">
        <f t="shared" si="20"/>
        <v>-5000</v>
      </c>
      <c r="H1291" t="s">
        <v>14</v>
      </c>
    </row>
    <row r="1292" spans="2:8" x14ac:dyDescent="0.2">
      <c r="B1292" s="17">
        <v>44378</v>
      </c>
      <c r="C1292" s="16">
        <v>747</v>
      </c>
      <c r="D1292" s="6">
        <v>500</v>
      </c>
      <c r="E1292" s="1">
        <v>700</v>
      </c>
      <c r="G1292" s="2">
        <f t="shared" si="20"/>
        <v>700</v>
      </c>
      <c r="H1292" t="s">
        <v>37</v>
      </c>
    </row>
    <row r="1293" spans="2:8" x14ac:dyDescent="0.2">
      <c r="B1293" s="17">
        <v>44378</v>
      </c>
      <c r="C1293" s="16">
        <v>748</v>
      </c>
      <c r="D1293" s="6">
        <v>1536</v>
      </c>
      <c r="E1293" s="1">
        <v>1600</v>
      </c>
      <c r="G1293" s="2">
        <f t="shared" si="20"/>
        <v>1600</v>
      </c>
      <c r="H1293" t="s">
        <v>14</v>
      </c>
    </row>
    <row r="1294" spans="2:8" x14ac:dyDescent="0.2">
      <c r="B1294" s="17">
        <v>44381</v>
      </c>
      <c r="C1294" s="16">
        <v>749</v>
      </c>
      <c r="D1294" s="6">
        <v>2825</v>
      </c>
      <c r="E1294" s="1">
        <v>3400</v>
      </c>
      <c r="G1294" s="2">
        <f t="shared" si="20"/>
        <v>3400</v>
      </c>
      <c r="H1294" t="s">
        <v>14</v>
      </c>
    </row>
    <row r="1295" spans="2:8" x14ac:dyDescent="0.2">
      <c r="B1295" s="17">
        <v>44382</v>
      </c>
      <c r="C1295" s="16">
        <v>750</v>
      </c>
      <c r="D1295" s="6">
        <v>3882.5</v>
      </c>
      <c r="E1295" s="1">
        <v>4150</v>
      </c>
      <c r="G1295" s="2">
        <f t="shared" si="20"/>
        <v>4150</v>
      </c>
      <c r="H1295" t="s">
        <v>13</v>
      </c>
    </row>
    <row r="1296" spans="2:8" x14ac:dyDescent="0.2">
      <c r="B1296" s="17">
        <v>44382</v>
      </c>
      <c r="C1296" s="16">
        <v>751</v>
      </c>
      <c r="D1296" s="6">
        <v>1724</v>
      </c>
      <c r="E1296" s="1">
        <v>1995</v>
      </c>
      <c r="G1296" s="2">
        <f t="shared" si="20"/>
        <v>1995</v>
      </c>
      <c r="H1296" t="s">
        <v>35</v>
      </c>
    </row>
    <row r="1297" spans="2:8" x14ac:dyDescent="0.2">
      <c r="B1297" s="17">
        <v>44382</v>
      </c>
      <c r="C1297" s="16">
        <v>752</v>
      </c>
      <c r="D1297" s="6">
        <v>335</v>
      </c>
      <c r="E1297" s="1">
        <v>360</v>
      </c>
      <c r="G1297" s="2">
        <f t="shared" si="20"/>
        <v>360</v>
      </c>
      <c r="H1297" t="s">
        <v>14</v>
      </c>
    </row>
    <row r="1298" spans="2:8" x14ac:dyDescent="0.2">
      <c r="B1298" s="17">
        <v>44382</v>
      </c>
      <c r="C1298" s="16">
        <v>753</v>
      </c>
      <c r="D1298" s="6">
        <v>1400</v>
      </c>
      <c r="E1298" s="1">
        <v>1500</v>
      </c>
      <c r="G1298" s="2">
        <f t="shared" si="20"/>
        <v>1500</v>
      </c>
      <c r="H1298" t="s">
        <v>31</v>
      </c>
    </row>
    <row r="1299" spans="2:8" x14ac:dyDescent="0.2">
      <c r="B1299" s="17">
        <v>44384</v>
      </c>
      <c r="C1299" s="16"/>
      <c r="D1299" s="6"/>
      <c r="F1299" s="1">
        <v>5000</v>
      </c>
      <c r="G1299" s="2">
        <f t="shared" si="20"/>
        <v>-5000</v>
      </c>
      <c r="H1299" t="s">
        <v>14</v>
      </c>
    </row>
    <row r="1300" spans="2:8" x14ac:dyDescent="0.2">
      <c r="B1300" s="17">
        <v>44384</v>
      </c>
      <c r="C1300" s="16"/>
      <c r="D1300" s="6"/>
      <c r="F1300" s="1">
        <v>1600</v>
      </c>
      <c r="G1300" s="2">
        <f t="shared" si="20"/>
        <v>-1600</v>
      </c>
      <c r="H1300" t="s">
        <v>32</v>
      </c>
    </row>
    <row r="1301" spans="2:8" x14ac:dyDescent="0.2">
      <c r="B1301" s="17">
        <v>44384</v>
      </c>
      <c r="C1301" s="16"/>
      <c r="D1301" s="6"/>
      <c r="F1301" s="1">
        <v>3500</v>
      </c>
      <c r="G1301" s="2">
        <f t="shared" si="20"/>
        <v>-3500</v>
      </c>
      <c r="H1301" t="s">
        <v>27</v>
      </c>
    </row>
    <row r="1302" spans="2:8" x14ac:dyDescent="0.2">
      <c r="B1302" s="17">
        <v>44384</v>
      </c>
      <c r="C1302" s="16"/>
      <c r="D1302" s="6"/>
      <c r="F1302" s="1">
        <v>3400</v>
      </c>
      <c r="G1302" s="2">
        <f t="shared" si="20"/>
        <v>-3400</v>
      </c>
      <c r="H1302" t="s">
        <v>14</v>
      </c>
    </row>
    <row r="1303" spans="2:8" x14ac:dyDescent="0.2">
      <c r="B1303" s="17">
        <v>44384</v>
      </c>
      <c r="C1303" s="16"/>
      <c r="D1303" s="6"/>
      <c r="F1303" s="1">
        <v>5000</v>
      </c>
      <c r="G1303" s="2">
        <f t="shared" si="20"/>
        <v>-5000</v>
      </c>
      <c r="H1303" t="s">
        <v>35</v>
      </c>
    </row>
    <row r="1304" spans="2:8" x14ac:dyDescent="0.2">
      <c r="B1304" s="17">
        <v>44385</v>
      </c>
      <c r="C1304" s="16">
        <v>754</v>
      </c>
      <c r="D1304" s="6">
        <v>12673.72</v>
      </c>
      <c r="E1304" s="1">
        <v>13648</v>
      </c>
      <c r="G1304" s="2">
        <f t="shared" si="20"/>
        <v>13648</v>
      </c>
      <c r="H1304" t="s">
        <v>30</v>
      </c>
    </row>
    <row r="1305" spans="2:8" x14ac:dyDescent="0.2">
      <c r="B1305" s="17">
        <v>44385</v>
      </c>
      <c r="C1305" s="16">
        <v>755</v>
      </c>
      <c r="D1305" s="6">
        <v>500</v>
      </c>
      <c r="E1305" s="1">
        <v>700</v>
      </c>
      <c r="G1305" s="2">
        <f t="shared" si="20"/>
        <v>700</v>
      </c>
      <c r="H1305" t="s">
        <v>37</v>
      </c>
    </row>
    <row r="1306" spans="2:8" x14ac:dyDescent="0.2">
      <c r="B1306" s="17">
        <v>44385</v>
      </c>
      <c r="C1306" s="16">
        <v>756</v>
      </c>
      <c r="D1306" s="6">
        <v>5630</v>
      </c>
      <c r="E1306" s="1">
        <v>6220</v>
      </c>
      <c r="G1306" s="2">
        <f t="shared" si="20"/>
        <v>6220</v>
      </c>
      <c r="H1306" t="s">
        <v>14</v>
      </c>
    </row>
    <row r="1307" spans="2:8" x14ac:dyDescent="0.2">
      <c r="B1307" s="17">
        <v>44387</v>
      </c>
      <c r="C1307" s="16"/>
      <c r="D1307" s="6"/>
      <c r="F1307" s="1">
        <v>2000</v>
      </c>
      <c r="G1307" s="2">
        <f t="shared" si="20"/>
        <v>-2000</v>
      </c>
      <c r="H1307" t="s">
        <v>37</v>
      </c>
    </row>
    <row r="1308" spans="2:8" x14ac:dyDescent="0.2">
      <c r="B1308" s="17">
        <v>44387</v>
      </c>
      <c r="C1308" s="16"/>
      <c r="D1308" s="6"/>
      <c r="F1308" s="1">
        <v>3000</v>
      </c>
      <c r="G1308" s="2">
        <f t="shared" si="20"/>
        <v>-3000</v>
      </c>
      <c r="H1308" t="s">
        <v>13</v>
      </c>
    </row>
    <row r="1309" spans="2:8" x14ac:dyDescent="0.2">
      <c r="B1309" s="17">
        <v>44388</v>
      </c>
      <c r="C1309" s="16">
        <v>757</v>
      </c>
      <c r="D1309" s="6">
        <v>8111</v>
      </c>
      <c r="E1309" s="1">
        <v>8749.5</v>
      </c>
      <c r="G1309" s="2">
        <f t="shared" si="20"/>
        <v>8749.5</v>
      </c>
      <c r="H1309" t="s">
        <v>27</v>
      </c>
    </row>
    <row r="1310" spans="2:8" x14ac:dyDescent="0.2">
      <c r="B1310" s="17">
        <v>44388</v>
      </c>
      <c r="C1310" s="16">
        <v>758</v>
      </c>
      <c r="D1310" s="6">
        <v>2602.5</v>
      </c>
      <c r="E1310" s="1">
        <v>2830</v>
      </c>
      <c r="G1310" s="2">
        <f t="shared" si="20"/>
        <v>2830</v>
      </c>
      <c r="H1310" t="s">
        <v>35</v>
      </c>
    </row>
    <row r="1311" spans="2:8" x14ac:dyDescent="0.2">
      <c r="B1311" s="17">
        <v>44389</v>
      </c>
      <c r="C1311" s="16"/>
      <c r="D1311" s="6"/>
      <c r="F1311" s="1">
        <v>7000</v>
      </c>
      <c r="G1311" s="2">
        <f t="shared" si="20"/>
        <v>-7000</v>
      </c>
      <c r="H1311" t="s">
        <v>14</v>
      </c>
    </row>
    <row r="1312" spans="2:8" x14ac:dyDescent="0.2">
      <c r="B1312" s="17">
        <v>44389</v>
      </c>
      <c r="C1312" s="16"/>
      <c r="D1312" s="6"/>
      <c r="F1312" s="1">
        <v>3500</v>
      </c>
      <c r="G1312" s="2">
        <f t="shared" si="20"/>
        <v>-3500</v>
      </c>
      <c r="H1312" t="s">
        <v>27</v>
      </c>
    </row>
    <row r="1313" spans="2:8" x14ac:dyDescent="0.2">
      <c r="B1313" s="17">
        <v>44390</v>
      </c>
      <c r="C1313" s="16"/>
      <c r="D1313" s="6"/>
      <c r="F1313" s="1">
        <v>1880</v>
      </c>
      <c r="G1313" s="2">
        <f t="shared" si="20"/>
        <v>-1880</v>
      </c>
      <c r="H1313" t="s">
        <v>40</v>
      </c>
    </row>
    <row r="1314" spans="2:8" x14ac:dyDescent="0.2">
      <c r="B1314" s="17">
        <v>44390</v>
      </c>
      <c r="C1314" s="16"/>
      <c r="D1314" s="6"/>
      <c r="F1314" s="1">
        <v>1200</v>
      </c>
      <c r="G1314" s="2">
        <f t="shared" si="20"/>
        <v>-1200</v>
      </c>
      <c r="H1314" t="s">
        <v>32</v>
      </c>
    </row>
    <row r="1315" spans="2:8" x14ac:dyDescent="0.2">
      <c r="B1315" s="17">
        <v>44390</v>
      </c>
      <c r="C1315" s="16"/>
      <c r="D1315" s="6">
        <v>1100</v>
      </c>
      <c r="E1315" s="1">
        <v>1200</v>
      </c>
      <c r="G1315" s="2">
        <f t="shared" si="20"/>
        <v>1200</v>
      </c>
      <c r="H1315" t="s">
        <v>32</v>
      </c>
    </row>
    <row r="1316" spans="2:8" x14ac:dyDescent="0.2">
      <c r="B1316" s="17">
        <v>44390</v>
      </c>
      <c r="C1316" s="16">
        <v>759</v>
      </c>
      <c r="D1316" s="6">
        <v>1792.5</v>
      </c>
      <c r="E1316" s="1">
        <v>1930</v>
      </c>
      <c r="G1316" s="2">
        <f t="shared" si="20"/>
        <v>1930</v>
      </c>
      <c r="H1316" t="s">
        <v>13</v>
      </c>
    </row>
    <row r="1317" spans="2:8" x14ac:dyDescent="0.2">
      <c r="B1317" s="17">
        <v>44391</v>
      </c>
      <c r="C1317" s="16"/>
      <c r="D1317" s="6"/>
      <c r="F1317" s="1">
        <v>5000</v>
      </c>
      <c r="G1317" s="2">
        <f t="shared" si="20"/>
        <v>-5000</v>
      </c>
      <c r="H1317" t="s">
        <v>14</v>
      </c>
    </row>
    <row r="1318" spans="2:8" x14ac:dyDescent="0.2">
      <c r="B1318" s="17">
        <v>44391</v>
      </c>
      <c r="C1318" s="16"/>
      <c r="D1318" s="6"/>
      <c r="F1318" s="1">
        <v>5000</v>
      </c>
      <c r="G1318" s="2">
        <f t="shared" si="20"/>
        <v>-5000</v>
      </c>
      <c r="H1318" t="s">
        <v>42</v>
      </c>
    </row>
    <row r="1319" spans="2:8" x14ac:dyDescent="0.2">
      <c r="B1319" s="17">
        <v>44391</v>
      </c>
      <c r="C1319" s="16">
        <v>760</v>
      </c>
      <c r="D1319" s="6">
        <v>862.5</v>
      </c>
      <c r="E1319" s="1">
        <v>1006.25</v>
      </c>
      <c r="G1319" s="2">
        <f t="shared" si="20"/>
        <v>1006.25</v>
      </c>
      <c r="H1319" t="s">
        <v>40</v>
      </c>
    </row>
    <row r="1320" spans="2:8" x14ac:dyDescent="0.2">
      <c r="B1320" s="17">
        <v>44391</v>
      </c>
      <c r="C1320" s="16">
        <v>761</v>
      </c>
      <c r="D1320" s="6">
        <v>1180</v>
      </c>
      <c r="E1320" s="1">
        <v>1500</v>
      </c>
      <c r="G1320" s="2">
        <f t="shared" si="20"/>
        <v>1500</v>
      </c>
      <c r="H1320" t="s">
        <v>37</v>
      </c>
    </row>
    <row r="1321" spans="2:8" x14ac:dyDescent="0.2">
      <c r="B1321" s="17">
        <v>44391</v>
      </c>
      <c r="C1321" s="16">
        <v>762</v>
      </c>
      <c r="D1321" s="6">
        <v>1020</v>
      </c>
      <c r="E1321" s="1">
        <v>1200</v>
      </c>
      <c r="G1321" s="2">
        <f t="shared" si="20"/>
        <v>1200</v>
      </c>
      <c r="H1321" t="s">
        <v>40</v>
      </c>
    </row>
    <row r="1322" spans="2:8" x14ac:dyDescent="0.2">
      <c r="B1322" s="17">
        <v>44391</v>
      </c>
      <c r="C1322" s="16">
        <v>763</v>
      </c>
      <c r="D1322" s="6">
        <v>2976</v>
      </c>
      <c r="E1322" s="1">
        <v>3600</v>
      </c>
      <c r="G1322" s="2">
        <f t="shared" si="20"/>
        <v>3600</v>
      </c>
      <c r="H1322" t="s">
        <v>14</v>
      </c>
    </row>
    <row r="1323" spans="2:8" x14ac:dyDescent="0.2">
      <c r="B1323" s="17">
        <v>44391</v>
      </c>
      <c r="C1323" s="16">
        <v>764</v>
      </c>
      <c r="D1323" s="6">
        <v>1977.5</v>
      </c>
      <c r="E1323" s="1">
        <v>2320</v>
      </c>
      <c r="G1323" s="2">
        <f t="shared" si="20"/>
        <v>2320</v>
      </c>
      <c r="H1323" t="s">
        <v>31</v>
      </c>
    </row>
    <row r="1324" spans="2:8" x14ac:dyDescent="0.2">
      <c r="B1324" s="17">
        <v>44394</v>
      </c>
      <c r="C1324" s="16">
        <v>765</v>
      </c>
      <c r="D1324" s="6">
        <v>1400</v>
      </c>
      <c r="E1324" s="1">
        <v>1450</v>
      </c>
      <c r="G1324" s="2">
        <f t="shared" si="20"/>
        <v>1450</v>
      </c>
      <c r="H1324" s="2" t="s">
        <v>48</v>
      </c>
    </row>
    <row r="1325" spans="2:8" x14ac:dyDescent="0.2">
      <c r="B1325" s="17">
        <v>44394</v>
      </c>
      <c r="C1325" s="16">
        <v>766</v>
      </c>
      <c r="D1325" s="6">
        <v>823.5</v>
      </c>
      <c r="E1325" s="1">
        <v>1045</v>
      </c>
      <c r="G1325" s="2">
        <f t="shared" si="20"/>
        <v>1045</v>
      </c>
      <c r="H1325" t="s">
        <v>35</v>
      </c>
    </row>
    <row r="1326" spans="2:8" x14ac:dyDescent="0.2">
      <c r="B1326" s="17">
        <v>44394</v>
      </c>
      <c r="C1326" s="16">
        <v>767</v>
      </c>
      <c r="D1326" s="6">
        <v>3150</v>
      </c>
      <c r="E1326" s="1">
        <v>3390</v>
      </c>
      <c r="G1326" s="2">
        <f t="shared" si="20"/>
        <v>3390</v>
      </c>
      <c r="H1326" t="s">
        <v>14</v>
      </c>
    </row>
    <row r="1327" spans="2:8" x14ac:dyDescent="0.2">
      <c r="B1327" s="17">
        <v>44394</v>
      </c>
      <c r="C1327" s="16"/>
      <c r="D1327" s="6"/>
      <c r="F1327" s="1">
        <v>10000</v>
      </c>
      <c r="G1327" s="2">
        <f t="shared" si="20"/>
        <v>-10000</v>
      </c>
      <c r="H1327" t="s">
        <v>14</v>
      </c>
    </row>
    <row r="1328" spans="2:8" x14ac:dyDescent="0.2">
      <c r="B1328" s="17">
        <v>44394</v>
      </c>
      <c r="C1328" s="16"/>
      <c r="D1328" s="6"/>
      <c r="F1328" s="1">
        <v>5000</v>
      </c>
      <c r="G1328" s="2">
        <f t="shared" si="20"/>
        <v>-5000</v>
      </c>
      <c r="H1328" t="s">
        <v>13</v>
      </c>
    </row>
    <row r="1329" spans="2:8" x14ac:dyDescent="0.2">
      <c r="B1329" s="17">
        <v>44394</v>
      </c>
      <c r="C1329" s="16">
        <v>768</v>
      </c>
      <c r="D1329" s="6">
        <v>10636</v>
      </c>
      <c r="E1329" s="1">
        <v>11439</v>
      </c>
      <c r="G1329" s="2">
        <f t="shared" si="20"/>
        <v>11439</v>
      </c>
      <c r="H1329" t="s">
        <v>30</v>
      </c>
    </row>
    <row r="1330" spans="2:8" x14ac:dyDescent="0.2">
      <c r="B1330" s="17">
        <v>44395</v>
      </c>
      <c r="C1330" s="16">
        <v>769</v>
      </c>
      <c r="D1330" s="6">
        <v>3243.5</v>
      </c>
      <c r="E1330" s="1">
        <v>3613</v>
      </c>
      <c r="G1330" s="2">
        <f t="shared" si="20"/>
        <v>3613</v>
      </c>
      <c r="H1330" t="s">
        <v>13</v>
      </c>
    </row>
    <row r="1331" spans="2:8" x14ac:dyDescent="0.2">
      <c r="B1331" s="17">
        <v>44395</v>
      </c>
      <c r="C1331" s="16">
        <v>770</v>
      </c>
      <c r="D1331" s="6">
        <v>6578</v>
      </c>
      <c r="E1331" s="1">
        <v>6984</v>
      </c>
      <c r="G1331" s="2">
        <f t="shared" si="20"/>
        <v>6984</v>
      </c>
      <c r="H1331" t="s">
        <v>27</v>
      </c>
    </row>
    <row r="1332" spans="2:8" x14ac:dyDescent="0.2">
      <c r="B1332" s="17">
        <v>44402</v>
      </c>
      <c r="C1332" s="16">
        <v>771</v>
      </c>
      <c r="D1332" s="6">
        <v>1225</v>
      </c>
      <c r="E1332" s="1">
        <v>1525</v>
      </c>
      <c r="G1332" s="2">
        <f t="shared" si="20"/>
        <v>1525</v>
      </c>
      <c r="H1332" t="s">
        <v>37</v>
      </c>
    </row>
    <row r="1333" spans="2:8" x14ac:dyDescent="0.2">
      <c r="B1333" s="17">
        <v>44402</v>
      </c>
      <c r="C1333" s="16"/>
      <c r="D1333" s="6"/>
      <c r="F1333" s="1">
        <v>5000</v>
      </c>
      <c r="G1333" s="2">
        <f t="shared" si="20"/>
        <v>-5000</v>
      </c>
      <c r="H1333" t="s">
        <v>35</v>
      </c>
    </row>
    <row r="1334" spans="2:8" x14ac:dyDescent="0.2">
      <c r="B1334" s="17">
        <v>44402</v>
      </c>
      <c r="C1334" s="16"/>
      <c r="D1334" s="6"/>
      <c r="F1334" s="1">
        <v>35347</v>
      </c>
      <c r="G1334" s="2">
        <f t="shared" si="20"/>
        <v>-35347</v>
      </c>
      <c r="H1334" t="s">
        <v>30</v>
      </c>
    </row>
    <row r="1335" spans="2:8" x14ac:dyDescent="0.2">
      <c r="B1335" s="17">
        <v>44402</v>
      </c>
      <c r="C1335" s="16"/>
      <c r="D1335" s="6"/>
      <c r="F1335" s="1">
        <v>5000</v>
      </c>
      <c r="G1335" s="2">
        <f t="shared" si="20"/>
        <v>-5000</v>
      </c>
      <c r="H1335" t="s">
        <v>27</v>
      </c>
    </row>
    <row r="1336" spans="2:8" x14ac:dyDescent="0.2">
      <c r="B1336" s="17">
        <v>44402</v>
      </c>
      <c r="C1336" s="16"/>
      <c r="D1336" s="6"/>
      <c r="F1336" s="1">
        <v>5000</v>
      </c>
      <c r="G1336" s="2">
        <f t="shared" si="20"/>
        <v>-5000</v>
      </c>
      <c r="H1336" t="s">
        <v>13</v>
      </c>
    </row>
    <row r="1337" spans="2:8" x14ac:dyDescent="0.2">
      <c r="B1337" s="17">
        <v>44402</v>
      </c>
      <c r="C1337" s="16">
        <v>772</v>
      </c>
      <c r="D1337" s="6">
        <v>1961</v>
      </c>
      <c r="E1337" s="1">
        <v>2165</v>
      </c>
      <c r="G1337" s="2">
        <f t="shared" si="20"/>
        <v>2165</v>
      </c>
      <c r="H1337" t="s">
        <v>35</v>
      </c>
    </row>
    <row r="1338" spans="2:8" x14ac:dyDescent="0.2">
      <c r="B1338" s="17">
        <v>44404</v>
      </c>
      <c r="C1338" s="16"/>
      <c r="D1338" s="6"/>
      <c r="F1338" s="1">
        <v>7000</v>
      </c>
      <c r="G1338" s="2">
        <f t="shared" si="20"/>
        <v>-7000</v>
      </c>
      <c r="H1338" t="s">
        <v>14</v>
      </c>
    </row>
    <row r="1339" spans="2:8" x14ac:dyDescent="0.2">
      <c r="B1339" s="17">
        <v>44405</v>
      </c>
      <c r="C1339" s="16">
        <v>773</v>
      </c>
      <c r="D1339" s="6">
        <v>8796.25</v>
      </c>
      <c r="E1339" s="1">
        <v>9770</v>
      </c>
      <c r="G1339" s="2">
        <f t="shared" si="20"/>
        <v>9770</v>
      </c>
      <c r="H1339" t="s">
        <v>30</v>
      </c>
    </row>
    <row r="1340" spans="2:8" x14ac:dyDescent="0.2">
      <c r="B1340" s="17">
        <v>44405</v>
      </c>
      <c r="C1340" s="16">
        <v>774</v>
      </c>
      <c r="D1340" s="6">
        <v>858</v>
      </c>
      <c r="E1340" s="1">
        <v>1032.5</v>
      </c>
      <c r="G1340" s="2">
        <f t="shared" si="20"/>
        <v>1032.5</v>
      </c>
      <c r="H1340" t="s">
        <v>35</v>
      </c>
    </row>
    <row r="1341" spans="2:8" x14ac:dyDescent="0.2">
      <c r="B1341" s="17">
        <v>44405</v>
      </c>
      <c r="C1341" s="16">
        <v>775</v>
      </c>
      <c r="D1341" s="6">
        <v>2430</v>
      </c>
      <c r="E1341" s="1">
        <v>2660</v>
      </c>
      <c r="G1341" s="2">
        <f t="shared" si="20"/>
        <v>2660</v>
      </c>
      <c r="H1341" t="s">
        <v>14</v>
      </c>
    </row>
    <row r="1342" spans="2:8" x14ac:dyDescent="0.2">
      <c r="B1342" s="17">
        <v>44405</v>
      </c>
      <c r="C1342" s="16">
        <v>776</v>
      </c>
      <c r="D1342" s="6">
        <v>1925</v>
      </c>
      <c r="E1342" s="1">
        <v>2130</v>
      </c>
      <c r="G1342" s="2">
        <f t="shared" si="20"/>
        <v>2130</v>
      </c>
      <c r="H1342" t="s">
        <v>13</v>
      </c>
    </row>
    <row r="1343" spans="2:8" x14ac:dyDescent="0.2">
      <c r="B1343" s="17">
        <v>44408</v>
      </c>
      <c r="C1343" s="16">
        <v>777</v>
      </c>
      <c r="D1343" s="6">
        <v>19905</v>
      </c>
      <c r="E1343" s="1">
        <v>21335</v>
      </c>
      <c r="G1343" s="2">
        <f t="shared" si="20"/>
        <v>21335</v>
      </c>
      <c r="H1343" t="s">
        <v>38</v>
      </c>
    </row>
    <row r="1344" spans="2:8" x14ac:dyDescent="0.2">
      <c r="B1344" s="17">
        <v>44408</v>
      </c>
      <c r="C1344" s="16">
        <v>778</v>
      </c>
      <c r="D1344" s="6">
        <v>4625</v>
      </c>
      <c r="E1344" s="1">
        <v>5035</v>
      </c>
      <c r="G1344" s="2">
        <f t="shared" si="20"/>
        <v>5035</v>
      </c>
      <c r="H1344" t="s">
        <v>14</v>
      </c>
    </row>
    <row r="1345" spans="2:8" x14ac:dyDescent="0.2">
      <c r="B1345" s="17">
        <v>44408</v>
      </c>
      <c r="C1345" s="16">
        <v>779</v>
      </c>
      <c r="D1345" s="6">
        <v>2929.3</v>
      </c>
      <c r="E1345" s="1">
        <v>3021.2</v>
      </c>
      <c r="G1345" s="2">
        <f t="shared" si="20"/>
        <v>3021.2</v>
      </c>
      <c r="H1345" s="2" t="s">
        <v>48</v>
      </c>
    </row>
    <row r="1346" spans="2:8" x14ac:dyDescent="0.2">
      <c r="B1346" s="17">
        <v>44408</v>
      </c>
      <c r="C1346" s="16"/>
      <c r="D1346" s="6"/>
      <c r="F1346" s="1">
        <v>430</v>
      </c>
      <c r="G1346" s="2">
        <f t="shared" si="20"/>
        <v>-430</v>
      </c>
      <c r="H1346" s="2" t="s">
        <v>48</v>
      </c>
    </row>
    <row r="1347" spans="2:8" x14ac:dyDescent="0.2">
      <c r="B1347" s="17">
        <v>44410</v>
      </c>
      <c r="C1347" s="16">
        <v>780</v>
      </c>
      <c r="D1347" s="6">
        <v>1700</v>
      </c>
      <c r="E1347" s="1">
        <v>1800</v>
      </c>
      <c r="G1347" s="2">
        <f t="shared" ref="G1347:G1410" si="21">E1347-F1347</f>
        <v>1800</v>
      </c>
      <c r="H1347" t="s">
        <v>39</v>
      </c>
    </row>
    <row r="1348" spans="2:8" x14ac:dyDescent="0.2">
      <c r="B1348" s="17">
        <v>44410</v>
      </c>
      <c r="C1348" s="16"/>
      <c r="D1348" s="6"/>
      <c r="F1348" s="1">
        <v>10000</v>
      </c>
      <c r="G1348" s="2">
        <f t="shared" si="21"/>
        <v>-10000</v>
      </c>
      <c r="H1348" t="s">
        <v>14</v>
      </c>
    </row>
    <row r="1349" spans="2:8" x14ac:dyDescent="0.2">
      <c r="B1349" s="17">
        <v>44410</v>
      </c>
      <c r="C1349" s="16">
        <v>781</v>
      </c>
      <c r="D1349" s="6">
        <v>570</v>
      </c>
      <c r="E1349" s="1">
        <v>625</v>
      </c>
      <c r="G1349" s="2">
        <f t="shared" si="21"/>
        <v>625</v>
      </c>
      <c r="H1349" t="s">
        <v>14</v>
      </c>
    </row>
    <row r="1350" spans="2:8" x14ac:dyDescent="0.2">
      <c r="B1350" s="17">
        <v>44411</v>
      </c>
      <c r="C1350" s="16">
        <v>782</v>
      </c>
      <c r="D1350" s="6">
        <v>2887.5</v>
      </c>
      <c r="E1350" s="1">
        <v>3150</v>
      </c>
      <c r="G1350" s="2">
        <f t="shared" si="21"/>
        <v>3150</v>
      </c>
      <c r="H1350" t="s">
        <v>27</v>
      </c>
    </row>
    <row r="1351" spans="2:8" x14ac:dyDescent="0.2">
      <c r="B1351" s="17">
        <v>44411</v>
      </c>
      <c r="C1351" s="16">
        <v>783</v>
      </c>
      <c r="D1351" s="6">
        <v>6957</v>
      </c>
      <c r="E1351" s="1">
        <v>7755</v>
      </c>
      <c r="G1351" s="2">
        <f t="shared" si="21"/>
        <v>7755</v>
      </c>
      <c r="H1351" t="s">
        <v>30</v>
      </c>
    </row>
    <row r="1352" spans="2:8" x14ac:dyDescent="0.2">
      <c r="B1352" s="17">
        <v>44412</v>
      </c>
      <c r="C1352" s="16">
        <v>784</v>
      </c>
      <c r="D1352" s="6">
        <v>2218.75</v>
      </c>
      <c r="E1352" s="1">
        <v>2537.5</v>
      </c>
      <c r="G1352" s="2">
        <f t="shared" si="21"/>
        <v>2537.5</v>
      </c>
      <c r="H1352" t="s">
        <v>35</v>
      </c>
    </row>
    <row r="1353" spans="2:8" x14ac:dyDescent="0.2">
      <c r="B1353" s="17">
        <v>44412</v>
      </c>
      <c r="C1353" s="16">
        <v>785</v>
      </c>
      <c r="D1353" s="6">
        <v>5180</v>
      </c>
      <c r="E1353" s="1">
        <v>5550</v>
      </c>
      <c r="G1353" s="2">
        <f t="shared" si="21"/>
        <v>5550</v>
      </c>
      <c r="H1353" t="s">
        <v>14</v>
      </c>
    </row>
    <row r="1354" spans="2:8" x14ac:dyDescent="0.2">
      <c r="B1354" s="17">
        <v>44412</v>
      </c>
      <c r="C1354" s="16">
        <v>786</v>
      </c>
      <c r="D1354" s="6">
        <v>500</v>
      </c>
      <c r="E1354" s="1">
        <v>700</v>
      </c>
      <c r="G1354" s="2">
        <f t="shared" si="21"/>
        <v>700</v>
      </c>
      <c r="H1354" t="s">
        <v>37</v>
      </c>
    </row>
    <row r="1355" spans="2:8" x14ac:dyDescent="0.2">
      <c r="B1355" s="17">
        <v>44412</v>
      </c>
      <c r="C1355" s="16"/>
      <c r="D1355" s="6"/>
      <c r="F1355" s="1">
        <v>13000</v>
      </c>
      <c r="G1355" s="2">
        <f t="shared" si="21"/>
        <v>-13000</v>
      </c>
      <c r="H1355" t="s">
        <v>13</v>
      </c>
    </row>
    <row r="1356" spans="2:8" x14ac:dyDescent="0.2">
      <c r="B1356" s="17">
        <v>44412</v>
      </c>
      <c r="C1356" s="16">
        <v>787</v>
      </c>
      <c r="D1356" s="6">
        <v>16905</v>
      </c>
      <c r="E1356" s="1">
        <v>17777.5</v>
      </c>
      <c r="G1356" s="2">
        <f t="shared" si="21"/>
        <v>17777.5</v>
      </c>
      <c r="H1356" t="s">
        <v>13</v>
      </c>
    </row>
    <row r="1357" spans="2:8" x14ac:dyDescent="0.2">
      <c r="B1357" s="17">
        <v>44413</v>
      </c>
      <c r="C1357" s="16"/>
      <c r="D1357" s="6"/>
      <c r="F1357" s="1">
        <v>4000</v>
      </c>
      <c r="G1357" s="2">
        <f t="shared" si="21"/>
        <v>-4000</v>
      </c>
      <c r="H1357" t="s">
        <v>37</v>
      </c>
    </row>
    <row r="1358" spans="2:8" x14ac:dyDescent="0.2">
      <c r="B1358" s="17">
        <v>44413</v>
      </c>
      <c r="C1358" s="16"/>
      <c r="D1358" s="6"/>
      <c r="F1358" s="1">
        <v>4777.5</v>
      </c>
      <c r="G1358" s="2">
        <f t="shared" si="21"/>
        <v>-4777.5</v>
      </c>
      <c r="H1358" t="s">
        <v>13</v>
      </c>
    </row>
    <row r="1359" spans="2:8" x14ac:dyDescent="0.2">
      <c r="B1359" s="17">
        <v>44416</v>
      </c>
      <c r="C1359" s="16">
        <v>788</v>
      </c>
      <c r="D1359" s="6">
        <v>630</v>
      </c>
      <c r="E1359" s="1">
        <v>705</v>
      </c>
      <c r="G1359" s="2">
        <f t="shared" si="21"/>
        <v>705</v>
      </c>
      <c r="H1359" t="s">
        <v>13</v>
      </c>
    </row>
    <row r="1360" spans="2:8" x14ac:dyDescent="0.2">
      <c r="B1360" s="17">
        <v>44417</v>
      </c>
      <c r="C1360" s="16">
        <v>789</v>
      </c>
      <c r="D1360" s="6">
        <v>1172.5</v>
      </c>
      <c r="E1360" s="1">
        <v>1460</v>
      </c>
      <c r="G1360" s="2">
        <f t="shared" si="21"/>
        <v>1460</v>
      </c>
      <c r="H1360" t="s">
        <v>35</v>
      </c>
    </row>
    <row r="1361" spans="2:8" x14ac:dyDescent="0.2">
      <c r="B1361" s="17">
        <v>44417</v>
      </c>
      <c r="C1361" s="16">
        <v>790</v>
      </c>
      <c r="D1361" s="6">
        <v>1750</v>
      </c>
      <c r="E1361" s="1">
        <v>1900</v>
      </c>
      <c r="G1361" s="2">
        <f t="shared" si="21"/>
        <v>1900</v>
      </c>
      <c r="H1361" t="s">
        <v>14</v>
      </c>
    </row>
    <row r="1362" spans="2:8" x14ac:dyDescent="0.2">
      <c r="B1362" s="17">
        <v>44418</v>
      </c>
      <c r="C1362" s="16"/>
      <c r="D1362" s="6"/>
      <c r="F1362" s="1">
        <v>10000</v>
      </c>
      <c r="G1362" s="2">
        <f t="shared" si="21"/>
        <v>-10000</v>
      </c>
      <c r="H1362" t="s">
        <v>14</v>
      </c>
    </row>
    <row r="1363" spans="2:8" x14ac:dyDescent="0.2">
      <c r="B1363" s="17">
        <v>44418</v>
      </c>
      <c r="C1363" s="16"/>
      <c r="D1363" s="6"/>
      <c r="F1363" s="1">
        <v>6000</v>
      </c>
      <c r="G1363" s="2">
        <f t="shared" si="21"/>
        <v>-6000</v>
      </c>
      <c r="H1363" t="s">
        <v>27</v>
      </c>
    </row>
    <row r="1364" spans="2:8" x14ac:dyDescent="0.2">
      <c r="B1364" s="17">
        <v>44418</v>
      </c>
      <c r="C1364" s="16">
        <v>791</v>
      </c>
      <c r="D1364" s="6">
        <v>117.30000000000001</v>
      </c>
      <c r="E1364" s="1">
        <v>124</v>
      </c>
      <c r="G1364" s="2">
        <f t="shared" si="21"/>
        <v>124</v>
      </c>
      <c r="H1364" t="s">
        <v>14</v>
      </c>
    </row>
    <row r="1365" spans="2:8" x14ac:dyDescent="0.2">
      <c r="B1365" s="17">
        <v>44420</v>
      </c>
      <c r="C1365" s="16">
        <v>792</v>
      </c>
      <c r="D1365" s="6">
        <v>2377.0700000000002</v>
      </c>
      <c r="E1365" s="1">
        <v>2517.5</v>
      </c>
      <c r="G1365" s="2">
        <f t="shared" si="21"/>
        <v>2517.5</v>
      </c>
      <c r="H1365" t="s">
        <v>13</v>
      </c>
    </row>
    <row r="1366" spans="2:8" x14ac:dyDescent="0.2">
      <c r="B1366" s="17">
        <v>44422</v>
      </c>
      <c r="C1366" s="16"/>
      <c r="D1366" s="6"/>
      <c r="F1366" s="1">
        <v>10000</v>
      </c>
      <c r="G1366" s="2">
        <f t="shared" si="21"/>
        <v>-10000</v>
      </c>
      <c r="H1366" t="s">
        <v>38</v>
      </c>
    </row>
    <row r="1367" spans="2:8" x14ac:dyDescent="0.2">
      <c r="B1367" s="17">
        <v>44422</v>
      </c>
      <c r="C1367" s="16">
        <v>793</v>
      </c>
      <c r="D1367" s="6">
        <v>27041.410000000003</v>
      </c>
      <c r="E1367" s="1">
        <v>29046.5</v>
      </c>
      <c r="G1367" s="2">
        <f t="shared" si="21"/>
        <v>29046.5</v>
      </c>
      <c r="H1367" t="s">
        <v>30</v>
      </c>
    </row>
    <row r="1368" spans="2:8" x14ac:dyDescent="0.2">
      <c r="B1368" s="17">
        <v>44423</v>
      </c>
      <c r="C1368" s="16">
        <v>794</v>
      </c>
      <c r="D1368" s="6">
        <v>1700.5</v>
      </c>
      <c r="E1368" s="1">
        <v>1785</v>
      </c>
      <c r="G1368" s="2">
        <f t="shared" si="21"/>
        <v>1785</v>
      </c>
      <c r="H1368" t="s">
        <v>13</v>
      </c>
    </row>
    <row r="1369" spans="2:8" x14ac:dyDescent="0.2">
      <c r="B1369" s="17">
        <v>44423</v>
      </c>
      <c r="C1369" s="16"/>
      <c r="D1369" s="6"/>
      <c r="F1369" s="1">
        <v>7000</v>
      </c>
      <c r="G1369" s="2">
        <f t="shared" si="21"/>
        <v>-7000</v>
      </c>
      <c r="H1369" t="s">
        <v>35</v>
      </c>
    </row>
    <row r="1370" spans="2:8" x14ac:dyDescent="0.2">
      <c r="B1370" s="17">
        <v>44423</v>
      </c>
      <c r="C1370" s="16"/>
      <c r="D1370" s="6"/>
      <c r="F1370" s="1">
        <v>10000</v>
      </c>
      <c r="G1370" s="2">
        <f t="shared" si="21"/>
        <v>-10000</v>
      </c>
      <c r="H1370" t="s">
        <v>14</v>
      </c>
    </row>
    <row r="1371" spans="2:8" x14ac:dyDescent="0.2">
      <c r="B1371" s="17">
        <v>44423</v>
      </c>
      <c r="C1371" s="16">
        <v>795</v>
      </c>
      <c r="D1371" s="6">
        <v>2219</v>
      </c>
      <c r="E1371" s="1">
        <v>2555</v>
      </c>
      <c r="G1371" s="2">
        <f t="shared" si="21"/>
        <v>2555</v>
      </c>
      <c r="H1371" t="s">
        <v>35</v>
      </c>
    </row>
    <row r="1372" spans="2:8" x14ac:dyDescent="0.2">
      <c r="B1372" s="17">
        <v>44424</v>
      </c>
      <c r="C1372" s="16"/>
      <c r="D1372" s="6"/>
      <c r="F1372" s="1">
        <v>17857</v>
      </c>
      <c r="G1372" s="2">
        <f t="shared" si="21"/>
        <v>-17857</v>
      </c>
      <c r="H1372" t="s">
        <v>30</v>
      </c>
    </row>
    <row r="1373" spans="2:8" x14ac:dyDescent="0.2">
      <c r="B1373" s="17">
        <v>44425</v>
      </c>
      <c r="C1373" s="16">
        <v>796</v>
      </c>
      <c r="D1373" s="6">
        <v>12360</v>
      </c>
      <c r="E1373" s="1">
        <v>13250</v>
      </c>
      <c r="G1373" s="2">
        <f t="shared" si="21"/>
        <v>13250</v>
      </c>
      <c r="H1373" t="s">
        <v>14</v>
      </c>
    </row>
    <row r="1374" spans="2:8" x14ac:dyDescent="0.2">
      <c r="B1374" s="17">
        <v>44425</v>
      </c>
      <c r="C1374" s="16">
        <v>797</v>
      </c>
      <c r="D1374" s="6">
        <v>11307.5</v>
      </c>
      <c r="E1374" s="1">
        <v>12182.5</v>
      </c>
      <c r="G1374" s="2">
        <f t="shared" si="21"/>
        <v>12182.5</v>
      </c>
      <c r="H1374" t="s">
        <v>14</v>
      </c>
    </row>
    <row r="1375" spans="2:8" x14ac:dyDescent="0.2">
      <c r="B1375" s="17">
        <v>44425</v>
      </c>
      <c r="C1375" s="16">
        <v>798</v>
      </c>
      <c r="D1375" s="6">
        <v>4927.5</v>
      </c>
      <c r="E1375" s="1">
        <v>5450</v>
      </c>
      <c r="G1375" s="2">
        <f t="shared" si="21"/>
        <v>5450</v>
      </c>
      <c r="H1375" t="s">
        <v>13</v>
      </c>
    </row>
    <row r="1376" spans="2:8" x14ac:dyDescent="0.2">
      <c r="B1376" s="17">
        <v>44427</v>
      </c>
      <c r="C1376" s="16"/>
      <c r="D1376" s="6"/>
      <c r="F1376" s="1">
        <v>3000</v>
      </c>
      <c r="G1376" s="2">
        <f t="shared" si="21"/>
        <v>-3000</v>
      </c>
      <c r="H1376" t="s">
        <v>35</v>
      </c>
    </row>
    <row r="1377" spans="2:8" x14ac:dyDescent="0.2">
      <c r="B1377" s="17">
        <v>44427</v>
      </c>
      <c r="C1377" s="16"/>
      <c r="D1377" s="6"/>
      <c r="F1377" s="1">
        <v>3500</v>
      </c>
      <c r="G1377" s="2">
        <f t="shared" si="21"/>
        <v>-3500</v>
      </c>
      <c r="H1377" t="s">
        <v>27</v>
      </c>
    </row>
    <row r="1378" spans="2:8" x14ac:dyDescent="0.2">
      <c r="B1378" s="17">
        <v>44429</v>
      </c>
      <c r="C1378" s="16"/>
      <c r="D1378" s="6"/>
      <c r="F1378" s="1">
        <v>10000</v>
      </c>
      <c r="G1378" s="2">
        <f t="shared" si="21"/>
        <v>-10000</v>
      </c>
      <c r="H1378" t="s">
        <v>14</v>
      </c>
    </row>
    <row r="1379" spans="2:8" x14ac:dyDescent="0.2">
      <c r="B1379" s="17">
        <v>44429</v>
      </c>
      <c r="C1379" s="16">
        <v>799</v>
      </c>
      <c r="D1379" s="6">
        <v>550</v>
      </c>
      <c r="E1379" s="1">
        <v>600</v>
      </c>
      <c r="G1379" s="2">
        <f t="shared" si="21"/>
        <v>600</v>
      </c>
      <c r="H1379" t="s">
        <v>35</v>
      </c>
    </row>
    <row r="1380" spans="2:8" x14ac:dyDescent="0.2">
      <c r="B1380" s="17">
        <v>44429</v>
      </c>
      <c r="C1380" s="16">
        <v>800</v>
      </c>
      <c r="D1380" s="6">
        <v>720</v>
      </c>
      <c r="E1380" s="1">
        <v>929</v>
      </c>
      <c r="G1380" s="2">
        <f t="shared" si="21"/>
        <v>929</v>
      </c>
      <c r="H1380" t="s">
        <v>35</v>
      </c>
    </row>
    <row r="1381" spans="2:8" x14ac:dyDescent="0.2">
      <c r="B1381" s="17">
        <v>44429</v>
      </c>
      <c r="C1381" s="16">
        <v>801</v>
      </c>
      <c r="D1381" s="6">
        <v>1250</v>
      </c>
      <c r="E1381" s="1">
        <v>1560</v>
      </c>
      <c r="G1381" s="2">
        <f t="shared" si="21"/>
        <v>1560</v>
      </c>
      <c r="H1381" t="s">
        <v>37</v>
      </c>
    </row>
    <row r="1382" spans="2:8" x14ac:dyDescent="0.2">
      <c r="B1382" s="17">
        <v>44429</v>
      </c>
      <c r="C1382" s="16">
        <v>802</v>
      </c>
      <c r="D1382" s="6">
        <v>1960.0000000000002</v>
      </c>
      <c r="E1382" s="1">
        <v>2025</v>
      </c>
      <c r="G1382" s="2">
        <f t="shared" si="21"/>
        <v>2025</v>
      </c>
      <c r="H1382" t="s">
        <v>14</v>
      </c>
    </row>
    <row r="1383" spans="2:8" x14ac:dyDescent="0.2">
      <c r="B1383" s="17">
        <v>44430</v>
      </c>
      <c r="C1383" s="16">
        <v>803</v>
      </c>
      <c r="D1383" s="6">
        <v>12620.25</v>
      </c>
      <c r="E1383" s="1">
        <v>13862.75</v>
      </c>
      <c r="G1383" s="2">
        <f t="shared" si="21"/>
        <v>13862.75</v>
      </c>
      <c r="H1383" t="s">
        <v>30</v>
      </c>
    </row>
    <row r="1384" spans="2:8" x14ac:dyDescent="0.2">
      <c r="B1384" s="17">
        <v>44430</v>
      </c>
      <c r="C1384" s="16">
        <v>804</v>
      </c>
      <c r="D1384" s="6">
        <v>1050</v>
      </c>
      <c r="E1384" s="1">
        <v>1140</v>
      </c>
      <c r="G1384" s="2">
        <f t="shared" si="21"/>
        <v>1140</v>
      </c>
      <c r="H1384" t="s">
        <v>14</v>
      </c>
    </row>
    <row r="1385" spans="2:8" x14ac:dyDescent="0.2">
      <c r="B1385" s="17">
        <v>44431</v>
      </c>
      <c r="C1385" s="16"/>
      <c r="D1385" s="6"/>
      <c r="F1385" s="1">
        <v>5000</v>
      </c>
      <c r="G1385" s="2">
        <f t="shared" si="21"/>
        <v>-5000</v>
      </c>
      <c r="H1385" t="s">
        <v>13</v>
      </c>
    </row>
    <row r="1386" spans="2:8" x14ac:dyDescent="0.2">
      <c r="B1386" s="17">
        <v>44431</v>
      </c>
      <c r="C1386" s="16"/>
      <c r="D1386" s="6"/>
      <c r="F1386" s="1">
        <v>3000</v>
      </c>
      <c r="G1386" s="2">
        <f t="shared" si="21"/>
        <v>-3000</v>
      </c>
      <c r="H1386" t="s">
        <v>31</v>
      </c>
    </row>
    <row r="1387" spans="2:8" x14ac:dyDescent="0.2">
      <c r="B1387" s="17">
        <v>44431</v>
      </c>
      <c r="C1387" s="16">
        <v>805</v>
      </c>
      <c r="D1387" s="6">
        <v>410</v>
      </c>
      <c r="E1387" s="1">
        <v>560</v>
      </c>
      <c r="G1387" s="2">
        <f t="shared" si="21"/>
        <v>560</v>
      </c>
      <c r="H1387" t="s">
        <v>13</v>
      </c>
    </row>
    <row r="1388" spans="2:8" x14ac:dyDescent="0.2">
      <c r="B1388" s="17">
        <v>44432</v>
      </c>
      <c r="C1388" s="16"/>
      <c r="D1388" s="6"/>
      <c r="F1388" s="1">
        <v>3885</v>
      </c>
      <c r="G1388" s="2">
        <f t="shared" si="21"/>
        <v>-3885</v>
      </c>
      <c r="H1388" t="s">
        <v>27</v>
      </c>
    </row>
    <row r="1389" spans="2:8" x14ac:dyDescent="0.2">
      <c r="B1389" s="17">
        <v>44432</v>
      </c>
      <c r="C1389" s="16">
        <v>806</v>
      </c>
      <c r="D1389" s="6">
        <v>257.25</v>
      </c>
      <c r="E1389" s="1">
        <v>269.5</v>
      </c>
      <c r="G1389" s="2">
        <f t="shared" si="21"/>
        <v>269.5</v>
      </c>
      <c r="H1389" t="s">
        <v>14</v>
      </c>
    </row>
    <row r="1390" spans="2:8" x14ac:dyDescent="0.2">
      <c r="B1390" s="17">
        <v>44432</v>
      </c>
      <c r="C1390" s="16">
        <v>807</v>
      </c>
      <c r="D1390" s="6">
        <v>600</v>
      </c>
      <c r="E1390" s="1">
        <v>840</v>
      </c>
      <c r="G1390" s="2">
        <f t="shared" si="21"/>
        <v>840</v>
      </c>
      <c r="H1390" t="s">
        <v>37</v>
      </c>
    </row>
    <row r="1391" spans="2:8" x14ac:dyDescent="0.2">
      <c r="B1391" s="17">
        <v>44433</v>
      </c>
      <c r="C1391" s="16">
        <v>808</v>
      </c>
      <c r="D1391" s="6">
        <v>2126.75</v>
      </c>
      <c r="E1391" s="1">
        <v>2467.5</v>
      </c>
      <c r="G1391" s="2">
        <f t="shared" si="21"/>
        <v>2467.5</v>
      </c>
      <c r="H1391" t="s">
        <v>35</v>
      </c>
    </row>
    <row r="1392" spans="2:8" x14ac:dyDescent="0.2">
      <c r="B1392" s="17">
        <v>44434</v>
      </c>
      <c r="C1392" s="16"/>
      <c r="D1392" s="6"/>
      <c r="F1392" s="1">
        <v>2300</v>
      </c>
      <c r="G1392" s="2">
        <f t="shared" si="21"/>
        <v>-2300</v>
      </c>
      <c r="H1392" t="s">
        <v>31</v>
      </c>
    </row>
    <row r="1393" spans="2:8" x14ac:dyDescent="0.2">
      <c r="B1393" s="17">
        <v>44434</v>
      </c>
      <c r="C1393" s="16"/>
      <c r="D1393" s="6"/>
      <c r="F1393" s="1">
        <v>10000</v>
      </c>
      <c r="G1393" s="2">
        <f t="shared" si="21"/>
        <v>-10000</v>
      </c>
      <c r="H1393" t="s">
        <v>14</v>
      </c>
    </row>
    <row r="1394" spans="2:8" x14ac:dyDescent="0.2">
      <c r="B1394" s="17">
        <v>44434</v>
      </c>
      <c r="C1394" s="16"/>
      <c r="D1394" s="6"/>
      <c r="F1394" s="1">
        <v>11335</v>
      </c>
      <c r="G1394" s="2">
        <f t="shared" si="21"/>
        <v>-11335</v>
      </c>
      <c r="H1394" t="s">
        <v>38</v>
      </c>
    </row>
    <row r="1395" spans="2:8" x14ac:dyDescent="0.2">
      <c r="B1395" s="17">
        <v>44436</v>
      </c>
      <c r="C1395" s="16">
        <v>809</v>
      </c>
      <c r="D1395" s="6">
        <v>534</v>
      </c>
      <c r="E1395" s="1">
        <v>600</v>
      </c>
      <c r="G1395" s="2">
        <f t="shared" si="21"/>
        <v>600</v>
      </c>
      <c r="H1395" t="s">
        <v>36</v>
      </c>
    </row>
    <row r="1396" spans="2:8" x14ac:dyDescent="0.2">
      <c r="B1396" s="17">
        <v>44438</v>
      </c>
      <c r="C1396" s="16">
        <v>810</v>
      </c>
      <c r="D1396" s="6">
        <v>1860.0000000000002</v>
      </c>
      <c r="E1396" s="1">
        <v>2025</v>
      </c>
      <c r="G1396" s="2">
        <f t="shared" si="21"/>
        <v>2025</v>
      </c>
      <c r="H1396" t="s">
        <v>14</v>
      </c>
    </row>
    <row r="1397" spans="2:8" x14ac:dyDescent="0.2">
      <c r="B1397" s="17">
        <v>44438</v>
      </c>
      <c r="C1397" s="16">
        <v>811</v>
      </c>
      <c r="D1397" s="6">
        <v>150</v>
      </c>
      <c r="E1397" s="1">
        <v>180</v>
      </c>
      <c r="G1397" s="2">
        <f t="shared" si="21"/>
        <v>180</v>
      </c>
      <c r="H1397" t="s">
        <v>35</v>
      </c>
    </row>
    <row r="1398" spans="2:8" x14ac:dyDescent="0.2">
      <c r="B1398" s="17">
        <v>44439</v>
      </c>
      <c r="C1398" s="16"/>
      <c r="D1398" s="6"/>
      <c r="F1398" s="1">
        <v>17000</v>
      </c>
      <c r="G1398" s="2">
        <f t="shared" si="21"/>
        <v>-17000</v>
      </c>
      <c r="H1398" t="s">
        <v>30</v>
      </c>
    </row>
    <row r="1399" spans="2:8" x14ac:dyDescent="0.2">
      <c r="B1399" s="17">
        <v>44440</v>
      </c>
      <c r="C1399" s="16">
        <v>812</v>
      </c>
      <c r="D1399" s="6">
        <v>1000</v>
      </c>
      <c r="E1399" s="1">
        <v>1125</v>
      </c>
      <c r="G1399" s="2">
        <f t="shared" si="21"/>
        <v>1125</v>
      </c>
      <c r="H1399" t="s">
        <v>14</v>
      </c>
    </row>
    <row r="1400" spans="2:8" x14ac:dyDescent="0.2">
      <c r="B1400" s="17">
        <v>44440</v>
      </c>
      <c r="C1400" s="16"/>
      <c r="D1400" s="6"/>
      <c r="F1400" s="1">
        <v>7000</v>
      </c>
      <c r="G1400" s="2">
        <f t="shared" si="21"/>
        <v>-7000</v>
      </c>
      <c r="H1400" t="s">
        <v>14</v>
      </c>
    </row>
    <row r="1401" spans="2:8" x14ac:dyDescent="0.2">
      <c r="B1401" s="17">
        <v>44440</v>
      </c>
      <c r="C1401" s="16"/>
      <c r="D1401" s="6"/>
      <c r="F1401" s="1">
        <v>5000</v>
      </c>
      <c r="G1401" s="2">
        <f t="shared" si="21"/>
        <v>-5000</v>
      </c>
      <c r="H1401" t="s">
        <v>13</v>
      </c>
    </row>
    <row r="1402" spans="2:8" x14ac:dyDescent="0.2">
      <c r="B1402" s="17">
        <v>44440</v>
      </c>
      <c r="C1402" s="16">
        <v>813</v>
      </c>
      <c r="D1402" s="6">
        <v>787.5</v>
      </c>
      <c r="E1402" s="1">
        <v>1010</v>
      </c>
      <c r="G1402" s="2">
        <f t="shared" si="21"/>
        <v>1010</v>
      </c>
      <c r="H1402" t="s">
        <v>35</v>
      </c>
    </row>
    <row r="1403" spans="2:8" x14ac:dyDescent="0.2">
      <c r="B1403" s="17">
        <v>44441</v>
      </c>
      <c r="C1403" s="16">
        <v>814</v>
      </c>
      <c r="D1403" s="6">
        <v>3810.3</v>
      </c>
      <c r="E1403" s="1">
        <v>4225</v>
      </c>
      <c r="G1403" s="2">
        <f t="shared" si="21"/>
        <v>4225</v>
      </c>
      <c r="H1403" t="s">
        <v>13</v>
      </c>
    </row>
    <row r="1404" spans="2:8" x14ac:dyDescent="0.2">
      <c r="B1404" s="17">
        <v>44443</v>
      </c>
      <c r="C1404" s="16"/>
      <c r="D1404" s="6"/>
      <c r="F1404" s="1">
        <v>3000</v>
      </c>
      <c r="G1404" s="2">
        <f t="shared" si="21"/>
        <v>-3000</v>
      </c>
      <c r="H1404" t="s">
        <v>37</v>
      </c>
    </row>
    <row r="1405" spans="2:8" x14ac:dyDescent="0.2">
      <c r="B1405" s="17">
        <v>44444</v>
      </c>
      <c r="C1405" s="16"/>
      <c r="D1405" s="6"/>
      <c r="F1405" s="1">
        <v>5000</v>
      </c>
      <c r="G1405" s="2">
        <f t="shared" si="21"/>
        <v>-5000</v>
      </c>
      <c r="H1405" t="s">
        <v>13</v>
      </c>
    </row>
    <row r="1406" spans="2:8" x14ac:dyDescent="0.2">
      <c r="B1406" s="17">
        <v>44444</v>
      </c>
      <c r="C1406" s="16">
        <v>815</v>
      </c>
      <c r="D1406" s="6">
        <v>1000</v>
      </c>
      <c r="E1406" s="1">
        <v>1400</v>
      </c>
      <c r="G1406" s="2">
        <f t="shared" si="21"/>
        <v>1400</v>
      </c>
      <c r="H1406" t="s">
        <v>37</v>
      </c>
    </row>
    <row r="1407" spans="2:8" x14ac:dyDescent="0.2">
      <c r="B1407" s="17">
        <v>44444</v>
      </c>
      <c r="C1407" s="16">
        <v>816</v>
      </c>
      <c r="D1407" s="6">
        <v>11643.199999999999</v>
      </c>
      <c r="E1407" s="1">
        <v>12486.55</v>
      </c>
      <c r="G1407" s="2">
        <f t="shared" si="21"/>
        <v>12486.55</v>
      </c>
      <c r="H1407" t="s">
        <v>30</v>
      </c>
    </row>
    <row r="1408" spans="2:8" x14ac:dyDescent="0.2">
      <c r="B1408" s="17">
        <v>44444</v>
      </c>
      <c r="C1408" s="16">
        <v>817</v>
      </c>
      <c r="D1408" s="6">
        <v>10950</v>
      </c>
      <c r="E1408" s="1">
        <v>11873</v>
      </c>
      <c r="G1408" s="2">
        <f t="shared" si="21"/>
        <v>11873</v>
      </c>
      <c r="H1408" t="s">
        <v>27</v>
      </c>
    </row>
    <row r="1409" spans="2:8" x14ac:dyDescent="0.2">
      <c r="B1409" s="17">
        <v>44445</v>
      </c>
      <c r="C1409" s="16">
        <v>818</v>
      </c>
      <c r="D1409" s="6">
        <v>2610</v>
      </c>
      <c r="E1409" s="1">
        <v>2860</v>
      </c>
      <c r="G1409" s="2">
        <f t="shared" si="21"/>
        <v>2860</v>
      </c>
      <c r="H1409" t="s">
        <v>13</v>
      </c>
    </row>
    <row r="1410" spans="2:8" x14ac:dyDescent="0.2">
      <c r="B1410" s="17">
        <v>44446</v>
      </c>
      <c r="C1410" s="16">
        <v>819</v>
      </c>
      <c r="D1410" s="6">
        <v>448.75</v>
      </c>
      <c r="E1410" s="1">
        <v>487.5</v>
      </c>
      <c r="G1410" s="2">
        <f t="shared" si="21"/>
        <v>487.5</v>
      </c>
      <c r="H1410" s="2" t="s">
        <v>48</v>
      </c>
    </row>
    <row r="1411" spans="2:8" x14ac:dyDescent="0.2">
      <c r="B1411" s="17">
        <v>44446</v>
      </c>
      <c r="C1411" s="16">
        <v>820</v>
      </c>
      <c r="D1411" s="6">
        <v>4416.75</v>
      </c>
      <c r="E1411" s="1">
        <v>4791</v>
      </c>
      <c r="G1411" s="2">
        <f t="shared" ref="G1411:G1474" si="22">E1411-F1411</f>
        <v>4791</v>
      </c>
      <c r="H1411" t="s">
        <v>14</v>
      </c>
    </row>
    <row r="1412" spans="2:8" x14ac:dyDescent="0.2">
      <c r="B1412" s="17">
        <v>44447</v>
      </c>
      <c r="C1412" s="16"/>
      <c r="D1412" s="6"/>
      <c r="F1412" s="1">
        <v>5000</v>
      </c>
      <c r="G1412" s="2">
        <f t="shared" si="22"/>
        <v>-5000</v>
      </c>
      <c r="H1412" t="s">
        <v>14</v>
      </c>
    </row>
    <row r="1413" spans="2:8" x14ac:dyDescent="0.2">
      <c r="B1413" s="17">
        <v>44448</v>
      </c>
      <c r="C1413" s="16"/>
      <c r="D1413" s="6"/>
      <c r="F1413" s="1">
        <v>5000</v>
      </c>
      <c r="G1413" s="2">
        <f t="shared" si="22"/>
        <v>-5000</v>
      </c>
      <c r="H1413" t="s">
        <v>14</v>
      </c>
    </row>
    <row r="1414" spans="2:8" x14ac:dyDescent="0.2">
      <c r="B1414" s="17">
        <v>44448</v>
      </c>
      <c r="C1414" s="16"/>
      <c r="D1414" s="6"/>
      <c r="F1414" s="1">
        <v>3000</v>
      </c>
      <c r="G1414" s="2">
        <f t="shared" si="22"/>
        <v>-3000</v>
      </c>
      <c r="H1414" t="s">
        <v>27</v>
      </c>
    </row>
    <row r="1415" spans="2:8" x14ac:dyDescent="0.2">
      <c r="B1415" s="17">
        <v>44448</v>
      </c>
      <c r="C1415" s="16">
        <v>821</v>
      </c>
      <c r="D1415" s="6">
        <v>6825.5</v>
      </c>
      <c r="E1415" s="1">
        <v>7220</v>
      </c>
      <c r="G1415" s="2">
        <f t="shared" si="22"/>
        <v>7220</v>
      </c>
      <c r="H1415" t="s">
        <v>27</v>
      </c>
    </row>
    <row r="1416" spans="2:8" x14ac:dyDescent="0.2">
      <c r="B1416" s="17">
        <v>44450</v>
      </c>
      <c r="C1416" s="16"/>
      <c r="D1416" s="6"/>
      <c r="F1416" s="1">
        <v>5945</v>
      </c>
      <c r="G1416" s="2">
        <f t="shared" si="22"/>
        <v>-5945</v>
      </c>
      <c r="H1416" t="s">
        <v>41</v>
      </c>
    </row>
    <row r="1417" spans="2:8" x14ac:dyDescent="0.2">
      <c r="B1417" s="17">
        <v>44450</v>
      </c>
      <c r="C1417" s="16"/>
      <c r="D1417" s="6"/>
      <c r="F1417" s="1">
        <v>12.5</v>
      </c>
      <c r="G1417" s="2">
        <f t="shared" si="22"/>
        <v>-12.5</v>
      </c>
      <c r="H1417" t="s">
        <v>41</v>
      </c>
    </row>
    <row r="1418" spans="2:8" x14ac:dyDescent="0.2">
      <c r="B1418" s="17">
        <v>44450</v>
      </c>
      <c r="C1418" s="16">
        <v>822</v>
      </c>
      <c r="D1418" s="6">
        <v>5598</v>
      </c>
      <c r="E1418" s="1">
        <v>6528</v>
      </c>
      <c r="G1418" s="2">
        <f t="shared" si="22"/>
        <v>6528</v>
      </c>
      <c r="H1418" t="s">
        <v>14</v>
      </c>
    </row>
    <row r="1419" spans="2:8" x14ac:dyDescent="0.2">
      <c r="B1419" s="17">
        <v>44451</v>
      </c>
      <c r="C1419" s="16"/>
      <c r="D1419" s="6"/>
      <c r="F1419" s="1">
        <v>25000</v>
      </c>
      <c r="G1419" s="2">
        <f t="shared" si="22"/>
        <v>-25000</v>
      </c>
      <c r="H1419" t="s">
        <v>30</v>
      </c>
    </row>
    <row r="1420" spans="2:8" x14ac:dyDescent="0.2">
      <c r="B1420" s="17">
        <v>44451</v>
      </c>
      <c r="C1420" s="16">
        <v>823</v>
      </c>
      <c r="D1420" s="6">
        <v>465</v>
      </c>
      <c r="E1420" s="1">
        <v>525</v>
      </c>
      <c r="G1420" s="2">
        <f t="shared" si="22"/>
        <v>525</v>
      </c>
      <c r="H1420" t="s">
        <v>13</v>
      </c>
    </row>
    <row r="1421" spans="2:8" x14ac:dyDescent="0.2">
      <c r="B1421" s="17">
        <v>44452</v>
      </c>
      <c r="C1421" s="16"/>
      <c r="D1421" s="6"/>
      <c r="F1421" s="1">
        <v>5000</v>
      </c>
      <c r="G1421" s="2">
        <f t="shared" si="22"/>
        <v>-5000</v>
      </c>
      <c r="H1421" t="s">
        <v>14</v>
      </c>
    </row>
    <row r="1422" spans="2:8" x14ac:dyDescent="0.2">
      <c r="B1422" s="17">
        <v>44452</v>
      </c>
      <c r="C1422" s="16"/>
      <c r="D1422" s="6"/>
      <c r="F1422" s="1">
        <v>3000</v>
      </c>
      <c r="G1422" s="2">
        <f t="shared" si="22"/>
        <v>-3000</v>
      </c>
      <c r="H1422" t="s">
        <v>13</v>
      </c>
    </row>
    <row r="1423" spans="2:8" x14ac:dyDescent="0.2">
      <c r="B1423" s="17">
        <v>44452</v>
      </c>
      <c r="C1423" s="16">
        <v>824</v>
      </c>
      <c r="D1423" s="6">
        <v>2096</v>
      </c>
      <c r="E1423" s="1">
        <v>2425</v>
      </c>
      <c r="G1423" s="2">
        <f t="shared" si="22"/>
        <v>2425</v>
      </c>
      <c r="H1423" t="s">
        <v>35</v>
      </c>
    </row>
    <row r="1424" spans="2:8" x14ac:dyDescent="0.2">
      <c r="B1424" s="17">
        <v>44452</v>
      </c>
      <c r="C1424" s="16">
        <v>825</v>
      </c>
      <c r="D1424" s="6">
        <v>300</v>
      </c>
      <c r="E1424" s="1">
        <v>425</v>
      </c>
      <c r="G1424" s="2">
        <f t="shared" si="22"/>
        <v>425</v>
      </c>
      <c r="H1424" t="s">
        <v>14</v>
      </c>
    </row>
    <row r="1425" spans="2:8" x14ac:dyDescent="0.2">
      <c r="B1425" s="17">
        <v>44453</v>
      </c>
      <c r="C1425" s="16"/>
      <c r="D1425" s="6"/>
      <c r="F1425" s="1">
        <v>5000</v>
      </c>
      <c r="G1425" s="2">
        <f t="shared" si="22"/>
        <v>-5000</v>
      </c>
      <c r="H1425" t="s">
        <v>14</v>
      </c>
    </row>
    <row r="1426" spans="2:8" x14ac:dyDescent="0.2">
      <c r="B1426" s="17">
        <v>44454</v>
      </c>
      <c r="C1426" s="16">
        <v>828</v>
      </c>
      <c r="D1426" s="6">
        <v>112.5</v>
      </c>
      <c r="E1426" s="1">
        <v>135</v>
      </c>
      <c r="G1426" s="2">
        <f t="shared" si="22"/>
        <v>135</v>
      </c>
      <c r="H1426" t="s">
        <v>35</v>
      </c>
    </row>
    <row r="1427" spans="2:8" x14ac:dyDescent="0.2">
      <c r="B1427" s="17">
        <v>44454</v>
      </c>
      <c r="C1427" s="16">
        <v>829</v>
      </c>
      <c r="D1427" s="6">
        <v>2912.99</v>
      </c>
      <c r="E1427" s="1">
        <v>3192</v>
      </c>
      <c r="G1427" s="2">
        <f t="shared" si="22"/>
        <v>3192</v>
      </c>
      <c r="H1427" t="s">
        <v>13</v>
      </c>
    </row>
    <row r="1428" spans="2:8" x14ac:dyDescent="0.2">
      <c r="B1428" s="17">
        <v>44455</v>
      </c>
      <c r="C1428" s="16">
        <v>826</v>
      </c>
      <c r="D1428" s="6">
        <v>2849</v>
      </c>
      <c r="E1428" s="1">
        <v>3159.5</v>
      </c>
      <c r="G1428" s="2">
        <f t="shared" si="22"/>
        <v>3159.5</v>
      </c>
      <c r="H1428" t="s">
        <v>13</v>
      </c>
    </row>
    <row r="1429" spans="2:8" x14ac:dyDescent="0.2">
      <c r="B1429" s="17">
        <v>44457</v>
      </c>
      <c r="C1429" s="16"/>
      <c r="D1429" s="6"/>
      <c r="F1429" s="1">
        <v>5000</v>
      </c>
      <c r="G1429" s="2">
        <f t="shared" si="22"/>
        <v>-5000</v>
      </c>
      <c r="H1429" t="s">
        <v>27</v>
      </c>
    </row>
    <row r="1430" spans="2:8" x14ac:dyDescent="0.2">
      <c r="B1430" s="17">
        <v>44457</v>
      </c>
      <c r="C1430" s="16">
        <v>827</v>
      </c>
      <c r="D1430" s="6">
        <v>820</v>
      </c>
      <c r="E1430" s="1">
        <v>1045</v>
      </c>
      <c r="G1430" s="2">
        <f t="shared" si="22"/>
        <v>1045</v>
      </c>
      <c r="H1430" t="s">
        <v>35</v>
      </c>
    </row>
    <row r="1431" spans="2:8" x14ac:dyDescent="0.2">
      <c r="B1431" s="17">
        <v>44458</v>
      </c>
      <c r="C1431" s="16"/>
      <c r="D1431" s="6"/>
      <c r="F1431" s="1">
        <v>6000</v>
      </c>
      <c r="G1431" s="2">
        <f t="shared" si="22"/>
        <v>-6000</v>
      </c>
      <c r="H1431" t="s">
        <v>35</v>
      </c>
    </row>
    <row r="1432" spans="2:8" x14ac:dyDescent="0.2">
      <c r="B1432" s="17">
        <v>44458</v>
      </c>
      <c r="C1432" s="16">
        <v>830</v>
      </c>
      <c r="D1432" s="6">
        <v>5300</v>
      </c>
      <c r="E1432" s="1">
        <v>5800</v>
      </c>
      <c r="G1432" s="2">
        <f t="shared" si="22"/>
        <v>5800</v>
      </c>
      <c r="H1432" t="s">
        <v>14</v>
      </c>
    </row>
    <row r="1433" spans="2:8" x14ac:dyDescent="0.2">
      <c r="B1433" s="17">
        <v>44460</v>
      </c>
      <c r="C1433" s="16">
        <v>831</v>
      </c>
      <c r="D1433" s="6">
        <v>1246.25</v>
      </c>
      <c r="E1433" s="1">
        <v>1375</v>
      </c>
      <c r="G1433" s="2">
        <f t="shared" si="22"/>
        <v>1375</v>
      </c>
      <c r="H1433" t="s">
        <v>13</v>
      </c>
    </row>
    <row r="1434" spans="2:8" x14ac:dyDescent="0.2">
      <c r="B1434" s="17">
        <v>44460</v>
      </c>
      <c r="C1434" s="16"/>
      <c r="D1434" s="6"/>
      <c r="F1434" s="1">
        <v>10000</v>
      </c>
      <c r="G1434" s="2">
        <f t="shared" si="22"/>
        <v>-10000</v>
      </c>
      <c r="H1434" t="s">
        <v>14</v>
      </c>
    </row>
    <row r="1435" spans="2:8" x14ac:dyDescent="0.2">
      <c r="B1435" s="17">
        <v>44460</v>
      </c>
      <c r="C1435" s="16">
        <v>832</v>
      </c>
      <c r="D1435" s="6">
        <v>1890</v>
      </c>
      <c r="E1435" s="1">
        <v>2075</v>
      </c>
      <c r="G1435" s="2">
        <f t="shared" si="22"/>
        <v>2075</v>
      </c>
      <c r="H1435" t="s">
        <v>14</v>
      </c>
    </row>
    <row r="1436" spans="2:8" x14ac:dyDescent="0.2">
      <c r="B1436" s="17">
        <v>44464</v>
      </c>
      <c r="C1436" s="16"/>
      <c r="D1436" s="6"/>
      <c r="F1436" s="1">
        <v>5000</v>
      </c>
      <c r="G1436" s="2">
        <f t="shared" si="22"/>
        <v>-5000</v>
      </c>
      <c r="H1436" t="s">
        <v>13</v>
      </c>
    </row>
    <row r="1437" spans="2:8" x14ac:dyDescent="0.2">
      <c r="B1437" s="17">
        <v>44464</v>
      </c>
      <c r="C1437" s="16"/>
      <c r="D1437" s="6"/>
      <c r="F1437" s="1">
        <v>1445</v>
      </c>
      <c r="G1437" s="2">
        <f t="shared" si="22"/>
        <v>-1445</v>
      </c>
      <c r="H1437" t="s">
        <v>40</v>
      </c>
    </row>
    <row r="1438" spans="2:8" x14ac:dyDescent="0.2">
      <c r="B1438" s="17">
        <v>44464</v>
      </c>
      <c r="C1438" s="16">
        <v>833</v>
      </c>
      <c r="D1438" s="6">
        <v>5799.86</v>
      </c>
      <c r="E1438" s="1">
        <v>6348</v>
      </c>
      <c r="G1438" s="2">
        <f t="shared" si="22"/>
        <v>6348</v>
      </c>
      <c r="H1438" t="s">
        <v>30</v>
      </c>
    </row>
    <row r="1439" spans="2:8" x14ac:dyDescent="0.2">
      <c r="B1439" s="17">
        <v>44464</v>
      </c>
      <c r="C1439" s="16">
        <v>834</v>
      </c>
      <c r="D1439" s="6">
        <v>10555</v>
      </c>
      <c r="E1439" s="1">
        <v>11265</v>
      </c>
      <c r="G1439" s="2">
        <f t="shared" si="22"/>
        <v>11265</v>
      </c>
      <c r="H1439" t="s">
        <v>14</v>
      </c>
    </row>
    <row r="1440" spans="2:8" x14ac:dyDescent="0.2">
      <c r="B1440" s="17">
        <v>44465</v>
      </c>
      <c r="C1440" s="16">
        <v>835</v>
      </c>
      <c r="D1440" s="6">
        <v>5521.66</v>
      </c>
      <c r="E1440" s="1">
        <v>6160</v>
      </c>
      <c r="G1440" s="2">
        <f t="shared" si="22"/>
        <v>6160</v>
      </c>
      <c r="H1440" t="s">
        <v>13</v>
      </c>
    </row>
    <row r="1441" spans="2:8" x14ac:dyDescent="0.2">
      <c r="B1441" s="17">
        <v>44468</v>
      </c>
      <c r="C1441" s="16"/>
      <c r="D1441" s="6"/>
      <c r="F1441" s="1">
        <v>10000</v>
      </c>
      <c r="G1441" s="2">
        <f t="shared" si="22"/>
        <v>-10000</v>
      </c>
      <c r="H1441" t="s">
        <v>14</v>
      </c>
    </row>
    <row r="1442" spans="2:8" x14ac:dyDescent="0.2">
      <c r="B1442" s="17">
        <v>44468</v>
      </c>
      <c r="C1442" s="16"/>
      <c r="D1442" s="6"/>
      <c r="F1442" s="1">
        <v>5000</v>
      </c>
      <c r="G1442" s="2">
        <f t="shared" si="22"/>
        <v>-5000</v>
      </c>
      <c r="H1442" t="s">
        <v>27</v>
      </c>
    </row>
    <row r="1443" spans="2:8" x14ac:dyDescent="0.2">
      <c r="B1443" s="17">
        <v>44468</v>
      </c>
      <c r="C1443" s="16"/>
      <c r="D1443" s="6"/>
      <c r="F1443" s="1">
        <v>5000</v>
      </c>
      <c r="G1443" s="2">
        <f t="shared" si="22"/>
        <v>-5000</v>
      </c>
      <c r="H1443" t="s">
        <v>13</v>
      </c>
    </row>
    <row r="1444" spans="2:8" x14ac:dyDescent="0.2">
      <c r="B1444" s="17">
        <v>44468</v>
      </c>
      <c r="C1444" s="16">
        <v>836</v>
      </c>
      <c r="D1444" s="6">
        <v>1870</v>
      </c>
      <c r="E1444" s="1">
        <v>2230</v>
      </c>
      <c r="G1444" s="2">
        <f t="shared" si="22"/>
        <v>2230</v>
      </c>
      <c r="H1444" t="s">
        <v>35</v>
      </c>
    </row>
    <row r="1445" spans="2:8" x14ac:dyDescent="0.2">
      <c r="B1445" s="17">
        <v>44469</v>
      </c>
      <c r="C1445" s="16">
        <v>837</v>
      </c>
      <c r="D1445" s="6">
        <v>14625</v>
      </c>
      <c r="E1445" s="1">
        <v>16250</v>
      </c>
      <c r="G1445" s="2">
        <f t="shared" si="22"/>
        <v>16250</v>
      </c>
      <c r="H1445" t="s">
        <v>38</v>
      </c>
    </row>
    <row r="1446" spans="2:8" x14ac:dyDescent="0.2">
      <c r="B1446" s="17">
        <v>44469</v>
      </c>
      <c r="C1446" s="16">
        <v>838</v>
      </c>
      <c r="D1446" s="6">
        <v>2572.5</v>
      </c>
      <c r="E1446" s="1">
        <v>2826.75</v>
      </c>
      <c r="G1446" s="2">
        <f t="shared" si="22"/>
        <v>2826.75</v>
      </c>
      <c r="H1446" t="s">
        <v>13</v>
      </c>
    </row>
    <row r="1447" spans="2:8" x14ac:dyDescent="0.2">
      <c r="B1447" s="17">
        <v>44469</v>
      </c>
      <c r="C1447" s="16"/>
      <c r="D1447" s="6"/>
      <c r="F1447" s="1">
        <v>2000</v>
      </c>
      <c r="G1447" s="2">
        <f t="shared" si="22"/>
        <v>-2000</v>
      </c>
      <c r="H1447" t="s">
        <v>39</v>
      </c>
    </row>
    <row r="1448" spans="2:8" x14ac:dyDescent="0.2">
      <c r="B1448" s="17">
        <v>44469</v>
      </c>
      <c r="C1448" s="16">
        <v>839</v>
      </c>
      <c r="D1448" s="6">
        <v>1882</v>
      </c>
      <c r="E1448" s="1">
        <v>2000</v>
      </c>
      <c r="G1448" s="2">
        <f t="shared" si="22"/>
        <v>2000</v>
      </c>
      <c r="H1448" t="s">
        <v>39</v>
      </c>
    </row>
    <row r="1449" spans="2:8" x14ac:dyDescent="0.2">
      <c r="B1449" s="17">
        <v>44469</v>
      </c>
      <c r="C1449" s="16">
        <v>840</v>
      </c>
      <c r="D1449" s="6">
        <v>3500</v>
      </c>
      <c r="E1449" s="1">
        <v>3800</v>
      </c>
      <c r="G1449" s="2">
        <f t="shared" si="22"/>
        <v>3800</v>
      </c>
      <c r="H1449" t="s">
        <v>38</v>
      </c>
    </row>
    <row r="1450" spans="2:8" x14ac:dyDescent="0.2">
      <c r="B1450" s="17">
        <v>44469</v>
      </c>
      <c r="C1450" s="16"/>
      <c r="D1450" s="6"/>
      <c r="F1450" s="1">
        <v>425.5</v>
      </c>
      <c r="G1450" s="2">
        <f t="shared" si="22"/>
        <v>-425.5</v>
      </c>
      <c r="H1450" s="2" t="s">
        <v>48</v>
      </c>
    </row>
    <row r="1451" spans="2:8" x14ac:dyDescent="0.2">
      <c r="B1451" s="17">
        <v>44471</v>
      </c>
      <c r="C1451" s="16">
        <v>841</v>
      </c>
      <c r="D1451" s="6">
        <v>16258.5</v>
      </c>
      <c r="E1451" s="1">
        <v>17480</v>
      </c>
      <c r="G1451" s="2">
        <f t="shared" si="22"/>
        <v>17480</v>
      </c>
      <c r="H1451" t="s">
        <v>30</v>
      </c>
    </row>
    <row r="1452" spans="2:8" x14ac:dyDescent="0.2">
      <c r="B1452" s="17">
        <v>44472</v>
      </c>
      <c r="C1452" s="16"/>
      <c r="D1452" s="6"/>
      <c r="F1452" s="1">
        <v>7000</v>
      </c>
      <c r="G1452" s="2">
        <f t="shared" si="22"/>
        <v>-7000</v>
      </c>
      <c r="H1452" t="s">
        <v>14</v>
      </c>
    </row>
    <row r="1453" spans="2:8" x14ac:dyDescent="0.2">
      <c r="B1453" s="17">
        <v>44474</v>
      </c>
      <c r="C1453" s="16"/>
      <c r="D1453" s="6"/>
      <c r="F1453" s="1">
        <v>7000</v>
      </c>
      <c r="G1453" s="2">
        <f t="shared" si="22"/>
        <v>-7000</v>
      </c>
      <c r="H1453" t="s">
        <v>14</v>
      </c>
    </row>
    <row r="1454" spans="2:8" x14ac:dyDescent="0.2">
      <c r="B1454" s="17">
        <v>44474</v>
      </c>
      <c r="C1454" s="16"/>
      <c r="D1454" s="6"/>
      <c r="F1454" s="1">
        <v>5000</v>
      </c>
      <c r="G1454" s="2">
        <f t="shared" si="22"/>
        <v>-5000</v>
      </c>
      <c r="H1454" t="s">
        <v>27</v>
      </c>
    </row>
    <row r="1455" spans="2:8" x14ac:dyDescent="0.2">
      <c r="B1455" s="17">
        <v>44475</v>
      </c>
      <c r="C1455" s="16">
        <v>842</v>
      </c>
      <c r="D1455" s="6">
        <v>19900</v>
      </c>
      <c r="E1455" s="1">
        <v>21300</v>
      </c>
      <c r="G1455" s="2">
        <f t="shared" si="22"/>
        <v>21300</v>
      </c>
      <c r="H1455" t="s">
        <v>14</v>
      </c>
    </row>
    <row r="1456" spans="2:8" x14ac:dyDescent="0.2">
      <c r="B1456" s="17">
        <v>44476</v>
      </c>
      <c r="C1456" s="16"/>
      <c r="D1456" s="6"/>
      <c r="F1456" s="1">
        <v>5000</v>
      </c>
      <c r="G1456" s="2">
        <f t="shared" si="22"/>
        <v>-5000</v>
      </c>
      <c r="H1456" t="s">
        <v>13</v>
      </c>
    </row>
    <row r="1457" spans="2:8" x14ac:dyDescent="0.2">
      <c r="B1457" s="17">
        <v>44476</v>
      </c>
      <c r="C1457" s="16">
        <v>843</v>
      </c>
      <c r="D1457" s="6">
        <v>5395</v>
      </c>
      <c r="E1457" s="1">
        <v>6340</v>
      </c>
      <c r="G1457" s="2">
        <f t="shared" si="22"/>
        <v>6340</v>
      </c>
      <c r="H1457" t="s">
        <v>13</v>
      </c>
    </row>
    <row r="1458" spans="2:8" x14ac:dyDescent="0.2">
      <c r="B1458" s="17">
        <v>44478</v>
      </c>
      <c r="C1458" s="16">
        <v>844</v>
      </c>
      <c r="D1458" s="6">
        <v>972</v>
      </c>
      <c r="E1458" s="1">
        <v>1246</v>
      </c>
      <c r="G1458" s="2">
        <f t="shared" si="22"/>
        <v>1246</v>
      </c>
      <c r="H1458" t="s">
        <v>35</v>
      </c>
    </row>
    <row r="1459" spans="2:8" x14ac:dyDescent="0.2">
      <c r="B1459" s="17">
        <v>44478</v>
      </c>
      <c r="C1459" s="16">
        <v>845</v>
      </c>
      <c r="D1459" s="6">
        <v>9314.2900000000009</v>
      </c>
      <c r="E1459" s="1">
        <v>10008.450000000001</v>
      </c>
      <c r="G1459" s="2">
        <f t="shared" si="22"/>
        <v>10008.450000000001</v>
      </c>
      <c r="H1459" t="s">
        <v>25</v>
      </c>
    </row>
    <row r="1460" spans="2:8" x14ac:dyDescent="0.2">
      <c r="B1460" s="17">
        <v>44479</v>
      </c>
      <c r="C1460" s="16">
        <v>846</v>
      </c>
      <c r="D1460" s="6">
        <v>7898</v>
      </c>
      <c r="E1460" s="1">
        <v>8690</v>
      </c>
      <c r="G1460" s="2">
        <f t="shared" si="22"/>
        <v>8690</v>
      </c>
      <c r="H1460" t="s">
        <v>30</v>
      </c>
    </row>
    <row r="1461" spans="2:8" x14ac:dyDescent="0.2">
      <c r="B1461" s="17">
        <v>44480</v>
      </c>
      <c r="C1461" s="16"/>
      <c r="D1461" s="6"/>
      <c r="F1461" s="1">
        <v>4000</v>
      </c>
      <c r="G1461" s="2">
        <f t="shared" si="22"/>
        <v>-4000</v>
      </c>
      <c r="H1461" t="s">
        <v>37</v>
      </c>
    </row>
    <row r="1462" spans="2:8" x14ac:dyDescent="0.2">
      <c r="B1462" s="17">
        <v>44480</v>
      </c>
      <c r="C1462" s="16"/>
      <c r="D1462" s="6"/>
      <c r="F1462" s="1">
        <v>10000</v>
      </c>
      <c r="G1462" s="2">
        <f t="shared" si="22"/>
        <v>-10000</v>
      </c>
      <c r="H1462" t="s">
        <v>13</v>
      </c>
    </row>
    <row r="1463" spans="2:8" x14ac:dyDescent="0.2">
      <c r="B1463" s="17">
        <v>44481</v>
      </c>
      <c r="C1463" s="16"/>
      <c r="D1463" s="6"/>
      <c r="F1463" s="1">
        <v>25663</v>
      </c>
      <c r="G1463" s="2">
        <f t="shared" si="22"/>
        <v>-25663</v>
      </c>
      <c r="H1463" t="s">
        <v>30</v>
      </c>
    </row>
    <row r="1464" spans="2:8" x14ac:dyDescent="0.2">
      <c r="B1464" s="17">
        <v>44481</v>
      </c>
      <c r="C1464" s="16">
        <v>847</v>
      </c>
      <c r="D1464" s="6">
        <v>2878</v>
      </c>
      <c r="E1464" s="1">
        <v>3210.5</v>
      </c>
      <c r="G1464" s="2">
        <f t="shared" si="22"/>
        <v>3210.5</v>
      </c>
      <c r="H1464" t="s">
        <v>25</v>
      </c>
    </row>
    <row r="1465" spans="2:8" x14ac:dyDescent="0.2">
      <c r="B1465" s="17">
        <v>44481</v>
      </c>
      <c r="C1465" s="16">
        <v>848</v>
      </c>
      <c r="D1465" s="6">
        <v>22885</v>
      </c>
      <c r="E1465" s="1">
        <v>24325</v>
      </c>
      <c r="G1465" s="2">
        <f t="shared" si="22"/>
        <v>24325</v>
      </c>
      <c r="H1465" t="s">
        <v>14</v>
      </c>
    </row>
    <row r="1466" spans="2:8" x14ac:dyDescent="0.2">
      <c r="B1466" s="17">
        <v>44481</v>
      </c>
      <c r="C1466" s="16">
        <v>849</v>
      </c>
      <c r="D1466" s="6">
        <v>540</v>
      </c>
      <c r="E1466" s="1">
        <v>576</v>
      </c>
      <c r="G1466" s="2">
        <f t="shared" si="22"/>
        <v>576</v>
      </c>
      <c r="H1466" t="s">
        <v>25</v>
      </c>
    </row>
    <row r="1467" spans="2:8" x14ac:dyDescent="0.2">
      <c r="B1467" s="17">
        <v>44481</v>
      </c>
      <c r="C1467" s="16">
        <v>850</v>
      </c>
      <c r="D1467" s="6">
        <v>8733.75</v>
      </c>
      <c r="E1467" s="1">
        <v>9365</v>
      </c>
      <c r="G1467" s="2">
        <f t="shared" si="22"/>
        <v>9365</v>
      </c>
      <c r="H1467" t="s">
        <v>27</v>
      </c>
    </row>
    <row r="1468" spans="2:8" x14ac:dyDescent="0.2">
      <c r="B1468" s="17">
        <v>44481</v>
      </c>
      <c r="C1468" s="16"/>
      <c r="D1468" s="6"/>
      <c r="F1468" s="1">
        <v>7000</v>
      </c>
      <c r="G1468" s="2">
        <f t="shared" si="22"/>
        <v>-7000</v>
      </c>
      <c r="H1468" t="s">
        <v>14</v>
      </c>
    </row>
    <row r="1469" spans="2:8" x14ac:dyDescent="0.2">
      <c r="B1469" s="17">
        <v>44481</v>
      </c>
      <c r="C1469" s="16">
        <v>851</v>
      </c>
      <c r="D1469" s="6">
        <v>4628</v>
      </c>
      <c r="E1469" s="1">
        <v>4998.5</v>
      </c>
      <c r="G1469" s="2">
        <f t="shared" si="22"/>
        <v>4998.5</v>
      </c>
      <c r="H1469" t="s">
        <v>13</v>
      </c>
    </row>
    <row r="1470" spans="2:8" x14ac:dyDescent="0.2">
      <c r="B1470" s="17">
        <v>44482</v>
      </c>
      <c r="C1470" s="16">
        <v>852</v>
      </c>
      <c r="D1470" s="6">
        <v>850</v>
      </c>
      <c r="E1470" s="1">
        <v>1000</v>
      </c>
      <c r="G1470" s="2">
        <f t="shared" si="22"/>
        <v>1000</v>
      </c>
      <c r="H1470" t="s">
        <v>37</v>
      </c>
    </row>
    <row r="1471" spans="2:8" x14ac:dyDescent="0.2">
      <c r="B1471" s="17">
        <v>44483</v>
      </c>
      <c r="C1471" s="16">
        <v>853</v>
      </c>
      <c r="D1471" s="6">
        <v>1154.25</v>
      </c>
      <c r="E1471" s="1">
        <v>1422.5</v>
      </c>
      <c r="G1471" s="2">
        <f t="shared" si="22"/>
        <v>1422.5</v>
      </c>
      <c r="H1471" t="s">
        <v>35</v>
      </c>
    </row>
    <row r="1472" spans="2:8" x14ac:dyDescent="0.2">
      <c r="B1472" s="17">
        <v>44483</v>
      </c>
      <c r="C1472" s="16">
        <v>854</v>
      </c>
      <c r="D1472" s="6">
        <v>1280</v>
      </c>
      <c r="E1472" s="1">
        <v>1600</v>
      </c>
      <c r="G1472" s="2">
        <f t="shared" si="22"/>
        <v>1600</v>
      </c>
      <c r="H1472" t="s">
        <v>14</v>
      </c>
    </row>
    <row r="1473" spans="2:8" x14ac:dyDescent="0.2">
      <c r="B1473" s="17">
        <v>44484</v>
      </c>
      <c r="C1473" s="16"/>
      <c r="D1473" s="6"/>
      <c r="F1473" s="1">
        <v>7000</v>
      </c>
      <c r="G1473" s="2">
        <f t="shared" si="22"/>
        <v>-7000</v>
      </c>
      <c r="H1473" t="s">
        <v>14</v>
      </c>
    </row>
    <row r="1474" spans="2:8" x14ac:dyDescent="0.2">
      <c r="B1474" s="17">
        <v>44484</v>
      </c>
      <c r="C1474" s="16"/>
      <c r="D1474" s="6"/>
      <c r="F1474" s="1">
        <v>4000</v>
      </c>
      <c r="G1474" s="2">
        <f t="shared" si="22"/>
        <v>-4000</v>
      </c>
      <c r="H1474" t="s">
        <v>35</v>
      </c>
    </row>
    <row r="1475" spans="2:8" x14ac:dyDescent="0.2">
      <c r="B1475" s="17">
        <v>44487</v>
      </c>
      <c r="C1475" s="16"/>
      <c r="D1475" s="6"/>
      <c r="F1475" s="1">
        <v>2000</v>
      </c>
      <c r="G1475" s="2">
        <f t="shared" ref="G1475:G1538" si="23">E1475-F1475</f>
        <v>-2000</v>
      </c>
      <c r="H1475" t="s">
        <v>35</v>
      </c>
    </row>
    <row r="1476" spans="2:8" x14ac:dyDescent="0.2">
      <c r="B1476" s="17">
        <v>44487</v>
      </c>
      <c r="C1476" s="16"/>
      <c r="D1476" s="6"/>
      <c r="F1476" s="1">
        <v>7000</v>
      </c>
      <c r="G1476" s="2">
        <f t="shared" si="23"/>
        <v>-7000</v>
      </c>
      <c r="H1476" t="s">
        <v>14</v>
      </c>
    </row>
    <row r="1477" spans="2:8" x14ac:dyDescent="0.2">
      <c r="B1477" s="17">
        <v>44487</v>
      </c>
      <c r="C1477" s="16"/>
      <c r="D1477" s="6"/>
      <c r="F1477" s="1">
        <v>10000</v>
      </c>
      <c r="G1477" s="2">
        <f t="shared" si="23"/>
        <v>-10000</v>
      </c>
      <c r="H1477" t="s">
        <v>25</v>
      </c>
    </row>
    <row r="1478" spans="2:8" x14ac:dyDescent="0.2">
      <c r="B1478" s="17">
        <v>44487</v>
      </c>
      <c r="C1478" s="16"/>
      <c r="D1478" s="6"/>
      <c r="F1478" s="1">
        <v>5000</v>
      </c>
      <c r="G1478" s="2">
        <f t="shared" si="23"/>
        <v>-5000</v>
      </c>
      <c r="H1478" t="s">
        <v>13</v>
      </c>
    </row>
    <row r="1479" spans="2:8" x14ac:dyDescent="0.2">
      <c r="B1479" s="17">
        <v>44487</v>
      </c>
      <c r="C1479" s="16">
        <v>855</v>
      </c>
      <c r="D1479" s="6">
        <v>2515.3999999999996</v>
      </c>
      <c r="E1479" s="1">
        <v>2839.5</v>
      </c>
      <c r="G1479" s="2">
        <f t="shared" si="23"/>
        <v>2839.5</v>
      </c>
      <c r="H1479" t="s">
        <v>13</v>
      </c>
    </row>
    <row r="1480" spans="2:8" x14ac:dyDescent="0.2">
      <c r="B1480" s="17">
        <v>44487</v>
      </c>
      <c r="C1480" s="16">
        <v>856</v>
      </c>
      <c r="D1480" s="6">
        <v>784</v>
      </c>
      <c r="E1480" s="1">
        <v>1080</v>
      </c>
      <c r="G1480" s="2">
        <f t="shared" si="23"/>
        <v>1080</v>
      </c>
      <c r="H1480" t="s">
        <v>35</v>
      </c>
    </row>
    <row r="1481" spans="2:8" x14ac:dyDescent="0.2">
      <c r="B1481" s="17">
        <v>44488</v>
      </c>
      <c r="C1481" s="16"/>
      <c r="D1481" s="6"/>
      <c r="F1481" s="1">
        <v>12000</v>
      </c>
      <c r="G1481" s="2">
        <f t="shared" si="23"/>
        <v>-12000</v>
      </c>
      <c r="H1481" t="s">
        <v>38</v>
      </c>
    </row>
    <row r="1482" spans="2:8" x14ac:dyDescent="0.2">
      <c r="B1482" s="17">
        <v>44488</v>
      </c>
      <c r="C1482" s="16"/>
      <c r="D1482" s="6"/>
      <c r="F1482" s="1">
        <v>3500</v>
      </c>
      <c r="G1482" s="2">
        <f t="shared" si="23"/>
        <v>-3500</v>
      </c>
      <c r="H1482" t="s">
        <v>27</v>
      </c>
    </row>
    <row r="1483" spans="2:8" x14ac:dyDescent="0.2">
      <c r="B1483" s="17">
        <v>44488</v>
      </c>
      <c r="C1483" s="16">
        <v>857</v>
      </c>
      <c r="D1483" s="6">
        <v>855</v>
      </c>
      <c r="E1483" s="1">
        <v>995</v>
      </c>
      <c r="G1483" s="2">
        <f t="shared" si="23"/>
        <v>995</v>
      </c>
      <c r="H1483" t="s">
        <v>14</v>
      </c>
    </row>
    <row r="1484" spans="2:8" x14ac:dyDescent="0.2">
      <c r="B1484" s="17">
        <v>44488</v>
      </c>
      <c r="C1484" s="16">
        <v>858</v>
      </c>
      <c r="D1484" s="6">
        <v>1850</v>
      </c>
      <c r="E1484" s="1">
        <v>1950</v>
      </c>
      <c r="G1484" s="2">
        <f t="shared" si="23"/>
        <v>1950</v>
      </c>
      <c r="H1484" t="s">
        <v>14</v>
      </c>
    </row>
    <row r="1485" spans="2:8" x14ac:dyDescent="0.2">
      <c r="B1485" s="17">
        <v>44489</v>
      </c>
      <c r="C1485" s="16">
        <v>859</v>
      </c>
      <c r="D1485" s="6">
        <v>3729</v>
      </c>
      <c r="E1485" s="1">
        <v>4128</v>
      </c>
      <c r="G1485" s="2">
        <f t="shared" si="23"/>
        <v>4128</v>
      </c>
      <c r="H1485" t="s">
        <v>25</v>
      </c>
    </row>
    <row r="1486" spans="2:8" x14ac:dyDescent="0.2">
      <c r="B1486" s="17">
        <v>44489</v>
      </c>
      <c r="C1486" s="16">
        <v>860</v>
      </c>
      <c r="D1486" s="6">
        <v>9887.7000000000007</v>
      </c>
      <c r="E1486" s="1">
        <v>10635</v>
      </c>
      <c r="G1486" s="2">
        <f t="shared" si="23"/>
        <v>10635</v>
      </c>
      <c r="H1486" t="s">
        <v>25</v>
      </c>
    </row>
    <row r="1487" spans="2:8" x14ac:dyDescent="0.2">
      <c r="B1487" s="17">
        <v>44489</v>
      </c>
      <c r="C1487" s="16">
        <v>861</v>
      </c>
      <c r="D1487" s="6">
        <v>3920</v>
      </c>
      <c r="E1487" s="1">
        <v>5000</v>
      </c>
      <c r="G1487" s="2">
        <f t="shared" si="23"/>
        <v>5000</v>
      </c>
      <c r="H1487" t="s">
        <v>39</v>
      </c>
    </row>
    <row r="1488" spans="2:8" x14ac:dyDescent="0.2">
      <c r="B1488" s="17">
        <v>44489</v>
      </c>
      <c r="C1488" s="16">
        <v>862</v>
      </c>
      <c r="D1488" s="6">
        <v>372</v>
      </c>
      <c r="E1488" s="1">
        <v>410</v>
      </c>
      <c r="G1488" s="2">
        <f t="shared" si="23"/>
        <v>410</v>
      </c>
      <c r="H1488" t="s">
        <v>13</v>
      </c>
    </row>
    <row r="1489" spans="2:8" x14ac:dyDescent="0.2">
      <c r="B1489" s="17">
        <v>44489</v>
      </c>
      <c r="C1489" s="16">
        <v>863</v>
      </c>
      <c r="D1489" s="6">
        <v>806.25</v>
      </c>
      <c r="E1489" s="1">
        <v>1032.5</v>
      </c>
      <c r="G1489" s="2">
        <f t="shared" si="23"/>
        <v>1032.5</v>
      </c>
      <c r="H1489" t="s">
        <v>35</v>
      </c>
    </row>
    <row r="1490" spans="2:8" x14ac:dyDescent="0.2">
      <c r="B1490" s="17">
        <v>44490</v>
      </c>
      <c r="C1490" s="16">
        <v>864</v>
      </c>
      <c r="D1490" s="6">
        <v>8389</v>
      </c>
      <c r="E1490" s="1">
        <v>9050</v>
      </c>
      <c r="G1490" s="2">
        <f t="shared" si="23"/>
        <v>9050</v>
      </c>
      <c r="H1490" t="s">
        <v>27</v>
      </c>
    </row>
    <row r="1491" spans="2:8" x14ac:dyDescent="0.2">
      <c r="B1491" s="17">
        <v>44490</v>
      </c>
      <c r="C1491" s="16"/>
      <c r="D1491" s="6"/>
      <c r="F1491" s="1">
        <v>10000</v>
      </c>
      <c r="G1491" s="2">
        <f t="shared" si="23"/>
        <v>-10000</v>
      </c>
      <c r="H1491" t="s">
        <v>25</v>
      </c>
    </row>
    <row r="1492" spans="2:8" x14ac:dyDescent="0.2">
      <c r="B1492" s="17">
        <v>44490</v>
      </c>
      <c r="C1492" s="16">
        <v>865</v>
      </c>
      <c r="D1492" s="6">
        <v>7685</v>
      </c>
      <c r="E1492" s="1">
        <v>8508</v>
      </c>
      <c r="G1492" s="2">
        <f t="shared" si="23"/>
        <v>8508</v>
      </c>
      <c r="H1492" t="s">
        <v>25</v>
      </c>
    </row>
    <row r="1493" spans="2:8" x14ac:dyDescent="0.2">
      <c r="B1493" s="17">
        <v>44493</v>
      </c>
      <c r="C1493" s="16">
        <v>866</v>
      </c>
      <c r="D1493" s="6">
        <v>5610</v>
      </c>
      <c r="E1493" s="1">
        <v>6390</v>
      </c>
      <c r="G1493" s="2">
        <f t="shared" si="23"/>
        <v>6390</v>
      </c>
      <c r="H1493" t="s">
        <v>27</v>
      </c>
    </row>
    <row r="1494" spans="2:8" x14ac:dyDescent="0.2">
      <c r="B1494" s="17">
        <v>44493</v>
      </c>
      <c r="C1494" s="16">
        <v>867</v>
      </c>
      <c r="D1494" s="6">
        <v>5322.21</v>
      </c>
      <c r="E1494" s="1">
        <v>5915</v>
      </c>
      <c r="G1494" s="2">
        <f t="shared" si="23"/>
        <v>5915</v>
      </c>
      <c r="H1494" t="s">
        <v>13</v>
      </c>
    </row>
    <row r="1495" spans="2:8" x14ac:dyDescent="0.2">
      <c r="B1495" s="17">
        <v>44493</v>
      </c>
      <c r="C1495" s="16"/>
      <c r="D1495" s="6"/>
      <c r="F1495" s="1">
        <v>10000</v>
      </c>
      <c r="G1495" s="2">
        <f t="shared" si="23"/>
        <v>-10000</v>
      </c>
      <c r="H1495" t="s">
        <v>14</v>
      </c>
    </row>
    <row r="1496" spans="2:8" x14ac:dyDescent="0.2">
      <c r="B1496" s="17">
        <v>44493</v>
      </c>
      <c r="C1496" s="16">
        <v>868</v>
      </c>
      <c r="D1496" s="6">
        <v>1168.53</v>
      </c>
      <c r="E1496" s="1">
        <v>1246.45</v>
      </c>
      <c r="G1496" s="2">
        <f t="shared" si="23"/>
        <v>1246.45</v>
      </c>
      <c r="H1496" t="s">
        <v>14</v>
      </c>
    </row>
    <row r="1497" spans="2:8" x14ac:dyDescent="0.2">
      <c r="B1497" s="17">
        <v>44495</v>
      </c>
      <c r="C1497" s="16">
        <v>869</v>
      </c>
      <c r="D1497" s="6">
        <v>1930</v>
      </c>
      <c r="E1497" s="1">
        <v>2065</v>
      </c>
      <c r="G1497" s="2">
        <f t="shared" si="23"/>
        <v>2065</v>
      </c>
      <c r="H1497" t="s">
        <v>25</v>
      </c>
    </row>
    <row r="1498" spans="2:8" x14ac:dyDescent="0.2">
      <c r="B1498" s="17">
        <v>44495</v>
      </c>
      <c r="C1498" s="16">
        <v>870</v>
      </c>
      <c r="D1498" s="6">
        <v>258.5</v>
      </c>
      <c r="E1498" s="1">
        <v>300</v>
      </c>
      <c r="G1498" s="2">
        <f t="shared" si="23"/>
        <v>300</v>
      </c>
      <c r="H1498" t="s">
        <v>14</v>
      </c>
    </row>
    <row r="1499" spans="2:8" x14ac:dyDescent="0.2">
      <c r="B1499" s="17">
        <v>44495</v>
      </c>
      <c r="C1499" s="16">
        <v>871</v>
      </c>
      <c r="D1499" s="6">
        <v>9312.15</v>
      </c>
      <c r="E1499" s="1">
        <v>9823</v>
      </c>
      <c r="G1499" s="2">
        <f t="shared" si="23"/>
        <v>9823</v>
      </c>
      <c r="H1499" t="s">
        <v>30</v>
      </c>
    </row>
    <row r="1500" spans="2:8" x14ac:dyDescent="0.2">
      <c r="B1500" s="17">
        <v>44495</v>
      </c>
      <c r="C1500" s="16"/>
      <c r="D1500" s="6"/>
      <c r="F1500" s="1">
        <v>5000</v>
      </c>
      <c r="G1500" s="2">
        <f t="shared" si="23"/>
        <v>-5000</v>
      </c>
      <c r="H1500" t="s">
        <v>2</v>
      </c>
    </row>
    <row r="1501" spans="2:8" x14ac:dyDescent="0.2">
      <c r="B1501" s="17">
        <v>44495</v>
      </c>
      <c r="C1501" s="16">
        <v>872</v>
      </c>
      <c r="D1501" s="6">
        <v>7410.3</v>
      </c>
      <c r="E1501" s="1">
        <v>8179.5</v>
      </c>
      <c r="G1501" s="2">
        <f t="shared" si="23"/>
        <v>8179.5</v>
      </c>
      <c r="H1501" t="s">
        <v>25</v>
      </c>
    </row>
    <row r="1502" spans="2:8" x14ac:dyDescent="0.2">
      <c r="B1502" s="17">
        <v>44496</v>
      </c>
      <c r="C1502" s="16">
        <v>873</v>
      </c>
      <c r="D1502" s="6">
        <v>1330</v>
      </c>
      <c r="E1502" s="1">
        <v>1460</v>
      </c>
      <c r="G1502" s="2">
        <f t="shared" si="23"/>
        <v>1460</v>
      </c>
      <c r="H1502" t="s">
        <v>13</v>
      </c>
    </row>
    <row r="1503" spans="2:8" x14ac:dyDescent="0.2">
      <c r="B1503" s="17">
        <v>44497</v>
      </c>
      <c r="C1503" s="16">
        <v>874</v>
      </c>
      <c r="D1503" s="6">
        <v>1723</v>
      </c>
      <c r="E1503" s="1">
        <v>2045</v>
      </c>
      <c r="G1503" s="2">
        <f t="shared" si="23"/>
        <v>2045</v>
      </c>
      <c r="H1503" t="s">
        <v>35</v>
      </c>
    </row>
    <row r="1504" spans="2:8" x14ac:dyDescent="0.2">
      <c r="B1504" s="17">
        <v>44499</v>
      </c>
      <c r="C1504" s="16">
        <v>875</v>
      </c>
      <c r="D1504" s="6">
        <v>6882</v>
      </c>
      <c r="E1504" s="1">
        <v>7385</v>
      </c>
      <c r="G1504" s="2">
        <f t="shared" si="23"/>
        <v>7385</v>
      </c>
      <c r="H1504" t="s">
        <v>25</v>
      </c>
    </row>
    <row r="1505" spans="2:8" x14ac:dyDescent="0.2">
      <c r="B1505" s="17">
        <v>44499</v>
      </c>
      <c r="C1505" s="16"/>
      <c r="D1505" s="6"/>
      <c r="F1505" s="1">
        <v>10000</v>
      </c>
      <c r="G1505" s="2">
        <f t="shared" si="23"/>
        <v>-10000</v>
      </c>
      <c r="H1505" t="s">
        <v>14</v>
      </c>
    </row>
    <row r="1506" spans="2:8" x14ac:dyDescent="0.2">
      <c r="B1506" s="17">
        <v>44499</v>
      </c>
      <c r="C1506" s="16"/>
      <c r="D1506" s="6"/>
      <c r="F1506" s="1">
        <v>10000</v>
      </c>
      <c r="G1506" s="2">
        <f t="shared" si="23"/>
        <v>-10000</v>
      </c>
      <c r="H1506" t="s">
        <v>13</v>
      </c>
    </row>
    <row r="1507" spans="2:8" x14ac:dyDescent="0.2">
      <c r="B1507" s="17">
        <v>44499</v>
      </c>
      <c r="C1507" s="16"/>
      <c r="D1507" s="6"/>
      <c r="F1507" s="1">
        <v>8050</v>
      </c>
      <c r="G1507" s="2">
        <f t="shared" si="23"/>
        <v>-8050</v>
      </c>
      <c r="H1507" t="s">
        <v>38</v>
      </c>
    </row>
    <row r="1508" spans="2:8" x14ac:dyDescent="0.2">
      <c r="B1508" s="17">
        <v>44499</v>
      </c>
      <c r="C1508" s="16"/>
      <c r="D1508" s="6"/>
      <c r="F1508" s="1">
        <v>1300</v>
      </c>
      <c r="G1508" s="2">
        <f t="shared" si="23"/>
        <v>-1300</v>
      </c>
      <c r="H1508" s="2" t="s">
        <v>78</v>
      </c>
    </row>
    <row r="1509" spans="2:8" x14ac:dyDescent="0.2">
      <c r="B1509" s="17">
        <v>44499</v>
      </c>
      <c r="C1509" s="16">
        <v>876</v>
      </c>
      <c r="D1509" s="6">
        <v>4545</v>
      </c>
      <c r="E1509" s="1">
        <v>5106.5</v>
      </c>
      <c r="G1509" s="2">
        <f t="shared" si="23"/>
        <v>5106.5</v>
      </c>
      <c r="H1509" t="s">
        <v>13</v>
      </c>
    </row>
    <row r="1510" spans="2:8" x14ac:dyDescent="0.2">
      <c r="B1510" s="17">
        <v>44500</v>
      </c>
      <c r="C1510" s="16">
        <v>877</v>
      </c>
      <c r="D1510" s="6">
        <v>800</v>
      </c>
      <c r="E1510" s="1">
        <v>900</v>
      </c>
      <c r="G1510" s="2">
        <f t="shared" si="23"/>
        <v>900</v>
      </c>
      <c r="H1510" s="2" t="s">
        <v>78</v>
      </c>
    </row>
    <row r="1511" spans="2:8" x14ac:dyDescent="0.2">
      <c r="B1511" s="17">
        <v>44500</v>
      </c>
      <c r="C1511" s="16"/>
      <c r="D1511" s="6"/>
      <c r="F1511" s="1">
        <v>4500</v>
      </c>
      <c r="G1511" s="2">
        <f t="shared" si="23"/>
        <v>-4500</v>
      </c>
      <c r="H1511" t="s">
        <v>13</v>
      </c>
    </row>
    <row r="1512" spans="2:8" x14ac:dyDescent="0.2">
      <c r="B1512" s="17">
        <v>44500</v>
      </c>
      <c r="C1512" s="16"/>
      <c r="D1512" s="6"/>
      <c r="F1512" s="1">
        <v>2500</v>
      </c>
      <c r="G1512" s="2">
        <f t="shared" si="23"/>
        <v>-2500</v>
      </c>
      <c r="H1512" t="s">
        <v>27</v>
      </c>
    </row>
    <row r="1513" spans="2:8" x14ac:dyDescent="0.2">
      <c r="B1513" s="17">
        <v>44500</v>
      </c>
      <c r="C1513" s="16">
        <v>878</v>
      </c>
      <c r="D1513" s="6">
        <v>4000</v>
      </c>
      <c r="E1513" s="1">
        <v>4500</v>
      </c>
      <c r="G1513" s="2">
        <f t="shared" si="23"/>
        <v>4500</v>
      </c>
      <c r="H1513" t="s">
        <v>13</v>
      </c>
    </row>
    <row r="1514" spans="2:8" x14ac:dyDescent="0.2">
      <c r="B1514" s="17">
        <v>44502</v>
      </c>
      <c r="C1514" s="16">
        <v>879</v>
      </c>
      <c r="D1514" s="6">
        <v>2190</v>
      </c>
      <c r="E1514" s="1">
        <v>2650</v>
      </c>
      <c r="G1514" s="2">
        <f t="shared" si="23"/>
        <v>2650</v>
      </c>
      <c r="H1514" t="s">
        <v>13</v>
      </c>
    </row>
    <row r="1515" spans="2:8" x14ac:dyDescent="0.2">
      <c r="B1515" s="17">
        <v>44502</v>
      </c>
      <c r="C1515" s="16"/>
      <c r="D1515" s="6"/>
      <c r="F1515" s="1">
        <v>7000</v>
      </c>
      <c r="G1515" s="2">
        <f t="shared" si="23"/>
        <v>-7000</v>
      </c>
      <c r="H1515" t="s">
        <v>14</v>
      </c>
    </row>
    <row r="1516" spans="2:8" x14ac:dyDescent="0.2">
      <c r="B1516" s="17">
        <v>44502</v>
      </c>
      <c r="C1516" s="16"/>
      <c r="D1516" s="6"/>
      <c r="F1516" s="1">
        <v>10000</v>
      </c>
      <c r="G1516" s="2">
        <f t="shared" si="23"/>
        <v>-10000</v>
      </c>
      <c r="H1516" t="s">
        <v>25</v>
      </c>
    </row>
    <row r="1517" spans="2:8" x14ac:dyDescent="0.2">
      <c r="B1517" s="17">
        <v>44502</v>
      </c>
      <c r="C1517" s="16">
        <v>880</v>
      </c>
      <c r="D1517" s="6">
        <v>6500</v>
      </c>
      <c r="E1517" s="1">
        <v>7400</v>
      </c>
      <c r="G1517" s="2">
        <f t="shared" si="23"/>
        <v>7400</v>
      </c>
      <c r="H1517" t="s">
        <v>14</v>
      </c>
    </row>
    <row r="1518" spans="2:8" x14ac:dyDescent="0.2">
      <c r="B1518" s="17">
        <v>44503</v>
      </c>
      <c r="C1518" s="16">
        <v>881</v>
      </c>
      <c r="D1518" s="6">
        <v>500</v>
      </c>
      <c r="E1518" s="1">
        <v>600</v>
      </c>
      <c r="G1518" s="2">
        <f t="shared" si="23"/>
        <v>600</v>
      </c>
      <c r="H1518" t="s">
        <v>25</v>
      </c>
    </row>
    <row r="1519" spans="2:8" x14ac:dyDescent="0.2">
      <c r="B1519" s="17">
        <v>44503</v>
      </c>
      <c r="C1519" s="16">
        <v>882</v>
      </c>
      <c r="D1519" s="6">
        <v>11205</v>
      </c>
      <c r="E1519" s="1">
        <v>11950</v>
      </c>
      <c r="G1519" s="2">
        <f t="shared" si="23"/>
        <v>11950</v>
      </c>
      <c r="H1519" t="s">
        <v>14</v>
      </c>
    </row>
    <row r="1520" spans="2:8" x14ac:dyDescent="0.2">
      <c r="B1520" s="17">
        <v>44505</v>
      </c>
      <c r="C1520" s="16"/>
      <c r="D1520" s="6"/>
      <c r="F1520" s="1">
        <v>18000</v>
      </c>
      <c r="G1520" s="2">
        <f t="shared" si="23"/>
        <v>-18000</v>
      </c>
      <c r="H1520" t="s">
        <v>30</v>
      </c>
    </row>
    <row r="1521" spans="2:8" x14ac:dyDescent="0.2">
      <c r="B1521" s="17">
        <v>44507</v>
      </c>
      <c r="C1521" s="16"/>
      <c r="D1521" s="6"/>
      <c r="F1521" s="1">
        <v>10000</v>
      </c>
      <c r="G1521" s="2">
        <f t="shared" si="23"/>
        <v>-10000</v>
      </c>
      <c r="H1521" t="s">
        <v>13</v>
      </c>
    </row>
    <row r="1522" spans="2:8" x14ac:dyDescent="0.2">
      <c r="B1522" s="17">
        <v>44507</v>
      </c>
      <c r="C1522" s="16">
        <v>883</v>
      </c>
      <c r="D1522" s="6">
        <v>7587.5</v>
      </c>
      <c r="E1522" s="1">
        <v>8570</v>
      </c>
      <c r="G1522" s="2">
        <f t="shared" si="23"/>
        <v>8570</v>
      </c>
      <c r="H1522" t="s">
        <v>25</v>
      </c>
    </row>
    <row r="1523" spans="2:8" x14ac:dyDescent="0.2">
      <c r="B1523" s="17">
        <v>44507</v>
      </c>
      <c r="C1523" s="16">
        <v>884</v>
      </c>
      <c r="D1523" s="6">
        <v>4245</v>
      </c>
      <c r="E1523" s="1">
        <v>4595</v>
      </c>
      <c r="G1523" s="2">
        <f t="shared" si="23"/>
        <v>4595</v>
      </c>
      <c r="H1523" t="s">
        <v>14</v>
      </c>
    </row>
    <row r="1524" spans="2:8" x14ac:dyDescent="0.2">
      <c r="B1524" s="17">
        <v>44507</v>
      </c>
      <c r="C1524" s="16">
        <v>885</v>
      </c>
      <c r="D1524" s="6">
        <v>10123.5</v>
      </c>
      <c r="E1524" s="1">
        <v>11170</v>
      </c>
      <c r="G1524" s="2">
        <f t="shared" si="23"/>
        <v>11170</v>
      </c>
      <c r="H1524" t="s">
        <v>25</v>
      </c>
    </row>
    <row r="1525" spans="2:8" x14ac:dyDescent="0.2">
      <c r="B1525" s="17">
        <v>44508</v>
      </c>
      <c r="C1525" s="16">
        <v>886</v>
      </c>
      <c r="D1525" s="6">
        <v>5409</v>
      </c>
      <c r="E1525" s="1">
        <v>6220.5</v>
      </c>
      <c r="G1525" s="2">
        <f t="shared" si="23"/>
        <v>6220.5</v>
      </c>
      <c r="H1525" t="s">
        <v>13</v>
      </c>
    </row>
    <row r="1526" spans="2:8" x14ac:dyDescent="0.2">
      <c r="B1526" s="17">
        <v>44508</v>
      </c>
      <c r="C1526" s="16">
        <v>887</v>
      </c>
      <c r="D1526" s="6">
        <v>1153.75</v>
      </c>
      <c r="E1526" s="1">
        <v>1427.5</v>
      </c>
      <c r="G1526" s="2">
        <f t="shared" si="23"/>
        <v>1427.5</v>
      </c>
      <c r="H1526" t="s">
        <v>35</v>
      </c>
    </row>
    <row r="1527" spans="2:8" x14ac:dyDescent="0.2">
      <c r="B1527" s="17">
        <v>44509</v>
      </c>
      <c r="C1527" s="16">
        <v>888</v>
      </c>
      <c r="D1527" s="6">
        <v>3375</v>
      </c>
      <c r="E1527" s="1">
        <v>3675</v>
      </c>
      <c r="G1527" s="2">
        <f t="shared" si="23"/>
        <v>3675</v>
      </c>
      <c r="H1527" t="s">
        <v>13</v>
      </c>
    </row>
    <row r="1528" spans="2:8" x14ac:dyDescent="0.2">
      <c r="B1528" s="17">
        <v>44510</v>
      </c>
      <c r="C1528" s="16">
        <v>889</v>
      </c>
      <c r="D1528" s="6">
        <v>6134.5</v>
      </c>
      <c r="E1528" s="1">
        <v>6587.5</v>
      </c>
      <c r="G1528" s="2">
        <f t="shared" si="23"/>
        <v>6587.5</v>
      </c>
      <c r="H1528" t="s">
        <v>27</v>
      </c>
    </row>
    <row r="1529" spans="2:8" x14ac:dyDescent="0.2">
      <c r="B1529" s="17">
        <v>44510</v>
      </c>
      <c r="C1529" s="16"/>
      <c r="D1529" s="6"/>
      <c r="F1529" s="1">
        <v>10000</v>
      </c>
      <c r="G1529" s="2">
        <f t="shared" si="23"/>
        <v>-10000</v>
      </c>
      <c r="H1529" t="s">
        <v>14</v>
      </c>
    </row>
    <row r="1530" spans="2:8" x14ac:dyDescent="0.2">
      <c r="B1530" s="17">
        <v>44510</v>
      </c>
      <c r="C1530" s="16"/>
      <c r="D1530" s="6"/>
      <c r="F1530" s="1">
        <v>4000</v>
      </c>
      <c r="G1530" s="2">
        <f t="shared" si="23"/>
        <v>-4000</v>
      </c>
      <c r="H1530" t="s">
        <v>27</v>
      </c>
    </row>
    <row r="1531" spans="2:8" x14ac:dyDescent="0.2">
      <c r="B1531" s="17">
        <v>44510</v>
      </c>
      <c r="C1531" s="16">
        <v>890</v>
      </c>
      <c r="D1531" s="6">
        <v>1520</v>
      </c>
      <c r="E1531" s="1">
        <v>1700</v>
      </c>
      <c r="G1531" s="2">
        <f t="shared" si="23"/>
        <v>1700</v>
      </c>
      <c r="H1531" t="s">
        <v>27</v>
      </c>
    </row>
    <row r="1532" spans="2:8" x14ac:dyDescent="0.2">
      <c r="B1532" s="17">
        <v>44511</v>
      </c>
      <c r="C1532" s="16">
        <v>891</v>
      </c>
      <c r="D1532" s="6">
        <v>5065</v>
      </c>
      <c r="E1532" s="1">
        <v>5810</v>
      </c>
      <c r="G1532" s="2">
        <f t="shared" si="23"/>
        <v>5810</v>
      </c>
      <c r="H1532" t="s">
        <v>13</v>
      </c>
    </row>
    <row r="1533" spans="2:8" x14ac:dyDescent="0.2">
      <c r="B1533" s="17">
        <v>44511</v>
      </c>
      <c r="C1533" s="16">
        <v>892</v>
      </c>
      <c r="D1533" s="6">
        <v>930</v>
      </c>
      <c r="E1533" s="1">
        <v>985</v>
      </c>
      <c r="G1533" s="2">
        <f t="shared" si="23"/>
        <v>985</v>
      </c>
      <c r="H1533" t="s">
        <v>14</v>
      </c>
    </row>
    <row r="1534" spans="2:8" x14ac:dyDescent="0.2">
      <c r="B1534" s="17">
        <v>44511</v>
      </c>
      <c r="C1534" s="16">
        <v>893</v>
      </c>
      <c r="D1534" s="6">
        <v>890</v>
      </c>
      <c r="E1534" s="1">
        <v>950</v>
      </c>
      <c r="G1534" s="2">
        <f t="shared" si="23"/>
        <v>950</v>
      </c>
      <c r="H1534" t="s">
        <v>25</v>
      </c>
    </row>
    <row r="1535" spans="2:8" x14ac:dyDescent="0.2">
      <c r="B1535" s="17">
        <v>44513</v>
      </c>
      <c r="C1535" s="16"/>
      <c r="D1535" s="6"/>
      <c r="F1535" s="1">
        <v>5000</v>
      </c>
      <c r="G1535" s="2">
        <f t="shared" si="23"/>
        <v>-5000</v>
      </c>
      <c r="H1535" t="s">
        <v>13</v>
      </c>
    </row>
    <row r="1536" spans="2:8" x14ac:dyDescent="0.2">
      <c r="B1536" s="17">
        <v>44513</v>
      </c>
      <c r="C1536" s="16">
        <v>894</v>
      </c>
      <c r="D1536" s="6">
        <v>2160</v>
      </c>
      <c r="E1536" s="1">
        <v>2180</v>
      </c>
      <c r="G1536" s="2">
        <f t="shared" si="23"/>
        <v>2180</v>
      </c>
      <c r="H1536" t="s">
        <v>27</v>
      </c>
    </row>
    <row r="1537" spans="2:8" x14ac:dyDescent="0.2">
      <c r="B1537" s="17">
        <v>44513</v>
      </c>
      <c r="C1537" s="16">
        <v>895</v>
      </c>
      <c r="D1537" s="6">
        <v>1620</v>
      </c>
      <c r="E1537" s="1">
        <v>1945</v>
      </c>
      <c r="G1537" s="2">
        <f t="shared" si="23"/>
        <v>1945</v>
      </c>
      <c r="H1537" t="s">
        <v>35</v>
      </c>
    </row>
    <row r="1538" spans="2:8" x14ac:dyDescent="0.2">
      <c r="B1538" s="17">
        <v>44513</v>
      </c>
      <c r="C1538" s="16">
        <v>896</v>
      </c>
      <c r="D1538" s="6">
        <v>930.5</v>
      </c>
      <c r="E1538" s="1">
        <v>1037.25</v>
      </c>
      <c r="G1538" s="2">
        <f t="shared" si="23"/>
        <v>1037.25</v>
      </c>
      <c r="H1538" t="s">
        <v>25</v>
      </c>
    </row>
    <row r="1539" spans="2:8" x14ac:dyDescent="0.2">
      <c r="B1539" s="17">
        <v>44513</v>
      </c>
      <c r="C1539" s="16">
        <v>897</v>
      </c>
      <c r="D1539" s="6">
        <v>440</v>
      </c>
      <c r="E1539" s="1">
        <v>560</v>
      </c>
      <c r="G1539" s="2">
        <f t="shared" ref="G1539:G1602" si="24">E1539-F1539</f>
        <v>560</v>
      </c>
      <c r="H1539" t="s">
        <v>25</v>
      </c>
    </row>
    <row r="1540" spans="2:8" x14ac:dyDescent="0.2">
      <c r="B1540" s="17">
        <v>44513</v>
      </c>
      <c r="C1540" s="16">
        <v>898</v>
      </c>
      <c r="D1540" s="6">
        <v>5152.5</v>
      </c>
      <c r="E1540" s="1">
        <v>5497.5</v>
      </c>
      <c r="G1540" s="2">
        <f t="shared" si="24"/>
        <v>5497.5</v>
      </c>
      <c r="H1540" t="s">
        <v>14</v>
      </c>
    </row>
    <row r="1541" spans="2:8" x14ac:dyDescent="0.2">
      <c r="B1541" s="17">
        <v>44514</v>
      </c>
      <c r="C1541" s="16"/>
      <c r="D1541" s="6"/>
      <c r="F1541" s="1">
        <v>5000</v>
      </c>
      <c r="G1541" s="2">
        <f t="shared" si="24"/>
        <v>-5000</v>
      </c>
      <c r="H1541" t="s">
        <v>13</v>
      </c>
    </row>
    <row r="1542" spans="2:8" x14ac:dyDescent="0.2">
      <c r="B1542" s="17">
        <v>44514</v>
      </c>
      <c r="C1542" s="16"/>
      <c r="D1542" s="6"/>
      <c r="F1542" s="1">
        <v>5000</v>
      </c>
      <c r="G1542" s="2">
        <f t="shared" si="24"/>
        <v>-5000</v>
      </c>
      <c r="H1542" t="s">
        <v>35</v>
      </c>
    </row>
    <row r="1543" spans="2:8" x14ac:dyDescent="0.2">
      <c r="B1543" s="17">
        <v>44514</v>
      </c>
      <c r="C1543" s="16">
        <v>899</v>
      </c>
      <c r="D1543" s="6">
        <v>2755.75</v>
      </c>
      <c r="E1543" s="1">
        <v>3112</v>
      </c>
      <c r="G1543" s="2">
        <f t="shared" si="24"/>
        <v>3112</v>
      </c>
      <c r="H1543" t="s">
        <v>13</v>
      </c>
    </row>
    <row r="1544" spans="2:8" x14ac:dyDescent="0.2">
      <c r="B1544" s="17">
        <v>44515</v>
      </c>
      <c r="C1544" s="16"/>
      <c r="D1544" s="6"/>
      <c r="F1544" s="1">
        <v>5000</v>
      </c>
      <c r="G1544" s="2">
        <f t="shared" si="24"/>
        <v>-5000</v>
      </c>
      <c r="H1544" t="s">
        <v>13</v>
      </c>
    </row>
    <row r="1545" spans="2:8" x14ac:dyDescent="0.2">
      <c r="B1545" s="17">
        <v>44515</v>
      </c>
      <c r="C1545" s="16">
        <v>900</v>
      </c>
      <c r="D1545" s="6">
        <v>6294.15</v>
      </c>
      <c r="E1545" s="1">
        <v>6770</v>
      </c>
      <c r="G1545" s="2">
        <f t="shared" si="24"/>
        <v>6770</v>
      </c>
      <c r="H1545" t="s">
        <v>13</v>
      </c>
    </row>
    <row r="1546" spans="2:8" x14ac:dyDescent="0.2">
      <c r="B1546" s="17">
        <v>44515</v>
      </c>
      <c r="C1546" s="16">
        <v>901</v>
      </c>
      <c r="D1546" s="6">
        <v>4247.25</v>
      </c>
      <c r="E1546" s="1">
        <v>4565</v>
      </c>
      <c r="G1546" s="2">
        <f t="shared" si="24"/>
        <v>4565</v>
      </c>
      <c r="H1546" t="s">
        <v>13</v>
      </c>
    </row>
    <row r="1547" spans="2:8" x14ac:dyDescent="0.2">
      <c r="B1547" s="17">
        <v>44515</v>
      </c>
      <c r="C1547" s="16">
        <v>902</v>
      </c>
      <c r="D1547" s="6">
        <v>3018</v>
      </c>
      <c r="E1547" s="1">
        <v>3366</v>
      </c>
      <c r="G1547" s="2">
        <f t="shared" si="24"/>
        <v>3366</v>
      </c>
      <c r="H1547" t="s">
        <v>25</v>
      </c>
    </row>
    <row r="1548" spans="2:8" x14ac:dyDescent="0.2">
      <c r="B1548" s="17">
        <v>44515</v>
      </c>
      <c r="C1548" s="16">
        <v>903</v>
      </c>
      <c r="D1548" s="6">
        <v>960</v>
      </c>
      <c r="E1548" s="1">
        <v>1030</v>
      </c>
      <c r="G1548" s="2">
        <f t="shared" si="24"/>
        <v>1030</v>
      </c>
      <c r="H1548" t="s">
        <v>39</v>
      </c>
    </row>
    <row r="1549" spans="2:8" x14ac:dyDescent="0.2">
      <c r="B1549" s="17">
        <v>44515</v>
      </c>
      <c r="C1549" s="16">
        <v>904</v>
      </c>
      <c r="D1549" s="6">
        <v>6750</v>
      </c>
      <c r="E1549" s="1">
        <v>7250</v>
      </c>
      <c r="G1549" s="2">
        <f t="shared" si="24"/>
        <v>7250</v>
      </c>
      <c r="H1549" t="s">
        <v>39</v>
      </c>
    </row>
    <row r="1550" spans="2:8" x14ac:dyDescent="0.2">
      <c r="B1550" s="17">
        <v>44517</v>
      </c>
      <c r="C1550" s="16">
        <v>905</v>
      </c>
      <c r="D1550" s="6">
        <v>5915</v>
      </c>
      <c r="E1550" s="1">
        <v>6515</v>
      </c>
      <c r="G1550" s="2">
        <f t="shared" si="24"/>
        <v>6515</v>
      </c>
      <c r="H1550" t="s">
        <v>30</v>
      </c>
    </row>
    <row r="1551" spans="2:8" x14ac:dyDescent="0.2">
      <c r="B1551" s="17">
        <v>44517</v>
      </c>
      <c r="C1551" s="16">
        <v>906</v>
      </c>
      <c r="D1551" s="6">
        <v>930</v>
      </c>
      <c r="E1551" s="1">
        <v>1120</v>
      </c>
      <c r="G1551" s="2">
        <f t="shared" si="24"/>
        <v>1120</v>
      </c>
      <c r="H1551" t="s">
        <v>14</v>
      </c>
    </row>
    <row r="1552" spans="2:8" x14ac:dyDescent="0.2">
      <c r="B1552" s="17">
        <v>44517</v>
      </c>
      <c r="C1552" s="16">
        <v>907</v>
      </c>
      <c r="D1552" s="6">
        <v>420</v>
      </c>
      <c r="E1552" s="1">
        <v>440</v>
      </c>
      <c r="G1552" s="2">
        <f t="shared" si="24"/>
        <v>440</v>
      </c>
      <c r="H1552" t="s">
        <v>25</v>
      </c>
    </row>
    <row r="1553" spans="2:8" x14ac:dyDescent="0.2">
      <c r="B1553" s="17">
        <v>44517</v>
      </c>
      <c r="C1553" s="16"/>
      <c r="D1553" s="6"/>
      <c r="F1553" s="1">
        <v>5000</v>
      </c>
      <c r="G1553" s="2">
        <f t="shared" si="24"/>
        <v>-5000</v>
      </c>
      <c r="H1553" t="s">
        <v>25</v>
      </c>
    </row>
    <row r="1554" spans="2:8" x14ac:dyDescent="0.2">
      <c r="B1554" s="17">
        <v>44521</v>
      </c>
      <c r="C1554" s="16"/>
      <c r="D1554" s="6"/>
      <c r="F1554" s="1">
        <v>3000</v>
      </c>
      <c r="G1554" s="2">
        <f t="shared" si="24"/>
        <v>-3000</v>
      </c>
      <c r="H1554" t="s">
        <v>27</v>
      </c>
    </row>
    <row r="1555" spans="2:8" x14ac:dyDescent="0.2">
      <c r="B1555" s="17">
        <v>44521</v>
      </c>
      <c r="C1555" s="16">
        <v>908</v>
      </c>
      <c r="D1555" s="6">
        <v>4535.8</v>
      </c>
      <c r="E1555" s="1">
        <v>4875</v>
      </c>
      <c r="G1555" s="2">
        <f t="shared" si="24"/>
        <v>4875</v>
      </c>
      <c r="H1555" t="s">
        <v>13</v>
      </c>
    </row>
    <row r="1556" spans="2:8" x14ac:dyDescent="0.2">
      <c r="B1556" s="17">
        <v>44521</v>
      </c>
      <c r="C1556" s="16">
        <v>909</v>
      </c>
      <c r="D1556" s="6">
        <v>1098.5</v>
      </c>
      <c r="E1556" s="1">
        <v>1169</v>
      </c>
      <c r="G1556" s="2">
        <f t="shared" si="24"/>
        <v>1169</v>
      </c>
      <c r="H1556" t="s">
        <v>25</v>
      </c>
    </row>
    <row r="1557" spans="2:8" x14ac:dyDescent="0.2">
      <c r="B1557" s="17">
        <v>44522</v>
      </c>
      <c r="C1557" s="16">
        <v>910</v>
      </c>
      <c r="D1557" s="6">
        <v>768.75</v>
      </c>
      <c r="E1557" s="1">
        <v>987.5</v>
      </c>
      <c r="G1557" s="2">
        <f t="shared" si="24"/>
        <v>987.5</v>
      </c>
      <c r="H1557" t="s">
        <v>35</v>
      </c>
    </row>
    <row r="1558" spans="2:8" x14ac:dyDescent="0.2">
      <c r="B1558" s="17">
        <v>44522</v>
      </c>
      <c r="C1558" s="16">
        <v>911</v>
      </c>
      <c r="D1558" s="6">
        <v>270</v>
      </c>
      <c r="E1558" s="1">
        <v>300</v>
      </c>
      <c r="G1558" s="2">
        <f t="shared" si="24"/>
        <v>300</v>
      </c>
      <c r="H1558" t="s">
        <v>14</v>
      </c>
    </row>
    <row r="1559" spans="2:8" x14ac:dyDescent="0.2">
      <c r="B1559" s="17">
        <v>44522</v>
      </c>
      <c r="C1559" s="16">
        <v>912</v>
      </c>
      <c r="D1559" s="6">
        <v>177.5</v>
      </c>
      <c r="E1559" s="1">
        <v>212.5</v>
      </c>
      <c r="G1559" s="2">
        <f t="shared" si="24"/>
        <v>212.5</v>
      </c>
      <c r="H1559" t="s">
        <v>25</v>
      </c>
    </row>
    <row r="1560" spans="2:8" x14ac:dyDescent="0.2">
      <c r="B1560" s="17">
        <v>44522</v>
      </c>
      <c r="C1560" s="16"/>
      <c r="D1560" s="6"/>
      <c r="F1560" s="1">
        <v>5000</v>
      </c>
      <c r="G1560" s="2">
        <f t="shared" si="24"/>
        <v>-5000</v>
      </c>
      <c r="H1560" t="s">
        <v>25</v>
      </c>
    </row>
    <row r="1561" spans="2:8" x14ac:dyDescent="0.2">
      <c r="B1561" s="17">
        <v>44522</v>
      </c>
      <c r="C1561" s="16"/>
      <c r="D1561" s="6"/>
      <c r="F1561" s="1">
        <v>10000</v>
      </c>
      <c r="G1561" s="2">
        <f t="shared" si="24"/>
        <v>-10000</v>
      </c>
      <c r="H1561" t="s">
        <v>13</v>
      </c>
    </row>
    <row r="1562" spans="2:8" x14ac:dyDescent="0.2">
      <c r="B1562" s="17">
        <v>44524</v>
      </c>
      <c r="C1562" s="16"/>
      <c r="D1562" s="6"/>
      <c r="F1562" s="1">
        <v>5000</v>
      </c>
      <c r="G1562" s="2">
        <f t="shared" si="24"/>
        <v>-5000</v>
      </c>
      <c r="H1562" t="s">
        <v>14</v>
      </c>
    </row>
    <row r="1563" spans="2:8" x14ac:dyDescent="0.2">
      <c r="B1563" s="17">
        <v>44524</v>
      </c>
      <c r="C1563" s="16">
        <v>913</v>
      </c>
      <c r="D1563" s="6">
        <v>1936.25</v>
      </c>
      <c r="E1563" s="1">
        <v>2100</v>
      </c>
      <c r="G1563" s="2">
        <f t="shared" si="24"/>
        <v>2100</v>
      </c>
      <c r="H1563" t="s">
        <v>13</v>
      </c>
    </row>
    <row r="1564" spans="2:8" x14ac:dyDescent="0.2">
      <c r="B1564" s="17">
        <v>44524</v>
      </c>
      <c r="C1564" s="16">
        <v>914</v>
      </c>
      <c r="D1564" s="6">
        <v>8115</v>
      </c>
      <c r="E1564" s="1">
        <v>8935</v>
      </c>
      <c r="G1564" s="2">
        <f t="shared" si="24"/>
        <v>8935</v>
      </c>
      <c r="H1564" t="s">
        <v>14</v>
      </c>
    </row>
    <row r="1565" spans="2:8" x14ac:dyDescent="0.2">
      <c r="B1565" s="17">
        <v>44524</v>
      </c>
      <c r="C1565" s="16">
        <v>915</v>
      </c>
      <c r="D1565" s="6">
        <v>3050</v>
      </c>
      <c r="E1565" s="1">
        <v>3300</v>
      </c>
      <c r="G1565" s="2">
        <f t="shared" si="24"/>
        <v>3300</v>
      </c>
      <c r="H1565" t="s">
        <v>27</v>
      </c>
    </row>
    <row r="1566" spans="2:8" x14ac:dyDescent="0.2">
      <c r="B1566" s="17">
        <v>44524</v>
      </c>
      <c r="C1566" s="16">
        <v>916</v>
      </c>
      <c r="D1566" s="6">
        <v>2322</v>
      </c>
      <c r="E1566" s="1">
        <v>2670</v>
      </c>
      <c r="G1566" s="2">
        <f t="shared" si="24"/>
        <v>2670</v>
      </c>
      <c r="H1566" t="s">
        <v>13</v>
      </c>
    </row>
    <row r="1567" spans="2:8" x14ac:dyDescent="0.2">
      <c r="B1567" s="17">
        <v>44525</v>
      </c>
      <c r="C1567" s="16"/>
      <c r="D1567" s="6"/>
      <c r="F1567" s="1">
        <v>20000</v>
      </c>
      <c r="G1567" s="2">
        <f t="shared" si="24"/>
        <v>-20000</v>
      </c>
      <c r="H1567" t="s">
        <v>14</v>
      </c>
    </row>
    <row r="1568" spans="2:8" x14ac:dyDescent="0.2">
      <c r="B1568" s="17">
        <v>44527</v>
      </c>
      <c r="C1568" s="16">
        <v>917</v>
      </c>
      <c r="D1568" s="6">
        <v>2650</v>
      </c>
      <c r="E1568" s="1">
        <v>2900</v>
      </c>
      <c r="G1568" s="2">
        <f t="shared" si="24"/>
        <v>2900</v>
      </c>
      <c r="H1568" t="s">
        <v>14</v>
      </c>
    </row>
    <row r="1569" spans="2:8" x14ac:dyDescent="0.2">
      <c r="B1569" s="17">
        <v>44527</v>
      </c>
      <c r="C1569" s="16">
        <v>918</v>
      </c>
      <c r="D1569" s="6">
        <v>4148.5</v>
      </c>
      <c r="E1569" s="1">
        <v>4569.75</v>
      </c>
      <c r="G1569" s="2">
        <f t="shared" si="24"/>
        <v>4569.75</v>
      </c>
      <c r="H1569" t="s">
        <v>25</v>
      </c>
    </row>
    <row r="1570" spans="2:8" x14ac:dyDescent="0.2">
      <c r="B1570" s="17">
        <v>44528</v>
      </c>
      <c r="C1570" s="16">
        <v>919</v>
      </c>
      <c r="D1570" s="6">
        <v>4270</v>
      </c>
      <c r="E1570" s="1">
        <v>4630</v>
      </c>
      <c r="G1570" s="2">
        <f t="shared" si="24"/>
        <v>4630</v>
      </c>
      <c r="H1570" t="s">
        <v>13</v>
      </c>
    </row>
    <row r="1571" spans="2:8" x14ac:dyDescent="0.2">
      <c r="B1571" s="17">
        <v>44528</v>
      </c>
      <c r="C1571" s="16">
        <v>920</v>
      </c>
      <c r="D1571" s="6">
        <v>14800</v>
      </c>
      <c r="E1571" s="1">
        <v>16400</v>
      </c>
      <c r="G1571" s="2">
        <f t="shared" si="24"/>
        <v>16400</v>
      </c>
      <c r="H1571" t="s">
        <v>38</v>
      </c>
    </row>
    <row r="1572" spans="2:8" x14ac:dyDescent="0.2">
      <c r="B1572" s="17">
        <v>44528</v>
      </c>
      <c r="C1572" s="16"/>
      <c r="D1572" s="6"/>
      <c r="F1572" s="1">
        <v>10000</v>
      </c>
      <c r="G1572" s="2">
        <f t="shared" si="24"/>
        <v>-10000</v>
      </c>
      <c r="H1572" t="s">
        <v>14</v>
      </c>
    </row>
    <row r="1573" spans="2:8" x14ac:dyDescent="0.2">
      <c r="B1573" s="17">
        <v>44528</v>
      </c>
      <c r="C1573" s="16">
        <v>921</v>
      </c>
      <c r="D1573" s="6">
        <v>2993.5</v>
      </c>
      <c r="E1573" s="1">
        <v>3305</v>
      </c>
      <c r="G1573" s="2">
        <f t="shared" si="24"/>
        <v>3305</v>
      </c>
      <c r="H1573" t="s">
        <v>13</v>
      </c>
    </row>
    <row r="1574" spans="2:8" x14ac:dyDescent="0.2">
      <c r="B1574" s="17">
        <v>44529</v>
      </c>
      <c r="C1574" s="16"/>
      <c r="D1574" s="6"/>
      <c r="F1574" s="1">
        <v>3500</v>
      </c>
      <c r="G1574" s="2">
        <f t="shared" si="24"/>
        <v>-3500</v>
      </c>
      <c r="H1574" t="s">
        <v>27</v>
      </c>
    </row>
    <row r="1575" spans="2:8" x14ac:dyDescent="0.2">
      <c r="B1575" s="17">
        <v>44529</v>
      </c>
      <c r="C1575" s="16"/>
      <c r="D1575" s="6"/>
      <c r="F1575" s="1">
        <v>10000</v>
      </c>
      <c r="G1575" s="2">
        <f t="shared" si="24"/>
        <v>-10000</v>
      </c>
      <c r="H1575" t="s">
        <v>25</v>
      </c>
    </row>
    <row r="1576" spans="2:8" x14ac:dyDescent="0.2">
      <c r="B1576" s="17">
        <v>44530</v>
      </c>
      <c r="C1576" s="16"/>
      <c r="D1576" s="6"/>
      <c r="F1576" s="1">
        <v>5000</v>
      </c>
      <c r="G1576" s="2">
        <f t="shared" si="24"/>
        <v>-5000</v>
      </c>
      <c r="H1576" t="s">
        <v>13</v>
      </c>
    </row>
    <row r="1577" spans="2:8" x14ac:dyDescent="0.2">
      <c r="B1577" s="17">
        <v>44530</v>
      </c>
      <c r="C1577" s="16">
        <v>922</v>
      </c>
      <c r="D1577" s="6">
        <v>6090.75</v>
      </c>
      <c r="E1577" s="1">
        <v>6688.5</v>
      </c>
      <c r="G1577" s="2">
        <f t="shared" si="24"/>
        <v>6688.5</v>
      </c>
      <c r="H1577" t="s">
        <v>27</v>
      </c>
    </row>
    <row r="1578" spans="2:8" x14ac:dyDescent="0.2">
      <c r="B1578" s="17">
        <v>44530</v>
      </c>
      <c r="C1578" s="16">
        <v>923</v>
      </c>
      <c r="D1578" s="6">
        <v>5675.5</v>
      </c>
      <c r="E1578" s="1">
        <v>6266</v>
      </c>
      <c r="G1578" s="2">
        <f t="shared" si="24"/>
        <v>6266</v>
      </c>
      <c r="H1578" t="s">
        <v>13</v>
      </c>
    </row>
    <row r="1579" spans="2:8" x14ac:dyDescent="0.2">
      <c r="B1579" s="17">
        <v>44530</v>
      </c>
      <c r="C1579" s="16">
        <v>924</v>
      </c>
      <c r="D1579" s="6">
        <v>1474</v>
      </c>
      <c r="E1579" s="1">
        <v>1740</v>
      </c>
      <c r="G1579" s="2">
        <f t="shared" si="24"/>
        <v>1740</v>
      </c>
      <c r="H1579" t="s">
        <v>30</v>
      </c>
    </row>
    <row r="1580" spans="2:8" x14ac:dyDescent="0.2">
      <c r="B1580" s="17">
        <v>44531</v>
      </c>
      <c r="C1580" s="16">
        <v>925</v>
      </c>
      <c r="D1580" s="6">
        <v>16801.05</v>
      </c>
      <c r="E1580" s="1">
        <v>18545</v>
      </c>
      <c r="G1580" s="2">
        <f t="shared" si="24"/>
        <v>18545</v>
      </c>
      <c r="H1580" t="s">
        <v>30</v>
      </c>
    </row>
    <row r="1581" spans="2:8" x14ac:dyDescent="0.2">
      <c r="B1581" s="17">
        <v>44531</v>
      </c>
      <c r="C1581" s="16">
        <v>926</v>
      </c>
      <c r="D1581" s="6">
        <v>1508.75</v>
      </c>
      <c r="E1581" s="1">
        <v>1817.5</v>
      </c>
      <c r="G1581" s="2">
        <f t="shared" si="24"/>
        <v>1817.5</v>
      </c>
      <c r="H1581" t="s">
        <v>35</v>
      </c>
    </row>
    <row r="1582" spans="2:8" x14ac:dyDescent="0.2">
      <c r="B1582" s="17">
        <v>44532</v>
      </c>
      <c r="C1582" s="16">
        <v>927</v>
      </c>
      <c r="D1582" s="6">
        <v>5400</v>
      </c>
      <c r="E1582" s="1">
        <v>5850</v>
      </c>
      <c r="G1582" s="2">
        <f t="shared" si="24"/>
        <v>5850</v>
      </c>
      <c r="H1582" t="s">
        <v>14</v>
      </c>
    </row>
    <row r="1583" spans="2:8" x14ac:dyDescent="0.2">
      <c r="B1583" s="17">
        <v>44532</v>
      </c>
      <c r="C1583" s="16">
        <v>928</v>
      </c>
      <c r="D1583" s="6">
        <v>2700</v>
      </c>
      <c r="E1583" s="1">
        <v>3020</v>
      </c>
      <c r="G1583" s="2">
        <f t="shared" si="24"/>
        <v>3020</v>
      </c>
      <c r="H1583" t="s">
        <v>25</v>
      </c>
    </row>
    <row r="1584" spans="2:8" x14ac:dyDescent="0.2">
      <c r="B1584" s="17">
        <v>44534</v>
      </c>
      <c r="C1584" s="16"/>
      <c r="D1584" s="6"/>
      <c r="F1584" s="1">
        <v>10000</v>
      </c>
      <c r="G1584" s="2">
        <f t="shared" si="24"/>
        <v>-10000</v>
      </c>
      <c r="H1584" t="s">
        <v>14</v>
      </c>
    </row>
    <row r="1585" spans="2:8" x14ac:dyDescent="0.2">
      <c r="B1585" s="17">
        <v>44534</v>
      </c>
      <c r="C1585" s="16"/>
      <c r="D1585" s="6"/>
      <c r="F1585" s="1">
        <v>5000</v>
      </c>
      <c r="G1585" s="2">
        <f t="shared" si="24"/>
        <v>-5000</v>
      </c>
      <c r="H1585" t="s">
        <v>25</v>
      </c>
    </row>
    <row r="1586" spans="2:8" x14ac:dyDescent="0.2">
      <c r="B1586" s="17">
        <v>44534</v>
      </c>
      <c r="C1586" s="16"/>
      <c r="D1586" s="6"/>
      <c r="F1586" s="1">
        <v>10000</v>
      </c>
      <c r="G1586" s="2">
        <f t="shared" si="24"/>
        <v>-10000</v>
      </c>
      <c r="H1586" t="s">
        <v>13</v>
      </c>
    </row>
    <row r="1587" spans="2:8" x14ac:dyDescent="0.2">
      <c r="B1587" s="17">
        <v>44535</v>
      </c>
      <c r="C1587" s="16"/>
      <c r="D1587" s="6"/>
      <c r="F1587" s="1">
        <v>30000</v>
      </c>
      <c r="G1587" s="2">
        <f t="shared" si="24"/>
        <v>-30000</v>
      </c>
      <c r="H1587" t="s">
        <v>14</v>
      </c>
    </row>
    <row r="1588" spans="2:8" x14ac:dyDescent="0.2">
      <c r="B1588" s="17">
        <v>44535</v>
      </c>
      <c r="C1588" s="16">
        <v>929</v>
      </c>
      <c r="D1588" s="6">
        <v>540</v>
      </c>
      <c r="E1588" s="1">
        <v>576</v>
      </c>
      <c r="G1588" s="2">
        <f t="shared" si="24"/>
        <v>576</v>
      </c>
      <c r="H1588" t="s">
        <v>14</v>
      </c>
    </row>
    <row r="1589" spans="2:8" x14ac:dyDescent="0.2">
      <c r="B1589" s="17">
        <v>44535</v>
      </c>
      <c r="C1589" s="16">
        <v>930</v>
      </c>
      <c r="D1589" s="6">
        <v>1475</v>
      </c>
      <c r="E1589" s="1">
        <v>1596</v>
      </c>
      <c r="G1589" s="2">
        <f t="shared" si="24"/>
        <v>1596</v>
      </c>
      <c r="H1589" t="s">
        <v>25</v>
      </c>
    </row>
    <row r="1590" spans="2:8" x14ac:dyDescent="0.2">
      <c r="B1590" s="17">
        <v>44535</v>
      </c>
      <c r="C1590" s="16">
        <v>931</v>
      </c>
      <c r="D1590" s="6">
        <v>3402.8199999999997</v>
      </c>
      <c r="E1590" s="1">
        <v>3576</v>
      </c>
      <c r="G1590" s="2">
        <f t="shared" si="24"/>
        <v>3576</v>
      </c>
      <c r="H1590" t="s">
        <v>13</v>
      </c>
    </row>
    <row r="1591" spans="2:8" x14ac:dyDescent="0.2">
      <c r="B1591" s="17">
        <v>44537</v>
      </c>
      <c r="C1591" s="16">
        <v>932</v>
      </c>
      <c r="D1591" s="6">
        <v>3990</v>
      </c>
      <c r="E1591" s="1">
        <v>4140</v>
      </c>
      <c r="G1591" s="2">
        <f t="shared" si="24"/>
        <v>4140</v>
      </c>
      <c r="H1591" t="s">
        <v>25</v>
      </c>
    </row>
    <row r="1592" spans="2:8" x14ac:dyDescent="0.2">
      <c r="B1592" s="17">
        <v>44537</v>
      </c>
      <c r="C1592" s="16">
        <v>933</v>
      </c>
      <c r="D1592" s="6">
        <v>6522.5</v>
      </c>
      <c r="E1592" s="1">
        <v>7105</v>
      </c>
      <c r="G1592" s="2">
        <f t="shared" si="24"/>
        <v>7105</v>
      </c>
      <c r="H1592" t="s">
        <v>13</v>
      </c>
    </row>
    <row r="1593" spans="2:8" x14ac:dyDescent="0.2">
      <c r="B1593" s="17">
        <v>44538</v>
      </c>
      <c r="C1593" s="16">
        <v>934</v>
      </c>
      <c r="D1593" s="6">
        <v>2867.5</v>
      </c>
      <c r="E1593" s="1">
        <v>3075</v>
      </c>
      <c r="G1593" s="2">
        <f t="shared" si="24"/>
        <v>3075</v>
      </c>
      <c r="H1593" t="s">
        <v>25</v>
      </c>
    </row>
    <row r="1594" spans="2:8" x14ac:dyDescent="0.2">
      <c r="B1594" s="17">
        <v>44538</v>
      </c>
      <c r="C1594" s="16">
        <v>935</v>
      </c>
      <c r="D1594" s="6">
        <v>3650</v>
      </c>
      <c r="E1594" s="1">
        <v>4000</v>
      </c>
      <c r="G1594" s="2">
        <f t="shared" si="24"/>
        <v>4000</v>
      </c>
      <c r="H1594" t="s">
        <v>27</v>
      </c>
    </row>
    <row r="1595" spans="2:8" x14ac:dyDescent="0.2">
      <c r="B1595" s="17">
        <v>44539</v>
      </c>
      <c r="C1595" s="16">
        <v>936</v>
      </c>
      <c r="D1595" s="6">
        <v>1051.6500000000001</v>
      </c>
      <c r="E1595" s="1">
        <v>1175</v>
      </c>
      <c r="G1595" s="2">
        <f t="shared" si="24"/>
        <v>1175</v>
      </c>
      <c r="H1595" t="s">
        <v>25</v>
      </c>
    </row>
    <row r="1596" spans="2:8" x14ac:dyDescent="0.2">
      <c r="B1596" s="17">
        <v>44539</v>
      </c>
      <c r="C1596" s="16">
        <v>937</v>
      </c>
      <c r="D1596" s="6">
        <v>3798</v>
      </c>
      <c r="E1596" s="1">
        <v>4222</v>
      </c>
      <c r="G1596" s="2">
        <f t="shared" si="24"/>
        <v>4222</v>
      </c>
      <c r="H1596" t="s">
        <v>13</v>
      </c>
    </row>
    <row r="1597" spans="2:8" x14ac:dyDescent="0.2">
      <c r="B1597" s="17">
        <v>44539</v>
      </c>
      <c r="C1597" s="16"/>
      <c r="D1597" s="6"/>
      <c r="F1597" s="1">
        <v>5000</v>
      </c>
      <c r="G1597" s="2">
        <f t="shared" si="24"/>
        <v>-5000</v>
      </c>
      <c r="H1597" t="s">
        <v>13</v>
      </c>
    </row>
    <row r="1598" spans="2:8" x14ac:dyDescent="0.2">
      <c r="B1598" s="17">
        <v>44539</v>
      </c>
      <c r="C1598" s="16"/>
      <c r="D1598" s="6"/>
      <c r="F1598" s="1">
        <v>5000</v>
      </c>
      <c r="G1598" s="2">
        <f t="shared" si="24"/>
        <v>-5000</v>
      </c>
      <c r="H1598" t="s">
        <v>25</v>
      </c>
    </row>
    <row r="1599" spans="2:8" x14ac:dyDescent="0.2">
      <c r="B1599" s="17">
        <v>44539</v>
      </c>
      <c r="C1599" s="16"/>
      <c r="D1599" s="6"/>
      <c r="F1599" s="1">
        <v>3500</v>
      </c>
      <c r="G1599" s="2">
        <f t="shared" si="24"/>
        <v>-3500</v>
      </c>
      <c r="H1599" t="s">
        <v>27</v>
      </c>
    </row>
    <row r="1600" spans="2:8" x14ac:dyDescent="0.2">
      <c r="B1600" s="17">
        <v>44540</v>
      </c>
      <c r="C1600" s="16"/>
      <c r="D1600" s="6"/>
      <c r="F1600" s="1">
        <v>18314</v>
      </c>
      <c r="G1600" s="2">
        <f t="shared" si="24"/>
        <v>-18314</v>
      </c>
      <c r="H1600" t="s">
        <v>30</v>
      </c>
    </row>
    <row r="1601" spans="2:8" x14ac:dyDescent="0.2">
      <c r="B1601" s="17">
        <v>44542</v>
      </c>
      <c r="C1601" s="16">
        <v>938</v>
      </c>
      <c r="D1601" s="6">
        <v>3187.5</v>
      </c>
      <c r="E1601" s="1">
        <v>3390</v>
      </c>
      <c r="G1601" s="2">
        <f t="shared" si="24"/>
        <v>3390</v>
      </c>
      <c r="H1601" t="s">
        <v>25</v>
      </c>
    </row>
    <row r="1602" spans="2:8" x14ac:dyDescent="0.2">
      <c r="B1602" s="17">
        <v>44542</v>
      </c>
      <c r="C1602" s="16">
        <v>939</v>
      </c>
      <c r="D1602" s="6">
        <v>1338.75</v>
      </c>
      <c r="E1602" s="1">
        <v>1672.5</v>
      </c>
      <c r="G1602" s="2">
        <f t="shared" si="24"/>
        <v>1672.5</v>
      </c>
      <c r="H1602" t="s">
        <v>35</v>
      </c>
    </row>
    <row r="1603" spans="2:8" x14ac:dyDescent="0.2">
      <c r="B1603" s="17">
        <v>44543</v>
      </c>
      <c r="C1603" s="16">
        <v>940</v>
      </c>
      <c r="D1603" s="6">
        <v>475</v>
      </c>
      <c r="E1603" s="1">
        <v>500</v>
      </c>
      <c r="G1603" s="2">
        <f t="shared" ref="G1603:G1666" si="25">E1603-F1603</f>
        <v>500</v>
      </c>
      <c r="H1603" t="s">
        <v>25</v>
      </c>
    </row>
    <row r="1604" spans="2:8" x14ac:dyDescent="0.2">
      <c r="B1604" s="17">
        <v>44543</v>
      </c>
      <c r="C1604" s="16"/>
      <c r="D1604" s="6"/>
      <c r="F1604" s="1">
        <v>5000</v>
      </c>
      <c r="G1604" s="2">
        <f t="shared" si="25"/>
        <v>-5000</v>
      </c>
      <c r="H1604" t="s">
        <v>13</v>
      </c>
    </row>
    <row r="1605" spans="2:8" x14ac:dyDescent="0.2">
      <c r="B1605" s="17">
        <v>44543</v>
      </c>
      <c r="C1605" s="16"/>
      <c r="D1605" s="6"/>
      <c r="F1605" s="1">
        <v>5000</v>
      </c>
      <c r="G1605" s="2">
        <f t="shared" si="25"/>
        <v>-5000</v>
      </c>
      <c r="H1605" t="s">
        <v>25</v>
      </c>
    </row>
    <row r="1606" spans="2:8" x14ac:dyDescent="0.2">
      <c r="B1606" s="17">
        <v>44543</v>
      </c>
      <c r="C1606" s="16"/>
      <c r="D1606" s="6"/>
      <c r="F1606" s="1">
        <v>3000</v>
      </c>
      <c r="G1606" s="2">
        <f t="shared" si="25"/>
        <v>-3000</v>
      </c>
      <c r="H1606" t="s">
        <v>35</v>
      </c>
    </row>
    <row r="1607" spans="2:8" x14ac:dyDescent="0.2">
      <c r="B1607" s="17">
        <v>44543</v>
      </c>
      <c r="C1607" s="16"/>
      <c r="D1607" s="6"/>
      <c r="F1607" s="1">
        <v>5000</v>
      </c>
      <c r="G1607" s="2">
        <f t="shared" si="25"/>
        <v>-5000</v>
      </c>
      <c r="H1607" t="s">
        <v>38</v>
      </c>
    </row>
    <row r="1608" spans="2:8" x14ac:dyDescent="0.2">
      <c r="B1608" s="17">
        <v>44544</v>
      </c>
      <c r="C1608" s="16">
        <v>941</v>
      </c>
      <c r="D1608" s="6">
        <v>15597.5</v>
      </c>
      <c r="E1608" s="1">
        <v>16729.5</v>
      </c>
      <c r="G1608" s="2">
        <f t="shared" si="25"/>
        <v>16729.5</v>
      </c>
      <c r="H1608" t="s">
        <v>30</v>
      </c>
    </row>
    <row r="1609" spans="2:8" x14ac:dyDescent="0.2">
      <c r="B1609" s="17">
        <v>44548</v>
      </c>
      <c r="C1609" s="16">
        <v>942</v>
      </c>
      <c r="D1609" s="6">
        <v>3000</v>
      </c>
      <c r="E1609" s="1">
        <v>3460</v>
      </c>
      <c r="G1609" s="2">
        <f t="shared" si="25"/>
        <v>3460</v>
      </c>
      <c r="H1609" t="s">
        <v>13</v>
      </c>
    </row>
    <row r="1610" spans="2:8" x14ac:dyDescent="0.2">
      <c r="B1610" s="17">
        <v>44548</v>
      </c>
      <c r="C1610" s="16">
        <v>943</v>
      </c>
      <c r="D1610" s="6">
        <v>1087.5</v>
      </c>
      <c r="E1610" s="1">
        <v>1125</v>
      </c>
      <c r="G1610" s="2">
        <f t="shared" si="25"/>
        <v>1125</v>
      </c>
      <c r="H1610" t="s">
        <v>25</v>
      </c>
    </row>
    <row r="1611" spans="2:8" x14ac:dyDescent="0.2">
      <c r="B1611" s="17">
        <v>44548</v>
      </c>
      <c r="C1611" s="16"/>
      <c r="D1611" s="6"/>
      <c r="F1611" s="1">
        <v>3500</v>
      </c>
      <c r="G1611" s="2">
        <f t="shared" si="25"/>
        <v>-3500</v>
      </c>
      <c r="H1611" t="s">
        <v>27</v>
      </c>
    </row>
    <row r="1612" spans="2:8" x14ac:dyDescent="0.2">
      <c r="B1612" s="17">
        <v>44548</v>
      </c>
      <c r="C1612" s="16"/>
      <c r="D1612" s="6"/>
      <c r="F1612" s="1">
        <v>5000</v>
      </c>
      <c r="G1612" s="2">
        <f t="shared" si="25"/>
        <v>-5000</v>
      </c>
      <c r="H1612" t="s">
        <v>13</v>
      </c>
    </row>
    <row r="1613" spans="2:8" x14ac:dyDescent="0.2">
      <c r="B1613" s="17">
        <v>44550</v>
      </c>
      <c r="C1613" s="16">
        <v>944</v>
      </c>
      <c r="D1613" s="6">
        <v>1630</v>
      </c>
      <c r="E1613" s="1">
        <v>1822.5</v>
      </c>
      <c r="G1613" s="2">
        <f t="shared" si="25"/>
        <v>1822.5</v>
      </c>
      <c r="H1613" t="s">
        <v>25</v>
      </c>
    </row>
    <row r="1614" spans="2:8" x14ac:dyDescent="0.2">
      <c r="B1614" s="17">
        <v>44550</v>
      </c>
      <c r="C1614" s="16">
        <v>945</v>
      </c>
      <c r="D1614" s="6">
        <v>180</v>
      </c>
      <c r="E1614" s="1">
        <v>240</v>
      </c>
      <c r="G1614" s="2">
        <f t="shared" si="25"/>
        <v>240</v>
      </c>
      <c r="H1614" t="s">
        <v>27</v>
      </c>
    </row>
    <row r="1615" spans="2:8" x14ac:dyDescent="0.2">
      <c r="B1615" s="17">
        <v>44551</v>
      </c>
      <c r="C1615" s="16">
        <v>946</v>
      </c>
      <c r="D1615" s="6">
        <v>1080</v>
      </c>
      <c r="E1615" s="1">
        <v>1440</v>
      </c>
      <c r="G1615" s="2">
        <f t="shared" si="25"/>
        <v>1440</v>
      </c>
      <c r="H1615" t="s">
        <v>27</v>
      </c>
    </row>
    <row r="1616" spans="2:8" x14ac:dyDescent="0.2">
      <c r="B1616" s="17">
        <v>44551</v>
      </c>
      <c r="C1616" s="16">
        <v>947</v>
      </c>
      <c r="D1616" s="6">
        <v>204</v>
      </c>
      <c r="E1616" s="1">
        <v>225</v>
      </c>
      <c r="G1616" s="2">
        <f t="shared" si="25"/>
        <v>225</v>
      </c>
      <c r="H1616" t="s">
        <v>25</v>
      </c>
    </row>
    <row r="1617" spans="2:8" x14ac:dyDescent="0.2">
      <c r="B1617" s="17">
        <v>44551</v>
      </c>
      <c r="C1617" s="16">
        <v>948</v>
      </c>
      <c r="D1617" s="6">
        <v>1260</v>
      </c>
      <c r="E1617" s="1">
        <v>1480</v>
      </c>
      <c r="G1617" s="2">
        <f t="shared" si="25"/>
        <v>1480</v>
      </c>
      <c r="H1617" t="s">
        <v>35</v>
      </c>
    </row>
    <row r="1618" spans="2:8" x14ac:dyDescent="0.2">
      <c r="B1618" s="17">
        <v>44551</v>
      </c>
      <c r="C1618" s="16"/>
      <c r="D1618" s="6"/>
      <c r="F1618" s="1">
        <v>5000</v>
      </c>
      <c r="G1618" s="2">
        <f t="shared" si="25"/>
        <v>-5000</v>
      </c>
      <c r="H1618" t="s">
        <v>25</v>
      </c>
    </row>
    <row r="1619" spans="2:8" x14ac:dyDescent="0.2">
      <c r="B1619" s="17">
        <v>44551</v>
      </c>
      <c r="C1619" s="16"/>
      <c r="D1619" s="6"/>
      <c r="F1619" s="1">
        <v>4945</v>
      </c>
      <c r="G1619" s="2">
        <f t="shared" si="25"/>
        <v>-4945</v>
      </c>
      <c r="H1619" t="s">
        <v>14</v>
      </c>
    </row>
    <row r="1620" spans="2:8" x14ac:dyDescent="0.2">
      <c r="B1620" s="17">
        <v>44555</v>
      </c>
      <c r="C1620" s="16">
        <v>949</v>
      </c>
      <c r="D1620" s="6">
        <v>15022</v>
      </c>
      <c r="E1620" s="1">
        <v>16389</v>
      </c>
      <c r="G1620" s="2">
        <f t="shared" si="25"/>
        <v>16389</v>
      </c>
      <c r="H1620" t="s">
        <v>14</v>
      </c>
    </row>
    <row r="1621" spans="2:8" x14ac:dyDescent="0.2">
      <c r="B1621" s="17">
        <v>44555</v>
      </c>
      <c r="C1621" s="16"/>
      <c r="F1621" s="1">
        <v>222.25</v>
      </c>
      <c r="G1621" s="2">
        <f t="shared" si="25"/>
        <v>-222.25</v>
      </c>
      <c r="H1621" t="s">
        <v>37</v>
      </c>
    </row>
    <row r="1622" spans="2:8" x14ac:dyDescent="0.2">
      <c r="B1622" s="17">
        <v>44555</v>
      </c>
      <c r="C1622" s="16"/>
      <c r="F1622" s="1">
        <v>2115</v>
      </c>
      <c r="G1622" s="2">
        <f t="shared" si="25"/>
        <v>-2115</v>
      </c>
      <c r="H1622" t="s">
        <v>36</v>
      </c>
    </row>
    <row r="1623" spans="2:8" x14ac:dyDescent="0.2">
      <c r="B1623" s="17">
        <v>44555</v>
      </c>
      <c r="C1623" s="16"/>
      <c r="F1623" s="1">
        <v>2936.7</v>
      </c>
      <c r="G1623" s="2">
        <f t="shared" si="25"/>
        <v>-2936.7</v>
      </c>
      <c r="H1623" s="2" t="s">
        <v>48</v>
      </c>
    </row>
    <row r="1624" spans="2:8" x14ac:dyDescent="0.2">
      <c r="B1624" s="17">
        <v>44555</v>
      </c>
      <c r="C1624" s="16"/>
      <c r="F1624" s="1">
        <v>480</v>
      </c>
      <c r="G1624" s="2">
        <f t="shared" si="25"/>
        <v>-480</v>
      </c>
      <c r="H1624" s="1" t="s">
        <v>83</v>
      </c>
    </row>
    <row r="1625" spans="2:8" x14ac:dyDescent="0.2">
      <c r="B1625" s="17">
        <v>44555</v>
      </c>
      <c r="C1625" s="16"/>
      <c r="F1625" s="1">
        <v>5475.5</v>
      </c>
      <c r="G1625" s="2">
        <f t="shared" si="25"/>
        <v>-5475.5</v>
      </c>
      <c r="H1625" t="s">
        <v>39</v>
      </c>
    </row>
    <row r="1626" spans="2:8" x14ac:dyDescent="0.2">
      <c r="B1626" s="17">
        <v>44555</v>
      </c>
      <c r="C1626" s="16"/>
      <c r="E1626" s="1">
        <v>3395</v>
      </c>
      <c r="G1626" s="2">
        <f t="shared" si="25"/>
        <v>3395</v>
      </c>
      <c r="H1626" t="s">
        <v>31</v>
      </c>
    </row>
    <row r="1627" spans="2:8" x14ac:dyDescent="0.2">
      <c r="B1627" s="17">
        <v>44555</v>
      </c>
      <c r="C1627" s="16"/>
      <c r="F1627" s="1">
        <v>1030</v>
      </c>
      <c r="G1627" s="2">
        <f t="shared" si="25"/>
        <v>-1030</v>
      </c>
      <c r="H1627" t="s">
        <v>39</v>
      </c>
    </row>
    <row r="1628" spans="2:8" x14ac:dyDescent="0.2">
      <c r="B1628" s="17">
        <v>44555</v>
      </c>
      <c r="C1628" s="16"/>
      <c r="F1628" s="1">
        <v>2430.9</v>
      </c>
      <c r="G1628" s="2">
        <f t="shared" si="25"/>
        <v>-2430.9</v>
      </c>
      <c r="H1628" t="s">
        <v>2</v>
      </c>
    </row>
    <row r="1629" spans="2:8" x14ac:dyDescent="0.2">
      <c r="B1629" s="17">
        <v>44555</v>
      </c>
      <c r="C1629" s="16"/>
      <c r="E1629" s="1">
        <v>156.4</v>
      </c>
      <c r="G1629" s="2">
        <f t="shared" si="25"/>
        <v>156.4</v>
      </c>
      <c r="H1629" t="s">
        <v>14</v>
      </c>
    </row>
    <row r="1630" spans="2:8" x14ac:dyDescent="0.2">
      <c r="B1630" s="3">
        <v>44562</v>
      </c>
      <c r="D1630" s="6"/>
      <c r="E1630" s="2"/>
      <c r="F1630" s="2"/>
      <c r="G1630" s="2">
        <f t="shared" si="25"/>
        <v>0</v>
      </c>
      <c r="H1630" t="s">
        <v>14</v>
      </c>
    </row>
    <row r="1631" spans="2:8" x14ac:dyDescent="0.2">
      <c r="B1631" s="3">
        <v>44562</v>
      </c>
      <c r="D1631" s="2"/>
      <c r="E1631" s="2"/>
      <c r="F1631" s="2"/>
      <c r="G1631" s="2">
        <f t="shared" si="25"/>
        <v>0</v>
      </c>
      <c r="H1631" t="s">
        <v>27</v>
      </c>
    </row>
    <row r="1632" spans="2:8" x14ac:dyDescent="0.2">
      <c r="B1632" s="3">
        <v>44562</v>
      </c>
      <c r="D1632" s="2"/>
      <c r="E1632" s="2"/>
      <c r="F1632" s="2"/>
      <c r="G1632" s="2">
        <f t="shared" si="25"/>
        <v>0</v>
      </c>
      <c r="H1632" t="s">
        <v>13</v>
      </c>
    </row>
    <row r="1633" spans="2:8" x14ac:dyDescent="0.2">
      <c r="B1633" s="3">
        <v>44562</v>
      </c>
      <c r="D1633" s="2"/>
      <c r="E1633" s="2"/>
      <c r="F1633" s="2"/>
      <c r="G1633" s="2">
        <f t="shared" si="25"/>
        <v>0</v>
      </c>
      <c r="H1633" t="s">
        <v>30</v>
      </c>
    </row>
    <row r="1634" spans="2:8" x14ac:dyDescent="0.2">
      <c r="B1634" s="3">
        <v>44562</v>
      </c>
      <c r="D1634" s="2"/>
      <c r="E1634" s="2"/>
      <c r="F1634" s="2"/>
      <c r="G1634" s="2">
        <f t="shared" si="25"/>
        <v>0</v>
      </c>
      <c r="H1634" t="s">
        <v>35</v>
      </c>
    </row>
    <row r="1635" spans="2:8" x14ac:dyDescent="0.2">
      <c r="B1635" s="3">
        <v>44562</v>
      </c>
      <c r="D1635" s="2">
        <v>561.25</v>
      </c>
      <c r="E1635" s="2">
        <v>631.25</v>
      </c>
      <c r="F1635" s="2"/>
      <c r="G1635" s="2">
        <f t="shared" si="25"/>
        <v>631.25</v>
      </c>
      <c r="H1635" t="s">
        <v>25</v>
      </c>
    </row>
    <row r="1636" spans="2:8" x14ac:dyDescent="0.2">
      <c r="B1636" s="3">
        <v>44562</v>
      </c>
      <c r="D1636" s="2"/>
      <c r="E1636" s="2"/>
      <c r="F1636" s="2"/>
      <c r="G1636" s="2">
        <f t="shared" si="25"/>
        <v>0</v>
      </c>
      <c r="H1636" t="s">
        <v>9</v>
      </c>
    </row>
    <row r="1637" spans="2:8" x14ac:dyDescent="0.2">
      <c r="B1637" s="3">
        <v>44562</v>
      </c>
      <c r="D1637" s="2"/>
      <c r="E1637" s="2"/>
      <c r="F1637" s="2"/>
      <c r="G1637" s="2">
        <f t="shared" si="25"/>
        <v>0</v>
      </c>
      <c r="H1637" t="s">
        <v>32</v>
      </c>
    </row>
    <row r="1638" spans="2:8" x14ac:dyDescent="0.2">
      <c r="B1638" s="3">
        <v>44562</v>
      </c>
      <c r="D1638" s="2"/>
      <c r="E1638" s="2"/>
      <c r="F1638" s="2"/>
      <c r="G1638" s="2">
        <f t="shared" si="25"/>
        <v>0</v>
      </c>
      <c r="H1638" s="1"/>
    </row>
    <row r="1639" spans="2:8" x14ac:dyDescent="0.2">
      <c r="B1639" s="3">
        <v>44563</v>
      </c>
      <c r="D1639" s="6"/>
      <c r="E1639" s="2"/>
      <c r="F1639" s="2"/>
      <c r="G1639" s="2">
        <f t="shared" si="25"/>
        <v>0</v>
      </c>
      <c r="H1639" t="s">
        <v>14</v>
      </c>
    </row>
    <row r="1640" spans="2:8" x14ac:dyDescent="0.2">
      <c r="B1640" s="3">
        <v>44563</v>
      </c>
      <c r="D1640" s="2"/>
      <c r="E1640" s="2"/>
      <c r="F1640" s="2"/>
      <c r="G1640" s="2">
        <f t="shared" si="25"/>
        <v>0</v>
      </c>
      <c r="H1640" t="s">
        <v>27</v>
      </c>
    </row>
    <row r="1641" spans="2:8" x14ac:dyDescent="0.2">
      <c r="B1641" s="3">
        <v>44563</v>
      </c>
      <c r="D1641" s="2"/>
      <c r="E1641" s="2"/>
      <c r="F1641" s="2">
        <v>5000</v>
      </c>
      <c r="G1641" s="2">
        <f t="shared" si="25"/>
        <v>-5000</v>
      </c>
      <c r="H1641" t="s">
        <v>13</v>
      </c>
    </row>
    <row r="1642" spans="2:8" x14ac:dyDescent="0.2">
      <c r="B1642" s="3">
        <v>44563</v>
      </c>
      <c r="D1642" s="2"/>
      <c r="E1642" s="2"/>
      <c r="F1642" s="2"/>
      <c r="G1642" s="2">
        <f t="shared" si="25"/>
        <v>0</v>
      </c>
      <c r="H1642" t="s">
        <v>30</v>
      </c>
    </row>
    <row r="1643" spans="2:8" x14ac:dyDescent="0.2">
      <c r="B1643" s="3">
        <v>44563</v>
      </c>
      <c r="D1643" s="2"/>
      <c r="E1643" s="2"/>
      <c r="F1643" s="2"/>
      <c r="G1643" s="2">
        <f t="shared" si="25"/>
        <v>0</v>
      </c>
      <c r="H1643" t="s">
        <v>35</v>
      </c>
    </row>
    <row r="1644" spans="2:8" x14ac:dyDescent="0.2">
      <c r="B1644" s="3">
        <v>44563</v>
      </c>
      <c r="D1644" s="2">
        <v>3055</v>
      </c>
      <c r="E1644" s="2">
        <v>3244</v>
      </c>
      <c r="F1644" s="2">
        <v>5000</v>
      </c>
      <c r="G1644" s="2">
        <f t="shared" si="25"/>
        <v>-1756</v>
      </c>
      <c r="H1644" t="s">
        <v>25</v>
      </c>
    </row>
    <row r="1645" spans="2:8" x14ac:dyDescent="0.2">
      <c r="B1645" s="3">
        <v>44563</v>
      </c>
      <c r="D1645" s="2"/>
      <c r="E1645" s="2"/>
      <c r="F1645" s="2"/>
      <c r="G1645" s="2">
        <f t="shared" si="25"/>
        <v>0</v>
      </c>
      <c r="H1645" t="s">
        <v>9</v>
      </c>
    </row>
    <row r="1646" spans="2:8" x14ac:dyDescent="0.2">
      <c r="B1646" s="3">
        <v>44563</v>
      </c>
      <c r="D1646" s="2"/>
      <c r="E1646" s="2"/>
      <c r="F1646" s="2"/>
      <c r="G1646" s="2">
        <f t="shared" si="25"/>
        <v>0</v>
      </c>
      <c r="H1646" t="s">
        <v>32</v>
      </c>
    </row>
    <row r="1647" spans="2:8" x14ac:dyDescent="0.2">
      <c r="B1647" s="3">
        <v>44563</v>
      </c>
      <c r="D1647" s="2"/>
      <c r="E1647" s="2"/>
      <c r="F1647" s="2"/>
      <c r="G1647" s="2">
        <f t="shared" si="25"/>
        <v>0</v>
      </c>
      <c r="H1647" s="1"/>
    </row>
    <row r="1648" spans="2:8" x14ac:dyDescent="0.2">
      <c r="B1648" s="3">
        <v>44564</v>
      </c>
      <c r="D1648" s="6">
        <v>5666.75</v>
      </c>
      <c r="E1648" s="2">
        <v>6172.5</v>
      </c>
      <c r="F1648" s="2"/>
      <c r="G1648" s="2">
        <f t="shared" si="25"/>
        <v>6172.5</v>
      </c>
      <c r="H1648" t="s">
        <v>14</v>
      </c>
    </row>
    <row r="1649" spans="2:8" x14ac:dyDescent="0.2">
      <c r="B1649" s="3">
        <v>44564</v>
      </c>
      <c r="D1649" s="2"/>
      <c r="E1649" s="2"/>
      <c r="F1649" s="2"/>
      <c r="G1649" s="2">
        <f t="shared" si="25"/>
        <v>0</v>
      </c>
      <c r="H1649" t="s">
        <v>27</v>
      </c>
    </row>
    <row r="1650" spans="2:8" x14ac:dyDescent="0.2">
      <c r="B1650" s="3">
        <v>44564</v>
      </c>
      <c r="D1650" s="2">
        <v>4037.5</v>
      </c>
      <c r="E1650" s="2">
        <v>4827.5</v>
      </c>
      <c r="F1650" s="2"/>
      <c r="G1650" s="2">
        <f t="shared" si="25"/>
        <v>4827.5</v>
      </c>
      <c r="H1650" t="s">
        <v>13</v>
      </c>
    </row>
    <row r="1651" spans="2:8" x14ac:dyDescent="0.2">
      <c r="B1651" s="3">
        <v>44564</v>
      </c>
      <c r="D1651" s="2"/>
      <c r="E1651" s="2"/>
      <c r="F1651" s="2"/>
      <c r="G1651" s="2">
        <f t="shared" si="25"/>
        <v>0</v>
      </c>
      <c r="H1651" t="s">
        <v>30</v>
      </c>
    </row>
    <row r="1652" spans="2:8" x14ac:dyDescent="0.2">
      <c r="B1652" s="3">
        <v>44564</v>
      </c>
      <c r="D1652" s="2">
        <v>600</v>
      </c>
      <c r="E1652" s="2">
        <v>660</v>
      </c>
      <c r="F1652" s="2"/>
      <c r="G1652" s="2">
        <f t="shared" si="25"/>
        <v>660</v>
      </c>
      <c r="H1652" t="s">
        <v>35</v>
      </c>
    </row>
    <row r="1653" spans="2:8" x14ac:dyDescent="0.2">
      <c r="B1653" s="3">
        <v>44564</v>
      </c>
      <c r="D1653" s="2">
        <v>300</v>
      </c>
      <c r="E1653" s="2">
        <v>325</v>
      </c>
      <c r="F1653" s="2"/>
      <c r="G1653" s="2">
        <f t="shared" si="25"/>
        <v>325</v>
      </c>
      <c r="H1653" t="s">
        <v>25</v>
      </c>
    </row>
    <row r="1654" spans="2:8" x14ac:dyDescent="0.2">
      <c r="B1654" s="3">
        <v>44564</v>
      </c>
      <c r="D1654" s="2"/>
      <c r="E1654" s="2"/>
      <c r="F1654" s="2"/>
      <c r="G1654" s="2">
        <f t="shared" si="25"/>
        <v>0</v>
      </c>
      <c r="H1654" t="s">
        <v>9</v>
      </c>
    </row>
    <row r="1655" spans="2:8" x14ac:dyDescent="0.2">
      <c r="B1655" s="3">
        <v>44564</v>
      </c>
      <c r="D1655" s="2"/>
      <c r="E1655" s="2"/>
      <c r="F1655" s="2"/>
      <c r="G1655" s="2">
        <f t="shared" si="25"/>
        <v>0</v>
      </c>
      <c r="H1655" t="s">
        <v>32</v>
      </c>
    </row>
    <row r="1656" spans="2:8" x14ac:dyDescent="0.2">
      <c r="B1656" s="3">
        <v>44564</v>
      </c>
      <c r="D1656" s="2"/>
      <c r="E1656" s="2"/>
      <c r="F1656" s="2"/>
      <c r="G1656" s="2">
        <f t="shared" si="25"/>
        <v>0</v>
      </c>
      <c r="H1656" s="1"/>
    </row>
    <row r="1657" spans="2:8" x14ac:dyDescent="0.2">
      <c r="B1657" s="3">
        <v>44565</v>
      </c>
      <c r="D1657" s="6"/>
      <c r="E1657" s="2"/>
      <c r="F1657" s="2"/>
      <c r="G1657" s="2">
        <f t="shared" si="25"/>
        <v>0</v>
      </c>
      <c r="H1657" t="s">
        <v>14</v>
      </c>
    </row>
    <row r="1658" spans="2:8" x14ac:dyDescent="0.2">
      <c r="B1658" s="3">
        <v>44565</v>
      </c>
      <c r="D1658" s="2">
        <v>6856.6</v>
      </c>
      <c r="E1658" s="2">
        <v>7696</v>
      </c>
      <c r="F1658" s="2"/>
      <c r="G1658" s="2">
        <f t="shared" si="25"/>
        <v>7696</v>
      </c>
      <c r="H1658" t="s">
        <v>27</v>
      </c>
    </row>
    <row r="1659" spans="2:8" x14ac:dyDescent="0.2">
      <c r="B1659" s="3">
        <v>44565</v>
      </c>
      <c r="D1659" s="2"/>
      <c r="E1659" s="2"/>
      <c r="F1659" s="2"/>
      <c r="G1659" s="2">
        <f t="shared" si="25"/>
        <v>0</v>
      </c>
      <c r="H1659" t="s">
        <v>13</v>
      </c>
    </row>
    <row r="1660" spans="2:8" x14ac:dyDescent="0.2">
      <c r="B1660" s="3">
        <v>44565</v>
      </c>
      <c r="D1660" s="2"/>
      <c r="E1660" s="2"/>
      <c r="F1660" s="2"/>
      <c r="G1660" s="2">
        <f t="shared" si="25"/>
        <v>0</v>
      </c>
      <c r="H1660" t="s">
        <v>30</v>
      </c>
    </row>
    <row r="1661" spans="2:8" x14ac:dyDescent="0.2">
      <c r="B1661" s="3">
        <v>44565</v>
      </c>
      <c r="D1661" s="2"/>
      <c r="E1661" s="2"/>
      <c r="F1661" s="2"/>
      <c r="G1661" s="2">
        <f t="shared" si="25"/>
        <v>0</v>
      </c>
      <c r="H1661" t="s">
        <v>35</v>
      </c>
    </row>
    <row r="1662" spans="2:8" x14ac:dyDescent="0.2">
      <c r="B1662" s="3">
        <v>44565</v>
      </c>
      <c r="D1662" s="2">
        <v>290</v>
      </c>
      <c r="E1662" s="2">
        <v>310</v>
      </c>
      <c r="F1662" s="2"/>
      <c r="G1662" s="2">
        <f t="shared" si="25"/>
        <v>310</v>
      </c>
      <c r="H1662" t="s">
        <v>25</v>
      </c>
    </row>
    <row r="1663" spans="2:8" x14ac:dyDescent="0.2">
      <c r="B1663" s="3">
        <v>44565</v>
      </c>
      <c r="D1663" s="2"/>
      <c r="E1663" s="2"/>
      <c r="F1663" s="2"/>
      <c r="G1663" s="2">
        <f t="shared" si="25"/>
        <v>0</v>
      </c>
      <c r="H1663" t="s">
        <v>9</v>
      </c>
    </row>
    <row r="1664" spans="2:8" x14ac:dyDescent="0.2">
      <c r="B1664" s="3">
        <v>44565</v>
      </c>
      <c r="D1664" s="2"/>
      <c r="E1664" s="2"/>
      <c r="F1664" s="2"/>
      <c r="G1664" s="2">
        <f t="shared" si="25"/>
        <v>0</v>
      </c>
      <c r="H1664" t="s">
        <v>32</v>
      </c>
    </row>
    <row r="1665" spans="2:8" x14ac:dyDescent="0.2">
      <c r="B1665" s="3">
        <v>44565</v>
      </c>
      <c r="D1665" s="2"/>
      <c r="E1665" s="2"/>
      <c r="F1665" s="2"/>
      <c r="G1665" s="2">
        <f t="shared" si="25"/>
        <v>0</v>
      </c>
      <c r="H1665" s="1"/>
    </row>
    <row r="1666" spans="2:8" x14ac:dyDescent="0.2">
      <c r="B1666" s="3">
        <v>44566</v>
      </c>
      <c r="D1666" s="6"/>
      <c r="E1666" s="2"/>
      <c r="F1666" s="2"/>
      <c r="G1666" s="2">
        <f t="shared" si="25"/>
        <v>0</v>
      </c>
      <c r="H1666" t="s">
        <v>14</v>
      </c>
    </row>
    <row r="1667" spans="2:8" x14ac:dyDescent="0.2">
      <c r="B1667" s="3">
        <v>44566</v>
      </c>
      <c r="D1667" s="2"/>
      <c r="E1667" s="2"/>
      <c r="F1667" s="2"/>
      <c r="G1667" s="2">
        <f t="shared" ref="G1667:G1730" si="26">E1667-F1667</f>
        <v>0</v>
      </c>
      <c r="H1667" t="s">
        <v>27</v>
      </c>
    </row>
    <row r="1668" spans="2:8" x14ac:dyDescent="0.2">
      <c r="B1668" s="3">
        <v>44566</v>
      </c>
      <c r="D1668" s="2"/>
      <c r="E1668" s="2"/>
      <c r="F1668" s="2"/>
      <c r="G1668" s="2">
        <f t="shared" si="26"/>
        <v>0</v>
      </c>
      <c r="H1668" t="s">
        <v>13</v>
      </c>
    </row>
    <row r="1669" spans="2:8" x14ac:dyDescent="0.2">
      <c r="B1669" s="3">
        <v>44566</v>
      </c>
      <c r="D1669" s="2"/>
      <c r="E1669" s="2"/>
      <c r="F1669" s="2"/>
      <c r="G1669" s="2">
        <f t="shared" si="26"/>
        <v>0</v>
      </c>
      <c r="H1669" t="s">
        <v>30</v>
      </c>
    </row>
    <row r="1670" spans="2:8" x14ac:dyDescent="0.2">
      <c r="B1670" s="3">
        <v>44566</v>
      </c>
      <c r="D1670" s="2"/>
      <c r="E1670" s="2"/>
      <c r="F1670" s="2"/>
      <c r="G1670" s="2">
        <f t="shared" si="26"/>
        <v>0</v>
      </c>
      <c r="H1670" t="s">
        <v>35</v>
      </c>
    </row>
    <row r="1671" spans="2:8" x14ac:dyDescent="0.2">
      <c r="B1671" s="3">
        <v>44566</v>
      </c>
      <c r="D1671" s="2"/>
      <c r="E1671" s="2"/>
      <c r="F1671" s="2"/>
      <c r="G1671" s="2">
        <f t="shared" si="26"/>
        <v>0</v>
      </c>
      <c r="H1671" t="s">
        <v>25</v>
      </c>
    </row>
    <row r="1672" spans="2:8" x14ac:dyDescent="0.2">
      <c r="B1672" s="3">
        <v>44566</v>
      </c>
      <c r="D1672" s="2"/>
      <c r="E1672" s="2"/>
      <c r="F1672" s="2"/>
      <c r="G1672" s="2">
        <f t="shared" si="26"/>
        <v>0</v>
      </c>
      <c r="H1672" t="s">
        <v>9</v>
      </c>
    </row>
    <row r="1673" spans="2:8" x14ac:dyDescent="0.2">
      <c r="B1673" s="3">
        <v>44566</v>
      </c>
      <c r="D1673" s="2"/>
      <c r="E1673" s="2"/>
      <c r="F1673" s="2"/>
      <c r="G1673" s="2">
        <f t="shared" si="26"/>
        <v>0</v>
      </c>
      <c r="H1673" t="s">
        <v>32</v>
      </c>
    </row>
    <row r="1674" spans="2:8" x14ac:dyDescent="0.2">
      <c r="B1674" s="3">
        <v>44566</v>
      </c>
      <c r="D1674" s="2"/>
      <c r="E1674" s="2"/>
      <c r="F1674" s="2"/>
      <c r="G1674" s="2">
        <f t="shared" si="26"/>
        <v>0</v>
      </c>
      <c r="H1674" s="1"/>
    </row>
    <row r="1675" spans="2:8" x14ac:dyDescent="0.2">
      <c r="B1675" s="3">
        <v>44567</v>
      </c>
      <c r="D1675" s="6">
        <v>1630</v>
      </c>
      <c r="E1675" s="2">
        <v>1240</v>
      </c>
      <c r="F1675" s="2"/>
      <c r="G1675" s="2">
        <f t="shared" si="26"/>
        <v>1240</v>
      </c>
      <c r="H1675" t="s">
        <v>14</v>
      </c>
    </row>
    <row r="1676" spans="2:8" x14ac:dyDescent="0.2">
      <c r="B1676" s="3">
        <v>44567</v>
      </c>
      <c r="D1676" s="2">
        <v>570</v>
      </c>
      <c r="E1676" s="2">
        <v>630</v>
      </c>
      <c r="F1676" s="2"/>
      <c r="G1676" s="2">
        <f t="shared" si="26"/>
        <v>630</v>
      </c>
      <c r="H1676" t="s">
        <v>27</v>
      </c>
    </row>
    <row r="1677" spans="2:8" x14ac:dyDescent="0.2">
      <c r="B1677" s="3">
        <v>44567</v>
      </c>
      <c r="D1677" s="2"/>
      <c r="E1677" s="2"/>
      <c r="F1677" s="2"/>
      <c r="G1677" s="2">
        <f t="shared" si="26"/>
        <v>0</v>
      </c>
      <c r="H1677" t="s">
        <v>13</v>
      </c>
    </row>
    <row r="1678" spans="2:8" x14ac:dyDescent="0.2">
      <c r="B1678" s="3">
        <v>44567</v>
      </c>
      <c r="D1678" s="2"/>
      <c r="E1678" s="2"/>
      <c r="F1678" s="2"/>
      <c r="G1678" s="2">
        <f t="shared" si="26"/>
        <v>0</v>
      </c>
      <c r="H1678" t="s">
        <v>30</v>
      </c>
    </row>
    <row r="1679" spans="2:8" x14ac:dyDescent="0.2">
      <c r="B1679" s="3">
        <v>44567</v>
      </c>
      <c r="D1679" s="2"/>
      <c r="E1679" s="2"/>
      <c r="F1679" s="2"/>
      <c r="G1679" s="2">
        <f t="shared" si="26"/>
        <v>0</v>
      </c>
      <c r="H1679" t="s">
        <v>35</v>
      </c>
    </row>
    <row r="1680" spans="2:8" x14ac:dyDescent="0.2">
      <c r="B1680" s="3">
        <v>44567</v>
      </c>
      <c r="D1680" s="2">
        <v>1110</v>
      </c>
      <c r="E1680" s="2">
        <v>1240</v>
      </c>
      <c r="F1680" s="2"/>
      <c r="G1680" s="2">
        <f t="shared" si="26"/>
        <v>1240</v>
      </c>
      <c r="H1680" t="s">
        <v>25</v>
      </c>
    </row>
    <row r="1681" spans="2:8" x14ac:dyDescent="0.2">
      <c r="B1681" s="3">
        <v>44567</v>
      </c>
      <c r="D1681" s="2"/>
      <c r="E1681" s="2"/>
      <c r="F1681" s="2"/>
      <c r="G1681" s="2">
        <f t="shared" si="26"/>
        <v>0</v>
      </c>
      <c r="H1681" t="s">
        <v>9</v>
      </c>
    </row>
    <row r="1682" spans="2:8" x14ac:dyDescent="0.2">
      <c r="B1682" s="3">
        <v>44567</v>
      </c>
      <c r="D1682" s="2"/>
      <c r="E1682" s="2"/>
      <c r="F1682" s="2"/>
      <c r="G1682" s="2">
        <f t="shared" si="26"/>
        <v>0</v>
      </c>
      <c r="H1682" t="s">
        <v>32</v>
      </c>
    </row>
    <row r="1683" spans="2:8" x14ac:dyDescent="0.2">
      <c r="B1683" s="3">
        <v>44567</v>
      </c>
      <c r="D1683" s="2"/>
      <c r="E1683" s="2"/>
      <c r="F1683" s="2"/>
      <c r="G1683" s="2">
        <f t="shared" si="26"/>
        <v>0</v>
      </c>
      <c r="H1683" s="1"/>
    </row>
    <row r="1684" spans="2:8" x14ac:dyDescent="0.2">
      <c r="B1684" s="3">
        <v>44568</v>
      </c>
      <c r="D1684" s="6"/>
      <c r="E1684" s="2"/>
      <c r="F1684" s="2"/>
      <c r="G1684" s="2">
        <f t="shared" si="26"/>
        <v>0</v>
      </c>
      <c r="H1684" t="s">
        <v>14</v>
      </c>
    </row>
    <row r="1685" spans="2:8" x14ac:dyDescent="0.2">
      <c r="B1685" s="3">
        <v>44568</v>
      </c>
      <c r="D1685" s="2"/>
      <c r="E1685" s="2"/>
      <c r="F1685" s="2"/>
      <c r="G1685" s="2">
        <f t="shared" si="26"/>
        <v>0</v>
      </c>
      <c r="H1685" t="s">
        <v>27</v>
      </c>
    </row>
    <row r="1686" spans="2:8" x14ac:dyDescent="0.2">
      <c r="B1686" s="3">
        <v>44568</v>
      </c>
      <c r="D1686" s="2"/>
      <c r="E1686" s="2"/>
      <c r="F1686" s="2"/>
      <c r="G1686" s="2">
        <f t="shared" si="26"/>
        <v>0</v>
      </c>
      <c r="H1686" t="s">
        <v>13</v>
      </c>
    </row>
    <row r="1687" spans="2:8" x14ac:dyDescent="0.2">
      <c r="B1687" s="3">
        <v>44568</v>
      </c>
      <c r="D1687" s="2"/>
      <c r="E1687" s="2"/>
      <c r="F1687" s="2">
        <v>18513</v>
      </c>
      <c r="G1687" s="2">
        <f t="shared" si="26"/>
        <v>-18513</v>
      </c>
      <c r="H1687" t="s">
        <v>30</v>
      </c>
    </row>
    <row r="1688" spans="2:8" x14ac:dyDescent="0.2">
      <c r="B1688" s="3">
        <v>44568</v>
      </c>
      <c r="D1688" s="2"/>
      <c r="E1688" s="2"/>
      <c r="F1688" s="2"/>
      <c r="G1688" s="2">
        <f t="shared" si="26"/>
        <v>0</v>
      </c>
      <c r="H1688" t="s">
        <v>35</v>
      </c>
    </row>
    <row r="1689" spans="2:8" x14ac:dyDescent="0.2">
      <c r="B1689" s="3">
        <v>44568</v>
      </c>
      <c r="D1689" s="2"/>
      <c r="E1689" s="2"/>
      <c r="F1689" s="2"/>
      <c r="G1689" s="2">
        <f t="shared" si="26"/>
        <v>0</v>
      </c>
      <c r="H1689" t="s">
        <v>25</v>
      </c>
    </row>
    <row r="1690" spans="2:8" x14ac:dyDescent="0.2">
      <c r="B1690" s="3">
        <v>44568</v>
      </c>
      <c r="D1690" s="2"/>
      <c r="E1690" s="2"/>
      <c r="F1690" s="2"/>
      <c r="G1690" s="2">
        <f t="shared" si="26"/>
        <v>0</v>
      </c>
      <c r="H1690" t="s">
        <v>9</v>
      </c>
    </row>
    <row r="1691" spans="2:8" x14ac:dyDescent="0.2">
      <c r="B1691" s="3">
        <v>44568</v>
      </c>
      <c r="D1691" s="2"/>
      <c r="E1691" s="2"/>
      <c r="F1691" s="2"/>
      <c r="G1691" s="2">
        <f t="shared" si="26"/>
        <v>0</v>
      </c>
      <c r="H1691" t="s">
        <v>32</v>
      </c>
    </row>
    <row r="1692" spans="2:8" x14ac:dyDescent="0.2">
      <c r="B1692" s="3">
        <v>44568</v>
      </c>
      <c r="D1692" s="2"/>
      <c r="E1692" s="2"/>
      <c r="F1692" s="2">
        <v>2200</v>
      </c>
      <c r="G1692" s="2">
        <f t="shared" si="26"/>
        <v>-2200</v>
      </c>
      <c r="H1692" t="s">
        <v>37</v>
      </c>
    </row>
    <row r="1693" spans="2:8" x14ac:dyDescent="0.2">
      <c r="B1693" s="3">
        <v>44569</v>
      </c>
      <c r="D1693" s="6"/>
      <c r="E1693" s="2"/>
      <c r="F1693" s="2"/>
      <c r="G1693" s="2">
        <f t="shared" si="26"/>
        <v>0</v>
      </c>
      <c r="H1693" t="s">
        <v>14</v>
      </c>
    </row>
    <row r="1694" spans="2:8" x14ac:dyDescent="0.2">
      <c r="B1694" s="3">
        <v>44569</v>
      </c>
      <c r="D1694" s="2"/>
      <c r="E1694" s="2"/>
      <c r="F1694" s="2"/>
      <c r="G1694" s="2">
        <f t="shared" si="26"/>
        <v>0</v>
      </c>
      <c r="H1694" t="s">
        <v>27</v>
      </c>
    </row>
    <row r="1695" spans="2:8" x14ac:dyDescent="0.2">
      <c r="B1695" s="3">
        <v>44569</v>
      </c>
      <c r="D1695" s="2"/>
      <c r="E1695" s="2"/>
      <c r="F1695" s="2"/>
      <c r="G1695" s="2">
        <f t="shared" si="26"/>
        <v>0</v>
      </c>
      <c r="H1695" t="s">
        <v>13</v>
      </c>
    </row>
    <row r="1696" spans="2:8" x14ac:dyDescent="0.2">
      <c r="B1696" s="3">
        <v>44569</v>
      </c>
      <c r="D1696" s="2"/>
      <c r="E1696" s="2"/>
      <c r="F1696" s="2"/>
      <c r="G1696" s="2">
        <f t="shared" si="26"/>
        <v>0</v>
      </c>
      <c r="H1696" t="s">
        <v>30</v>
      </c>
    </row>
    <row r="1697" spans="2:8" x14ac:dyDescent="0.2">
      <c r="B1697" s="3">
        <v>44569</v>
      </c>
      <c r="D1697" s="2"/>
      <c r="E1697" s="2"/>
      <c r="F1697" s="2"/>
      <c r="G1697" s="2">
        <f t="shared" si="26"/>
        <v>0</v>
      </c>
      <c r="H1697" t="s">
        <v>35</v>
      </c>
    </row>
    <row r="1698" spans="2:8" x14ac:dyDescent="0.2">
      <c r="B1698" s="3">
        <v>44569</v>
      </c>
      <c r="D1698" s="2"/>
      <c r="E1698" s="2"/>
      <c r="F1698" s="2"/>
      <c r="G1698" s="2">
        <f t="shared" si="26"/>
        <v>0</v>
      </c>
      <c r="H1698" t="s">
        <v>25</v>
      </c>
    </row>
    <row r="1699" spans="2:8" x14ac:dyDescent="0.2">
      <c r="B1699" s="3">
        <v>44569</v>
      </c>
      <c r="D1699" s="2"/>
      <c r="E1699" s="2"/>
      <c r="F1699" s="2"/>
      <c r="G1699" s="2">
        <f t="shared" si="26"/>
        <v>0</v>
      </c>
      <c r="H1699" t="s">
        <v>9</v>
      </c>
    </row>
    <row r="1700" spans="2:8" x14ac:dyDescent="0.2">
      <c r="B1700" s="3">
        <v>44569</v>
      </c>
      <c r="D1700" s="2">
        <v>750</v>
      </c>
      <c r="E1700" s="2">
        <v>1000</v>
      </c>
      <c r="F1700" s="2"/>
      <c r="G1700" s="2">
        <f t="shared" si="26"/>
        <v>1000</v>
      </c>
      <c r="H1700" t="s">
        <v>32</v>
      </c>
    </row>
    <row r="1701" spans="2:8" x14ac:dyDescent="0.2">
      <c r="B1701" s="3">
        <v>44569</v>
      </c>
      <c r="D1701" s="2"/>
      <c r="E1701" s="2"/>
      <c r="F1701" s="2"/>
      <c r="G1701" s="2">
        <f t="shared" si="26"/>
        <v>0</v>
      </c>
      <c r="H1701" s="1"/>
    </row>
    <row r="1702" spans="2:8" x14ac:dyDescent="0.2">
      <c r="B1702" s="3">
        <v>44570</v>
      </c>
      <c r="D1702" s="6"/>
      <c r="E1702" s="2"/>
      <c r="F1702" s="2"/>
      <c r="G1702" s="2">
        <f t="shared" si="26"/>
        <v>0</v>
      </c>
      <c r="H1702" t="s">
        <v>14</v>
      </c>
    </row>
    <row r="1703" spans="2:8" x14ac:dyDescent="0.2">
      <c r="B1703" s="3">
        <v>44570</v>
      </c>
      <c r="D1703" s="2"/>
      <c r="E1703" s="2"/>
      <c r="F1703" s="2"/>
      <c r="G1703" s="2">
        <f t="shared" si="26"/>
        <v>0</v>
      </c>
      <c r="H1703" t="s">
        <v>27</v>
      </c>
    </row>
    <row r="1704" spans="2:8" x14ac:dyDescent="0.2">
      <c r="B1704" s="3">
        <v>44570</v>
      </c>
      <c r="D1704" s="2">
        <v>2338.75</v>
      </c>
      <c r="E1704" s="2">
        <v>2615</v>
      </c>
      <c r="F1704" s="2"/>
      <c r="G1704" s="2">
        <f t="shared" si="26"/>
        <v>2615</v>
      </c>
      <c r="H1704" t="s">
        <v>13</v>
      </c>
    </row>
    <row r="1705" spans="2:8" x14ac:dyDescent="0.2">
      <c r="B1705" s="3">
        <v>44570</v>
      </c>
      <c r="D1705" s="2"/>
      <c r="E1705" s="2"/>
      <c r="F1705" s="2"/>
      <c r="G1705" s="2">
        <f t="shared" si="26"/>
        <v>0</v>
      </c>
      <c r="H1705" t="s">
        <v>30</v>
      </c>
    </row>
    <row r="1706" spans="2:8" x14ac:dyDescent="0.2">
      <c r="B1706" s="3">
        <v>44570</v>
      </c>
      <c r="D1706" s="2"/>
      <c r="E1706" s="2"/>
      <c r="F1706" s="2"/>
      <c r="G1706" s="2">
        <f t="shared" si="26"/>
        <v>0</v>
      </c>
      <c r="H1706" t="s">
        <v>35</v>
      </c>
    </row>
    <row r="1707" spans="2:8" x14ac:dyDescent="0.2">
      <c r="B1707" s="3">
        <v>44570</v>
      </c>
      <c r="D1707" s="2"/>
      <c r="E1707" s="2"/>
      <c r="F1707" s="2"/>
      <c r="G1707" s="2">
        <f t="shared" si="26"/>
        <v>0</v>
      </c>
      <c r="H1707" t="s">
        <v>25</v>
      </c>
    </row>
    <row r="1708" spans="2:8" x14ac:dyDescent="0.2">
      <c r="B1708" s="3">
        <v>44570</v>
      </c>
      <c r="D1708" s="2"/>
      <c r="E1708" s="2"/>
      <c r="F1708" s="2"/>
      <c r="G1708" s="2">
        <f t="shared" si="26"/>
        <v>0</v>
      </c>
      <c r="H1708" t="s">
        <v>9</v>
      </c>
    </row>
    <row r="1709" spans="2:8" x14ac:dyDescent="0.2">
      <c r="B1709" s="3">
        <v>44570</v>
      </c>
      <c r="D1709" s="2"/>
      <c r="E1709" s="2"/>
      <c r="F1709" s="2">
        <v>1000</v>
      </c>
      <c r="G1709" s="2">
        <f t="shared" si="26"/>
        <v>-1000</v>
      </c>
      <c r="H1709" t="s">
        <v>32</v>
      </c>
    </row>
    <row r="1710" spans="2:8" x14ac:dyDescent="0.2">
      <c r="B1710" s="3">
        <v>44570</v>
      </c>
      <c r="D1710" s="2"/>
      <c r="E1710" s="2"/>
      <c r="F1710" s="2"/>
      <c r="G1710" s="2">
        <f t="shared" si="26"/>
        <v>0</v>
      </c>
      <c r="H1710" s="1"/>
    </row>
    <row r="1711" spans="2:8" x14ac:dyDescent="0.2">
      <c r="B1711" s="3">
        <v>44571</v>
      </c>
      <c r="D1711" s="6"/>
      <c r="E1711" s="2"/>
      <c r="F1711" s="2"/>
      <c r="G1711" s="2">
        <f t="shared" si="26"/>
        <v>0</v>
      </c>
      <c r="H1711" t="s">
        <v>14</v>
      </c>
    </row>
    <row r="1712" spans="2:8" x14ac:dyDescent="0.2">
      <c r="B1712" s="3">
        <v>44571</v>
      </c>
      <c r="D1712" s="2"/>
      <c r="E1712" s="2"/>
      <c r="F1712" s="2">
        <v>10000</v>
      </c>
      <c r="G1712" s="2">
        <f t="shared" si="26"/>
        <v>-10000</v>
      </c>
      <c r="H1712" t="s">
        <v>27</v>
      </c>
    </row>
    <row r="1713" spans="2:8" x14ac:dyDescent="0.2">
      <c r="B1713" s="3">
        <v>44571</v>
      </c>
      <c r="D1713" s="2"/>
      <c r="E1713" s="2"/>
      <c r="F1713" s="2"/>
      <c r="G1713" s="2">
        <f t="shared" si="26"/>
        <v>0</v>
      </c>
      <c r="H1713" t="s">
        <v>13</v>
      </c>
    </row>
    <row r="1714" spans="2:8" x14ac:dyDescent="0.2">
      <c r="B1714" s="3">
        <v>44571</v>
      </c>
      <c r="D1714" s="2"/>
      <c r="E1714" s="2"/>
      <c r="F1714" s="2"/>
      <c r="G1714" s="2">
        <f t="shared" si="26"/>
        <v>0</v>
      </c>
      <c r="H1714" t="s">
        <v>30</v>
      </c>
    </row>
    <row r="1715" spans="2:8" x14ac:dyDescent="0.2">
      <c r="B1715" s="3">
        <v>44571</v>
      </c>
      <c r="D1715" s="2"/>
      <c r="E1715" s="2"/>
      <c r="F1715" s="2"/>
      <c r="G1715" s="2">
        <f t="shared" si="26"/>
        <v>0</v>
      </c>
      <c r="H1715" t="s">
        <v>35</v>
      </c>
    </row>
    <row r="1716" spans="2:8" x14ac:dyDescent="0.2">
      <c r="B1716" s="3">
        <v>44571</v>
      </c>
      <c r="D1716" s="2">
        <v>5675</v>
      </c>
      <c r="E1716" s="2">
        <v>6155</v>
      </c>
      <c r="F1716" s="2"/>
      <c r="G1716" s="2">
        <f t="shared" si="26"/>
        <v>6155</v>
      </c>
      <c r="H1716" t="s">
        <v>25</v>
      </c>
    </row>
    <row r="1717" spans="2:8" x14ac:dyDescent="0.2">
      <c r="B1717" s="3">
        <v>44571</v>
      </c>
      <c r="D1717" s="2"/>
      <c r="E1717" s="2"/>
      <c r="F1717" s="2">
        <v>5000</v>
      </c>
      <c r="G1717" s="2">
        <f t="shared" si="26"/>
        <v>-5000</v>
      </c>
      <c r="H1717" t="s">
        <v>9</v>
      </c>
    </row>
    <row r="1718" spans="2:8" x14ac:dyDescent="0.2">
      <c r="B1718" s="3">
        <v>44571</v>
      </c>
      <c r="D1718" s="2"/>
      <c r="E1718" s="2"/>
      <c r="F1718" s="2"/>
      <c r="G1718" s="2">
        <f t="shared" si="26"/>
        <v>0</v>
      </c>
      <c r="H1718" t="s">
        <v>32</v>
      </c>
    </row>
    <row r="1719" spans="2:8" x14ac:dyDescent="0.2">
      <c r="B1719" s="3">
        <v>44571</v>
      </c>
      <c r="D1719" s="2"/>
      <c r="E1719" s="2"/>
      <c r="F1719" s="2"/>
      <c r="G1719" s="2">
        <f t="shared" si="26"/>
        <v>0</v>
      </c>
      <c r="H1719" s="1"/>
    </row>
    <row r="1720" spans="2:8" x14ac:dyDescent="0.2">
      <c r="B1720" s="3">
        <v>44572</v>
      </c>
      <c r="D1720" s="6">
        <v>2625</v>
      </c>
      <c r="E1720" s="2">
        <v>2750</v>
      </c>
      <c r="F1720" s="2"/>
      <c r="G1720" s="2">
        <f t="shared" si="26"/>
        <v>2750</v>
      </c>
      <c r="H1720" t="s">
        <v>14</v>
      </c>
    </row>
    <row r="1721" spans="2:8" x14ac:dyDescent="0.2">
      <c r="B1721" s="3">
        <v>44572</v>
      </c>
      <c r="D1721" s="2"/>
      <c r="E1721" s="2"/>
      <c r="F1721" s="2"/>
      <c r="G1721" s="2">
        <f t="shared" si="26"/>
        <v>0</v>
      </c>
      <c r="H1721" t="s">
        <v>27</v>
      </c>
    </row>
    <row r="1722" spans="2:8" x14ac:dyDescent="0.2">
      <c r="B1722" s="3">
        <v>44572</v>
      </c>
      <c r="D1722" s="2">
        <v>6402</v>
      </c>
      <c r="E1722" s="2">
        <v>7085</v>
      </c>
      <c r="F1722" s="2"/>
      <c r="G1722" s="2">
        <f t="shared" si="26"/>
        <v>7085</v>
      </c>
      <c r="H1722" t="s">
        <v>13</v>
      </c>
    </row>
    <row r="1723" spans="2:8" x14ac:dyDescent="0.2">
      <c r="B1723" s="3">
        <v>44572</v>
      </c>
      <c r="D1723" s="2"/>
      <c r="E1723" s="2"/>
      <c r="F1723" s="2"/>
      <c r="G1723" s="2">
        <f t="shared" si="26"/>
        <v>0</v>
      </c>
      <c r="H1723" t="s">
        <v>30</v>
      </c>
    </row>
    <row r="1724" spans="2:8" x14ac:dyDescent="0.2">
      <c r="B1724" s="3">
        <v>44572</v>
      </c>
      <c r="D1724" s="2"/>
      <c r="E1724" s="2"/>
      <c r="F1724" s="2"/>
      <c r="G1724" s="2">
        <f t="shared" si="26"/>
        <v>0</v>
      </c>
      <c r="H1724" t="s">
        <v>35</v>
      </c>
    </row>
    <row r="1725" spans="2:8" x14ac:dyDescent="0.2">
      <c r="B1725" s="3">
        <v>44572</v>
      </c>
      <c r="D1725" s="2"/>
      <c r="E1725" s="2"/>
      <c r="F1725" s="2"/>
      <c r="G1725" s="2">
        <f t="shared" si="26"/>
        <v>0</v>
      </c>
      <c r="H1725" t="s">
        <v>25</v>
      </c>
    </row>
    <row r="1726" spans="2:8" x14ac:dyDescent="0.2">
      <c r="B1726" s="3">
        <v>44572</v>
      </c>
      <c r="D1726" s="2"/>
      <c r="E1726" s="2"/>
      <c r="F1726" s="2"/>
      <c r="G1726" s="2">
        <f t="shared" si="26"/>
        <v>0</v>
      </c>
      <c r="H1726" t="s">
        <v>9</v>
      </c>
    </row>
    <row r="1727" spans="2:8" x14ac:dyDescent="0.2">
      <c r="B1727" s="3">
        <v>44572</v>
      </c>
      <c r="D1727" s="2"/>
      <c r="E1727" s="2"/>
      <c r="F1727" s="2"/>
      <c r="G1727" s="2">
        <f t="shared" si="26"/>
        <v>0</v>
      </c>
      <c r="H1727" t="s">
        <v>32</v>
      </c>
    </row>
    <row r="1728" spans="2:8" x14ac:dyDescent="0.2">
      <c r="B1728" s="3">
        <v>44572</v>
      </c>
      <c r="D1728" s="2"/>
      <c r="E1728" s="2"/>
      <c r="F1728" s="2"/>
      <c r="G1728" s="2">
        <f t="shared" si="26"/>
        <v>0</v>
      </c>
      <c r="H1728" s="1"/>
    </row>
    <row r="1729" spans="2:8" x14ac:dyDescent="0.2">
      <c r="B1729" s="3">
        <v>44573</v>
      </c>
      <c r="D1729" s="6">
        <v>2100</v>
      </c>
      <c r="E1729" s="2">
        <v>2200</v>
      </c>
      <c r="F1729" s="2"/>
      <c r="G1729" s="2">
        <f t="shared" si="26"/>
        <v>2200</v>
      </c>
      <c r="H1729" t="s">
        <v>14</v>
      </c>
    </row>
    <row r="1730" spans="2:8" x14ac:dyDescent="0.2">
      <c r="B1730" s="3">
        <v>44573</v>
      </c>
      <c r="D1730" s="2"/>
      <c r="E1730" s="2"/>
      <c r="F1730" s="2"/>
      <c r="G1730" s="2">
        <f t="shared" si="26"/>
        <v>0</v>
      </c>
      <c r="H1730" t="s">
        <v>27</v>
      </c>
    </row>
    <row r="1731" spans="2:8" x14ac:dyDescent="0.2">
      <c r="B1731" s="3">
        <v>44573</v>
      </c>
      <c r="D1731" s="2">
        <v>2702.5</v>
      </c>
      <c r="E1731" s="2">
        <v>2923.5</v>
      </c>
      <c r="F1731" s="2">
        <v>5000</v>
      </c>
      <c r="G1731" s="2">
        <f t="shared" ref="G1731:G1794" si="27">E1731-F1731</f>
        <v>-2076.5</v>
      </c>
      <c r="H1731" t="s">
        <v>13</v>
      </c>
    </row>
    <row r="1732" spans="2:8" x14ac:dyDescent="0.2">
      <c r="B1732" s="3">
        <v>44573</v>
      </c>
      <c r="D1732" s="2"/>
      <c r="E1732" s="2"/>
      <c r="F1732" s="2"/>
      <c r="G1732" s="2">
        <f t="shared" si="27"/>
        <v>0</v>
      </c>
      <c r="H1732" t="s">
        <v>30</v>
      </c>
    </row>
    <row r="1733" spans="2:8" x14ac:dyDescent="0.2">
      <c r="B1733" s="3">
        <v>44573</v>
      </c>
      <c r="D1733" s="2">
        <v>660</v>
      </c>
      <c r="E1733" s="2">
        <v>835</v>
      </c>
      <c r="F1733" s="2"/>
      <c r="G1733" s="2">
        <f t="shared" si="27"/>
        <v>835</v>
      </c>
      <c r="H1733" t="s">
        <v>35</v>
      </c>
    </row>
    <row r="1734" spans="2:8" x14ac:dyDescent="0.2">
      <c r="B1734" s="3">
        <v>44573</v>
      </c>
      <c r="D1734" s="2"/>
      <c r="E1734" s="2"/>
      <c r="F1734" s="2"/>
      <c r="G1734" s="2">
        <f t="shared" si="27"/>
        <v>0</v>
      </c>
      <c r="H1734" t="s">
        <v>25</v>
      </c>
    </row>
    <row r="1735" spans="2:8" x14ac:dyDescent="0.2">
      <c r="B1735" s="3">
        <v>44573</v>
      </c>
      <c r="D1735" s="2"/>
      <c r="E1735" s="2"/>
      <c r="F1735" s="2"/>
      <c r="G1735" s="2">
        <f t="shared" si="27"/>
        <v>0</v>
      </c>
      <c r="H1735" t="s">
        <v>9</v>
      </c>
    </row>
    <row r="1736" spans="2:8" x14ac:dyDescent="0.2">
      <c r="B1736" s="3">
        <v>44573</v>
      </c>
      <c r="D1736" s="2"/>
      <c r="E1736" s="2"/>
      <c r="F1736" s="2"/>
      <c r="G1736" s="2">
        <f t="shared" si="27"/>
        <v>0</v>
      </c>
      <c r="H1736" t="s">
        <v>32</v>
      </c>
    </row>
    <row r="1737" spans="2:8" x14ac:dyDescent="0.2">
      <c r="B1737" s="3">
        <v>44573</v>
      </c>
      <c r="D1737" s="2"/>
      <c r="E1737" s="2"/>
      <c r="F1737" s="2"/>
      <c r="G1737" s="2">
        <f t="shared" si="27"/>
        <v>0</v>
      </c>
      <c r="H1737" s="1"/>
    </row>
    <row r="1738" spans="2:8" x14ac:dyDescent="0.2">
      <c r="B1738" s="3">
        <v>44574</v>
      </c>
      <c r="D1738" s="6"/>
      <c r="E1738" s="2"/>
      <c r="F1738" s="2"/>
      <c r="G1738" s="2">
        <f t="shared" si="27"/>
        <v>0</v>
      </c>
      <c r="H1738" t="s">
        <v>14</v>
      </c>
    </row>
    <row r="1739" spans="2:8" x14ac:dyDescent="0.2">
      <c r="B1739" s="3">
        <v>44574</v>
      </c>
      <c r="D1739" s="2"/>
      <c r="E1739" s="2"/>
      <c r="F1739" s="2"/>
      <c r="G1739" s="2">
        <f t="shared" si="27"/>
        <v>0</v>
      </c>
      <c r="H1739" t="s">
        <v>27</v>
      </c>
    </row>
    <row r="1740" spans="2:8" x14ac:dyDescent="0.2">
      <c r="B1740" s="3">
        <v>44574</v>
      </c>
      <c r="D1740" s="2"/>
      <c r="E1740" s="2"/>
      <c r="F1740" s="2"/>
      <c r="G1740" s="2">
        <f t="shared" si="27"/>
        <v>0</v>
      </c>
      <c r="H1740" t="s">
        <v>13</v>
      </c>
    </row>
    <row r="1741" spans="2:8" x14ac:dyDescent="0.2">
      <c r="B1741" s="3">
        <v>44574</v>
      </c>
      <c r="D1741" s="2"/>
      <c r="E1741" s="2"/>
      <c r="F1741" s="2"/>
      <c r="G1741" s="2">
        <f t="shared" si="27"/>
        <v>0</v>
      </c>
      <c r="H1741" t="s">
        <v>30</v>
      </c>
    </row>
    <row r="1742" spans="2:8" x14ac:dyDescent="0.2">
      <c r="B1742" s="3">
        <v>44574</v>
      </c>
      <c r="D1742" s="2"/>
      <c r="E1742" s="2"/>
      <c r="F1742" s="2"/>
      <c r="G1742" s="2">
        <f t="shared" si="27"/>
        <v>0</v>
      </c>
      <c r="H1742" t="s">
        <v>35</v>
      </c>
    </row>
    <row r="1743" spans="2:8" x14ac:dyDescent="0.2">
      <c r="B1743" s="3">
        <v>44574</v>
      </c>
      <c r="D1743" s="2"/>
      <c r="E1743" s="2"/>
      <c r="F1743" s="2"/>
      <c r="G1743" s="2">
        <f t="shared" si="27"/>
        <v>0</v>
      </c>
      <c r="H1743" t="s">
        <v>25</v>
      </c>
    </row>
    <row r="1744" spans="2:8" x14ac:dyDescent="0.2">
      <c r="B1744" s="3">
        <v>44574</v>
      </c>
      <c r="D1744" s="2"/>
      <c r="E1744" s="2"/>
      <c r="F1744" s="2"/>
      <c r="G1744" s="2">
        <f t="shared" si="27"/>
        <v>0</v>
      </c>
      <c r="H1744" t="s">
        <v>9</v>
      </c>
    </row>
    <row r="1745" spans="2:8" x14ac:dyDescent="0.2">
      <c r="B1745" s="3">
        <v>44574</v>
      </c>
      <c r="D1745" s="2"/>
      <c r="E1745" s="2"/>
      <c r="F1745" s="2"/>
      <c r="G1745" s="2">
        <f t="shared" si="27"/>
        <v>0</v>
      </c>
      <c r="H1745" t="s">
        <v>32</v>
      </c>
    </row>
    <row r="1746" spans="2:8" x14ac:dyDescent="0.2">
      <c r="B1746" s="3">
        <v>44574</v>
      </c>
      <c r="D1746" s="2"/>
      <c r="E1746" s="2"/>
      <c r="F1746" s="2"/>
      <c r="G1746" s="2">
        <f t="shared" si="27"/>
        <v>0</v>
      </c>
      <c r="H1746" s="1"/>
    </row>
    <row r="1747" spans="2:8" x14ac:dyDescent="0.2">
      <c r="B1747" s="3">
        <v>44575</v>
      </c>
      <c r="D1747" s="6"/>
      <c r="E1747" s="2"/>
      <c r="F1747" s="2"/>
      <c r="G1747" s="2">
        <f t="shared" si="27"/>
        <v>0</v>
      </c>
      <c r="H1747" t="s">
        <v>14</v>
      </c>
    </row>
    <row r="1748" spans="2:8" x14ac:dyDescent="0.2">
      <c r="B1748" s="3">
        <v>44575</v>
      </c>
      <c r="D1748" s="2"/>
      <c r="E1748" s="2"/>
      <c r="F1748" s="2"/>
      <c r="G1748" s="2">
        <f t="shared" si="27"/>
        <v>0</v>
      </c>
      <c r="H1748" t="s">
        <v>27</v>
      </c>
    </row>
    <row r="1749" spans="2:8" x14ac:dyDescent="0.2">
      <c r="B1749" s="3">
        <v>44575</v>
      </c>
      <c r="D1749" s="2"/>
      <c r="E1749" s="2"/>
      <c r="F1749" s="2"/>
      <c r="G1749" s="2">
        <f t="shared" si="27"/>
        <v>0</v>
      </c>
      <c r="H1749" t="s">
        <v>13</v>
      </c>
    </row>
    <row r="1750" spans="2:8" x14ac:dyDescent="0.2">
      <c r="B1750" s="3">
        <v>44575</v>
      </c>
      <c r="D1750" s="2"/>
      <c r="E1750" s="2"/>
      <c r="F1750" s="2"/>
      <c r="G1750" s="2">
        <f t="shared" si="27"/>
        <v>0</v>
      </c>
      <c r="H1750" t="s">
        <v>30</v>
      </c>
    </row>
    <row r="1751" spans="2:8" x14ac:dyDescent="0.2">
      <c r="B1751" s="3">
        <v>44575</v>
      </c>
      <c r="D1751" s="2"/>
      <c r="E1751" s="2"/>
      <c r="F1751" s="2"/>
      <c r="G1751" s="2">
        <f t="shared" si="27"/>
        <v>0</v>
      </c>
      <c r="H1751" t="s">
        <v>35</v>
      </c>
    </row>
    <row r="1752" spans="2:8" x14ac:dyDescent="0.2">
      <c r="B1752" s="3">
        <v>44575</v>
      </c>
      <c r="D1752" s="2"/>
      <c r="E1752" s="2"/>
      <c r="F1752" s="2"/>
      <c r="G1752" s="2">
        <f t="shared" si="27"/>
        <v>0</v>
      </c>
      <c r="H1752" t="s">
        <v>25</v>
      </c>
    </row>
    <row r="1753" spans="2:8" x14ac:dyDescent="0.2">
      <c r="B1753" s="3">
        <v>44575</v>
      </c>
      <c r="D1753" s="2"/>
      <c r="E1753" s="2"/>
      <c r="F1753" s="2"/>
      <c r="G1753" s="2">
        <f t="shared" si="27"/>
        <v>0</v>
      </c>
      <c r="H1753" t="s">
        <v>9</v>
      </c>
    </row>
    <row r="1754" spans="2:8" x14ac:dyDescent="0.2">
      <c r="B1754" s="3">
        <v>44575</v>
      </c>
      <c r="D1754" s="2"/>
      <c r="E1754" s="2"/>
      <c r="F1754" s="2"/>
      <c r="G1754" s="2">
        <f t="shared" si="27"/>
        <v>0</v>
      </c>
      <c r="H1754" t="s">
        <v>32</v>
      </c>
    </row>
    <row r="1755" spans="2:8" x14ac:dyDescent="0.2">
      <c r="B1755" s="3">
        <v>44575</v>
      </c>
      <c r="D1755" s="2"/>
      <c r="E1755" s="2"/>
      <c r="F1755" s="2"/>
      <c r="G1755" s="2">
        <f t="shared" si="27"/>
        <v>0</v>
      </c>
      <c r="H1755" s="1"/>
    </row>
    <row r="1756" spans="2:8" x14ac:dyDescent="0.2">
      <c r="B1756" s="3">
        <v>44576</v>
      </c>
      <c r="D1756" s="6"/>
      <c r="E1756" s="2"/>
      <c r="F1756" s="2">
        <v>7000</v>
      </c>
      <c r="G1756" s="2">
        <f t="shared" si="27"/>
        <v>-7000</v>
      </c>
      <c r="H1756" t="s">
        <v>14</v>
      </c>
    </row>
    <row r="1757" spans="2:8" x14ac:dyDescent="0.2">
      <c r="B1757" s="3">
        <v>44576</v>
      </c>
      <c r="D1757" s="2"/>
      <c r="E1757" s="2"/>
      <c r="F1757" s="2"/>
      <c r="G1757" s="2">
        <f t="shared" si="27"/>
        <v>0</v>
      </c>
      <c r="H1757" t="s">
        <v>27</v>
      </c>
    </row>
    <row r="1758" spans="2:8" x14ac:dyDescent="0.2">
      <c r="B1758" s="3">
        <v>44576</v>
      </c>
      <c r="D1758" s="2">
        <v>2230</v>
      </c>
      <c r="E1758" s="2">
        <v>2550</v>
      </c>
      <c r="F1758" s="2">
        <v>5000</v>
      </c>
      <c r="G1758" s="2">
        <f t="shared" si="27"/>
        <v>-2450</v>
      </c>
      <c r="H1758" t="s">
        <v>13</v>
      </c>
    </row>
    <row r="1759" spans="2:8" x14ac:dyDescent="0.2">
      <c r="B1759" s="3">
        <v>44576</v>
      </c>
      <c r="D1759" s="2"/>
      <c r="E1759" s="2"/>
      <c r="F1759" s="2"/>
      <c r="G1759" s="2">
        <f t="shared" si="27"/>
        <v>0</v>
      </c>
      <c r="H1759" t="s">
        <v>30</v>
      </c>
    </row>
    <row r="1760" spans="2:8" x14ac:dyDescent="0.2">
      <c r="B1760" s="3">
        <v>44576</v>
      </c>
      <c r="D1760" s="2"/>
      <c r="E1760" s="2"/>
      <c r="F1760" s="2"/>
      <c r="G1760" s="2">
        <f t="shared" si="27"/>
        <v>0</v>
      </c>
      <c r="H1760" t="s">
        <v>35</v>
      </c>
    </row>
    <row r="1761" spans="2:8" x14ac:dyDescent="0.2">
      <c r="B1761" s="3">
        <v>44576</v>
      </c>
      <c r="D1761" s="2">
        <v>765</v>
      </c>
      <c r="E1761" s="2">
        <v>900</v>
      </c>
      <c r="F1761" s="2">
        <v>3000</v>
      </c>
      <c r="G1761" s="2">
        <f t="shared" si="27"/>
        <v>-2100</v>
      </c>
      <c r="H1761" t="s">
        <v>25</v>
      </c>
    </row>
    <row r="1762" spans="2:8" x14ac:dyDescent="0.2">
      <c r="B1762" s="3">
        <v>44576</v>
      </c>
      <c r="D1762" s="2"/>
      <c r="E1762" s="2"/>
      <c r="F1762" s="2"/>
      <c r="G1762" s="2">
        <f t="shared" si="27"/>
        <v>0</v>
      </c>
      <c r="H1762" t="s">
        <v>9</v>
      </c>
    </row>
    <row r="1763" spans="2:8" x14ac:dyDescent="0.2">
      <c r="B1763" s="3">
        <v>44576</v>
      </c>
      <c r="D1763" s="2"/>
      <c r="E1763" s="2"/>
      <c r="F1763" s="2"/>
      <c r="G1763" s="2">
        <f t="shared" si="27"/>
        <v>0</v>
      </c>
      <c r="H1763" t="s">
        <v>32</v>
      </c>
    </row>
    <row r="1764" spans="2:8" x14ac:dyDescent="0.2">
      <c r="B1764" s="3">
        <v>44576</v>
      </c>
      <c r="D1764" s="2"/>
      <c r="E1764" s="2"/>
      <c r="F1764" s="2"/>
      <c r="G1764" s="2">
        <f t="shared" si="27"/>
        <v>0</v>
      </c>
      <c r="H1764" s="1"/>
    </row>
    <row r="1765" spans="2:8" x14ac:dyDescent="0.2">
      <c r="B1765" s="3">
        <v>44577</v>
      </c>
      <c r="D1765" s="6"/>
      <c r="E1765" s="2"/>
      <c r="F1765" s="2"/>
      <c r="G1765" s="2">
        <f t="shared" si="27"/>
        <v>0</v>
      </c>
      <c r="H1765" t="s">
        <v>14</v>
      </c>
    </row>
    <row r="1766" spans="2:8" x14ac:dyDescent="0.2">
      <c r="B1766" s="3">
        <v>44577</v>
      </c>
      <c r="D1766" s="2"/>
      <c r="E1766" s="2"/>
      <c r="F1766" s="2"/>
      <c r="G1766" s="2">
        <f t="shared" si="27"/>
        <v>0</v>
      </c>
      <c r="H1766" t="s">
        <v>27</v>
      </c>
    </row>
    <row r="1767" spans="2:8" x14ac:dyDescent="0.2">
      <c r="B1767" s="3">
        <v>44577</v>
      </c>
      <c r="D1767" s="2"/>
      <c r="E1767" s="2"/>
      <c r="F1767" s="2"/>
      <c r="G1767" s="2">
        <f t="shared" si="27"/>
        <v>0</v>
      </c>
      <c r="H1767" t="s">
        <v>13</v>
      </c>
    </row>
    <row r="1768" spans="2:8" x14ac:dyDescent="0.2">
      <c r="B1768" s="3">
        <v>44577</v>
      </c>
      <c r="D1768" s="2"/>
      <c r="E1768" s="2"/>
      <c r="F1768" s="2"/>
      <c r="G1768" s="2">
        <f t="shared" si="27"/>
        <v>0</v>
      </c>
      <c r="H1768" t="s">
        <v>30</v>
      </c>
    </row>
    <row r="1769" spans="2:8" x14ac:dyDescent="0.2">
      <c r="B1769" s="3">
        <v>44577</v>
      </c>
      <c r="D1769" s="2"/>
      <c r="E1769" s="2"/>
      <c r="F1769" s="2"/>
      <c r="G1769" s="2">
        <f t="shared" si="27"/>
        <v>0</v>
      </c>
      <c r="H1769" t="s">
        <v>35</v>
      </c>
    </row>
    <row r="1770" spans="2:8" x14ac:dyDescent="0.2">
      <c r="B1770" s="3">
        <v>44577</v>
      </c>
      <c r="D1770" s="2">
        <v>457</v>
      </c>
      <c r="E1770" s="2">
        <v>486</v>
      </c>
      <c r="F1770" s="2"/>
      <c r="G1770" s="2">
        <f t="shared" si="27"/>
        <v>486</v>
      </c>
      <c r="H1770" t="s">
        <v>25</v>
      </c>
    </row>
    <row r="1771" spans="2:8" x14ac:dyDescent="0.2">
      <c r="B1771" s="3">
        <v>44577</v>
      </c>
      <c r="D1771" s="2"/>
      <c r="E1771" s="2"/>
      <c r="F1771" s="2"/>
      <c r="G1771" s="2">
        <f t="shared" si="27"/>
        <v>0</v>
      </c>
      <c r="H1771" t="s">
        <v>9</v>
      </c>
    </row>
    <row r="1772" spans="2:8" x14ac:dyDescent="0.2">
      <c r="B1772" s="3">
        <v>44577</v>
      </c>
      <c r="D1772" s="2"/>
      <c r="E1772" s="2"/>
      <c r="F1772" s="2"/>
      <c r="G1772" s="2">
        <f t="shared" si="27"/>
        <v>0</v>
      </c>
      <c r="H1772" t="s">
        <v>32</v>
      </c>
    </row>
    <row r="1773" spans="2:8" x14ac:dyDescent="0.2">
      <c r="B1773" s="3">
        <v>44577</v>
      </c>
      <c r="D1773" s="2"/>
      <c r="E1773" s="2"/>
      <c r="F1773" s="2"/>
      <c r="G1773" s="2">
        <f t="shared" si="27"/>
        <v>0</v>
      </c>
      <c r="H1773" s="1"/>
    </row>
    <row r="1774" spans="2:8" x14ac:dyDescent="0.2">
      <c r="B1774" s="3">
        <v>44578</v>
      </c>
      <c r="D1774" s="6"/>
      <c r="E1774" s="2"/>
      <c r="F1774" s="2"/>
      <c r="G1774" s="2">
        <f t="shared" si="27"/>
        <v>0</v>
      </c>
      <c r="H1774" t="s">
        <v>14</v>
      </c>
    </row>
    <row r="1775" spans="2:8" x14ac:dyDescent="0.2">
      <c r="B1775" s="3">
        <v>44578</v>
      </c>
      <c r="D1775" s="2"/>
      <c r="E1775" s="2"/>
      <c r="F1775" s="2"/>
      <c r="G1775" s="2">
        <f t="shared" si="27"/>
        <v>0</v>
      </c>
      <c r="H1775" t="s">
        <v>27</v>
      </c>
    </row>
    <row r="1776" spans="2:8" x14ac:dyDescent="0.2">
      <c r="B1776" s="3">
        <v>44578</v>
      </c>
      <c r="D1776" s="2">
        <v>950</v>
      </c>
      <c r="E1776" s="2">
        <v>1050</v>
      </c>
      <c r="F1776" s="2">
        <v>5000</v>
      </c>
      <c r="G1776" s="2">
        <f t="shared" si="27"/>
        <v>-3950</v>
      </c>
      <c r="H1776" t="s">
        <v>13</v>
      </c>
    </row>
    <row r="1777" spans="2:8" x14ac:dyDescent="0.2">
      <c r="B1777" s="3">
        <v>44578</v>
      </c>
      <c r="D1777" s="2"/>
      <c r="E1777" s="2"/>
      <c r="F1777" s="2"/>
      <c r="G1777" s="2">
        <f t="shared" si="27"/>
        <v>0</v>
      </c>
      <c r="H1777" t="s">
        <v>30</v>
      </c>
    </row>
    <row r="1778" spans="2:8" x14ac:dyDescent="0.2">
      <c r="B1778" s="3">
        <v>44578</v>
      </c>
      <c r="D1778" s="2"/>
      <c r="E1778" s="2"/>
      <c r="F1778" s="2">
        <v>3000</v>
      </c>
      <c r="G1778" s="2">
        <f t="shared" si="27"/>
        <v>-3000</v>
      </c>
      <c r="H1778" t="s">
        <v>35</v>
      </c>
    </row>
    <row r="1779" spans="2:8" x14ac:dyDescent="0.2">
      <c r="B1779" s="3">
        <v>44578</v>
      </c>
      <c r="D1779" s="2"/>
      <c r="E1779" s="2"/>
      <c r="F1779" s="2"/>
      <c r="G1779" s="2">
        <f t="shared" si="27"/>
        <v>0</v>
      </c>
      <c r="H1779" t="s">
        <v>25</v>
      </c>
    </row>
    <row r="1780" spans="2:8" x14ac:dyDescent="0.2">
      <c r="B1780" s="3">
        <v>44578</v>
      </c>
      <c r="D1780" s="2"/>
      <c r="E1780" s="2"/>
      <c r="F1780" s="2"/>
      <c r="G1780" s="2">
        <f t="shared" si="27"/>
        <v>0</v>
      </c>
      <c r="H1780" t="s">
        <v>9</v>
      </c>
    </row>
    <row r="1781" spans="2:8" x14ac:dyDescent="0.2">
      <c r="B1781" s="3">
        <v>44578</v>
      </c>
      <c r="D1781" s="2"/>
      <c r="E1781" s="2"/>
      <c r="F1781" s="2"/>
      <c r="G1781" s="2">
        <f t="shared" si="27"/>
        <v>0</v>
      </c>
      <c r="H1781" t="s">
        <v>32</v>
      </c>
    </row>
    <row r="1782" spans="2:8" x14ac:dyDescent="0.2">
      <c r="B1782" s="3">
        <v>44578</v>
      </c>
      <c r="D1782" s="2"/>
      <c r="E1782" s="2"/>
      <c r="F1782" s="2"/>
      <c r="G1782" s="2">
        <f t="shared" si="27"/>
        <v>0</v>
      </c>
      <c r="H1782" s="1"/>
    </row>
    <row r="1783" spans="2:8" x14ac:dyDescent="0.2">
      <c r="B1783" s="3">
        <v>44579</v>
      </c>
      <c r="D1783" s="6">
        <f>24*50</f>
        <v>1200</v>
      </c>
      <c r="E1783" s="2">
        <v>1350</v>
      </c>
      <c r="F1783" s="2"/>
      <c r="G1783" s="2">
        <f t="shared" si="27"/>
        <v>1350</v>
      </c>
      <c r="H1783" t="s">
        <v>14</v>
      </c>
    </row>
    <row r="1784" spans="2:8" x14ac:dyDescent="0.2">
      <c r="B1784" s="3">
        <v>44579</v>
      </c>
      <c r="D1784" s="2"/>
      <c r="E1784" s="2"/>
      <c r="F1784" s="2"/>
      <c r="G1784" s="2">
        <f t="shared" si="27"/>
        <v>0</v>
      </c>
      <c r="H1784" t="s">
        <v>27</v>
      </c>
    </row>
    <row r="1785" spans="2:8" x14ac:dyDescent="0.2">
      <c r="B1785" s="3">
        <v>44579</v>
      </c>
      <c r="D1785" s="2"/>
      <c r="E1785" s="2"/>
      <c r="F1785" s="2"/>
      <c r="G1785" s="2">
        <f t="shared" si="27"/>
        <v>0</v>
      </c>
      <c r="H1785" t="s">
        <v>13</v>
      </c>
    </row>
    <row r="1786" spans="2:8" x14ac:dyDescent="0.2">
      <c r="B1786" s="3">
        <v>44579</v>
      </c>
      <c r="D1786" s="2"/>
      <c r="E1786" s="2"/>
      <c r="F1786" s="2"/>
      <c r="G1786" s="2">
        <f t="shared" si="27"/>
        <v>0</v>
      </c>
      <c r="H1786" t="s">
        <v>30</v>
      </c>
    </row>
    <row r="1787" spans="2:8" x14ac:dyDescent="0.2">
      <c r="B1787" s="3">
        <v>44579</v>
      </c>
      <c r="D1787" s="2"/>
      <c r="E1787" s="2"/>
      <c r="F1787" s="2"/>
      <c r="G1787" s="2">
        <f t="shared" si="27"/>
        <v>0</v>
      </c>
      <c r="H1787" t="s">
        <v>35</v>
      </c>
    </row>
    <row r="1788" spans="2:8" x14ac:dyDescent="0.2">
      <c r="B1788" s="3">
        <v>44579</v>
      </c>
      <c r="D1788" s="2">
        <v>1350</v>
      </c>
      <c r="E1788" s="2">
        <v>1450</v>
      </c>
      <c r="F1788" s="2">
        <v>2000</v>
      </c>
      <c r="G1788" s="2">
        <f t="shared" si="27"/>
        <v>-550</v>
      </c>
      <c r="H1788" t="s">
        <v>25</v>
      </c>
    </row>
    <row r="1789" spans="2:8" x14ac:dyDescent="0.2">
      <c r="B1789" s="3">
        <v>44579</v>
      </c>
      <c r="D1789" s="2"/>
      <c r="E1789" s="2"/>
      <c r="F1789" s="2"/>
      <c r="G1789" s="2">
        <f t="shared" si="27"/>
        <v>0</v>
      </c>
      <c r="H1789" t="s">
        <v>9</v>
      </c>
    </row>
    <row r="1790" spans="2:8" x14ac:dyDescent="0.2">
      <c r="B1790" s="3">
        <v>44579</v>
      </c>
      <c r="D1790" s="2"/>
      <c r="E1790" s="2"/>
      <c r="F1790" s="2"/>
      <c r="G1790" s="2">
        <f t="shared" si="27"/>
        <v>0</v>
      </c>
      <c r="H1790" t="s">
        <v>32</v>
      </c>
    </row>
    <row r="1791" spans="2:8" x14ac:dyDescent="0.2">
      <c r="B1791" s="3">
        <v>44579</v>
      </c>
      <c r="D1791" s="2"/>
      <c r="E1791" s="2"/>
      <c r="F1791" s="2"/>
      <c r="G1791" s="2">
        <f t="shared" si="27"/>
        <v>0</v>
      </c>
      <c r="H1791" s="1"/>
    </row>
    <row r="1792" spans="2:8" x14ac:dyDescent="0.2">
      <c r="B1792" s="3">
        <v>44580</v>
      </c>
      <c r="D1792" s="6"/>
      <c r="E1792" s="2"/>
      <c r="F1792" s="2"/>
      <c r="G1792" s="2">
        <f t="shared" si="27"/>
        <v>0</v>
      </c>
      <c r="H1792" t="s">
        <v>14</v>
      </c>
    </row>
    <row r="1793" spans="2:8" x14ac:dyDescent="0.2">
      <c r="B1793" s="3">
        <v>44580</v>
      </c>
      <c r="D1793" s="2"/>
      <c r="E1793" s="2"/>
      <c r="F1793" s="2"/>
      <c r="G1793" s="2">
        <f t="shared" si="27"/>
        <v>0</v>
      </c>
      <c r="H1793" t="s">
        <v>27</v>
      </c>
    </row>
    <row r="1794" spans="2:8" x14ac:dyDescent="0.2">
      <c r="B1794" s="3">
        <v>44580</v>
      </c>
      <c r="D1794" s="2"/>
      <c r="E1794" s="2"/>
      <c r="F1794" s="2"/>
      <c r="G1794" s="2">
        <f t="shared" si="27"/>
        <v>0</v>
      </c>
      <c r="H1794" t="s">
        <v>13</v>
      </c>
    </row>
    <row r="1795" spans="2:8" x14ac:dyDescent="0.2">
      <c r="B1795" s="3">
        <v>44580</v>
      </c>
      <c r="D1795" s="2"/>
      <c r="E1795" s="2"/>
      <c r="F1795" s="2"/>
      <c r="G1795" s="2">
        <f t="shared" ref="G1795:G1858" si="28">E1795-F1795</f>
        <v>0</v>
      </c>
      <c r="H1795" t="s">
        <v>30</v>
      </c>
    </row>
    <row r="1796" spans="2:8" x14ac:dyDescent="0.2">
      <c r="B1796" s="3">
        <v>44580</v>
      </c>
      <c r="D1796" s="2">
        <v>505</v>
      </c>
      <c r="E1796" s="2">
        <v>637.5</v>
      </c>
      <c r="F1796" s="2"/>
      <c r="G1796" s="2">
        <f t="shared" si="28"/>
        <v>637.5</v>
      </c>
      <c r="H1796" t="s">
        <v>35</v>
      </c>
    </row>
    <row r="1797" spans="2:8" x14ac:dyDescent="0.2">
      <c r="B1797" s="3">
        <v>44580</v>
      </c>
      <c r="D1797" s="2"/>
      <c r="E1797" s="2"/>
      <c r="F1797" s="2"/>
      <c r="G1797" s="2">
        <f t="shared" si="28"/>
        <v>0</v>
      </c>
      <c r="H1797" t="s">
        <v>25</v>
      </c>
    </row>
    <row r="1798" spans="2:8" x14ac:dyDescent="0.2">
      <c r="B1798" s="3">
        <v>44580</v>
      </c>
      <c r="D1798" s="2"/>
      <c r="E1798" s="2"/>
      <c r="F1798" s="2"/>
      <c r="G1798" s="2">
        <f t="shared" si="28"/>
        <v>0</v>
      </c>
      <c r="H1798" t="s">
        <v>9</v>
      </c>
    </row>
    <row r="1799" spans="2:8" x14ac:dyDescent="0.2">
      <c r="B1799" s="3">
        <v>44580</v>
      </c>
      <c r="D1799" s="2"/>
      <c r="E1799" s="2"/>
      <c r="F1799" s="2"/>
      <c r="G1799" s="2">
        <f t="shared" si="28"/>
        <v>0</v>
      </c>
      <c r="H1799" t="s">
        <v>32</v>
      </c>
    </row>
    <row r="1800" spans="2:8" x14ac:dyDescent="0.2">
      <c r="B1800" s="3">
        <v>44580</v>
      </c>
      <c r="D1800" s="2"/>
      <c r="E1800" s="2"/>
      <c r="F1800" s="2"/>
      <c r="G1800" s="2">
        <f t="shared" si="28"/>
        <v>0</v>
      </c>
      <c r="H1800" s="1"/>
    </row>
    <row r="1801" spans="2:8" x14ac:dyDescent="0.2">
      <c r="B1801" s="3">
        <v>44581</v>
      </c>
      <c r="D1801" s="6">
        <v>2727.5</v>
      </c>
      <c r="E1801" s="2">
        <v>2960</v>
      </c>
      <c r="F1801" s="2"/>
      <c r="G1801" s="2">
        <f t="shared" si="28"/>
        <v>2960</v>
      </c>
      <c r="H1801" t="s">
        <v>14</v>
      </c>
    </row>
    <row r="1802" spans="2:8" x14ac:dyDescent="0.2">
      <c r="B1802" s="3">
        <v>44581</v>
      </c>
      <c r="D1802" s="2"/>
      <c r="E1802" s="2"/>
      <c r="F1802" s="2">
        <v>10000</v>
      </c>
      <c r="G1802" s="2">
        <f t="shared" si="28"/>
        <v>-10000</v>
      </c>
      <c r="H1802" t="s">
        <v>27</v>
      </c>
    </row>
    <row r="1803" spans="2:8" x14ac:dyDescent="0.2">
      <c r="B1803" s="3">
        <v>44581</v>
      </c>
      <c r="D1803" s="2">
        <v>2385</v>
      </c>
      <c r="E1803" s="2">
        <v>2612</v>
      </c>
      <c r="F1803" s="2"/>
      <c r="G1803" s="2">
        <f t="shared" si="28"/>
        <v>2612</v>
      </c>
      <c r="H1803" t="s">
        <v>13</v>
      </c>
    </row>
    <row r="1804" spans="2:8" x14ac:dyDescent="0.2">
      <c r="B1804" s="3">
        <v>44581</v>
      </c>
      <c r="D1804" s="2"/>
      <c r="E1804" s="2"/>
      <c r="F1804" s="2"/>
      <c r="G1804" s="2">
        <f t="shared" si="28"/>
        <v>0</v>
      </c>
      <c r="H1804" t="s">
        <v>30</v>
      </c>
    </row>
    <row r="1805" spans="2:8" x14ac:dyDescent="0.2">
      <c r="B1805" s="3">
        <v>44581</v>
      </c>
      <c r="D1805" s="2"/>
      <c r="E1805" s="2"/>
      <c r="F1805" s="2"/>
      <c r="G1805" s="2">
        <f t="shared" si="28"/>
        <v>0</v>
      </c>
      <c r="H1805" t="s">
        <v>35</v>
      </c>
    </row>
    <row r="1806" spans="2:8" x14ac:dyDescent="0.2">
      <c r="B1806" s="3">
        <v>44581</v>
      </c>
      <c r="D1806" s="2"/>
      <c r="E1806" s="2"/>
      <c r="F1806" s="2"/>
      <c r="G1806" s="2">
        <f t="shared" si="28"/>
        <v>0</v>
      </c>
      <c r="H1806" t="s">
        <v>25</v>
      </c>
    </row>
    <row r="1807" spans="2:8" x14ac:dyDescent="0.2">
      <c r="B1807" s="3">
        <v>44581</v>
      </c>
      <c r="D1807" s="2"/>
      <c r="E1807" s="2"/>
      <c r="F1807" s="2"/>
      <c r="G1807" s="2">
        <f t="shared" si="28"/>
        <v>0</v>
      </c>
      <c r="H1807" t="s">
        <v>9</v>
      </c>
    </row>
    <row r="1808" spans="2:8" x14ac:dyDescent="0.2">
      <c r="B1808" s="3">
        <v>44581</v>
      </c>
      <c r="D1808" s="2"/>
      <c r="E1808" s="2"/>
      <c r="F1808" s="2"/>
      <c r="G1808" s="2">
        <f t="shared" si="28"/>
        <v>0</v>
      </c>
      <c r="H1808" t="s">
        <v>32</v>
      </c>
    </row>
    <row r="1809" spans="2:8" x14ac:dyDescent="0.2">
      <c r="B1809" s="3">
        <v>44581</v>
      </c>
      <c r="D1809" s="2"/>
      <c r="E1809" s="2"/>
      <c r="F1809" s="2"/>
      <c r="G1809" s="2">
        <f t="shared" si="28"/>
        <v>0</v>
      </c>
      <c r="H1809" s="1"/>
    </row>
    <row r="1810" spans="2:8" x14ac:dyDescent="0.2">
      <c r="B1810" s="3">
        <v>44582</v>
      </c>
      <c r="D1810" s="15"/>
      <c r="E1810" s="2"/>
      <c r="F1810" s="2"/>
      <c r="G1810" s="2">
        <f t="shared" si="28"/>
        <v>0</v>
      </c>
      <c r="H1810" t="s">
        <v>14</v>
      </c>
    </row>
    <row r="1811" spans="2:8" x14ac:dyDescent="0.2">
      <c r="B1811" s="3">
        <v>44582</v>
      </c>
      <c r="D1811" s="30"/>
      <c r="E1811" s="2"/>
      <c r="F1811" s="2"/>
      <c r="G1811" s="2">
        <f t="shared" si="28"/>
        <v>0</v>
      </c>
      <c r="H1811" t="s">
        <v>27</v>
      </c>
    </row>
    <row r="1812" spans="2:8" x14ac:dyDescent="0.2">
      <c r="B1812" s="3">
        <v>44582</v>
      </c>
      <c r="D1812" s="30"/>
      <c r="E1812" s="2"/>
      <c r="F1812" s="2">
        <v>5000</v>
      </c>
      <c r="G1812" s="2">
        <f t="shared" si="28"/>
        <v>-5000</v>
      </c>
      <c r="H1812" t="s">
        <v>13</v>
      </c>
    </row>
    <row r="1813" spans="2:8" x14ac:dyDescent="0.2">
      <c r="B1813" s="3">
        <v>44582</v>
      </c>
      <c r="D1813" s="30"/>
      <c r="E1813" s="2"/>
      <c r="F1813" s="2"/>
      <c r="G1813" s="2">
        <f t="shared" si="28"/>
        <v>0</v>
      </c>
      <c r="H1813" t="s">
        <v>30</v>
      </c>
    </row>
    <row r="1814" spans="2:8" x14ac:dyDescent="0.2">
      <c r="B1814" s="3">
        <v>44582</v>
      </c>
      <c r="D1814" s="30"/>
      <c r="E1814" s="2"/>
      <c r="F1814" s="2"/>
      <c r="G1814" s="2">
        <f t="shared" si="28"/>
        <v>0</v>
      </c>
      <c r="H1814" t="s">
        <v>35</v>
      </c>
    </row>
    <row r="1815" spans="2:8" x14ac:dyDescent="0.2">
      <c r="B1815" s="3">
        <v>44582</v>
      </c>
      <c r="D1815" s="30"/>
      <c r="E1815" s="2"/>
      <c r="F1815" s="2"/>
      <c r="G1815" s="2">
        <f t="shared" si="28"/>
        <v>0</v>
      </c>
      <c r="H1815" t="s">
        <v>25</v>
      </c>
    </row>
    <row r="1816" spans="2:8" x14ac:dyDescent="0.2">
      <c r="B1816" s="3">
        <v>44582</v>
      </c>
      <c r="D1816" s="30"/>
      <c r="E1816" s="2"/>
      <c r="F1816" s="2"/>
      <c r="G1816" s="2">
        <f t="shared" si="28"/>
        <v>0</v>
      </c>
      <c r="H1816" t="s">
        <v>9</v>
      </c>
    </row>
    <row r="1817" spans="2:8" x14ac:dyDescent="0.2">
      <c r="B1817" s="3">
        <v>44582</v>
      </c>
      <c r="D1817" s="30"/>
      <c r="E1817" s="2"/>
      <c r="F1817" s="2"/>
      <c r="G1817" s="2">
        <f t="shared" si="28"/>
        <v>0</v>
      </c>
      <c r="H1817" t="s">
        <v>32</v>
      </c>
    </row>
    <row r="1818" spans="2:8" x14ac:dyDescent="0.2">
      <c r="B1818" s="3">
        <v>44582</v>
      </c>
      <c r="D1818" s="30"/>
      <c r="E1818" s="2"/>
      <c r="F1818" s="2"/>
      <c r="G1818" s="2">
        <f t="shared" si="28"/>
        <v>0</v>
      </c>
      <c r="H1818" s="1"/>
    </row>
    <row r="1819" spans="2:8" x14ac:dyDescent="0.2">
      <c r="B1819" s="3">
        <v>44583</v>
      </c>
      <c r="D1819" s="15">
        <v>1090</v>
      </c>
      <c r="E1819" s="2">
        <v>1170</v>
      </c>
      <c r="F1819" s="2"/>
      <c r="G1819" s="2">
        <f t="shared" si="28"/>
        <v>1170</v>
      </c>
      <c r="H1819" t="s">
        <v>14</v>
      </c>
    </row>
    <row r="1820" spans="2:8" x14ac:dyDescent="0.2">
      <c r="B1820" s="3">
        <v>44583</v>
      </c>
      <c r="D1820" s="30"/>
      <c r="E1820" s="2"/>
      <c r="F1820" s="2"/>
      <c r="G1820" s="2">
        <f t="shared" si="28"/>
        <v>0</v>
      </c>
      <c r="H1820" t="s">
        <v>27</v>
      </c>
    </row>
    <row r="1821" spans="2:8" x14ac:dyDescent="0.2">
      <c r="B1821" s="3">
        <v>44583</v>
      </c>
      <c r="D1821" s="30">
        <v>1734.75</v>
      </c>
      <c r="E1821" s="2">
        <v>1887</v>
      </c>
      <c r="F1821" s="2"/>
      <c r="G1821" s="2">
        <f t="shared" si="28"/>
        <v>1887</v>
      </c>
      <c r="H1821" t="s">
        <v>13</v>
      </c>
    </row>
    <row r="1822" spans="2:8" x14ac:dyDescent="0.2">
      <c r="B1822" s="3">
        <v>44583</v>
      </c>
      <c r="D1822" s="30"/>
      <c r="E1822" s="2"/>
      <c r="F1822" s="2"/>
      <c r="G1822" s="2">
        <f t="shared" si="28"/>
        <v>0</v>
      </c>
      <c r="H1822" t="s">
        <v>30</v>
      </c>
    </row>
    <row r="1823" spans="2:8" x14ac:dyDescent="0.2">
      <c r="B1823" s="3">
        <v>44583</v>
      </c>
      <c r="D1823" s="30">
        <v>735</v>
      </c>
      <c r="E1823" s="2">
        <v>805</v>
      </c>
      <c r="F1823" s="2"/>
      <c r="G1823" s="2">
        <f t="shared" si="28"/>
        <v>805</v>
      </c>
      <c r="H1823" t="s">
        <v>35</v>
      </c>
    </row>
    <row r="1824" spans="2:8" x14ac:dyDescent="0.2">
      <c r="B1824" s="3">
        <v>44583</v>
      </c>
      <c r="D1824" s="30">
        <v>3026.25</v>
      </c>
      <c r="E1824" s="2">
        <v>3293.75</v>
      </c>
      <c r="F1824" s="2"/>
      <c r="G1824" s="2">
        <f t="shared" si="28"/>
        <v>3293.75</v>
      </c>
      <c r="H1824" t="s">
        <v>25</v>
      </c>
    </row>
    <row r="1825" spans="2:8" x14ac:dyDescent="0.2">
      <c r="B1825" s="3">
        <v>44583</v>
      </c>
      <c r="D1825" s="30"/>
      <c r="E1825" s="2"/>
      <c r="F1825" s="2"/>
      <c r="G1825" s="2">
        <f t="shared" si="28"/>
        <v>0</v>
      </c>
      <c r="H1825" t="s">
        <v>9</v>
      </c>
    </row>
    <row r="1826" spans="2:8" x14ac:dyDescent="0.2">
      <c r="B1826" s="3">
        <v>44583</v>
      </c>
      <c r="D1826" s="30"/>
      <c r="E1826" s="2"/>
      <c r="F1826" s="2"/>
      <c r="G1826" s="2">
        <f t="shared" si="28"/>
        <v>0</v>
      </c>
      <c r="H1826" t="s">
        <v>32</v>
      </c>
    </row>
    <row r="1827" spans="2:8" x14ac:dyDescent="0.2">
      <c r="B1827" s="3">
        <v>44583</v>
      </c>
      <c r="D1827" s="30"/>
      <c r="E1827" s="2"/>
      <c r="F1827" s="2"/>
      <c r="G1827" s="2">
        <f t="shared" si="28"/>
        <v>0</v>
      </c>
      <c r="H1827" s="1"/>
    </row>
    <row r="1828" spans="2:8" x14ac:dyDescent="0.2">
      <c r="B1828" s="3">
        <v>44584</v>
      </c>
      <c r="D1828" s="15"/>
      <c r="E1828" s="2"/>
      <c r="F1828" s="2"/>
      <c r="G1828" s="2">
        <f t="shared" si="28"/>
        <v>0</v>
      </c>
      <c r="H1828" t="s">
        <v>14</v>
      </c>
    </row>
    <row r="1829" spans="2:8" x14ac:dyDescent="0.2">
      <c r="B1829" s="3">
        <v>44584</v>
      </c>
      <c r="D1829" s="30"/>
      <c r="E1829" s="2"/>
      <c r="F1829" s="2"/>
      <c r="G1829" s="2">
        <f t="shared" si="28"/>
        <v>0</v>
      </c>
      <c r="H1829" t="s">
        <v>27</v>
      </c>
    </row>
    <row r="1830" spans="2:8" x14ac:dyDescent="0.2">
      <c r="B1830" s="3">
        <v>44584</v>
      </c>
      <c r="D1830" s="30"/>
      <c r="E1830" s="2"/>
      <c r="F1830" s="2"/>
      <c r="G1830" s="2">
        <f t="shared" si="28"/>
        <v>0</v>
      </c>
      <c r="H1830" t="s">
        <v>13</v>
      </c>
    </row>
    <row r="1831" spans="2:8" x14ac:dyDescent="0.2">
      <c r="B1831" s="3">
        <v>44584</v>
      </c>
      <c r="D1831" s="30"/>
      <c r="E1831" s="2"/>
      <c r="F1831" s="2"/>
      <c r="G1831" s="2">
        <f t="shared" si="28"/>
        <v>0</v>
      </c>
      <c r="H1831" t="s">
        <v>30</v>
      </c>
    </row>
    <row r="1832" spans="2:8" x14ac:dyDescent="0.2">
      <c r="B1832" s="3">
        <v>44584</v>
      </c>
      <c r="D1832" s="30"/>
      <c r="E1832" s="2"/>
      <c r="F1832" s="2"/>
      <c r="G1832" s="2">
        <f t="shared" si="28"/>
        <v>0</v>
      </c>
      <c r="H1832" t="s">
        <v>35</v>
      </c>
    </row>
    <row r="1833" spans="2:8" x14ac:dyDescent="0.2">
      <c r="B1833" s="3">
        <v>44584</v>
      </c>
      <c r="D1833" s="30"/>
      <c r="E1833" s="2"/>
      <c r="F1833" s="2"/>
      <c r="G1833" s="2">
        <f t="shared" si="28"/>
        <v>0</v>
      </c>
      <c r="H1833" t="s">
        <v>25</v>
      </c>
    </row>
    <row r="1834" spans="2:8" x14ac:dyDescent="0.2">
      <c r="B1834" s="3">
        <v>44584</v>
      </c>
      <c r="D1834" s="30"/>
      <c r="E1834" s="2"/>
      <c r="F1834" s="2"/>
      <c r="G1834" s="2">
        <f t="shared" si="28"/>
        <v>0</v>
      </c>
      <c r="H1834" t="s">
        <v>9</v>
      </c>
    </row>
    <row r="1835" spans="2:8" x14ac:dyDescent="0.2">
      <c r="B1835" s="3">
        <v>44584</v>
      </c>
      <c r="D1835" s="30"/>
      <c r="E1835" s="2"/>
      <c r="F1835" s="2"/>
      <c r="G1835" s="2">
        <f t="shared" si="28"/>
        <v>0</v>
      </c>
      <c r="H1835" t="s">
        <v>32</v>
      </c>
    </row>
    <row r="1836" spans="2:8" x14ac:dyDescent="0.2">
      <c r="B1836" s="3">
        <v>44584</v>
      </c>
      <c r="D1836" s="30"/>
      <c r="E1836" s="2"/>
      <c r="F1836" s="2"/>
      <c r="G1836" s="2">
        <f t="shared" si="28"/>
        <v>0</v>
      </c>
      <c r="H1836" s="1"/>
    </row>
    <row r="1837" spans="2:8" x14ac:dyDescent="0.2">
      <c r="B1837" s="3">
        <v>44585</v>
      </c>
      <c r="D1837" s="15">
        <v>2150</v>
      </c>
      <c r="E1837" s="2">
        <v>2300</v>
      </c>
      <c r="F1837" s="2">
        <v>5000</v>
      </c>
      <c r="G1837" s="2">
        <f t="shared" si="28"/>
        <v>-2700</v>
      </c>
      <c r="H1837" t="s">
        <v>14</v>
      </c>
    </row>
    <row r="1838" spans="2:8" x14ac:dyDescent="0.2">
      <c r="B1838" s="3">
        <v>44585</v>
      </c>
      <c r="D1838" s="30"/>
      <c r="E1838" s="2"/>
      <c r="F1838" s="2"/>
      <c r="G1838" s="2">
        <f t="shared" si="28"/>
        <v>0</v>
      </c>
      <c r="H1838" t="s">
        <v>27</v>
      </c>
    </row>
    <row r="1839" spans="2:8" x14ac:dyDescent="0.2">
      <c r="B1839" s="3">
        <v>44585</v>
      </c>
      <c r="D1839" s="30"/>
      <c r="E1839" s="2"/>
      <c r="F1839" s="2"/>
      <c r="G1839" s="2">
        <f t="shared" si="28"/>
        <v>0</v>
      </c>
      <c r="H1839" t="s">
        <v>13</v>
      </c>
    </row>
    <row r="1840" spans="2:8" x14ac:dyDescent="0.2">
      <c r="B1840" s="3">
        <v>44585</v>
      </c>
      <c r="D1840" s="30"/>
      <c r="E1840" s="2"/>
      <c r="F1840" s="2"/>
      <c r="G1840" s="2">
        <f t="shared" si="28"/>
        <v>0</v>
      </c>
      <c r="H1840" t="s">
        <v>30</v>
      </c>
    </row>
    <row r="1841" spans="2:8" x14ac:dyDescent="0.2">
      <c r="B1841" s="3">
        <v>44585</v>
      </c>
      <c r="D1841" s="2">
        <v>505</v>
      </c>
      <c r="E1841" s="2">
        <v>637.5</v>
      </c>
      <c r="F1841" s="2">
        <v>3000</v>
      </c>
      <c r="G1841" s="2">
        <f t="shared" si="28"/>
        <v>-2362.5</v>
      </c>
      <c r="H1841" t="s">
        <v>35</v>
      </c>
    </row>
    <row r="1842" spans="2:8" x14ac:dyDescent="0.2">
      <c r="B1842" s="3">
        <v>44585</v>
      </c>
      <c r="D1842" s="2">
        <v>1622.5</v>
      </c>
      <c r="E1842" s="2">
        <v>1792.5</v>
      </c>
      <c r="F1842" s="2">
        <v>3000</v>
      </c>
      <c r="G1842" s="2">
        <f t="shared" si="28"/>
        <v>-1207.5</v>
      </c>
      <c r="H1842" t="s">
        <v>25</v>
      </c>
    </row>
    <row r="1843" spans="2:8" x14ac:dyDescent="0.2">
      <c r="B1843" s="3">
        <v>44585</v>
      </c>
      <c r="D1843" s="2"/>
      <c r="E1843" s="2"/>
      <c r="F1843" s="2">
        <v>6400</v>
      </c>
      <c r="G1843" s="2">
        <f t="shared" si="28"/>
        <v>-6400</v>
      </c>
      <c r="H1843" t="s">
        <v>9</v>
      </c>
    </row>
    <row r="1844" spans="2:8" x14ac:dyDescent="0.2">
      <c r="B1844" s="3">
        <v>44585</v>
      </c>
      <c r="D1844" s="2"/>
      <c r="E1844" s="2"/>
      <c r="F1844" s="2"/>
      <c r="G1844" s="2">
        <f t="shared" si="28"/>
        <v>0</v>
      </c>
      <c r="H1844" t="s">
        <v>32</v>
      </c>
    </row>
    <row r="1845" spans="2:8" x14ac:dyDescent="0.2">
      <c r="B1845" s="3">
        <v>44585</v>
      </c>
      <c r="D1845" s="2"/>
      <c r="E1845" s="2"/>
      <c r="F1845" s="2"/>
      <c r="G1845" s="2">
        <f t="shared" si="28"/>
        <v>0</v>
      </c>
      <c r="H1845" s="1"/>
    </row>
    <row r="1846" spans="2:8" x14ac:dyDescent="0.2">
      <c r="B1846" s="3">
        <v>44586</v>
      </c>
      <c r="D1846" s="6"/>
      <c r="E1846" s="2"/>
      <c r="F1846" s="2"/>
      <c r="G1846" s="2">
        <f t="shared" si="28"/>
        <v>0</v>
      </c>
      <c r="H1846" t="s">
        <v>14</v>
      </c>
    </row>
    <row r="1847" spans="2:8" x14ac:dyDescent="0.2">
      <c r="B1847" s="3">
        <v>44586</v>
      </c>
      <c r="D1847" s="2"/>
      <c r="E1847" s="2"/>
      <c r="F1847" s="2"/>
      <c r="G1847" s="2">
        <f t="shared" si="28"/>
        <v>0</v>
      </c>
      <c r="H1847" t="s">
        <v>27</v>
      </c>
    </row>
    <row r="1848" spans="2:8" x14ac:dyDescent="0.2">
      <c r="B1848" s="3">
        <v>44586</v>
      </c>
      <c r="D1848" s="2">
        <v>812</v>
      </c>
      <c r="E1848" s="2">
        <v>924</v>
      </c>
      <c r="F1848" s="2"/>
      <c r="G1848" s="2">
        <f t="shared" si="28"/>
        <v>924</v>
      </c>
      <c r="H1848" t="s">
        <v>13</v>
      </c>
    </row>
    <row r="1849" spans="2:8" x14ac:dyDescent="0.2">
      <c r="B1849" s="3">
        <v>44586</v>
      </c>
      <c r="D1849" s="2"/>
      <c r="E1849" s="2"/>
      <c r="F1849" s="2"/>
      <c r="G1849" s="2">
        <f t="shared" si="28"/>
        <v>0</v>
      </c>
      <c r="H1849" t="s">
        <v>30</v>
      </c>
    </row>
    <row r="1850" spans="2:8" x14ac:dyDescent="0.2">
      <c r="B1850" s="3">
        <v>44586</v>
      </c>
      <c r="D1850" s="2"/>
      <c r="E1850" s="2"/>
      <c r="F1850" s="2"/>
      <c r="G1850" s="2">
        <f t="shared" si="28"/>
        <v>0</v>
      </c>
      <c r="H1850" t="s">
        <v>35</v>
      </c>
    </row>
    <row r="1851" spans="2:8" x14ac:dyDescent="0.2">
      <c r="B1851" s="3">
        <v>44586</v>
      </c>
      <c r="D1851" s="2"/>
      <c r="E1851" s="2"/>
      <c r="F1851" s="2"/>
      <c r="G1851" s="2">
        <f t="shared" si="28"/>
        <v>0</v>
      </c>
      <c r="H1851" t="s">
        <v>25</v>
      </c>
    </row>
    <row r="1852" spans="2:8" x14ac:dyDescent="0.2">
      <c r="B1852" s="3">
        <v>44586</v>
      </c>
      <c r="D1852" s="2"/>
      <c r="E1852" s="2"/>
      <c r="F1852" s="2"/>
      <c r="G1852" s="2">
        <f t="shared" si="28"/>
        <v>0</v>
      </c>
      <c r="H1852" t="s">
        <v>9</v>
      </c>
    </row>
    <row r="1853" spans="2:8" x14ac:dyDescent="0.2">
      <c r="B1853" s="3">
        <v>44586</v>
      </c>
      <c r="D1853" s="2"/>
      <c r="E1853" s="2"/>
      <c r="F1853" s="2"/>
      <c r="G1853" s="2">
        <f t="shared" si="28"/>
        <v>0</v>
      </c>
      <c r="H1853" t="s">
        <v>32</v>
      </c>
    </row>
    <row r="1854" spans="2:8" x14ac:dyDescent="0.2">
      <c r="B1854" s="3">
        <v>44586</v>
      </c>
      <c r="D1854" s="2"/>
      <c r="E1854" s="2"/>
      <c r="F1854" s="2"/>
      <c r="G1854" s="2">
        <f t="shared" si="28"/>
        <v>0</v>
      </c>
      <c r="H1854" s="1"/>
    </row>
    <row r="1855" spans="2:8" x14ac:dyDescent="0.2">
      <c r="B1855" s="3">
        <v>44587</v>
      </c>
      <c r="D1855" s="6">
        <v>4130</v>
      </c>
      <c r="E1855" s="2">
        <v>4475</v>
      </c>
      <c r="F1855" s="2"/>
      <c r="G1855" s="2">
        <f t="shared" si="28"/>
        <v>4475</v>
      </c>
      <c r="H1855" t="s">
        <v>14</v>
      </c>
    </row>
    <row r="1856" spans="2:8" x14ac:dyDescent="0.2">
      <c r="B1856" s="3">
        <v>44587</v>
      </c>
      <c r="D1856" s="2"/>
      <c r="E1856" s="2"/>
      <c r="F1856" s="2"/>
      <c r="G1856" s="2">
        <f t="shared" si="28"/>
        <v>0</v>
      </c>
      <c r="H1856" t="s">
        <v>27</v>
      </c>
    </row>
    <row r="1857" spans="2:8" x14ac:dyDescent="0.2">
      <c r="B1857" s="3">
        <v>44587</v>
      </c>
      <c r="D1857" s="2"/>
      <c r="E1857" s="2"/>
      <c r="F1857" s="2"/>
      <c r="G1857" s="2">
        <f t="shared" si="28"/>
        <v>0</v>
      </c>
      <c r="H1857" t="s">
        <v>13</v>
      </c>
    </row>
    <row r="1858" spans="2:8" x14ac:dyDescent="0.2">
      <c r="B1858" s="3">
        <v>44587</v>
      </c>
      <c r="D1858" s="2"/>
      <c r="E1858" s="2"/>
      <c r="F1858" s="2"/>
      <c r="G1858" s="2">
        <f t="shared" si="28"/>
        <v>0</v>
      </c>
      <c r="H1858" t="s">
        <v>30</v>
      </c>
    </row>
    <row r="1859" spans="2:8" x14ac:dyDescent="0.2">
      <c r="B1859" s="3">
        <v>44587</v>
      </c>
      <c r="D1859" s="2"/>
      <c r="E1859" s="2"/>
      <c r="F1859" s="2"/>
      <c r="G1859" s="2">
        <f t="shared" ref="G1859:G1922" si="29">E1859-F1859</f>
        <v>0</v>
      </c>
      <c r="H1859" t="s">
        <v>35</v>
      </c>
    </row>
    <row r="1860" spans="2:8" x14ac:dyDescent="0.2">
      <c r="B1860" s="3">
        <v>44587</v>
      </c>
      <c r="D1860" s="2"/>
      <c r="E1860" s="2"/>
      <c r="F1860" s="2"/>
      <c r="G1860" s="2">
        <f t="shared" si="29"/>
        <v>0</v>
      </c>
      <c r="H1860" t="s">
        <v>25</v>
      </c>
    </row>
    <row r="1861" spans="2:8" x14ac:dyDescent="0.2">
      <c r="B1861" s="3">
        <v>44587</v>
      </c>
      <c r="D1861" s="2"/>
      <c r="E1861" s="2"/>
      <c r="F1861" s="2"/>
      <c r="G1861" s="2">
        <f t="shared" si="29"/>
        <v>0</v>
      </c>
      <c r="H1861" t="s">
        <v>9</v>
      </c>
    </row>
    <row r="1862" spans="2:8" x14ac:dyDescent="0.2">
      <c r="B1862" s="3">
        <v>44587</v>
      </c>
      <c r="D1862" s="2"/>
      <c r="E1862" s="2"/>
      <c r="F1862" s="2"/>
      <c r="G1862" s="2">
        <f t="shared" si="29"/>
        <v>0</v>
      </c>
      <c r="H1862" t="s">
        <v>32</v>
      </c>
    </row>
    <row r="1863" spans="2:8" x14ac:dyDescent="0.2">
      <c r="B1863" s="3">
        <v>44587</v>
      </c>
      <c r="D1863" s="2"/>
      <c r="E1863" s="2"/>
      <c r="F1863" s="2"/>
      <c r="G1863" s="2">
        <f t="shared" si="29"/>
        <v>0</v>
      </c>
      <c r="H1863" s="1"/>
    </row>
    <row r="1864" spans="2:8" x14ac:dyDescent="0.2">
      <c r="B1864" s="3">
        <v>44588</v>
      </c>
      <c r="D1864" s="6"/>
      <c r="E1864" s="2"/>
      <c r="F1864" s="2"/>
      <c r="G1864" s="2">
        <f t="shared" si="29"/>
        <v>0</v>
      </c>
      <c r="H1864" t="s">
        <v>14</v>
      </c>
    </row>
    <row r="1865" spans="2:8" x14ac:dyDescent="0.2">
      <c r="B1865" s="3">
        <v>44588</v>
      </c>
      <c r="D1865" s="2"/>
      <c r="E1865" s="2"/>
      <c r="F1865" s="2"/>
      <c r="G1865" s="2">
        <f t="shared" si="29"/>
        <v>0</v>
      </c>
      <c r="H1865" t="s">
        <v>27</v>
      </c>
    </row>
    <row r="1866" spans="2:8" x14ac:dyDescent="0.2">
      <c r="B1866" s="3">
        <v>44588</v>
      </c>
      <c r="D1866" s="2"/>
      <c r="E1866" s="2"/>
      <c r="F1866" s="2"/>
      <c r="G1866" s="2">
        <f t="shared" si="29"/>
        <v>0</v>
      </c>
      <c r="H1866" t="s">
        <v>13</v>
      </c>
    </row>
    <row r="1867" spans="2:8" x14ac:dyDescent="0.2">
      <c r="B1867" s="3">
        <v>44588</v>
      </c>
      <c r="D1867" s="2"/>
      <c r="E1867" s="2"/>
      <c r="F1867" s="2"/>
      <c r="G1867" s="2">
        <f t="shared" si="29"/>
        <v>0</v>
      </c>
      <c r="H1867" t="s">
        <v>30</v>
      </c>
    </row>
    <row r="1868" spans="2:8" x14ac:dyDescent="0.2">
      <c r="B1868" s="3">
        <v>44588</v>
      </c>
      <c r="D1868" s="2"/>
      <c r="E1868" s="2"/>
      <c r="F1868" s="2"/>
      <c r="G1868" s="2">
        <f t="shared" si="29"/>
        <v>0</v>
      </c>
      <c r="H1868" t="s">
        <v>35</v>
      </c>
    </row>
    <row r="1869" spans="2:8" x14ac:dyDescent="0.2">
      <c r="B1869" s="3">
        <v>44588</v>
      </c>
      <c r="D1869" s="2">
        <v>623.75</v>
      </c>
      <c r="E1869" s="2">
        <v>675</v>
      </c>
      <c r="F1869" s="2">
        <v>3000</v>
      </c>
      <c r="G1869" s="2">
        <f t="shared" si="29"/>
        <v>-2325</v>
      </c>
      <c r="H1869" t="s">
        <v>25</v>
      </c>
    </row>
    <row r="1870" spans="2:8" x14ac:dyDescent="0.2">
      <c r="B1870" s="3">
        <v>44588</v>
      </c>
      <c r="D1870" s="2"/>
      <c r="E1870" s="2"/>
      <c r="F1870" s="2"/>
      <c r="G1870" s="2">
        <f t="shared" si="29"/>
        <v>0</v>
      </c>
      <c r="H1870" t="s">
        <v>9</v>
      </c>
    </row>
    <row r="1871" spans="2:8" x14ac:dyDescent="0.2">
      <c r="B1871" s="3">
        <v>44588</v>
      </c>
      <c r="D1871" s="2"/>
      <c r="E1871" s="2"/>
      <c r="F1871" s="2"/>
      <c r="G1871" s="2">
        <f t="shared" si="29"/>
        <v>0</v>
      </c>
      <c r="H1871" t="s">
        <v>32</v>
      </c>
    </row>
    <row r="1872" spans="2:8" x14ac:dyDescent="0.2">
      <c r="B1872" s="3">
        <v>44588</v>
      </c>
      <c r="D1872" s="2">
        <v>830</v>
      </c>
      <c r="E1872" s="2">
        <v>910</v>
      </c>
      <c r="F1872" s="2"/>
      <c r="G1872" s="2">
        <f t="shared" si="29"/>
        <v>910</v>
      </c>
      <c r="H1872" t="s">
        <v>39</v>
      </c>
    </row>
    <row r="1873" spans="2:8" x14ac:dyDescent="0.2">
      <c r="B1873" s="3">
        <v>44589</v>
      </c>
      <c r="D1873" s="6"/>
      <c r="E1873" s="2"/>
      <c r="F1873" s="2"/>
      <c r="G1873" s="2">
        <f t="shared" si="29"/>
        <v>0</v>
      </c>
      <c r="H1873" t="s">
        <v>14</v>
      </c>
    </row>
    <row r="1874" spans="2:8" x14ac:dyDescent="0.2">
      <c r="B1874" s="3">
        <v>44589</v>
      </c>
      <c r="D1874" s="2"/>
      <c r="E1874" s="2"/>
      <c r="F1874" s="2"/>
      <c r="G1874" s="2">
        <f t="shared" si="29"/>
        <v>0</v>
      </c>
      <c r="H1874" t="s">
        <v>27</v>
      </c>
    </row>
    <row r="1875" spans="2:8" x14ac:dyDescent="0.2">
      <c r="B1875" s="3">
        <v>44589</v>
      </c>
      <c r="D1875" s="2"/>
      <c r="E1875" s="2"/>
      <c r="F1875" s="2"/>
      <c r="G1875" s="2">
        <f t="shared" si="29"/>
        <v>0</v>
      </c>
      <c r="H1875" t="s">
        <v>13</v>
      </c>
    </row>
    <row r="1876" spans="2:8" x14ac:dyDescent="0.2">
      <c r="B1876" s="3">
        <v>44589</v>
      </c>
      <c r="D1876" s="2"/>
      <c r="E1876" s="2"/>
      <c r="F1876" s="2"/>
      <c r="G1876" s="2">
        <f t="shared" si="29"/>
        <v>0</v>
      </c>
      <c r="H1876" t="s">
        <v>30</v>
      </c>
    </row>
    <row r="1877" spans="2:8" x14ac:dyDescent="0.2">
      <c r="B1877" s="3">
        <v>44589</v>
      </c>
      <c r="D1877" s="2"/>
      <c r="E1877" s="2"/>
      <c r="F1877" s="2"/>
      <c r="G1877" s="2">
        <f t="shared" si="29"/>
        <v>0</v>
      </c>
      <c r="H1877" t="s">
        <v>35</v>
      </c>
    </row>
    <row r="1878" spans="2:8" x14ac:dyDescent="0.2">
      <c r="B1878" s="3">
        <v>44589</v>
      </c>
      <c r="D1878" s="2"/>
      <c r="E1878" s="2"/>
      <c r="F1878" s="2"/>
      <c r="G1878" s="2">
        <f t="shared" si="29"/>
        <v>0</v>
      </c>
      <c r="H1878" t="s">
        <v>25</v>
      </c>
    </row>
    <row r="1879" spans="2:8" x14ac:dyDescent="0.2">
      <c r="B1879" s="3">
        <v>44589</v>
      </c>
      <c r="D1879" s="2"/>
      <c r="E1879" s="2"/>
      <c r="F1879" s="2"/>
      <c r="G1879" s="2">
        <f t="shared" si="29"/>
        <v>0</v>
      </c>
      <c r="H1879" t="s">
        <v>9</v>
      </c>
    </row>
    <row r="1880" spans="2:8" x14ac:dyDescent="0.2">
      <c r="B1880" s="3">
        <v>44589</v>
      </c>
      <c r="D1880" s="2"/>
      <c r="E1880" s="2"/>
      <c r="F1880" s="2"/>
      <c r="G1880" s="2">
        <f t="shared" si="29"/>
        <v>0</v>
      </c>
      <c r="H1880" t="s">
        <v>32</v>
      </c>
    </row>
    <row r="1881" spans="2:8" x14ac:dyDescent="0.2">
      <c r="B1881" s="3">
        <v>44589</v>
      </c>
      <c r="D1881" s="2"/>
      <c r="E1881" s="2"/>
      <c r="F1881" s="2"/>
      <c r="G1881" s="2">
        <f t="shared" si="29"/>
        <v>0</v>
      </c>
      <c r="H1881" s="1"/>
    </row>
    <row r="1882" spans="2:8" x14ac:dyDescent="0.2">
      <c r="B1882" s="3">
        <v>44590</v>
      </c>
      <c r="D1882" s="6"/>
      <c r="E1882" s="2"/>
      <c r="F1882" s="2"/>
      <c r="G1882" s="2">
        <f t="shared" si="29"/>
        <v>0</v>
      </c>
      <c r="H1882" t="s">
        <v>14</v>
      </c>
    </row>
    <row r="1883" spans="2:8" x14ac:dyDescent="0.2">
      <c r="B1883" s="3">
        <v>44590</v>
      </c>
      <c r="D1883" s="2"/>
      <c r="E1883" s="2"/>
      <c r="F1883" s="2"/>
      <c r="G1883" s="2">
        <f t="shared" si="29"/>
        <v>0</v>
      </c>
      <c r="H1883" t="s">
        <v>27</v>
      </c>
    </row>
    <row r="1884" spans="2:8" x14ac:dyDescent="0.2">
      <c r="B1884" s="3">
        <v>44590</v>
      </c>
      <c r="D1884" s="2"/>
      <c r="E1884" s="2"/>
      <c r="F1884" s="2"/>
      <c r="G1884" s="2">
        <f t="shared" si="29"/>
        <v>0</v>
      </c>
      <c r="H1884" t="s">
        <v>13</v>
      </c>
    </row>
    <row r="1885" spans="2:8" x14ac:dyDescent="0.2">
      <c r="B1885" s="3">
        <v>44590</v>
      </c>
      <c r="D1885" s="2"/>
      <c r="E1885" s="2"/>
      <c r="F1885" s="2"/>
      <c r="G1885" s="2">
        <f t="shared" si="29"/>
        <v>0</v>
      </c>
      <c r="H1885" t="s">
        <v>30</v>
      </c>
    </row>
    <row r="1886" spans="2:8" x14ac:dyDescent="0.2">
      <c r="B1886" s="3">
        <v>44590</v>
      </c>
      <c r="D1886" s="2"/>
      <c r="E1886" s="2"/>
      <c r="F1886" s="2"/>
      <c r="G1886" s="2">
        <f t="shared" si="29"/>
        <v>0</v>
      </c>
      <c r="H1886" t="s">
        <v>35</v>
      </c>
    </row>
    <row r="1887" spans="2:8" x14ac:dyDescent="0.2">
      <c r="B1887" s="3">
        <v>44590</v>
      </c>
      <c r="D1887" s="2"/>
      <c r="E1887" s="2"/>
      <c r="F1887" s="2"/>
      <c r="G1887" s="2">
        <f t="shared" si="29"/>
        <v>0</v>
      </c>
      <c r="H1887" t="s">
        <v>25</v>
      </c>
    </row>
    <row r="1888" spans="2:8" x14ac:dyDescent="0.2">
      <c r="B1888" s="3">
        <v>44590</v>
      </c>
      <c r="D1888" s="2"/>
      <c r="E1888" s="2"/>
      <c r="F1888" s="2"/>
      <c r="G1888" s="2">
        <f t="shared" si="29"/>
        <v>0</v>
      </c>
      <c r="H1888" t="s">
        <v>9</v>
      </c>
    </row>
    <row r="1889" spans="2:8" x14ac:dyDescent="0.2">
      <c r="B1889" s="3">
        <v>44590</v>
      </c>
      <c r="D1889" s="2"/>
      <c r="E1889" s="2"/>
      <c r="F1889" s="2"/>
      <c r="G1889" s="2">
        <f t="shared" si="29"/>
        <v>0</v>
      </c>
      <c r="H1889" t="s">
        <v>32</v>
      </c>
    </row>
    <row r="1890" spans="2:8" x14ac:dyDescent="0.2">
      <c r="B1890" s="3">
        <v>44590</v>
      </c>
      <c r="D1890" s="2"/>
      <c r="E1890" s="2"/>
      <c r="F1890" s="2"/>
      <c r="G1890" s="2">
        <f t="shared" si="29"/>
        <v>0</v>
      </c>
      <c r="H1890" s="1"/>
    </row>
    <row r="1891" spans="2:8" x14ac:dyDescent="0.2">
      <c r="B1891" s="3">
        <v>44591</v>
      </c>
      <c r="D1891" s="6"/>
      <c r="E1891" s="2"/>
      <c r="F1891" s="2"/>
      <c r="G1891" s="2">
        <f t="shared" si="29"/>
        <v>0</v>
      </c>
      <c r="H1891" t="s">
        <v>14</v>
      </c>
    </row>
    <row r="1892" spans="2:8" x14ac:dyDescent="0.2">
      <c r="B1892" s="3">
        <v>44591</v>
      </c>
      <c r="D1892" s="2"/>
      <c r="E1892" s="2"/>
      <c r="F1892" s="2">
        <v>83.26</v>
      </c>
      <c r="G1892" s="2">
        <f t="shared" si="29"/>
        <v>-83.26</v>
      </c>
      <c r="H1892" t="s">
        <v>27</v>
      </c>
    </row>
    <row r="1893" spans="2:8" x14ac:dyDescent="0.2">
      <c r="B1893" s="3">
        <v>44591</v>
      </c>
      <c r="D1893" s="2"/>
      <c r="E1893" s="2"/>
      <c r="F1893" s="2"/>
      <c r="G1893" s="2">
        <f t="shared" si="29"/>
        <v>0</v>
      </c>
      <c r="H1893" t="s">
        <v>13</v>
      </c>
    </row>
    <row r="1894" spans="2:8" x14ac:dyDescent="0.2">
      <c r="B1894" s="3">
        <v>44591</v>
      </c>
      <c r="D1894" s="2">
        <v>23670.5</v>
      </c>
      <c r="E1894" s="2">
        <v>26134</v>
      </c>
      <c r="F1894" s="2"/>
      <c r="G1894" s="2">
        <f t="shared" si="29"/>
        <v>26134</v>
      </c>
      <c r="H1894" t="s">
        <v>30</v>
      </c>
    </row>
    <row r="1895" spans="2:8" x14ac:dyDescent="0.2">
      <c r="B1895" s="3">
        <v>44591</v>
      </c>
      <c r="D1895" s="2"/>
      <c r="E1895" s="2"/>
      <c r="F1895" s="2"/>
      <c r="G1895" s="2">
        <f t="shared" si="29"/>
        <v>0</v>
      </c>
      <c r="H1895" t="s">
        <v>35</v>
      </c>
    </row>
    <row r="1896" spans="2:8" x14ac:dyDescent="0.2">
      <c r="B1896" s="3">
        <v>44591</v>
      </c>
      <c r="D1896" s="2"/>
      <c r="E1896" s="2"/>
      <c r="F1896" s="2"/>
      <c r="G1896" s="2">
        <f t="shared" si="29"/>
        <v>0</v>
      </c>
      <c r="H1896" t="s">
        <v>25</v>
      </c>
    </row>
    <row r="1897" spans="2:8" x14ac:dyDescent="0.2">
      <c r="B1897" s="3">
        <v>44591</v>
      </c>
      <c r="D1897" s="2"/>
      <c r="E1897" s="2"/>
      <c r="F1897" s="2"/>
      <c r="G1897" s="2">
        <f t="shared" si="29"/>
        <v>0</v>
      </c>
      <c r="H1897" t="s">
        <v>9</v>
      </c>
    </row>
    <row r="1898" spans="2:8" x14ac:dyDescent="0.2">
      <c r="B1898" s="3">
        <v>44591</v>
      </c>
      <c r="D1898" s="2"/>
      <c r="E1898" s="2"/>
      <c r="F1898" s="2"/>
      <c r="G1898" s="2">
        <f t="shared" si="29"/>
        <v>0</v>
      </c>
      <c r="H1898" t="s">
        <v>32</v>
      </c>
    </row>
    <row r="1899" spans="2:8" x14ac:dyDescent="0.2">
      <c r="B1899" s="3">
        <v>44591</v>
      </c>
      <c r="D1899" s="2"/>
      <c r="E1899" s="2"/>
      <c r="F1899" s="2"/>
      <c r="G1899" s="2">
        <f t="shared" si="29"/>
        <v>0</v>
      </c>
      <c r="H1899" s="1"/>
    </row>
    <row r="1900" spans="2:8" x14ac:dyDescent="0.2">
      <c r="B1900" s="3">
        <v>44592</v>
      </c>
      <c r="D1900" s="6">
        <v>1010</v>
      </c>
      <c r="E1900" s="2">
        <v>1100</v>
      </c>
      <c r="F1900" s="2">
        <v>5000</v>
      </c>
      <c r="G1900" s="2">
        <f t="shared" si="29"/>
        <v>-3900</v>
      </c>
      <c r="H1900" t="s">
        <v>14</v>
      </c>
    </row>
    <row r="1901" spans="2:8" x14ac:dyDescent="0.2">
      <c r="B1901" s="3">
        <v>44592</v>
      </c>
      <c r="D1901" s="2"/>
      <c r="E1901" s="2"/>
      <c r="F1901" s="2"/>
      <c r="G1901" s="2">
        <f t="shared" si="29"/>
        <v>0</v>
      </c>
      <c r="H1901" t="s">
        <v>27</v>
      </c>
    </row>
    <row r="1902" spans="2:8" x14ac:dyDescent="0.2">
      <c r="B1902" s="3">
        <v>44592</v>
      </c>
      <c r="D1902" s="2">
        <v>3667.85</v>
      </c>
      <c r="E1902" s="2">
        <v>3908.8</v>
      </c>
      <c r="F1902" s="2"/>
      <c r="G1902" s="2">
        <f t="shared" si="29"/>
        <v>3908.8</v>
      </c>
      <c r="H1902" t="s">
        <v>13</v>
      </c>
    </row>
    <row r="1903" spans="2:8" x14ac:dyDescent="0.2">
      <c r="B1903" s="3">
        <v>44592</v>
      </c>
      <c r="D1903" s="2"/>
      <c r="E1903" s="2"/>
      <c r="F1903" s="2"/>
      <c r="G1903" s="2">
        <f t="shared" si="29"/>
        <v>0</v>
      </c>
      <c r="H1903" t="s">
        <v>30</v>
      </c>
    </row>
    <row r="1904" spans="2:8" x14ac:dyDescent="0.2">
      <c r="B1904" s="3">
        <v>44592</v>
      </c>
      <c r="D1904" s="2"/>
      <c r="E1904" s="2"/>
      <c r="F1904" s="2"/>
      <c r="G1904" s="2">
        <f t="shared" si="29"/>
        <v>0</v>
      </c>
      <c r="H1904" t="s">
        <v>35</v>
      </c>
    </row>
    <row r="1905" spans="2:8" x14ac:dyDescent="0.2">
      <c r="B1905" s="3">
        <v>44592</v>
      </c>
      <c r="D1905" s="2"/>
      <c r="E1905" s="2"/>
      <c r="F1905" s="2"/>
      <c r="G1905" s="2">
        <f t="shared" si="29"/>
        <v>0</v>
      </c>
      <c r="H1905" t="s">
        <v>25</v>
      </c>
    </row>
    <row r="1906" spans="2:8" x14ac:dyDescent="0.2">
      <c r="B1906" s="3">
        <v>44592</v>
      </c>
      <c r="D1906" s="2"/>
      <c r="E1906" s="2"/>
      <c r="F1906" s="2"/>
      <c r="G1906" s="2">
        <f t="shared" si="29"/>
        <v>0</v>
      </c>
      <c r="H1906" t="s">
        <v>9</v>
      </c>
    </row>
    <row r="1907" spans="2:8" x14ac:dyDescent="0.2">
      <c r="B1907" s="3">
        <v>44592</v>
      </c>
      <c r="D1907" s="2"/>
      <c r="E1907" s="2"/>
      <c r="F1907" s="2"/>
      <c r="G1907" s="2">
        <f t="shared" si="29"/>
        <v>0</v>
      </c>
      <c r="H1907" t="s">
        <v>32</v>
      </c>
    </row>
    <row r="1908" spans="2:8" x14ac:dyDescent="0.2">
      <c r="B1908" s="3">
        <v>44592</v>
      </c>
      <c r="D1908" s="2"/>
      <c r="E1908" s="2"/>
      <c r="F1908" s="2"/>
      <c r="G1908" s="2">
        <f t="shared" si="29"/>
        <v>0</v>
      </c>
      <c r="H1908" s="1"/>
    </row>
    <row r="1909" spans="2:8" x14ac:dyDescent="0.2">
      <c r="B1909" s="3">
        <v>44593</v>
      </c>
      <c r="D1909" s="6"/>
      <c r="E1909" s="2"/>
      <c r="F1909" s="2"/>
      <c r="G1909" s="2">
        <f t="shared" si="29"/>
        <v>0</v>
      </c>
      <c r="H1909" t="s">
        <v>14</v>
      </c>
    </row>
    <row r="1910" spans="2:8" x14ac:dyDescent="0.2">
      <c r="B1910" s="3">
        <v>44593</v>
      </c>
      <c r="D1910" s="2"/>
      <c r="E1910" s="2"/>
      <c r="F1910" s="2"/>
      <c r="G1910" s="2">
        <f t="shared" si="29"/>
        <v>0</v>
      </c>
      <c r="H1910" t="s">
        <v>27</v>
      </c>
    </row>
    <row r="1911" spans="2:8" x14ac:dyDescent="0.2">
      <c r="B1911" s="3">
        <v>44593</v>
      </c>
      <c r="D1911" s="2"/>
      <c r="E1911" s="2"/>
      <c r="F1911" s="2"/>
      <c r="G1911" s="2">
        <f t="shared" si="29"/>
        <v>0</v>
      </c>
      <c r="H1911" t="s">
        <v>13</v>
      </c>
    </row>
    <row r="1912" spans="2:8" x14ac:dyDescent="0.2">
      <c r="B1912" s="3">
        <v>44593</v>
      </c>
      <c r="D1912" s="2"/>
      <c r="E1912" s="2"/>
      <c r="F1912" s="2"/>
      <c r="G1912" s="2">
        <f t="shared" si="29"/>
        <v>0</v>
      </c>
      <c r="H1912" t="s">
        <v>30</v>
      </c>
    </row>
    <row r="1913" spans="2:8" x14ac:dyDescent="0.2">
      <c r="B1913" s="3">
        <v>44593</v>
      </c>
      <c r="D1913" s="2"/>
      <c r="E1913" s="2"/>
      <c r="F1913" s="2"/>
      <c r="G1913" s="2">
        <f t="shared" si="29"/>
        <v>0</v>
      </c>
      <c r="H1913" t="s">
        <v>35</v>
      </c>
    </row>
    <row r="1914" spans="2:8" x14ac:dyDescent="0.2">
      <c r="B1914" s="3">
        <v>44593</v>
      </c>
      <c r="D1914" s="2"/>
      <c r="E1914" s="2"/>
      <c r="F1914" s="2"/>
      <c r="G1914" s="2">
        <f t="shared" si="29"/>
        <v>0</v>
      </c>
      <c r="H1914" t="s">
        <v>25</v>
      </c>
    </row>
    <row r="1915" spans="2:8" x14ac:dyDescent="0.2">
      <c r="B1915" s="3">
        <v>44593</v>
      </c>
      <c r="D1915" s="2"/>
      <c r="E1915" s="2"/>
      <c r="F1915" s="2"/>
      <c r="G1915" s="2">
        <f t="shared" si="29"/>
        <v>0</v>
      </c>
      <c r="H1915" t="s">
        <v>9</v>
      </c>
    </row>
    <row r="1916" spans="2:8" x14ac:dyDescent="0.2">
      <c r="B1916" s="3">
        <v>44593</v>
      </c>
      <c r="D1916" s="2"/>
      <c r="E1916" s="2"/>
      <c r="F1916" s="2"/>
      <c r="G1916" s="2">
        <f t="shared" si="29"/>
        <v>0</v>
      </c>
      <c r="H1916" t="s">
        <v>32</v>
      </c>
    </row>
    <row r="1917" spans="2:8" x14ac:dyDescent="0.2">
      <c r="B1917" s="3">
        <v>44593</v>
      </c>
      <c r="D1917" s="2"/>
      <c r="E1917" s="2"/>
      <c r="F1917" s="2"/>
      <c r="G1917" s="2">
        <f t="shared" si="29"/>
        <v>0</v>
      </c>
      <c r="H1917" s="1"/>
    </row>
    <row r="1918" spans="2:8" x14ac:dyDescent="0.2">
      <c r="B1918" s="3">
        <v>44594</v>
      </c>
      <c r="D1918" s="6"/>
      <c r="E1918" s="2"/>
      <c r="F1918" s="2"/>
      <c r="G1918" s="2">
        <f t="shared" si="29"/>
        <v>0</v>
      </c>
      <c r="H1918" t="s">
        <v>14</v>
      </c>
    </row>
    <row r="1919" spans="2:8" x14ac:dyDescent="0.2">
      <c r="B1919" s="3">
        <v>44594</v>
      </c>
      <c r="D1919" s="2"/>
      <c r="E1919" s="2"/>
      <c r="F1919" s="2">
        <v>10000</v>
      </c>
      <c r="G1919" s="2">
        <f t="shared" si="29"/>
        <v>-10000</v>
      </c>
      <c r="H1919" t="s">
        <v>27</v>
      </c>
    </row>
    <row r="1920" spans="2:8" x14ac:dyDescent="0.2">
      <c r="B1920" s="3">
        <v>44594</v>
      </c>
      <c r="D1920" s="2"/>
      <c r="E1920" s="2"/>
      <c r="F1920" s="2"/>
      <c r="G1920" s="2">
        <f t="shared" si="29"/>
        <v>0</v>
      </c>
      <c r="H1920" t="s">
        <v>13</v>
      </c>
    </row>
    <row r="1921" spans="2:8" x14ac:dyDescent="0.2">
      <c r="B1921" s="3">
        <v>44594</v>
      </c>
      <c r="D1921" s="2"/>
      <c r="E1921" s="2"/>
      <c r="F1921" s="2"/>
      <c r="G1921" s="2">
        <f t="shared" si="29"/>
        <v>0</v>
      </c>
      <c r="H1921" t="s">
        <v>30</v>
      </c>
    </row>
    <row r="1922" spans="2:8" x14ac:dyDescent="0.2">
      <c r="B1922" s="3">
        <v>44594</v>
      </c>
      <c r="D1922" s="2">
        <v>1461</v>
      </c>
      <c r="E1922" s="2">
        <v>1748</v>
      </c>
      <c r="F1922" s="2"/>
      <c r="G1922" s="2">
        <f t="shared" si="29"/>
        <v>1748</v>
      </c>
      <c r="H1922" t="s">
        <v>35</v>
      </c>
    </row>
    <row r="1923" spans="2:8" x14ac:dyDescent="0.2">
      <c r="B1923" s="3">
        <v>44594</v>
      </c>
      <c r="D1923" s="2"/>
      <c r="E1923" s="2"/>
      <c r="F1923" s="2">
        <v>3000</v>
      </c>
      <c r="G1923" s="2">
        <f t="shared" ref="G1923:G1986" si="30">E1923-F1923</f>
        <v>-3000</v>
      </c>
      <c r="H1923" t="s">
        <v>25</v>
      </c>
    </row>
    <row r="1924" spans="2:8" x14ac:dyDescent="0.2">
      <c r="B1924" s="3">
        <v>44594</v>
      </c>
      <c r="D1924" s="2"/>
      <c r="E1924" s="2"/>
      <c r="F1924" s="2"/>
      <c r="G1924" s="2">
        <f t="shared" si="30"/>
        <v>0</v>
      </c>
      <c r="H1924" t="s">
        <v>9</v>
      </c>
    </row>
    <row r="1925" spans="2:8" x14ac:dyDescent="0.2">
      <c r="B1925" s="3">
        <v>44594</v>
      </c>
      <c r="D1925" s="2"/>
      <c r="E1925" s="2"/>
      <c r="F1925" s="2"/>
      <c r="G1925" s="2">
        <f t="shared" si="30"/>
        <v>0</v>
      </c>
      <c r="H1925" t="s">
        <v>32</v>
      </c>
    </row>
    <row r="1926" spans="2:8" x14ac:dyDescent="0.2">
      <c r="B1926" s="3">
        <v>44594</v>
      </c>
      <c r="D1926" s="2"/>
      <c r="E1926" s="2"/>
      <c r="F1926" s="2"/>
      <c r="G1926" s="2">
        <f t="shared" si="30"/>
        <v>0</v>
      </c>
      <c r="H1926" s="1"/>
    </row>
    <row r="1927" spans="2:8" x14ac:dyDescent="0.2">
      <c r="B1927" s="3">
        <v>44595</v>
      </c>
      <c r="D1927" s="6">
        <f>13*24</f>
        <v>312</v>
      </c>
      <c r="E1927" s="2">
        <v>312</v>
      </c>
      <c r="F1927" s="2"/>
      <c r="G1927" s="2">
        <f t="shared" si="30"/>
        <v>312</v>
      </c>
      <c r="H1927" t="s">
        <v>14</v>
      </c>
    </row>
    <row r="1928" spans="2:8" x14ac:dyDescent="0.2">
      <c r="B1928" s="3">
        <v>44595</v>
      </c>
      <c r="D1928" s="2">
        <v>14358</v>
      </c>
      <c r="E1928" s="2">
        <v>15666</v>
      </c>
      <c r="F1928" s="2"/>
      <c r="G1928" s="2">
        <f t="shared" si="30"/>
        <v>15666</v>
      </c>
      <c r="H1928" t="s">
        <v>27</v>
      </c>
    </row>
    <row r="1929" spans="2:8" x14ac:dyDescent="0.2">
      <c r="B1929" s="3">
        <v>44595</v>
      </c>
      <c r="D1929" s="2"/>
      <c r="E1929" s="2"/>
      <c r="F1929" s="2"/>
      <c r="G1929" s="2">
        <f t="shared" si="30"/>
        <v>0</v>
      </c>
      <c r="H1929" t="s">
        <v>13</v>
      </c>
    </row>
    <row r="1930" spans="2:8" x14ac:dyDescent="0.2">
      <c r="B1930" s="3">
        <v>44595</v>
      </c>
      <c r="D1930" s="2"/>
      <c r="E1930" s="2"/>
      <c r="F1930" s="2"/>
      <c r="G1930" s="2">
        <f t="shared" si="30"/>
        <v>0</v>
      </c>
      <c r="H1930" t="s">
        <v>30</v>
      </c>
    </row>
    <row r="1931" spans="2:8" x14ac:dyDescent="0.2">
      <c r="B1931" s="3">
        <v>44595</v>
      </c>
      <c r="D1931" s="2"/>
      <c r="E1931" s="2"/>
      <c r="F1931" s="2"/>
      <c r="G1931" s="2">
        <f t="shared" si="30"/>
        <v>0</v>
      </c>
      <c r="H1931" t="s">
        <v>35</v>
      </c>
    </row>
    <row r="1932" spans="2:8" x14ac:dyDescent="0.2">
      <c r="B1932" s="3">
        <v>44595</v>
      </c>
      <c r="D1932" s="2">
        <v>1445</v>
      </c>
      <c r="E1932" s="2">
        <v>1645</v>
      </c>
      <c r="F1932" s="2"/>
      <c r="G1932" s="2">
        <f t="shared" si="30"/>
        <v>1645</v>
      </c>
      <c r="H1932" t="s">
        <v>25</v>
      </c>
    </row>
    <row r="1933" spans="2:8" x14ac:dyDescent="0.2">
      <c r="B1933" s="3">
        <v>44595</v>
      </c>
      <c r="D1933" s="2"/>
      <c r="E1933" s="2"/>
      <c r="F1933" s="2"/>
      <c r="G1933" s="2">
        <f t="shared" si="30"/>
        <v>0</v>
      </c>
      <c r="H1933" t="s">
        <v>9</v>
      </c>
    </row>
    <row r="1934" spans="2:8" x14ac:dyDescent="0.2">
      <c r="B1934" s="3">
        <v>44595</v>
      </c>
      <c r="D1934" s="2"/>
      <c r="E1934" s="2"/>
      <c r="F1934" s="2"/>
      <c r="G1934" s="2">
        <f t="shared" si="30"/>
        <v>0</v>
      </c>
      <c r="H1934" t="s">
        <v>32</v>
      </c>
    </row>
    <row r="1935" spans="2:8" x14ac:dyDescent="0.2">
      <c r="B1935" s="3">
        <v>44595</v>
      </c>
      <c r="D1935" s="2">
        <v>405</v>
      </c>
      <c r="E1935" s="2">
        <v>480</v>
      </c>
      <c r="F1935" s="2"/>
      <c r="G1935" s="2">
        <f t="shared" si="30"/>
        <v>480</v>
      </c>
      <c r="H1935" t="s">
        <v>37</v>
      </c>
    </row>
    <row r="1936" spans="2:8" x14ac:dyDescent="0.2">
      <c r="B1936" s="3">
        <v>44596</v>
      </c>
      <c r="D1936" s="6"/>
      <c r="E1936" s="2"/>
      <c r="F1936" s="2"/>
      <c r="G1936" s="2">
        <f t="shared" si="30"/>
        <v>0</v>
      </c>
      <c r="H1936" t="s">
        <v>14</v>
      </c>
    </row>
    <row r="1937" spans="2:8" x14ac:dyDescent="0.2">
      <c r="B1937" s="3">
        <v>44596</v>
      </c>
      <c r="D1937" s="2"/>
      <c r="E1937" s="2"/>
      <c r="F1937" s="2"/>
      <c r="G1937" s="2">
        <f t="shared" si="30"/>
        <v>0</v>
      </c>
      <c r="H1937" t="s">
        <v>27</v>
      </c>
    </row>
    <row r="1938" spans="2:8" x14ac:dyDescent="0.2">
      <c r="B1938" s="3">
        <v>44596</v>
      </c>
      <c r="D1938" s="2"/>
      <c r="E1938" s="2"/>
      <c r="F1938" s="2"/>
      <c r="G1938" s="2">
        <f t="shared" si="30"/>
        <v>0</v>
      </c>
      <c r="H1938" t="s">
        <v>13</v>
      </c>
    </row>
    <row r="1939" spans="2:8" x14ac:dyDescent="0.2">
      <c r="B1939" s="3">
        <v>44596</v>
      </c>
      <c r="D1939" s="2"/>
      <c r="E1939" s="2"/>
      <c r="F1939" s="2"/>
      <c r="G1939" s="2">
        <f t="shared" si="30"/>
        <v>0</v>
      </c>
      <c r="H1939" t="s">
        <v>30</v>
      </c>
    </row>
    <row r="1940" spans="2:8" x14ac:dyDescent="0.2">
      <c r="B1940" s="3">
        <v>44596</v>
      </c>
      <c r="D1940" s="2"/>
      <c r="E1940" s="2"/>
      <c r="F1940" s="2"/>
      <c r="G1940" s="2">
        <f t="shared" si="30"/>
        <v>0</v>
      </c>
      <c r="H1940" t="s">
        <v>35</v>
      </c>
    </row>
    <row r="1941" spans="2:8" x14ac:dyDescent="0.2">
      <c r="B1941" s="3">
        <v>44596</v>
      </c>
      <c r="D1941" s="2"/>
      <c r="E1941" s="2"/>
      <c r="F1941" s="2"/>
      <c r="G1941" s="2">
        <f t="shared" si="30"/>
        <v>0</v>
      </c>
      <c r="H1941" t="s">
        <v>25</v>
      </c>
    </row>
    <row r="1942" spans="2:8" x14ac:dyDescent="0.2">
      <c r="B1942" s="3">
        <v>44596</v>
      </c>
      <c r="D1942" s="2"/>
      <c r="E1942" s="2"/>
      <c r="F1942" s="2"/>
      <c r="G1942" s="2">
        <f t="shared" si="30"/>
        <v>0</v>
      </c>
      <c r="H1942" t="s">
        <v>9</v>
      </c>
    </row>
    <row r="1943" spans="2:8" x14ac:dyDescent="0.2">
      <c r="B1943" s="3">
        <v>44596</v>
      </c>
      <c r="D1943" s="2"/>
      <c r="E1943" s="2"/>
      <c r="F1943" s="2"/>
      <c r="G1943" s="2">
        <f t="shared" si="30"/>
        <v>0</v>
      </c>
      <c r="H1943" t="s">
        <v>32</v>
      </c>
    </row>
    <row r="1944" spans="2:8" x14ac:dyDescent="0.2">
      <c r="B1944" s="3">
        <v>44596</v>
      </c>
      <c r="D1944" s="2"/>
      <c r="E1944" s="2"/>
      <c r="F1944" s="2"/>
      <c r="G1944" s="2">
        <f t="shared" si="30"/>
        <v>0</v>
      </c>
      <c r="H1944" s="1"/>
    </row>
    <row r="1945" spans="2:8" x14ac:dyDescent="0.2">
      <c r="B1945" s="3">
        <v>44597</v>
      </c>
      <c r="D1945" s="6">
        <f>13*60</f>
        <v>780</v>
      </c>
      <c r="E1945" s="2">
        <v>780</v>
      </c>
      <c r="F1945" s="2"/>
      <c r="G1945" s="2">
        <f t="shared" si="30"/>
        <v>780</v>
      </c>
      <c r="H1945" t="s">
        <v>14</v>
      </c>
    </row>
    <row r="1946" spans="2:8" x14ac:dyDescent="0.2">
      <c r="B1946" s="3">
        <v>44597</v>
      </c>
      <c r="D1946" s="2">
        <v>2150</v>
      </c>
      <c r="E1946" s="2">
        <v>2590</v>
      </c>
      <c r="F1946" s="2"/>
      <c r="G1946" s="2">
        <f t="shared" si="30"/>
        <v>2590</v>
      </c>
      <c r="H1946" t="s">
        <v>27</v>
      </c>
    </row>
    <row r="1947" spans="2:8" x14ac:dyDescent="0.2">
      <c r="B1947" s="3">
        <v>44597</v>
      </c>
      <c r="D1947" s="2">
        <v>1295.5</v>
      </c>
      <c r="E1947" s="2">
        <v>1423.5</v>
      </c>
      <c r="F1947" s="2">
        <v>5000</v>
      </c>
      <c r="G1947" s="2">
        <f t="shared" si="30"/>
        <v>-3576.5</v>
      </c>
      <c r="H1947" t="s">
        <v>13</v>
      </c>
    </row>
    <row r="1948" spans="2:8" x14ac:dyDescent="0.2">
      <c r="B1948" s="3">
        <v>44597</v>
      </c>
      <c r="D1948" s="2"/>
      <c r="E1948" s="2"/>
      <c r="F1948" s="2"/>
      <c r="G1948" s="2">
        <f t="shared" si="30"/>
        <v>0</v>
      </c>
      <c r="H1948" t="s">
        <v>30</v>
      </c>
    </row>
    <row r="1949" spans="2:8" x14ac:dyDescent="0.2">
      <c r="B1949" s="3">
        <v>44597</v>
      </c>
      <c r="D1949" s="2"/>
      <c r="E1949" s="2"/>
      <c r="F1949" s="2"/>
      <c r="G1949" s="2">
        <f t="shared" si="30"/>
        <v>0</v>
      </c>
      <c r="H1949" t="s">
        <v>35</v>
      </c>
    </row>
    <row r="1950" spans="2:8" x14ac:dyDescent="0.2">
      <c r="B1950" s="3">
        <v>44597</v>
      </c>
      <c r="D1950" s="2"/>
      <c r="E1950" s="2"/>
      <c r="F1950" s="2"/>
      <c r="G1950" s="2">
        <f t="shared" si="30"/>
        <v>0</v>
      </c>
      <c r="H1950" t="s">
        <v>25</v>
      </c>
    </row>
    <row r="1951" spans="2:8" x14ac:dyDescent="0.2">
      <c r="B1951" s="3">
        <v>44597</v>
      </c>
      <c r="D1951" s="2"/>
      <c r="E1951" s="2"/>
      <c r="F1951" s="2"/>
      <c r="G1951" s="2">
        <f t="shared" si="30"/>
        <v>0</v>
      </c>
      <c r="H1951" t="s">
        <v>9</v>
      </c>
    </row>
    <row r="1952" spans="2:8" x14ac:dyDescent="0.2">
      <c r="B1952" s="3">
        <v>44597</v>
      </c>
      <c r="D1952" s="2"/>
      <c r="E1952" s="2"/>
      <c r="F1952" s="2"/>
      <c r="G1952" s="2">
        <f t="shared" si="30"/>
        <v>0</v>
      </c>
      <c r="H1952" t="s">
        <v>32</v>
      </c>
    </row>
    <row r="1953" spans="2:8" x14ac:dyDescent="0.2">
      <c r="B1953" s="3">
        <v>44597</v>
      </c>
      <c r="D1953" s="2">
        <v>405</v>
      </c>
      <c r="E1953" s="2">
        <v>480</v>
      </c>
      <c r="F1953" s="2"/>
      <c r="G1953" s="2">
        <f t="shared" si="30"/>
        <v>480</v>
      </c>
      <c r="H1953" t="s">
        <v>37</v>
      </c>
    </row>
    <row r="1954" spans="2:8" x14ac:dyDescent="0.2">
      <c r="B1954" s="3">
        <v>44598</v>
      </c>
      <c r="D1954" s="6"/>
      <c r="E1954" s="2"/>
      <c r="F1954" s="2">
        <v>5000</v>
      </c>
      <c r="G1954" s="2">
        <f t="shared" si="30"/>
        <v>-5000</v>
      </c>
      <c r="H1954" t="s">
        <v>14</v>
      </c>
    </row>
    <row r="1955" spans="2:8" x14ac:dyDescent="0.2">
      <c r="B1955" s="3">
        <v>44598</v>
      </c>
      <c r="D1955" s="2"/>
      <c r="E1955" s="2"/>
      <c r="F1955" s="2"/>
      <c r="G1955" s="2">
        <f t="shared" si="30"/>
        <v>0</v>
      </c>
      <c r="H1955" t="s">
        <v>27</v>
      </c>
    </row>
    <row r="1956" spans="2:8" x14ac:dyDescent="0.2">
      <c r="B1956" s="3">
        <v>44598</v>
      </c>
      <c r="D1956" s="2"/>
      <c r="E1956" s="2"/>
      <c r="F1956" s="2"/>
      <c r="G1956" s="2">
        <f t="shared" si="30"/>
        <v>0</v>
      </c>
      <c r="H1956" t="s">
        <v>13</v>
      </c>
    </row>
    <row r="1957" spans="2:8" x14ac:dyDescent="0.2">
      <c r="B1957" s="3">
        <v>44598</v>
      </c>
      <c r="D1957" s="2"/>
      <c r="E1957" s="2"/>
      <c r="F1957" s="2"/>
      <c r="G1957" s="2">
        <f t="shared" si="30"/>
        <v>0</v>
      </c>
      <c r="H1957" t="s">
        <v>30</v>
      </c>
    </row>
    <row r="1958" spans="2:8" x14ac:dyDescent="0.2">
      <c r="B1958" s="3">
        <v>44598</v>
      </c>
      <c r="D1958" s="2">
        <v>654</v>
      </c>
      <c r="E1958" s="2">
        <v>835</v>
      </c>
      <c r="F1958" s="2"/>
      <c r="G1958" s="2">
        <f t="shared" si="30"/>
        <v>835</v>
      </c>
      <c r="H1958" t="s">
        <v>35</v>
      </c>
    </row>
    <row r="1959" spans="2:8" x14ac:dyDescent="0.2">
      <c r="B1959" s="3">
        <v>44598</v>
      </c>
      <c r="D1959" s="2">
        <v>447.5</v>
      </c>
      <c r="E1959" s="2">
        <v>671</v>
      </c>
      <c r="F1959" s="2">
        <v>2000</v>
      </c>
      <c r="G1959" s="2">
        <f t="shared" si="30"/>
        <v>-1329</v>
      </c>
      <c r="H1959" t="s">
        <v>25</v>
      </c>
    </row>
    <row r="1960" spans="2:8" x14ac:dyDescent="0.2">
      <c r="B1960" s="3">
        <v>44598</v>
      </c>
      <c r="D1960" s="2"/>
      <c r="E1960" s="2"/>
      <c r="F1960" s="2"/>
      <c r="G1960" s="2">
        <f t="shared" si="30"/>
        <v>0</v>
      </c>
      <c r="H1960" t="s">
        <v>9</v>
      </c>
    </row>
    <row r="1961" spans="2:8" x14ac:dyDescent="0.2">
      <c r="B1961" s="3">
        <v>44598</v>
      </c>
      <c r="D1961" s="2"/>
      <c r="E1961" s="2"/>
      <c r="F1961" s="2"/>
      <c r="G1961" s="2">
        <f t="shared" si="30"/>
        <v>0</v>
      </c>
      <c r="H1961" t="s">
        <v>32</v>
      </c>
    </row>
    <row r="1962" spans="2:8" x14ac:dyDescent="0.2">
      <c r="B1962" s="3">
        <v>44598</v>
      </c>
      <c r="D1962" s="2"/>
      <c r="E1962" s="2"/>
      <c r="F1962" s="2"/>
      <c r="G1962" s="2">
        <f t="shared" si="30"/>
        <v>0</v>
      </c>
      <c r="H1962" s="1"/>
    </row>
    <row r="1963" spans="2:8" x14ac:dyDescent="0.2">
      <c r="B1963" s="3">
        <v>44599</v>
      </c>
      <c r="D1963" s="6"/>
      <c r="E1963" s="2"/>
      <c r="F1963" s="2"/>
      <c r="G1963" s="2">
        <f t="shared" si="30"/>
        <v>0</v>
      </c>
      <c r="H1963" t="s">
        <v>14</v>
      </c>
    </row>
    <row r="1964" spans="2:8" x14ac:dyDescent="0.2">
      <c r="B1964" s="3">
        <v>44599</v>
      </c>
      <c r="D1964" s="2"/>
      <c r="E1964" s="2"/>
      <c r="F1964" s="2"/>
      <c r="G1964" s="2">
        <f t="shared" si="30"/>
        <v>0</v>
      </c>
      <c r="H1964" t="s">
        <v>27</v>
      </c>
    </row>
    <row r="1965" spans="2:8" x14ac:dyDescent="0.2">
      <c r="B1965" s="3">
        <v>44599</v>
      </c>
      <c r="D1965" s="2">
        <v>2700</v>
      </c>
      <c r="E1965" s="2">
        <v>3040</v>
      </c>
      <c r="F1965" s="2"/>
      <c r="G1965" s="2">
        <f t="shared" si="30"/>
        <v>3040</v>
      </c>
      <c r="H1965" t="s">
        <v>13</v>
      </c>
    </row>
    <row r="1966" spans="2:8" x14ac:dyDescent="0.2">
      <c r="B1966" s="3">
        <v>44599</v>
      </c>
      <c r="D1966" s="2"/>
      <c r="E1966" s="2"/>
      <c r="F1966" s="2">
        <v>8255</v>
      </c>
      <c r="G1966" s="2">
        <f t="shared" si="30"/>
        <v>-8255</v>
      </c>
      <c r="H1966" t="s">
        <v>30</v>
      </c>
    </row>
    <row r="1967" spans="2:8" x14ac:dyDescent="0.2">
      <c r="B1967" s="3">
        <v>44599</v>
      </c>
      <c r="D1967" s="2"/>
      <c r="E1967" s="2"/>
      <c r="F1967" s="2"/>
      <c r="G1967" s="2">
        <f t="shared" si="30"/>
        <v>0</v>
      </c>
      <c r="H1967" t="s">
        <v>35</v>
      </c>
    </row>
    <row r="1968" spans="2:8" x14ac:dyDescent="0.2">
      <c r="B1968" s="3">
        <v>44599</v>
      </c>
      <c r="D1968" s="2"/>
      <c r="E1968" s="2"/>
      <c r="F1968" s="2"/>
      <c r="G1968" s="2">
        <f t="shared" si="30"/>
        <v>0</v>
      </c>
      <c r="H1968" t="s">
        <v>25</v>
      </c>
    </row>
    <row r="1969" spans="2:8" x14ac:dyDescent="0.2">
      <c r="B1969" s="3">
        <v>44599</v>
      </c>
      <c r="D1969" s="2"/>
      <c r="E1969" s="2"/>
      <c r="F1969" s="2"/>
      <c r="G1969" s="2">
        <f t="shared" si="30"/>
        <v>0</v>
      </c>
      <c r="H1969" t="s">
        <v>9</v>
      </c>
    </row>
    <row r="1970" spans="2:8" x14ac:dyDescent="0.2">
      <c r="B1970" s="3">
        <v>44599</v>
      </c>
      <c r="D1970" s="2"/>
      <c r="E1970" s="2"/>
      <c r="F1970" s="2"/>
      <c r="G1970" s="2">
        <f t="shared" si="30"/>
        <v>0</v>
      </c>
      <c r="H1970" t="s">
        <v>32</v>
      </c>
    </row>
    <row r="1971" spans="2:8" x14ac:dyDescent="0.2">
      <c r="B1971" s="3">
        <v>44599</v>
      </c>
      <c r="D1971" s="2"/>
      <c r="E1971" s="2"/>
      <c r="F1971" s="2"/>
      <c r="G1971" s="2">
        <f t="shared" si="30"/>
        <v>0</v>
      </c>
      <c r="H1971" s="1"/>
    </row>
    <row r="1972" spans="2:8" x14ac:dyDescent="0.2">
      <c r="B1972" s="3">
        <v>44600</v>
      </c>
      <c r="D1972" s="6"/>
      <c r="E1972" s="2"/>
      <c r="F1972" s="2"/>
      <c r="G1972" s="2">
        <f t="shared" si="30"/>
        <v>0</v>
      </c>
      <c r="H1972" t="s">
        <v>14</v>
      </c>
    </row>
    <row r="1973" spans="2:8" x14ac:dyDescent="0.2">
      <c r="B1973" s="3">
        <v>44600</v>
      </c>
      <c r="D1973" s="2"/>
      <c r="E1973" s="2"/>
      <c r="F1973" s="2"/>
      <c r="G1973" s="2">
        <f t="shared" si="30"/>
        <v>0</v>
      </c>
      <c r="H1973" t="s">
        <v>27</v>
      </c>
    </row>
    <row r="1974" spans="2:8" x14ac:dyDescent="0.2">
      <c r="B1974" s="3">
        <v>44600</v>
      </c>
      <c r="D1974" s="2"/>
      <c r="E1974" s="2"/>
      <c r="F1974" s="2"/>
      <c r="G1974" s="2">
        <f t="shared" si="30"/>
        <v>0</v>
      </c>
      <c r="H1974" t="s">
        <v>13</v>
      </c>
    </row>
    <row r="1975" spans="2:8" x14ac:dyDescent="0.2">
      <c r="B1975" s="3">
        <v>44600</v>
      </c>
      <c r="D1975" s="2"/>
      <c r="E1975" s="2"/>
      <c r="F1975" s="2"/>
      <c r="G1975" s="2">
        <f t="shared" si="30"/>
        <v>0</v>
      </c>
      <c r="H1975" t="s">
        <v>30</v>
      </c>
    </row>
    <row r="1976" spans="2:8" x14ac:dyDescent="0.2">
      <c r="B1976" s="3">
        <v>44600</v>
      </c>
      <c r="D1976" s="2"/>
      <c r="E1976" s="2"/>
      <c r="F1976" s="2"/>
      <c r="G1976" s="2">
        <f t="shared" si="30"/>
        <v>0</v>
      </c>
      <c r="H1976" t="s">
        <v>35</v>
      </c>
    </row>
    <row r="1977" spans="2:8" x14ac:dyDescent="0.2">
      <c r="B1977" s="3">
        <v>44600</v>
      </c>
      <c r="D1977" s="2"/>
      <c r="E1977" s="2"/>
      <c r="F1977" s="2"/>
      <c r="G1977" s="2">
        <f t="shared" si="30"/>
        <v>0</v>
      </c>
      <c r="H1977" t="s">
        <v>25</v>
      </c>
    </row>
    <row r="1978" spans="2:8" x14ac:dyDescent="0.2">
      <c r="B1978" s="3">
        <v>44600</v>
      </c>
      <c r="D1978" s="2"/>
      <c r="E1978" s="2"/>
      <c r="F1978" s="2"/>
      <c r="G1978" s="2">
        <f t="shared" si="30"/>
        <v>0</v>
      </c>
      <c r="H1978" t="s">
        <v>9</v>
      </c>
    </row>
    <row r="1979" spans="2:8" x14ac:dyDescent="0.2">
      <c r="B1979" s="3">
        <v>44600</v>
      </c>
      <c r="D1979" s="2"/>
      <c r="E1979" s="2"/>
      <c r="F1979" s="2"/>
      <c r="G1979" s="2">
        <f t="shared" si="30"/>
        <v>0</v>
      </c>
      <c r="H1979" t="s">
        <v>32</v>
      </c>
    </row>
    <row r="1980" spans="2:8" x14ac:dyDescent="0.2">
      <c r="B1980" s="3">
        <v>44600</v>
      </c>
      <c r="D1980" s="2"/>
      <c r="E1980" s="2"/>
      <c r="F1980" s="2"/>
      <c r="G1980" s="2">
        <f t="shared" si="30"/>
        <v>0</v>
      </c>
      <c r="H1980" s="1"/>
    </row>
    <row r="1981" spans="2:8" x14ac:dyDescent="0.2">
      <c r="B1981" s="3">
        <v>44601</v>
      </c>
      <c r="D1981" s="6"/>
      <c r="E1981" s="2"/>
      <c r="F1981" s="2"/>
      <c r="G1981" s="2">
        <f t="shared" si="30"/>
        <v>0</v>
      </c>
      <c r="H1981" t="s">
        <v>14</v>
      </c>
    </row>
    <row r="1982" spans="2:8" x14ac:dyDescent="0.2">
      <c r="B1982" s="3">
        <v>44601</v>
      </c>
      <c r="D1982" s="2"/>
      <c r="E1982" s="2"/>
      <c r="F1982" s="2"/>
      <c r="G1982" s="2">
        <f t="shared" si="30"/>
        <v>0</v>
      </c>
      <c r="H1982" t="s">
        <v>27</v>
      </c>
    </row>
    <row r="1983" spans="2:8" x14ac:dyDescent="0.2">
      <c r="B1983" s="3">
        <v>44601</v>
      </c>
      <c r="D1983" s="2"/>
      <c r="E1983" s="2"/>
      <c r="F1983" s="2"/>
      <c r="G1983" s="2">
        <f t="shared" si="30"/>
        <v>0</v>
      </c>
      <c r="H1983" t="s">
        <v>13</v>
      </c>
    </row>
    <row r="1984" spans="2:8" x14ac:dyDescent="0.2">
      <c r="B1984" s="3">
        <v>44601</v>
      </c>
      <c r="D1984" s="2"/>
      <c r="E1984" s="2"/>
      <c r="F1984" s="2"/>
      <c r="G1984" s="2">
        <f t="shared" si="30"/>
        <v>0</v>
      </c>
      <c r="H1984" t="s">
        <v>30</v>
      </c>
    </row>
    <row r="1985" spans="2:8" x14ac:dyDescent="0.2">
      <c r="B1985" s="3">
        <v>44601</v>
      </c>
      <c r="D1985" s="2"/>
      <c r="E1985" s="2"/>
      <c r="F1985" s="2"/>
      <c r="G1985" s="2">
        <f t="shared" si="30"/>
        <v>0</v>
      </c>
      <c r="H1985" t="s">
        <v>35</v>
      </c>
    </row>
    <row r="1986" spans="2:8" x14ac:dyDescent="0.2">
      <c r="B1986" s="3">
        <v>44601</v>
      </c>
      <c r="D1986" s="2">
        <v>661.5</v>
      </c>
      <c r="E1986" s="2">
        <v>729</v>
      </c>
      <c r="F1986" s="2"/>
      <c r="G1986" s="2">
        <f t="shared" si="30"/>
        <v>729</v>
      </c>
      <c r="H1986" t="s">
        <v>25</v>
      </c>
    </row>
    <row r="1987" spans="2:8" x14ac:dyDescent="0.2">
      <c r="B1987" s="3">
        <v>44601</v>
      </c>
      <c r="D1987" s="2"/>
      <c r="E1987" s="2"/>
      <c r="F1987" s="2"/>
      <c r="G1987" s="2">
        <f t="shared" ref="G1987:G2050" si="31">E1987-F1987</f>
        <v>0</v>
      </c>
      <c r="H1987" t="s">
        <v>9</v>
      </c>
    </row>
    <row r="1988" spans="2:8" x14ac:dyDescent="0.2">
      <c r="B1988" s="3">
        <v>44601</v>
      </c>
      <c r="D1988" s="2"/>
      <c r="E1988" s="2"/>
      <c r="F1988" s="2"/>
      <c r="G1988" s="2">
        <f t="shared" si="31"/>
        <v>0</v>
      </c>
      <c r="H1988" t="s">
        <v>32</v>
      </c>
    </row>
    <row r="1989" spans="2:8" x14ac:dyDescent="0.2">
      <c r="B1989" s="3">
        <v>44601</v>
      </c>
      <c r="D1989" s="2"/>
      <c r="E1989" s="2"/>
      <c r="F1989" s="2"/>
      <c r="G1989" s="2">
        <f t="shared" si="31"/>
        <v>0</v>
      </c>
      <c r="H1989" s="1"/>
    </row>
    <row r="1990" spans="2:8" x14ac:dyDescent="0.2">
      <c r="B1990" s="3">
        <v>44602</v>
      </c>
      <c r="D1990" s="6"/>
      <c r="E1990" s="2"/>
      <c r="F1990" s="2"/>
      <c r="G1990" s="2">
        <f t="shared" si="31"/>
        <v>0</v>
      </c>
      <c r="H1990" t="s">
        <v>14</v>
      </c>
    </row>
    <row r="1991" spans="2:8" x14ac:dyDescent="0.2">
      <c r="B1991" s="3">
        <v>44602</v>
      </c>
      <c r="D1991" s="2"/>
      <c r="E1991" s="2"/>
      <c r="F1991" s="2">
        <v>10000</v>
      </c>
      <c r="G1991" s="2">
        <f t="shared" si="31"/>
        <v>-10000</v>
      </c>
      <c r="H1991" t="s">
        <v>27</v>
      </c>
    </row>
    <row r="1992" spans="2:8" x14ac:dyDescent="0.2">
      <c r="B1992" s="3">
        <v>44602</v>
      </c>
      <c r="D1992" s="2">
        <v>5541</v>
      </c>
      <c r="E1992" s="2">
        <v>5857.5</v>
      </c>
      <c r="F1992" s="2"/>
      <c r="G1992" s="2">
        <f t="shared" si="31"/>
        <v>5857.5</v>
      </c>
      <c r="H1992" t="s">
        <v>13</v>
      </c>
    </row>
    <row r="1993" spans="2:8" x14ac:dyDescent="0.2">
      <c r="B1993" s="3">
        <v>44602</v>
      </c>
      <c r="D1993" s="2"/>
      <c r="E1993" s="2"/>
      <c r="F1993" s="2"/>
      <c r="G1993" s="2">
        <f t="shared" si="31"/>
        <v>0</v>
      </c>
      <c r="H1993" t="s">
        <v>30</v>
      </c>
    </row>
    <row r="1994" spans="2:8" x14ac:dyDescent="0.2">
      <c r="B1994" s="3">
        <v>44602</v>
      </c>
      <c r="D1994" s="2"/>
      <c r="E1994" s="2"/>
      <c r="F1994" s="2"/>
      <c r="G1994" s="2">
        <f t="shared" si="31"/>
        <v>0</v>
      </c>
      <c r="H1994" t="s">
        <v>35</v>
      </c>
    </row>
    <row r="1995" spans="2:8" x14ac:dyDescent="0.2">
      <c r="B1995" s="3">
        <v>44602</v>
      </c>
      <c r="D1995" s="1">
        <v>70</v>
      </c>
      <c r="E1995" s="1">
        <v>80</v>
      </c>
      <c r="F1995" s="1">
        <v>3000</v>
      </c>
      <c r="G1995" s="2">
        <f t="shared" si="31"/>
        <v>-2920</v>
      </c>
      <c r="H1995" t="s">
        <v>25</v>
      </c>
    </row>
    <row r="1996" spans="2:8" x14ac:dyDescent="0.2">
      <c r="B1996" s="3">
        <v>44602</v>
      </c>
      <c r="G1996" s="2">
        <f t="shared" si="31"/>
        <v>0</v>
      </c>
      <c r="H1996" t="s">
        <v>9</v>
      </c>
    </row>
    <row r="1997" spans="2:8" x14ac:dyDescent="0.2">
      <c r="B1997" s="3">
        <v>44602</v>
      </c>
      <c r="G1997" s="2">
        <f t="shared" si="31"/>
        <v>0</v>
      </c>
      <c r="H1997" t="s">
        <v>32</v>
      </c>
    </row>
    <row r="1998" spans="2:8" x14ac:dyDescent="0.2">
      <c r="B1998" s="3">
        <v>44602</v>
      </c>
      <c r="G1998" s="2">
        <f t="shared" si="31"/>
        <v>0</v>
      </c>
      <c r="H1998" s="1"/>
    </row>
    <row r="1999" spans="2:8" x14ac:dyDescent="0.2">
      <c r="B1999" s="3">
        <v>44603</v>
      </c>
      <c r="D1999" s="28"/>
      <c r="G1999" s="2">
        <f t="shared" si="31"/>
        <v>0</v>
      </c>
      <c r="H1999" t="s">
        <v>14</v>
      </c>
    </row>
    <row r="2000" spans="2:8" x14ac:dyDescent="0.2">
      <c r="B2000" s="3">
        <v>44603</v>
      </c>
      <c r="G2000" s="2">
        <f t="shared" si="31"/>
        <v>0</v>
      </c>
      <c r="H2000" t="s">
        <v>27</v>
      </c>
    </row>
    <row r="2001" spans="2:8" x14ac:dyDescent="0.2">
      <c r="B2001" s="3">
        <v>44603</v>
      </c>
      <c r="G2001" s="2">
        <f t="shared" si="31"/>
        <v>0</v>
      </c>
      <c r="H2001" t="s">
        <v>13</v>
      </c>
    </row>
    <row r="2002" spans="2:8" x14ac:dyDescent="0.2">
      <c r="B2002" s="3">
        <v>44603</v>
      </c>
      <c r="G2002" s="2">
        <f t="shared" si="31"/>
        <v>0</v>
      </c>
      <c r="H2002" t="s">
        <v>30</v>
      </c>
    </row>
    <row r="2003" spans="2:8" x14ac:dyDescent="0.2">
      <c r="B2003" s="3">
        <v>44603</v>
      </c>
      <c r="G2003" s="2">
        <f t="shared" si="31"/>
        <v>0</v>
      </c>
      <c r="H2003" t="s">
        <v>35</v>
      </c>
    </row>
    <row r="2004" spans="2:8" x14ac:dyDescent="0.2">
      <c r="B2004" s="3">
        <v>44603</v>
      </c>
      <c r="G2004" s="2">
        <f t="shared" si="31"/>
        <v>0</v>
      </c>
      <c r="H2004" t="s">
        <v>25</v>
      </c>
    </row>
    <row r="2005" spans="2:8" x14ac:dyDescent="0.2">
      <c r="B2005" s="3">
        <v>44603</v>
      </c>
      <c r="G2005" s="2">
        <f t="shared" si="31"/>
        <v>0</v>
      </c>
      <c r="H2005" t="s">
        <v>34</v>
      </c>
    </row>
    <row r="2006" spans="2:8" x14ac:dyDescent="0.2">
      <c r="B2006" s="3">
        <v>44603</v>
      </c>
      <c r="G2006" s="2">
        <f t="shared" si="31"/>
        <v>0</v>
      </c>
      <c r="H2006" t="s">
        <v>9</v>
      </c>
    </row>
    <row r="2007" spans="2:8" x14ac:dyDescent="0.2">
      <c r="B2007" s="3">
        <v>44603</v>
      </c>
      <c r="G2007" s="2">
        <f t="shared" si="31"/>
        <v>0</v>
      </c>
      <c r="H2007" t="s">
        <v>32</v>
      </c>
    </row>
    <row r="2008" spans="2:8" x14ac:dyDescent="0.2">
      <c r="B2008" s="3">
        <v>44603</v>
      </c>
      <c r="G2008" s="2">
        <f t="shared" si="31"/>
        <v>0</v>
      </c>
      <c r="H2008" s="1"/>
    </row>
    <row r="2009" spans="2:8" x14ac:dyDescent="0.2">
      <c r="B2009" s="3">
        <v>44604</v>
      </c>
      <c r="D2009" s="28"/>
      <c r="F2009" s="1">
        <v>5000</v>
      </c>
      <c r="G2009" s="2">
        <f t="shared" si="31"/>
        <v>-5000</v>
      </c>
      <c r="H2009" t="s">
        <v>14</v>
      </c>
    </row>
    <row r="2010" spans="2:8" x14ac:dyDescent="0.2">
      <c r="B2010" s="3">
        <v>44604</v>
      </c>
      <c r="G2010" s="2">
        <f t="shared" si="31"/>
        <v>0</v>
      </c>
      <c r="H2010" t="s">
        <v>27</v>
      </c>
    </row>
    <row r="2011" spans="2:8" x14ac:dyDescent="0.2">
      <c r="B2011" s="3">
        <v>44604</v>
      </c>
      <c r="F2011" s="1">
        <v>5000</v>
      </c>
      <c r="G2011" s="2">
        <f t="shared" si="31"/>
        <v>-5000</v>
      </c>
      <c r="H2011" t="s">
        <v>13</v>
      </c>
    </row>
    <row r="2012" spans="2:8" x14ac:dyDescent="0.2">
      <c r="B2012" s="3">
        <v>44604</v>
      </c>
      <c r="G2012" s="2">
        <f t="shared" si="31"/>
        <v>0</v>
      </c>
      <c r="H2012" t="s">
        <v>30</v>
      </c>
    </row>
    <row r="2013" spans="2:8" x14ac:dyDescent="0.2">
      <c r="B2013" s="3">
        <v>44604</v>
      </c>
      <c r="G2013" s="2">
        <f t="shared" si="31"/>
        <v>0</v>
      </c>
      <c r="H2013" t="s">
        <v>35</v>
      </c>
    </row>
    <row r="2014" spans="2:8" x14ac:dyDescent="0.2">
      <c r="B2014" s="3">
        <v>44604</v>
      </c>
      <c r="D2014" s="1">
        <v>3920</v>
      </c>
      <c r="E2014" s="1">
        <v>4874.6400000000003</v>
      </c>
      <c r="G2014" s="2">
        <f t="shared" si="31"/>
        <v>4874.6400000000003</v>
      </c>
      <c r="H2014" t="s">
        <v>25</v>
      </c>
    </row>
    <row r="2015" spans="2:8" x14ac:dyDescent="0.2">
      <c r="B2015" s="3">
        <v>44604</v>
      </c>
      <c r="D2015" s="1">
        <v>4121.25</v>
      </c>
      <c r="E2015" s="1">
        <v>4653.25</v>
      </c>
      <c r="G2015" s="2">
        <f t="shared" si="31"/>
        <v>4653.25</v>
      </c>
      <c r="H2015" t="s">
        <v>34</v>
      </c>
    </row>
    <row r="2016" spans="2:8" x14ac:dyDescent="0.2">
      <c r="B2016" s="3">
        <v>44604</v>
      </c>
      <c r="G2016" s="2">
        <f t="shared" si="31"/>
        <v>0</v>
      </c>
      <c r="H2016" t="s">
        <v>9</v>
      </c>
    </row>
    <row r="2017" spans="2:8" x14ac:dyDescent="0.2">
      <c r="B2017" s="3">
        <v>44604</v>
      </c>
      <c r="G2017" s="2">
        <f t="shared" si="31"/>
        <v>0</v>
      </c>
      <c r="H2017" t="s">
        <v>32</v>
      </c>
    </row>
    <row r="2018" spans="2:8" x14ac:dyDescent="0.2">
      <c r="B2018" s="3">
        <v>44604</v>
      </c>
      <c r="F2018" s="1">
        <v>910</v>
      </c>
      <c r="G2018" s="2">
        <f t="shared" si="31"/>
        <v>-910</v>
      </c>
      <c r="H2018" t="s">
        <v>39</v>
      </c>
    </row>
    <row r="2019" spans="2:8" x14ac:dyDescent="0.2">
      <c r="B2019" s="3">
        <v>44605</v>
      </c>
      <c r="D2019" s="28"/>
      <c r="G2019" s="2">
        <f t="shared" si="31"/>
        <v>0</v>
      </c>
      <c r="H2019" t="s">
        <v>14</v>
      </c>
    </row>
    <row r="2020" spans="2:8" x14ac:dyDescent="0.2">
      <c r="B2020" s="3">
        <v>44605</v>
      </c>
      <c r="G2020" s="2">
        <f t="shared" si="31"/>
        <v>0</v>
      </c>
      <c r="H2020" t="s">
        <v>27</v>
      </c>
    </row>
    <row r="2021" spans="2:8" x14ac:dyDescent="0.2">
      <c r="B2021" s="3">
        <v>44605</v>
      </c>
      <c r="D2021" s="1">
        <v>2988</v>
      </c>
      <c r="E2021" s="1">
        <v>3275.5</v>
      </c>
      <c r="G2021" s="2">
        <f t="shared" si="31"/>
        <v>3275.5</v>
      </c>
      <c r="H2021" t="s">
        <v>13</v>
      </c>
    </row>
    <row r="2022" spans="2:8" x14ac:dyDescent="0.2">
      <c r="B2022" s="3">
        <v>44605</v>
      </c>
      <c r="G2022" s="2">
        <f t="shared" si="31"/>
        <v>0</v>
      </c>
      <c r="H2022" t="s">
        <v>30</v>
      </c>
    </row>
    <row r="2023" spans="2:8" x14ac:dyDescent="0.2">
      <c r="B2023" s="3">
        <v>44605</v>
      </c>
      <c r="G2023" s="2">
        <f t="shared" si="31"/>
        <v>0</v>
      </c>
      <c r="H2023" t="s">
        <v>35</v>
      </c>
    </row>
    <row r="2024" spans="2:8" x14ac:dyDescent="0.2">
      <c r="B2024" s="3">
        <v>44605</v>
      </c>
      <c r="G2024" s="2">
        <f t="shared" si="31"/>
        <v>0</v>
      </c>
      <c r="H2024" t="s">
        <v>25</v>
      </c>
    </row>
    <row r="2025" spans="2:8" x14ac:dyDescent="0.2">
      <c r="B2025" s="3">
        <v>44605</v>
      </c>
      <c r="D2025" s="1">
        <v>234</v>
      </c>
      <c r="E2025" s="1">
        <v>255.5</v>
      </c>
      <c r="F2025" s="1">
        <v>547.5</v>
      </c>
      <c r="G2025" s="2">
        <f t="shared" si="31"/>
        <v>-292</v>
      </c>
      <c r="H2025" t="s">
        <v>34</v>
      </c>
    </row>
    <row r="2026" spans="2:8" x14ac:dyDescent="0.2">
      <c r="B2026" s="3">
        <v>44605</v>
      </c>
      <c r="G2026" s="2">
        <f t="shared" si="31"/>
        <v>0</v>
      </c>
      <c r="H2026" t="s">
        <v>33</v>
      </c>
    </row>
    <row r="2027" spans="2:8" x14ac:dyDescent="0.2">
      <c r="B2027" s="3">
        <v>44605</v>
      </c>
      <c r="G2027" s="2">
        <f t="shared" si="31"/>
        <v>0</v>
      </c>
      <c r="H2027" t="s">
        <v>9</v>
      </c>
    </row>
    <row r="2028" spans="2:8" x14ac:dyDescent="0.2">
      <c r="B2028" s="3">
        <v>44605</v>
      </c>
      <c r="G2028" s="2">
        <f t="shared" si="31"/>
        <v>0</v>
      </c>
      <c r="H2028" t="s">
        <v>32</v>
      </c>
    </row>
    <row r="2029" spans="2:8" x14ac:dyDescent="0.2">
      <c r="B2029" s="3">
        <v>44605</v>
      </c>
      <c r="G2029" s="2">
        <f t="shared" si="31"/>
        <v>0</v>
      </c>
      <c r="H2029" s="1"/>
    </row>
    <row r="2030" spans="2:8" x14ac:dyDescent="0.2">
      <c r="B2030" s="3">
        <v>44606</v>
      </c>
      <c r="D2030" s="28">
        <f>185*30</f>
        <v>5550</v>
      </c>
      <c r="E2030" s="1">
        <v>5850</v>
      </c>
      <c r="G2030" s="2">
        <f t="shared" si="31"/>
        <v>5850</v>
      </c>
      <c r="H2030" t="s">
        <v>14</v>
      </c>
    </row>
    <row r="2031" spans="2:8" x14ac:dyDescent="0.2">
      <c r="B2031" s="3">
        <v>44606</v>
      </c>
      <c r="G2031" s="2">
        <f t="shared" si="31"/>
        <v>0</v>
      </c>
      <c r="H2031" t="s">
        <v>27</v>
      </c>
    </row>
    <row r="2032" spans="2:8" x14ac:dyDescent="0.2">
      <c r="B2032" s="3">
        <v>44606</v>
      </c>
      <c r="G2032" s="2">
        <f t="shared" si="31"/>
        <v>0</v>
      </c>
      <c r="H2032" t="s">
        <v>13</v>
      </c>
    </row>
    <row r="2033" spans="2:8" x14ac:dyDescent="0.2">
      <c r="B2033" s="3">
        <v>44606</v>
      </c>
      <c r="G2033" s="2">
        <f t="shared" si="31"/>
        <v>0</v>
      </c>
      <c r="H2033" t="s">
        <v>30</v>
      </c>
    </row>
    <row r="2034" spans="2:8" x14ac:dyDescent="0.2">
      <c r="B2034" s="3">
        <v>44606</v>
      </c>
      <c r="G2034" s="2">
        <f t="shared" si="31"/>
        <v>0</v>
      </c>
      <c r="H2034" t="s">
        <v>35</v>
      </c>
    </row>
    <row r="2035" spans="2:8" x14ac:dyDescent="0.2">
      <c r="B2035" s="3">
        <v>44606</v>
      </c>
      <c r="G2035" s="2">
        <f t="shared" si="31"/>
        <v>0</v>
      </c>
      <c r="H2035" t="s">
        <v>25</v>
      </c>
    </row>
    <row r="2036" spans="2:8" x14ac:dyDescent="0.2">
      <c r="B2036" s="3">
        <v>44606</v>
      </c>
      <c r="F2036" s="1">
        <v>3000</v>
      </c>
      <c r="G2036" s="2">
        <f t="shared" si="31"/>
        <v>-3000</v>
      </c>
      <c r="H2036" t="s">
        <v>34</v>
      </c>
    </row>
    <row r="2037" spans="2:8" x14ac:dyDescent="0.2">
      <c r="B2037" s="3">
        <v>44606</v>
      </c>
      <c r="D2037" s="1">
        <v>3700</v>
      </c>
      <c r="E2037" s="1">
        <v>4100</v>
      </c>
      <c r="G2037" s="2">
        <f t="shared" si="31"/>
        <v>4100</v>
      </c>
      <c r="H2037" t="s">
        <v>33</v>
      </c>
    </row>
    <row r="2038" spans="2:8" x14ac:dyDescent="0.2">
      <c r="B2038" s="3">
        <v>44606</v>
      </c>
      <c r="G2038" s="2">
        <f t="shared" si="31"/>
        <v>0</v>
      </c>
      <c r="H2038" t="s">
        <v>9</v>
      </c>
    </row>
    <row r="2039" spans="2:8" x14ac:dyDescent="0.2">
      <c r="B2039" s="3">
        <v>44606</v>
      </c>
      <c r="G2039" s="2">
        <f t="shared" si="31"/>
        <v>0</v>
      </c>
      <c r="H2039" t="s">
        <v>32</v>
      </c>
    </row>
    <row r="2040" spans="2:8" x14ac:dyDescent="0.2">
      <c r="B2040" s="3">
        <v>44606</v>
      </c>
      <c r="G2040" s="2">
        <f t="shared" si="31"/>
        <v>0</v>
      </c>
      <c r="H2040" s="1"/>
    </row>
    <row r="2041" spans="2:8" x14ac:dyDescent="0.2">
      <c r="B2041" s="3">
        <v>44607</v>
      </c>
      <c r="D2041" s="28">
        <f>19.9*250</f>
        <v>4975</v>
      </c>
      <c r="E2041" s="1">
        <v>5500</v>
      </c>
      <c r="G2041" s="2">
        <f t="shared" si="31"/>
        <v>5500</v>
      </c>
      <c r="H2041" t="s">
        <v>14</v>
      </c>
    </row>
    <row r="2042" spans="2:8" x14ac:dyDescent="0.2">
      <c r="B2042" s="3">
        <v>44607</v>
      </c>
      <c r="D2042" s="1">
        <v>12229.75</v>
      </c>
      <c r="E2042" s="1">
        <v>13359</v>
      </c>
      <c r="G2042" s="2">
        <f t="shared" si="31"/>
        <v>13359</v>
      </c>
      <c r="H2042" t="s">
        <v>27</v>
      </c>
    </row>
    <row r="2043" spans="2:8" x14ac:dyDescent="0.2">
      <c r="B2043" s="3">
        <v>44607</v>
      </c>
      <c r="D2043" s="1">
        <v>994.99999999999989</v>
      </c>
      <c r="E2043" s="1">
        <v>1100</v>
      </c>
      <c r="F2043" s="1">
        <v>5000</v>
      </c>
      <c r="G2043" s="2">
        <f t="shared" si="31"/>
        <v>-3900</v>
      </c>
      <c r="H2043" t="s">
        <v>13</v>
      </c>
    </row>
    <row r="2044" spans="2:8" x14ac:dyDescent="0.2">
      <c r="B2044" s="3">
        <v>44607</v>
      </c>
      <c r="D2044" s="1">
        <v>12456.25</v>
      </c>
      <c r="E2044" s="1">
        <v>13934</v>
      </c>
      <c r="G2044" s="2">
        <f t="shared" si="31"/>
        <v>13934</v>
      </c>
      <c r="H2044" t="s">
        <v>30</v>
      </c>
    </row>
    <row r="2045" spans="2:8" x14ac:dyDescent="0.2">
      <c r="B2045" s="3">
        <v>44607</v>
      </c>
      <c r="D2045" s="1">
        <v>806</v>
      </c>
      <c r="E2045" s="1">
        <v>975</v>
      </c>
      <c r="G2045" s="2">
        <f t="shared" si="31"/>
        <v>975</v>
      </c>
      <c r="H2045" t="s">
        <v>35</v>
      </c>
    </row>
    <row r="2046" spans="2:8" x14ac:dyDescent="0.2">
      <c r="B2046" s="3">
        <v>44607</v>
      </c>
      <c r="D2046" s="1">
        <v>5102</v>
      </c>
      <c r="E2046" s="1">
        <v>6443.85</v>
      </c>
      <c r="F2046" s="1">
        <v>3000</v>
      </c>
      <c r="G2046" s="2">
        <f t="shared" si="31"/>
        <v>3443.8500000000004</v>
      </c>
      <c r="H2046" t="s">
        <v>25</v>
      </c>
    </row>
    <row r="2047" spans="2:8" x14ac:dyDescent="0.2">
      <c r="B2047" s="3">
        <v>44607</v>
      </c>
      <c r="G2047" s="2">
        <f t="shared" si="31"/>
        <v>0</v>
      </c>
      <c r="H2047" t="s">
        <v>34</v>
      </c>
    </row>
    <row r="2048" spans="2:8" x14ac:dyDescent="0.2">
      <c r="B2048" s="3">
        <v>44607</v>
      </c>
      <c r="G2048" s="2">
        <f t="shared" si="31"/>
        <v>0</v>
      </c>
      <c r="H2048" t="s">
        <v>33</v>
      </c>
    </row>
    <row r="2049" spans="2:8" x14ac:dyDescent="0.2">
      <c r="B2049" s="3">
        <v>44607</v>
      </c>
      <c r="G2049" s="2">
        <f t="shared" si="31"/>
        <v>0</v>
      </c>
      <c r="H2049" t="s">
        <v>9</v>
      </c>
    </row>
    <row r="2050" spans="2:8" x14ac:dyDescent="0.2">
      <c r="B2050" s="3">
        <v>44607</v>
      </c>
      <c r="G2050" s="2">
        <f t="shared" si="31"/>
        <v>0</v>
      </c>
      <c r="H2050" t="s">
        <v>32</v>
      </c>
    </row>
    <row r="2051" spans="2:8" x14ac:dyDescent="0.2">
      <c r="B2051" s="3">
        <v>44607</v>
      </c>
      <c r="G2051" s="2">
        <f t="shared" ref="G2051:G2114" si="32">E2051-F2051</f>
        <v>0</v>
      </c>
      <c r="H2051" s="1"/>
    </row>
    <row r="2052" spans="2:8" x14ac:dyDescent="0.2">
      <c r="B2052" s="3">
        <v>44608</v>
      </c>
      <c r="D2052" s="28"/>
      <c r="G2052" s="2">
        <f t="shared" si="32"/>
        <v>0</v>
      </c>
      <c r="H2052" t="s">
        <v>14</v>
      </c>
    </row>
    <row r="2053" spans="2:8" x14ac:dyDescent="0.2">
      <c r="B2053" s="3">
        <v>44608</v>
      </c>
      <c r="G2053" s="2">
        <f t="shared" si="32"/>
        <v>0</v>
      </c>
      <c r="H2053" t="s">
        <v>27</v>
      </c>
    </row>
    <row r="2054" spans="2:8" x14ac:dyDescent="0.2">
      <c r="B2054" s="3">
        <v>44608</v>
      </c>
      <c r="G2054" s="2">
        <f t="shared" si="32"/>
        <v>0</v>
      </c>
      <c r="H2054" t="s">
        <v>13</v>
      </c>
    </row>
    <row r="2055" spans="2:8" x14ac:dyDescent="0.2">
      <c r="B2055" s="3">
        <v>44608</v>
      </c>
      <c r="G2055" s="2">
        <f t="shared" si="32"/>
        <v>0</v>
      </c>
      <c r="H2055" t="s">
        <v>30</v>
      </c>
    </row>
    <row r="2056" spans="2:8" x14ac:dyDescent="0.2">
      <c r="B2056" s="3">
        <v>44608</v>
      </c>
      <c r="G2056" s="2">
        <f t="shared" si="32"/>
        <v>0</v>
      </c>
      <c r="H2056" t="s">
        <v>35</v>
      </c>
    </row>
    <row r="2057" spans="2:8" x14ac:dyDescent="0.2">
      <c r="B2057" s="3">
        <v>44608</v>
      </c>
      <c r="G2057" s="2">
        <f t="shared" si="32"/>
        <v>0</v>
      </c>
      <c r="H2057" t="s">
        <v>25</v>
      </c>
    </row>
    <row r="2058" spans="2:8" x14ac:dyDescent="0.2">
      <c r="B2058" s="3">
        <v>44608</v>
      </c>
      <c r="G2058" s="2">
        <f t="shared" si="32"/>
        <v>0</v>
      </c>
      <c r="H2058" t="s">
        <v>34</v>
      </c>
    </row>
    <row r="2059" spans="2:8" x14ac:dyDescent="0.2">
      <c r="B2059" s="3">
        <v>44608</v>
      </c>
      <c r="G2059" s="2">
        <f t="shared" si="32"/>
        <v>0</v>
      </c>
      <c r="H2059" t="s">
        <v>33</v>
      </c>
    </row>
    <row r="2060" spans="2:8" x14ac:dyDescent="0.2">
      <c r="B2060" s="3">
        <v>44608</v>
      </c>
      <c r="G2060" s="2">
        <f t="shared" si="32"/>
        <v>0</v>
      </c>
      <c r="H2060" t="s">
        <v>9</v>
      </c>
    </row>
    <row r="2061" spans="2:8" x14ac:dyDescent="0.2">
      <c r="B2061" s="3">
        <v>44608</v>
      </c>
      <c r="G2061" s="2">
        <f t="shared" si="32"/>
        <v>0</v>
      </c>
      <c r="H2061" t="s">
        <v>32</v>
      </c>
    </row>
    <row r="2062" spans="2:8" x14ac:dyDescent="0.2">
      <c r="B2062" s="3">
        <v>44608</v>
      </c>
      <c r="G2062" s="2">
        <f t="shared" si="32"/>
        <v>0</v>
      </c>
      <c r="H2062" s="1"/>
    </row>
    <row r="2063" spans="2:8" x14ac:dyDescent="0.2">
      <c r="B2063" s="3">
        <v>44609</v>
      </c>
      <c r="D2063" s="28">
        <v>6085</v>
      </c>
      <c r="E2063" s="1">
        <v>6511.25</v>
      </c>
      <c r="F2063" s="1">
        <v>7000</v>
      </c>
      <c r="G2063" s="2">
        <f t="shared" si="32"/>
        <v>-488.75</v>
      </c>
      <c r="H2063" t="s">
        <v>14</v>
      </c>
    </row>
    <row r="2064" spans="2:8" x14ac:dyDescent="0.2">
      <c r="B2064" s="3">
        <v>44609</v>
      </c>
      <c r="D2064" s="1">
        <v>2960</v>
      </c>
      <c r="E2064" s="1">
        <v>3168</v>
      </c>
      <c r="F2064" s="1">
        <v>10000</v>
      </c>
      <c r="G2064" s="2">
        <f t="shared" si="32"/>
        <v>-6832</v>
      </c>
      <c r="H2064" t="s">
        <v>27</v>
      </c>
    </row>
    <row r="2065" spans="2:8" x14ac:dyDescent="0.2">
      <c r="B2065" s="3">
        <v>44609</v>
      </c>
      <c r="G2065" s="2">
        <f t="shared" si="32"/>
        <v>0</v>
      </c>
      <c r="H2065" t="s">
        <v>13</v>
      </c>
    </row>
    <row r="2066" spans="2:8" x14ac:dyDescent="0.2">
      <c r="B2066" s="3">
        <v>44609</v>
      </c>
      <c r="D2066" s="1">
        <v>8098.5</v>
      </c>
      <c r="E2066" s="1">
        <v>10090.709999999999</v>
      </c>
      <c r="G2066" s="2">
        <f t="shared" si="32"/>
        <v>10090.709999999999</v>
      </c>
      <c r="H2066" t="s">
        <v>30</v>
      </c>
    </row>
    <row r="2067" spans="2:8" x14ac:dyDescent="0.2">
      <c r="B2067" s="3">
        <v>44609</v>
      </c>
      <c r="G2067" s="2">
        <f t="shared" si="32"/>
        <v>0</v>
      </c>
      <c r="H2067" t="s">
        <v>35</v>
      </c>
    </row>
    <row r="2068" spans="2:8" x14ac:dyDescent="0.2">
      <c r="B2068" s="3">
        <v>44609</v>
      </c>
      <c r="F2068" s="1">
        <v>5000</v>
      </c>
      <c r="G2068" s="2">
        <f t="shared" si="32"/>
        <v>-5000</v>
      </c>
      <c r="H2068" t="s">
        <v>25</v>
      </c>
    </row>
    <row r="2069" spans="2:8" x14ac:dyDescent="0.2">
      <c r="B2069" s="3">
        <v>44609</v>
      </c>
      <c r="G2069" s="2">
        <f t="shared" si="32"/>
        <v>0</v>
      </c>
      <c r="H2069" t="s">
        <v>34</v>
      </c>
    </row>
    <row r="2070" spans="2:8" x14ac:dyDescent="0.2">
      <c r="B2070" s="3">
        <v>44609</v>
      </c>
      <c r="G2070" s="2">
        <f t="shared" si="32"/>
        <v>0</v>
      </c>
      <c r="H2070" t="s">
        <v>33</v>
      </c>
    </row>
    <row r="2071" spans="2:8" x14ac:dyDescent="0.2">
      <c r="B2071" s="3">
        <v>44609</v>
      </c>
      <c r="G2071" s="2">
        <f t="shared" si="32"/>
        <v>0</v>
      </c>
      <c r="H2071" t="s">
        <v>9</v>
      </c>
    </row>
    <row r="2072" spans="2:8" x14ac:dyDescent="0.2">
      <c r="B2072" s="3">
        <v>44609</v>
      </c>
      <c r="G2072" s="2">
        <f t="shared" si="32"/>
        <v>0</v>
      </c>
      <c r="H2072" t="s">
        <v>32</v>
      </c>
    </row>
    <row r="2073" spans="2:8" x14ac:dyDescent="0.2">
      <c r="B2073" s="3">
        <v>44609</v>
      </c>
      <c r="G2073" s="2">
        <f t="shared" si="32"/>
        <v>0</v>
      </c>
      <c r="H2073" s="1"/>
    </row>
    <row r="2074" spans="2:8" x14ac:dyDescent="0.2">
      <c r="B2074" s="3">
        <v>44610</v>
      </c>
      <c r="D2074" s="28"/>
      <c r="G2074" s="2">
        <f t="shared" si="32"/>
        <v>0</v>
      </c>
      <c r="H2074" t="s">
        <v>14</v>
      </c>
    </row>
    <row r="2075" spans="2:8" x14ac:dyDescent="0.2">
      <c r="B2075" s="3">
        <v>44610</v>
      </c>
      <c r="G2075" s="2">
        <f t="shared" si="32"/>
        <v>0</v>
      </c>
      <c r="H2075" t="s">
        <v>27</v>
      </c>
    </row>
    <row r="2076" spans="2:8" x14ac:dyDescent="0.2">
      <c r="B2076" s="3">
        <v>44610</v>
      </c>
      <c r="G2076" s="2">
        <f t="shared" si="32"/>
        <v>0</v>
      </c>
      <c r="H2076" t="s">
        <v>13</v>
      </c>
    </row>
    <row r="2077" spans="2:8" x14ac:dyDescent="0.2">
      <c r="B2077" s="3">
        <v>44610</v>
      </c>
      <c r="G2077" s="2">
        <f t="shared" si="32"/>
        <v>0</v>
      </c>
      <c r="H2077" t="s">
        <v>30</v>
      </c>
    </row>
    <row r="2078" spans="2:8" x14ac:dyDescent="0.2">
      <c r="B2078" s="3">
        <v>44610</v>
      </c>
      <c r="G2078" s="2">
        <f t="shared" si="32"/>
        <v>0</v>
      </c>
      <c r="H2078" t="s">
        <v>35</v>
      </c>
    </row>
    <row r="2079" spans="2:8" x14ac:dyDescent="0.2">
      <c r="B2079" s="3">
        <v>44610</v>
      </c>
      <c r="G2079" s="2">
        <f t="shared" si="32"/>
        <v>0</v>
      </c>
      <c r="H2079" t="s">
        <v>25</v>
      </c>
    </row>
    <row r="2080" spans="2:8" x14ac:dyDescent="0.2">
      <c r="B2080" s="3">
        <v>44610</v>
      </c>
      <c r="G2080" s="2">
        <f t="shared" si="32"/>
        <v>0</v>
      </c>
      <c r="H2080" t="s">
        <v>34</v>
      </c>
    </row>
    <row r="2081" spans="2:8" x14ac:dyDescent="0.2">
      <c r="B2081" s="3">
        <v>44610</v>
      </c>
      <c r="G2081" s="2">
        <f t="shared" si="32"/>
        <v>0</v>
      </c>
      <c r="H2081" t="s">
        <v>33</v>
      </c>
    </row>
    <row r="2082" spans="2:8" x14ac:dyDescent="0.2">
      <c r="B2082" s="3">
        <v>44610</v>
      </c>
      <c r="G2082" s="2">
        <f t="shared" si="32"/>
        <v>0</v>
      </c>
      <c r="H2082" t="s">
        <v>9</v>
      </c>
    </row>
    <row r="2083" spans="2:8" x14ac:dyDescent="0.2">
      <c r="B2083" s="3">
        <v>44610</v>
      </c>
      <c r="G2083" s="2">
        <f t="shared" si="32"/>
        <v>0</v>
      </c>
      <c r="H2083" t="s">
        <v>32</v>
      </c>
    </row>
    <row r="2084" spans="2:8" x14ac:dyDescent="0.2">
      <c r="B2084" s="3">
        <v>44610</v>
      </c>
      <c r="G2084" s="2">
        <f t="shared" si="32"/>
        <v>0</v>
      </c>
      <c r="H2084" s="1"/>
    </row>
    <row r="2085" spans="2:8" x14ac:dyDescent="0.2">
      <c r="B2085" s="3">
        <v>44611</v>
      </c>
      <c r="D2085" s="28"/>
      <c r="G2085" s="2">
        <f t="shared" si="32"/>
        <v>0</v>
      </c>
      <c r="H2085" t="s">
        <v>14</v>
      </c>
    </row>
    <row r="2086" spans="2:8" x14ac:dyDescent="0.2">
      <c r="B2086" s="3">
        <v>44611</v>
      </c>
      <c r="G2086" s="2">
        <f t="shared" si="32"/>
        <v>0</v>
      </c>
      <c r="H2086" t="s">
        <v>27</v>
      </c>
    </row>
    <row r="2087" spans="2:8" x14ac:dyDescent="0.2">
      <c r="B2087" s="3">
        <v>44611</v>
      </c>
      <c r="G2087" s="2">
        <f t="shared" si="32"/>
        <v>0</v>
      </c>
      <c r="H2087" t="s">
        <v>13</v>
      </c>
    </row>
    <row r="2088" spans="2:8" x14ac:dyDescent="0.2">
      <c r="B2088" s="3">
        <v>44611</v>
      </c>
      <c r="G2088" s="2">
        <f t="shared" si="32"/>
        <v>0</v>
      </c>
      <c r="H2088" t="s">
        <v>30</v>
      </c>
    </row>
    <row r="2089" spans="2:8" x14ac:dyDescent="0.2">
      <c r="B2089" s="3">
        <v>44611</v>
      </c>
      <c r="G2089" s="2">
        <f t="shared" si="32"/>
        <v>0</v>
      </c>
      <c r="H2089" t="s">
        <v>35</v>
      </c>
    </row>
    <row r="2090" spans="2:8" x14ac:dyDescent="0.2">
      <c r="B2090" s="3">
        <v>44611</v>
      </c>
      <c r="G2090" s="2">
        <f t="shared" si="32"/>
        <v>0</v>
      </c>
      <c r="H2090" t="s">
        <v>25</v>
      </c>
    </row>
    <row r="2091" spans="2:8" x14ac:dyDescent="0.2">
      <c r="B2091" s="3">
        <v>44611</v>
      </c>
      <c r="G2091" s="2">
        <f t="shared" si="32"/>
        <v>0</v>
      </c>
      <c r="H2091" t="s">
        <v>34</v>
      </c>
    </row>
    <row r="2092" spans="2:8" x14ac:dyDescent="0.2">
      <c r="B2092" s="3">
        <v>44611</v>
      </c>
      <c r="G2092" s="2">
        <f t="shared" si="32"/>
        <v>0</v>
      </c>
      <c r="H2092" t="s">
        <v>33</v>
      </c>
    </row>
    <row r="2093" spans="2:8" x14ac:dyDescent="0.2">
      <c r="B2093" s="3">
        <v>44611</v>
      </c>
      <c r="G2093" s="2">
        <f t="shared" si="32"/>
        <v>0</v>
      </c>
      <c r="H2093" t="s">
        <v>9</v>
      </c>
    </row>
    <row r="2094" spans="2:8" x14ac:dyDescent="0.2">
      <c r="B2094" s="3">
        <v>44611</v>
      </c>
      <c r="G2094" s="2">
        <f t="shared" si="32"/>
        <v>0</v>
      </c>
      <c r="H2094" t="s">
        <v>32</v>
      </c>
    </row>
    <row r="2095" spans="2:8" x14ac:dyDescent="0.2">
      <c r="B2095" s="3">
        <v>44611</v>
      </c>
      <c r="G2095" s="2">
        <f t="shared" si="32"/>
        <v>0</v>
      </c>
      <c r="H2095" s="1"/>
    </row>
    <row r="2096" spans="2:8" x14ac:dyDescent="0.2">
      <c r="B2096" s="3">
        <v>44612</v>
      </c>
      <c r="D2096" s="28"/>
      <c r="G2096" s="2">
        <f t="shared" si="32"/>
        <v>0</v>
      </c>
      <c r="H2096" t="s">
        <v>14</v>
      </c>
    </row>
    <row r="2097" spans="2:8" x14ac:dyDescent="0.2">
      <c r="B2097" s="3">
        <v>44612</v>
      </c>
      <c r="G2097" s="2">
        <f t="shared" si="32"/>
        <v>0</v>
      </c>
      <c r="H2097" t="s">
        <v>27</v>
      </c>
    </row>
    <row r="2098" spans="2:8" x14ac:dyDescent="0.2">
      <c r="B2098" s="3">
        <v>44612</v>
      </c>
      <c r="D2098" s="1">
        <v>3571.25</v>
      </c>
      <c r="E2098" s="1">
        <v>3900</v>
      </c>
      <c r="G2098" s="2">
        <f t="shared" si="32"/>
        <v>3900</v>
      </c>
      <c r="H2098" t="s">
        <v>13</v>
      </c>
    </row>
    <row r="2099" spans="2:8" x14ac:dyDescent="0.2">
      <c r="B2099" s="3">
        <v>44612</v>
      </c>
      <c r="D2099" s="1">
        <v>8953.5</v>
      </c>
      <c r="E2099" s="1">
        <v>11281.44</v>
      </c>
      <c r="G2099" s="2">
        <f t="shared" si="32"/>
        <v>11281.44</v>
      </c>
      <c r="H2099" t="s">
        <v>30</v>
      </c>
    </row>
    <row r="2100" spans="2:8" x14ac:dyDescent="0.2">
      <c r="B2100" s="3">
        <v>44612</v>
      </c>
      <c r="G2100" s="2">
        <f t="shared" si="32"/>
        <v>0</v>
      </c>
      <c r="H2100" t="s">
        <v>35</v>
      </c>
    </row>
    <row r="2101" spans="2:8" x14ac:dyDescent="0.2">
      <c r="B2101" s="3">
        <v>44612</v>
      </c>
      <c r="G2101" s="2">
        <f t="shared" si="32"/>
        <v>0</v>
      </c>
      <c r="H2101" t="s">
        <v>25</v>
      </c>
    </row>
    <row r="2102" spans="2:8" x14ac:dyDescent="0.2">
      <c r="B2102" s="3">
        <v>44612</v>
      </c>
      <c r="D2102" s="1">
        <v>479</v>
      </c>
      <c r="E2102" s="1">
        <v>666</v>
      </c>
      <c r="G2102" s="2">
        <f t="shared" si="32"/>
        <v>666</v>
      </c>
      <c r="H2102" t="s">
        <v>34</v>
      </c>
    </row>
    <row r="2103" spans="2:8" x14ac:dyDescent="0.2">
      <c r="B2103" s="3">
        <v>44612</v>
      </c>
      <c r="G2103" s="2">
        <f t="shared" si="32"/>
        <v>0</v>
      </c>
      <c r="H2103" t="s">
        <v>33</v>
      </c>
    </row>
    <row r="2104" spans="2:8" x14ac:dyDescent="0.2">
      <c r="B2104" s="3">
        <v>44612</v>
      </c>
      <c r="G2104" s="2">
        <f t="shared" si="32"/>
        <v>0</v>
      </c>
      <c r="H2104" t="s">
        <v>9</v>
      </c>
    </row>
    <row r="2105" spans="2:8" x14ac:dyDescent="0.2">
      <c r="B2105" s="3">
        <v>44612</v>
      </c>
      <c r="G2105" s="2">
        <f t="shared" si="32"/>
        <v>0</v>
      </c>
      <c r="H2105" t="s">
        <v>32</v>
      </c>
    </row>
    <row r="2106" spans="2:8" x14ac:dyDescent="0.2">
      <c r="B2106" s="3">
        <v>44612</v>
      </c>
      <c r="G2106" s="2">
        <f t="shared" si="32"/>
        <v>0</v>
      </c>
      <c r="H2106" s="1"/>
    </row>
    <row r="2107" spans="2:8" x14ac:dyDescent="0.2">
      <c r="B2107" s="3">
        <v>44613</v>
      </c>
      <c r="D2107" s="28">
        <v>2050</v>
      </c>
      <c r="E2107" s="1">
        <v>2410</v>
      </c>
      <c r="G2107" s="2">
        <f t="shared" si="32"/>
        <v>2410</v>
      </c>
      <c r="H2107" t="s">
        <v>14</v>
      </c>
    </row>
    <row r="2108" spans="2:8" x14ac:dyDescent="0.2">
      <c r="B2108" s="3">
        <v>44613</v>
      </c>
      <c r="G2108" s="2">
        <f t="shared" si="32"/>
        <v>0</v>
      </c>
      <c r="H2108" t="s">
        <v>27</v>
      </c>
    </row>
    <row r="2109" spans="2:8" x14ac:dyDescent="0.2">
      <c r="B2109" s="3">
        <v>44613</v>
      </c>
      <c r="G2109" s="2">
        <f t="shared" si="32"/>
        <v>0</v>
      </c>
      <c r="H2109" t="s">
        <v>13</v>
      </c>
    </row>
    <row r="2110" spans="2:8" x14ac:dyDescent="0.2">
      <c r="B2110" s="3">
        <v>44613</v>
      </c>
      <c r="G2110" s="2">
        <f t="shared" si="32"/>
        <v>0</v>
      </c>
      <c r="H2110" t="s">
        <v>30</v>
      </c>
    </row>
    <row r="2111" spans="2:8" x14ac:dyDescent="0.2">
      <c r="B2111" s="3">
        <v>44613</v>
      </c>
      <c r="G2111" s="2">
        <f t="shared" si="32"/>
        <v>0</v>
      </c>
      <c r="H2111" t="s">
        <v>35</v>
      </c>
    </row>
    <row r="2112" spans="2:8" x14ac:dyDescent="0.2">
      <c r="B2112" s="3">
        <v>44613</v>
      </c>
      <c r="F2112" s="1">
        <v>1000</v>
      </c>
      <c r="G2112" s="2">
        <f t="shared" si="32"/>
        <v>-1000</v>
      </c>
      <c r="H2112" t="s">
        <v>25</v>
      </c>
    </row>
    <row r="2113" spans="2:8" x14ac:dyDescent="0.2">
      <c r="B2113" s="3">
        <v>44613</v>
      </c>
      <c r="D2113" s="1">
        <v>698</v>
      </c>
      <c r="E2113" s="1">
        <v>800</v>
      </c>
      <c r="G2113" s="2">
        <f t="shared" si="32"/>
        <v>800</v>
      </c>
      <c r="H2113" t="s">
        <v>34</v>
      </c>
    </row>
    <row r="2114" spans="2:8" x14ac:dyDescent="0.2">
      <c r="B2114" s="3">
        <v>44613</v>
      </c>
      <c r="G2114" s="2">
        <f t="shared" si="32"/>
        <v>0</v>
      </c>
      <c r="H2114" t="s">
        <v>33</v>
      </c>
    </row>
    <row r="2115" spans="2:8" x14ac:dyDescent="0.2">
      <c r="B2115" s="3">
        <v>44613</v>
      </c>
      <c r="G2115" s="2">
        <f t="shared" ref="G2115:G2178" si="33">E2115-F2115</f>
        <v>0</v>
      </c>
      <c r="H2115" t="s">
        <v>9</v>
      </c>
    </row>
    <row r="2116" spans="2:8" x14ac:dyDescent="0.2">
      <c r="B2116" s="3">
        <v>44613</v>
      </c>
      <c r="G2116" s="2">
        <f t="shared" si="33"/>
        <v>0</v>
      </c>
      <c r="H2116" t="s">
        <v>32</v>
      </c>
    </row>
    <row r="2117" spans="2:8" x14ac:dyDescent="0.2">
      <c r="B2117" s="3">
        <v>44613</v>
      </c>
      <c r="G2117" s="2">
        <f t="shared" si="33"/>
        <v>0</v>
      </c>
      <c r="H2117" s="1"/>
    </row>
    <row r="2118" spans="2:8" x14ac:dyDescent="0.2">
      <c r="B2118" s="3">
        <v>44614</v>
      </c>
      <c r="D2118" s="28">
        <f>29*40</f>
        <v>1160</v>
      </c>
      <c r="E2118" s="1">
        <v>1320</v>
      </c>
      <c r="G2118" s="2">
        <f t="shared" si="33"/>
        <v>1320</v>
      </c>
      <c r="H2118" t="s">
        <v>14</v>
      </c>
    </row>
    <row r="2119" spans="2:8" x14ac:dyDescent="0.2">
      <c r="B2119" s="3">
        <v>44614</v>
      </c>
      <c r="G2119" s="2">
        <f t="shared" si="33"/>
        <v>0</v>
      </c>
      <c r="H2119" t="s">
        <v>27</v>
      </c>
    </row>
    <row r="2120" spans="2:8" x14ac:dyDescent="0.2">
      <c r="B2120" s="3">
        <v>44614</v>
      </c>
      <c r="G2120" s="2">
        <f t="shared" si="33"/>
        <v>0</v>
      </c>
      <c r="H2120" t="s">
        <v>13</v>
      </c>
    </row>
    <row r="2121" spans="2:8" x14ac:dyDescent="0.2">
      <c r="B2121" s="3">
        <v>44614</v>
      </c>
      <c r="G2121" s="2">
        <f t="shared" si="33"/>
        <v>0</v>
      </c>
      <c r="H2121" t="s">
        <v>30</v>
      </c>
    </row>
    <row r="2122" spans="2:8" x14ac:dyDescent="0.2">
      <c r="B2122" s="3">
        <v>44614</v>
      </c>
      <c r="D2122" s="1">
        <v>546</v>
      </c>
      <c r="E2122" s="1">
        <v>700</v>
      </c>
      <c r="G2122" s="2">
        <f t="shared" si="33"/>
        <v>700</v>
      </c>
      <c r="H2122" t="s">
        <v>35</v>
      </c>
    </row>
    <row r="2123" spans="2:8" x14ac:dyDescent="0.2">
      <c r="B2123" s="3">
        <v>44614</v>
      </c>
      <c r="G2123" s="2">
        <f t="shared" si="33"/>
        <v>0</v>
      </c>
      <c r="H2123" t="s">
        <v>25</v>
      </c>
    </row>
    <row r="2124" spans="2:8" x14ac:dyDescent="0.2">
      <c r="B2124" s="3">
        <v>44614</v>
      </c>
      <c r="F2124" s="1">
        <v>1300</v>
      </c>
      <c r="G2124" s="2">
        <f t="shared" si="33"/>
        <v>-1300</v>
      </c>
      <c r="H2124" t="s">
        <v>34</v>
      </c>
    </row>
    <row r="2125" spans="2:8" x14ac:dyDescent="0.2">
      <c r="B2125" s="3">
        <v>44614</v>
      </c>
      <c r="G2125" s="2">
        <f t="shared" si="33"/>
        <v>0</v>
      </c>
      <c r="H2125" t="s">
        <v>33</v>
      </c>
    </row>
    <row r="2126" spans="2:8" x14ac:dyDescent="0.2">
      <c r="B2126" s="3">
        <v>44614</v>
      </c>
      <c r="G2126" s="2">
        <f t="shared" si="33"/>
        <v>0</v>
      </c>
      <c r="H2126" t="s">
        <v>9</v>
      </c>
    </row>
    <row r="2127" spans="2:8" x14ac:dyDescent="0.2">
      <c r="B2127" s="3">
        <v>44614</v>
      </c>
      <c r="G2127" s="2">
        <f t="shared" si="33"/>
        <v>0</v>
      </c>
      <c r="H2127" t="s">
        <v>32</v>
      </c>
    </row>
    <row r="2128" spans="2:8" x14ac:dyDescent="0.2">
      <c r="B2128" s="3">
        <v>44614</v>
      </c>
      <c r="G2128" s="2">
        <f t="shared" si="33"/>
        <v>0</v>
      </c>
      <c r="H2128" s="1"/>
    </row>
    <row r="2129" spans="2:8" x14ac:dyDescent="0.2">
      <c r="B2129" s="3">
        <v>44615</v>
      </c>
      <c r="D2129" s="28"/>
      <c r="F2129" s="1">
        <v>5000</v>
      </c>
      <c r="G2129" s="2">
        <f t="shared" si="33"/>
        <v>-5000</v>
      </c>
      <c r="H2129" t="s">
        <v>14</v>
      </c>
    </row>
    <row r="2130" spans="2:8" x14ac:dyDescent="0.2">
      <c r="B2130" s="3">
        <v>44615</v>
      </c>
      <c r="G2130" s="2">
        <f t="shared" si="33"/>
        <v>0</v>
      </c>
      <c r="H2130" t="s">
        <v>27</v>
      </c>
    </row>
    <row r="2131" spans="2:8" x14ac:dyDescent="0.2">
      <c r="B2131" s="3">
        <v>44615</v>
      </c>
      <c r="D2131" s="1">
        <v>112.5</v>
      </c>
      <c r="E2131" s="1">
        <v>175</v>
      </c>
      <c r="F2131" s="1">
        <v>5000</v>
      </c>
      <c r="G2131" s="2">
        <f t="shared" si="33"/>
        <v>-4825</v>
      </c>
      <c r="H2131" t="s">
        <v>13</v>
      </c>
    </row>
    <row r="2132" spans="2:8" x14ac:dyDescent="0.2">
      <c r="B2132" s="3">
        <v>44615</v>
      </c>
      <c r="G2132" s="2">
        <f t="shared" si="33"/>
        <v>0</v>
      </c>
      <c r="H2132" t="s">
        <v>30</v>
      </c>
    </row>
    <row r="2133" spans="2:8" x14ac:dyDescent="0.2">
      <c r="B2133" s="3">
        <v>44615</v>
      </c>
      <c r="F2133" s="1">
        <v>700</v>
      </c>
      <c r="G2133" s="2">
        <f t="shared" si="33"/>
        <v>-700</v>
      </c>
      <c r="H2133" t="s">
        <v>35</v>
      </c>
    </row>
    <row r="2134" spans="2:8" x14ac:dyDescent="0.2">
      <c r="B2134" s="3">
        <v>44615</v>
      </c>
      <c r="F2134" s="1">
        <v>4000</v>
      </c>
      <c r="G2134" s="2">
        <f t="shared" si="33"/>
        <v>-4000</v>
      </c>
      <c r="H2134" t="s">
        <v>25</v>
      </c>
    </row>
    <row r="2135" spans="2:8" x14ac:dyDescent="0.2">
      <c r="B2135" s="3">
        <v>44615</v>
      </c>
      <c r="G2135" s="2">
        <f t="shared" si="33"/>
        <v>0</v>
      </c>
      <c r="H2135" t="s">
        <v>34</v>
      </c>
    </row>
    <row r="2136" spans="2:8" x14ac:dyDescent="0.2">
      <c r="B2136" s="3">
        <v>44615</v>
      </c>
      <c r="G2136" s="2">
        <f t="shared" si="33"/>
        <v>0</v>
      </c>
      <c r="H2136" t="s">
        <v>33</v>
      </c>
    </row>
    <row r="2137" spans="2:8" x14ac:dyDescent="0.2">
      <c r="B2137" s="3">
        <v>44615</v>
      </c>
      <c r="G2137" s="2">
        <f t="shared" si="33"/>
        <v>0</v>
      </c>
      <c r="H2137" t="s">
        <v>9</v>
      </c>
    </row>
    <row r="2138" spans="2:8" x14ac:dyDescent="0.2">
      <c r="B2138" s="3">
        <v>44615</v>
      </c>
      <c r="G2138" s="2">
        <f t="shared" si="33"/>
        <v>0</v>
      </c>
      <c r="H2138" t="s">
        <v>32</v>
      </c>
    </row>
    <row r="2139" spans="2:8" x14ac:dyDescent="0.2">
      <c r="B2139" s="3">
        <v>44615</v>
      </c>
      <c r="G2139" s="2">
        <f t="shared" si="33"/>
        <v>0</v>
      </c>
      <c r="H2139" s="1"/>
    </row>
    <row r="2140" spans="2:8" x14ac:dyDescent="0.2">
      <c r="B2140" s="3">
        <v>44616</v>
      </c>
      <c r="D2140" s="28">
        <f>40*16</f>
        <v>640</v>
      </c>
      <c r="E2140" s="1">
        <v>800</v>
      </c>
      <c r="G2140" s="2">
        <f t="shared" si="33"/>
        <v>800</v>
      </c>
      <c r="H2140" t="s">
        <v>14</v>
      </c>
    </row>
    <row r="2141" spans="2:8" x14ac:dyDescent="0.2">
      <c r="B2141" s="3">
        <v>44616</v>
      </c>
      <c r="F2141" s="1">
        <v>5000</v>
      </c>
      <c r="G2141" s="2">
        <f t="shared" si="33"/>
        <v>-5000</v>
      </c>
      <c r="H2141" t="s">
        <v>27</v>
      </c>
    </row>
    <row r="2142" spans="2:8" x14ac:dyDescent="0.2">
      <c r="B2142" s="3">
        <v>44616</v>
      </c>
      <c r="G2142" s="2">
        <f t="shared" si="33"/>
        <v>0</v>
      </c>
      <c r="H2142" t="s">
        <v>13</v>
      </c>
    </row>
    <row r="2143" spans="2:8" x14ac:dyDescent="0.2">
      <c r="B2143" s="3">
        <v>44616</v>
      </c>
      <c r="G2143" s="2">
        <f t="shared" si="33"/>
        <v>0</v>
      </c>
      <c r="H2143" t="s">
        <v>30</v>
      </c>
    </row>
    <row r="2144" spans="2:8" x14ac:dyDescent="0.2">
      <c r="B2144" s="3">
        <v>44616</v>
      </c>
      <c r="G2144" s="2">
        <f t="shared" si="33"/>
        <v>0</v>
      </c>
      <c r="H2144" t="s">
        <v>35</v>
      </c>
    </row>
    <row r="2145" spans="2:8" x14ac:dyDescent="0.2">
      <c r="B2145" s="3">
        <v>44616</v>
      </c>
      <c r="G2145" s="2">
        <f t="shared" si="33"/>
        <v>0</v>
      </c>
      <c r="H2145" t="s">
        <v>25</v>
      </c>
    </row>
    <row r="2146" spans="2:8" x14ac:dyDescent="0.2">
      <c r="B2146" s="3">
        <v>44616</v>
      </c>
      <c r="G2146" s="2">
        <f t="shared" si="33"/>
        <v>0</v>
      </c>
      <c r="H2146" t="s">
        <v>34</v>
      </c>
    </row>
    <row r="2147" spans="2:8" x14ac:dyDescent="0.2">
      <c r="B2147" s="3">
        <v>44616</v>
      </c>
      <c r="G2147" s="2">
        <f t="shared" si="33"/>
        <v>0</v>
      </c>
      <c r="H2147" t="s">
        <v>33</v>
      </c>
    </row>
    <row r="2148" spans="2:8" x14ac:dyDescent="0.2">
      <c r="B2148" s="3">
        <v>44616</v>
      </c>
      <c r="G2148" s="2">
        <f t="shared" si="33"/>
        <v>0</v>
      </c>
      <c r="H2148" t="s">
        <v>9</v>
      </c>
    </row>
    <row r="2149" spans="2:8" x14ac:dyDescent="0.2">
      <c r="B2149" s="3">
        <v>44616</v>
      </c>
      <c r="G2149" s="2">
        <f t="shared" si="33"/>
        <v>0</v>
      </c>
      <c r="H2149" t="s">
        <v>32</v>
      </c>
    </row>
    <row r="2150" spans="2:8" x14ac:dyDescent="0.2">
      <c r="B2150" s="3">
        <v>44616</v>
      </c>
      <c r="G2150" s="2">
        <f t="shared" si="33"/>
        <v>0</v>
      </c>
      <c r="H2150" s="1"/>
    </row>
    <row r="2151" spans="2:8" x14ac:dyDescent="0.2">
      <c r="B2151" s="3">
        <v>44617</v>
      </c>
      <c r="D2151" s="28"/>
      <c r="G2151" s="2">
        <f t="shared" si="33"/>
        <v>0</v>
      </c>
      <c r="H2151" t="s">
        <v>14</v>
      </c>
    </row>
    <row r="2152" spans="2:8" x14ac:dyDescent="0.2">
      <c r="B2152" s="3">
        <v>44617</v>
      </c>
      <c r="G2152" s="2">
        <f t="shared" si="33"/>
        <v>0</v>
      </c>
      <c r="H2152" t="s">
        <v>27</v>
      </c>
    </row>
    <row r="2153" spans="2:8" x14ac:dyDescent="0.2">
      <c r="B2153" s="3">
        <v>44617</v>
      </c>
      <c r="G2153" s="2">
        <f t="shared" si="33"/>
        <v>0</v>
      </c>
      <c r="H2153" t="s">
        <v>13</v>
      </c>
    </row>
    <row r="2154" spans="2:8" x14ac:dyDescent="0.2">
      <c r="B2154" s="3">
        <v>44617</v>
      </c>
      <c r="G2154" s="2">
        <f t="shared" si="33"/>
        <v>0</v>
      </c>
      <c r="H2154" t="s">
        <v>30</v>
      </c>
    </row>
    <row r="2155" spans="2:8" x14ac:dyDescent="0.2">
      <c r="B2155" s="3">
        <v>44617</v>
      </c>
      <c r="G2155" s="2">
        <f t="shared" si="33"/>
        <v>0</v>
      </c>
      <c r="H2155" t="s">
        <v>35</v>
      </c>
    </row>
    <row r="2156" spans="2:8" x14ac:dyDescent="0.2">
      <c r="B2156" s="3">
        <v>44617</v>
      </c>
      <c r="G2156" s="2">
        <f t="shared" si="33"/>
        <v>0</v>
      </c>
      <c r="H2156" t="s">
        <v>25</v>
      </c>
    </row>
    <row r="2157" spans="2:8" x14ac:dyDescent="0.2">
      <c r="B2157" s="3">
        <v>44617</v>
      </c>
      <c r="G2157" s="2">
        <f t="shared" si="33"/>
        <v>0</v>
      </c>
      <c r="H2157" t="s">
        <v>34</v>
      </c>
    </row>
    <row r="2158" spans="2:8" x14ac:dyDescent="0.2">
      <c r="B2158" s="3">
        <v>44617</v>
      </c>
      <c r="G2158" s="2">
        <f t="shared" si="33"/>
        <v>0</v>
      </c>
      <c r="H2158" t="s">
        <v>33</v>
      </c>
    </row>
    <row r="2159" spans="2:8" x14ac:dyDescent="0.2">
      <c r="B2159" s="3">
        <v>44617</v>
      </c>
      <c r="G2159" s="2">
        <f t="shared" si="33"/>
        <v>0</v>
      </c>
      <c r="H2159" t="s">
        <v>9</v>
      </c>
    </row>
    <row r="2160" spans="2:8" x14ac:dyDescent="0.2">
      <c r="B2160" s="3">
        <v>44617</v>
      </c>
      <c r="G2160" s="2">
        <f t="shared" si="33"/>
        <v>0</v>
      </c>
      <c r="H2160" t="s">
        <v>32</v>
      </c>
    </row>
    <row r="2161" spans="2:8" x14ac:dyDescent="0.2">
      <c r="B2161" s="3">
        <v>44617</v>
      </c>
      <c r="G2161" s="2">
        <f t="shared" si="33"/>
        <v>0</v>
      </c>
      <c r="H2161" s="1"/>
    </row>
    <row r="2162" spans="2:8" x14ac:dyDescent="0.2">
      <c r="B2162" s="3">
        <v>44618</v>
      </c>
      <c r="D2162" s="28"/>
      <c r="F2162" s="32">
        <v>1320</v>
      </c>
      <c r="G2162" s="2">
        <f t="shared" si="33"/>
        <v>-1320</v>
      </c>
      <c r="H2162" t="s">
        <v>14</v>
      </c>
    </row>
    <row r="2163" spans="2:8" x14ac:dyDescent="0.2">
      <c r="B2163" s="3">
        <v>44618</v>
      </c>
      <c r="G2163" s="2">
        <f t="shared" si="33"/>
        <v>0</v>
      </c>
      <c r="H2163" t="s">
        <v>27</v>
      </c>
    </row>
    <row r="2164" spans="2:8" x14ac:dyDescent="0.2">
      <c r="B2164" s="3">
        <v>44618</v>
      </c>
      <c r="D2164" s="1">
        <v>3835</v>
      </c>
      <c r="E2164" s="1">
        <v>4270</v>
      </c>
      <c r="G2164" s="2">
        <f t="shared" si="33"/>
        <v>4270</v>
      </c>
      <c r="H2164" t="s">
        <v>13</v>
      </c>
    </row>
    <row r="2165" spans="2:8" x14ac:dyDescent="0.2">
      <c r="B2165" s="3">
        <v>44618</v>
      </c>
      <c r="G2165" s="2">
        <f t="shared" si="33"/>
        <v>0</v>
      </c>
      <c r="H2165" t="s">
        <v>30</v>
      </c>
    </row>
    <row r="2166" spans="2:8" x14ac:dyDescent="0.2">
      <c r="B2166" s="3">
        <v>44618</v>
      </c>
      <c r="G2166" s="2">
        <f t="shared" si="33"/>
        <v>0</v>
      </c>
      <c r="H2166" t="s">
        <v>35</v>
      </c>
    </row>
    <row r="2167" spans="2:8" x14ac:dyDescent="0.2">
      <c r="B2167" s="3">
        <v>44618</v>
      </c>
      <c r="G2167" s="2">
        <f t="shared" si="33"/>
        <v>0</v>
      </c>
      <c r="H2167" t="s">
        <v>25</v>
      </c>
    </row>
    <row r="2168" spans="2:8" x14ac:dyDescent="0.2">
      <c r="B2168" s="3">
        <v>44618</v>
      </c>
      <c r="G2168" s="2">
        <f t="shared" si="33"/>
        <v>0</v>
      </c>
      <c r="H2168" t="s">
        <v>34</v>
      </c>
    </row>
    <row r="2169" spans="2:8" x14ac:dyDescent="0.2">
      <c r="B2169" s="3">
        <v>44618</v>
      </c>
      <c r="G2169" s="2">
        <f t="shared" si="33"/>
        <v>0</v>
      </c>
      <c r="H2169" t="s">
        <v>33</v>
      </c>
    </row>
    <row r="2170" spans="2:8" x14ac:dyDescent="0.2">
      <c r="B2170" s="3">
        <v>44618</v>
      </c>
      <c r="G2170" s="2">
        <f t="shared" si="33"/>
        <v>0</v>
      </c>
      <c r="H2170" t="s">
        <v>9</v>
      </c>
    </row>
    <row r="2171" spans="2:8" x14ac:dyDescent="0.2">
      <c r="B2171" s="3">
        <v>44618</v>
      </c>
      <c r="G2171" s="2">
        <f t="shared" si="33"/>
        <v>0</v>
      </c>
      <c r="H2171" t="s">
        <v>32</v>
      </c>
    </row>
    <row r="2172" spans="2:8" x14ac:dyDescent="0.2">
      <c r="B2172" s="3">
        <v>44618</v>
      </c>
      <c r="G2172" s="2">
        <f t="shared" si="33"/>
        <v>0</v>
      </c>
      <c r="H2172" s="1"/>
    </row>
    <row r="2173" spans="2:8" x14ac:dyDescent="0.2">
      <c r="B2173" s="3">
        <v>44619</v>
      </c>
      <c r="D2173" s="28"/>
      <c r="F2173" s="1">
        <v>5000</v>
      </c>
      <c r="G2173" s="2">
        <f t="shared" si="33"/>
        <v>-5000</v>
      </c>
      <c r="H2173" t="s">
        <v>14</v>
      </c>
    </row>
    <row r="2174" spans="2:8" x14ac:dyDescent="0.2">
      <c r="B2174" s="3">
        <v>44619</v>
      </c>
      <c r="G2174" s="2">
        <f t="shared" si="33"/>
        <v>0</v>
      </c>
      <c r="H2174" t="s">
        <v>27</v>
      </c>
    </row>
    <row r="2175" spans="2:8" x14ac:dyDescent="0.2">
      <c r="B2175" s="3">
        <v>44619</v>
      </c>
      <c r="G2175" s="2">
        <f t="shared" si="33"/>
        <v>0</v>
      </c>
      <c r="H2175" t="s">
        <v>13</v>
      </c>
    </row>
    <row r="2176" spans="2:8" x14ac:dyDescent="0.2">
      <c r="B2176" s="3">
        <v>44619</v>
      </c>
      <c r="G2176" s="2">
        <f t="shared" si="33"/>
        <v>0</v>
      </c>
      <c r="H2176" t="s">
        <v>30</v>
      </c>
    </row>
    <row r="2177" spans="2:8" x14ac:dyDescent="0.2">
      <c r="B2177" s="3">
        <v>44619</v>
      </c>
      <c r="D2177" s="1">
        <v>831.75</v>
      </c>
      <c r="E2177" s="1">
        <v>1022.5</v>
      </c>
      <c r="F2177" s="1">
        <v>1200</v>
      </c>
      <c r="G2177" s="2">
        <f t="shared" si="33"/>
        <v>-177.5</v>
      </c>
      <c r="H2177" t="s">
        <v>35</v>
      </c>
    </row>
    <row r="2178" spans="2:8" x14ac:dyDescent="0.2">
      <c r="B2178" s="3">
        <v>44619</v>
      </c>
      <c r="F2178" s="1">
        <v>2000</v>
      </c>
      <c r="G2178" s="2">
        <f t="shared" si="33"/>
        <v>-2000</v>
      </c>
      <c r="H2178" t="s">
        <v>25</v>
      </c>
    </row>
    <row r="2179" spans="2:8" x14ac:dyDescent="0.2">
      <c r="B2179" s="3">
        <v>44619</v>
      </c>
      <c r="G2179" s="2">
        <f t="shared" ref="G2179:G2242" si="34">E2179-F2179</f>
        <v>0</v>
      </c>
      <c r="H2179" t="s">
        <v>34</v>
      </c>
    </row>
    <row r="2180" spans="2:8" x14ac:dyDescent="0.2">
      <c r="B2180" s="3">
        <v>44619</v>
      </c>
      <c r="G2180" s="2">
        <f t="shared" si="34"/>
        <v>0</v>
      </c>
      <c r="H2180" t="s">
        <v>33</v>
      </c>
    </row>
    <row r="2181" spans="2:8" x14ac:dyDescent="0.2">
      <c r="B2181" s="3">
        <v>44619</v>
      </c>
      <c r="G2181" s="2">
        <f t="shared" si="34"/>
        <v>0</v>
      </c>
      <c r="H2181" t="s">
        <v>9</v>
      </c>
    </row>
    <row r="2182" spans="2:8" x14ac:dyDescent="0.2">
      <c r="B2182" s="3">
        <v>44619</v>
      </c>
      <c r="G2182" s="2">
        <f t="shared" si="34"/>
        <v>0</v>
      </c>
      <c r="H2182" t="s">
        <v>32</v>
      </c>
    </row>
    <row r="2183" spans="2:8" x14ac:dyDescent="0.2">
      <c r="B2183" s="3">
        <v>44619</v>
      </c>
      <c r="G2183" s="2">
        <f t="shared" si="34"/>
        <v>0</v>
      </c>
      <c r="H2183" s="1"/>
    </row>
    <row r="2184" spans="2:8" x14ac:dyDescent="0.2">
      <c r="B2184" s="3">
        <v>44620</v>
      </c>
      <c r="D2184" s="28"/>
      <c r="G2184" s="2">
        <f t="shared" si="34"/>
        <v>0</v>
      </c>
      <c r="H2184" t="s">
        <v>14</v>
      </c>
    </row>
    <row r="2185" spans="2:8" x14ac:dyDescent="0.2">
      <c r="B2185" s="3">
        <v>44620</v>
      </c>
      <c r="F2185" s="1">
        <v>347.83</v>
      </c>
      <c r="G2185" s="2">
        <f t="shared" si="34"/>
        <v>-347.83</v>
      </c>
      <c r="H2185" t="s">
        <v>27</v>
      </c>
    </row>
    <row r="2186" spans="2:8" x14ac:dyDescent="0.2">
      <c r="B2186" s="3">
        <v>44620</v>
      </c>
      <c r="D2186" s="1">
        <v>3050</v>
      </c>
      <c r="E2186" s="1">
        <v>3250</v>
      </c>
      <c r="G2186" s="2">
        <f t="shared" si="34"/>
        <v>3250</v>
      </c>
      <c r="H2186" t="s">
        <v>13</v>
      </c>
    </row>
    <row r="2187" spans="2:8" x14ac:dyDescent="0.2">
      <c r="B2187" s="3">
        <v>44620</v>
      </c>
      <c r="G2187" s="2">
        <f t="shared" si="34"/>
        <v>0</v>
      </c>
      <c r="H2187" t="s">
        <v>30</v>
      </c>
    </row>
    <row r="2188" spans="2:8" x14ac:dyDescent="0.2">
      <c r="B2188" s="3">
        <v>44620</v>
      </c>
      <c r="G2188" s="2">
        <f t="shared" si="34"/>
        <v>0</v>
      </c>
      <c r="H2188" t="s">
        <v>35</v>
      </c>
    </row>
    <row r="2189" spans="2:8" x14ac:dyDescent="0.2">
      <c r="B2189" s="3">
        <v>44620</v>
      </c>
      <c r="G2189" s="2">
        <f t="shared" si="34"/>
        <v>0</v>
      </c>
      <c r="H2189" t="s">
        <v>25</v>
      </c>
    </row>
    <row r="2190" spans="2:8" x14ac:dyDescent="0.2">
      <c r="B2190" s="3">
        <v>44620</v>
      </c>
      <c r="G2190" s="2">
        <f t="shared" si="34"/>
        <v>0</v>
      </c>
      <c r="H2190" t="s">
        <v>34</v>
      </c>
    </row>
    <row r="2191" spans="2:8" x14ac:dyDescent="0.2">
      <c r="B2191" s="3">
        <v>44620</v>
      </c>
      <c r="G2191" s="2">
        <f t="shared" si="34"/>
        <v>0</v>
      </c>
      <c r="H2191" t="s">
        <v>33</v>
      </c>
    </row>
    <row r="2192" spans="2:8" x14ac:dyDescent="0.2">
      <c r="B2192" s="3">
        <v>44620</v>
      </c>
      <c r="D2192" s="1">
        <v>8540</v>
      </c>
      <c r="E2192" s="1">
        <v>9100</v>
      </c>
      <c r="G2192" s="2">
        <f t="shared" si="34"/>
        <v>9100</v>
      </c>
      <c r="H2192" t="s">
        <v>9</v>
      </c>
    </row>
    <row r="2193" spans="2:8" x14ac:dyDescent="0.2">
      <c r="B2193" s="3">
        <v>44620</v>
      </c>
      <c r="G2193" s="2">
        <f t="shared" si="34"/>
        <v>0</v>
      </c>
      <c r="H2193" t="s">
        <v>32</v>
      </c>
    </row>
    <row r="2194" spans="2:8" x14ac:dyDescent="0.2">
      <c r="B2194" s="3">
        <v>44620</v>
      </c>
      <c r="D2194" s="1">
        <v>610</v>
      </c>
      <c r="E2194" s="1">
        <v>650</v>
      </c>
      <c r="F2194" s="1">
        <v>650</v>
      </c>
      <c r="G2194" s="2">
        <f t="shared" si="34"/>
        <v>0</v>
      </c>
      <c r="H2194" s="1" t="s">
        <v>78</v>
      </c>
    </row>
    <row r="2195" spans="2:8" x14ac:dyDescent="0.2">
      <c r="B2195" s="3">
        <v>44621</v>
      </c>
      <c r="D2195" s="28"/>
      <c r="G2195" s="2">
        <f t="shared" si="34"/>
        <v>0</v>
      </c>
      <c r="H2195" t="s">
        <v>14</v>
      </c>
    </row>
    <row r="2196" spans="2:8" x14ac:dyDescent="0.2">
      <c r="B2196" s="3">
        <v>44621</v>
      </c>
      <c r="G2196" s="2">
        <f t="shared" si="34"/>
        <v>0</v>
      </c>
      <c r="H2196" t="s">
        <v>27</v>
      </c>
    </row>
    <row r="2197" spans="2:8" x14ac:dyDescent="0.2">
      <c r="B2197" s="3">
        <v>44621</v>
      </c>
      <c r="G2197" s="2">
        <f t="shared" si="34"/>
        <v>0</v>
      </c>
      <c r="H2197" t="s">
        <v>13</v>
      </c>
    </row>
    <row r="2198" spans="2:8" x14ac:dyDescent="0.2">
      <c r="B2198" s="3">
        <v>44621</v>
      </c>
      <c r="G2198" s="2">
        <f t="shared" si="34"/>
        <v>0</v>
      </c>
      <c r="H2198" t="s">
        <v>30</v>
      </c>
    </row>
    <row r="2199" spans="2:8" x14ac:dyDescent="0.2">
      <c r="B2199" s="3">
        <v>44621</v>
      </c>
      <c r="G2199" s="2">
        <f t="shared" si="34"/>
        <v>0</v>
      </c>
      <c r="H2199" t="s">
        <v>35</v>
      </c>
    </row>
    <row r="2200" spans="2:8" x14ac:dyDescent="0.2">
      <c r="B2200" s="3">
        <v>44621</v>
      </c>
      <c r="F2200" s="1">
        <v>4000</v>
      </c>
      <c r="G2200" s="2">
        <f t="shared" si="34"/>
        <v>-4000</v>
      </c>
      <c r="H2200" t="s">
        <v>25</v>
      </c>
    </row>
    <row r="2201" spans="2:8" x14ac:dyDescent="0.2">
      <c r="B2201" s="3">
        <v>44621</v>
      </c>
      <c r="D2201" s="1">
        <v>1948</v>
      </c>
      <c r="E2201" s="1">
        <v>2150</v>
      </c>
      <c r="G2201" s="2">
        <f t="shared" si="34"/>
        <v>2150</v>
      </c>
      <c r="H2201" t="s">
        <v>34</v>
      </c>
    </row>
    <row r="2202" spans="2:8" x14ac:dyDescent="0.2">
      <c r="B2202" s="3">
        <v>44621</v>
      </c>
      <c r="G2202" s="2">
        <f t="shared" si="34"/>
        <v>0</v>
      </c>
      <c r="H2202" t="s">
        <v>33</v>
      </c>
    </row>
    <row r="2203" spans="2:8" x14ac:dyDescent="0.2">
      <c r="B2203" s="3">
        <v>44621</v>
      </c>
      <c r="G2203" s="2">
        <f t="shared" si="34"/>
        <v>0</v>
      </c>
      <c r="H2203" t="s">
        <v>9</v>
      </c>
    </row>
    <row r="2204" spans="2:8" x14ac:dyDescent="0.2">
      <c r="B2204" s="3">
        <v>44621</v>
      </c>
      <c r="G2204" s="2">
        <f t="shared" si="34"/>
        <v>0</v>
      </c>
      <c r="H2204" t="s">
        <v>32</v>
      </c>
    </row>
    <row r="2205" spans="2:8" x14ac:dyDescent="0.2">
      <c r="B2205" s="3">
        <v>44621</v>
      </c>
      <c r="G2205" s="2">
        <f t="shared" si="34"/>
        <v>0</v>
      </c>
      <c r="H2205" s="1"/>
    </row>
    <row r="2206" spans="2:8" x14ac:dyDescent="0.2">
      <c r="B2206" s="3">
        <v>44622</v>
      </c>
      <c r="D2206" s="28">
        <v>9495</v>
      </c>
      <c r="E2206" s="1">
        <v>10018</v>
      </c>
      <c r="G2206" s="2">
        <f t="shared" si="34"/>
        <v>10018</v>
      </c>
      <c r="H2206" t="s">
        <v>14</v>
      </c>
    </row>
    <row r="2207" spans="2:8" x14ac:dyDescent="0.2">
      <c r="B2207" s="3">
        <v>44622</v>
      </c>
      <c r="G2207" s="2">
        <f t="shared" si="34"/>
        <v>0</v>
      </c>
      <c r="H2207" t="s">
        <v>27</v>
      </c>
    </row>
    <row r="2208" spans="2:8" x14ac:dyDescent="0.2">
      <c r="B2208" s="3">
        <v>44622</v>
      </c>
      <c r="G2208" s="2">
        <f t="shared" si="34"/>
        <v>0</v>
      </c>
      <c r="H2208" t="s">
        <v>13</v>
      </c>
    </row>
    <row r="2209" spans="2:8" x14ac:dyDescent="0.2">
      <c r="B2209" s="3">
        <v>44622</v>
      </c>
      <c r="G2209" s="2">
        <f t="shared" si="34"/>
        <v>0</v>
      </c>
      <c r="H2209" t="s">
        <v>30</v>
      </c>
    </row>
    <row r="2210" spans="2:8" x14ac:dyDescent="0.2">
      <c r="B2210" s="3">
        <v>44622</v>
      </c>
      <c r="D2210" s="1">
        <v>200</v>
      </c>
      <c r="E2210" s="1">
        <v>280</v>
      </c>
      <c r="G2210" s="2">
        <f t="shared" si="34"/>
        <v>280</v>
      </c>
      <c r="H2210" t="s">
        <v>35</v>
      </c>
    </row>
    <row r="2211" spans="2:8" x14ac:dyDescent="0.2">
      <c r="B2211" s="3">
        <v>44622</v>
      </c>
      <c r="G2211" s="2">
        <f t="shared" si="34"/>
        <v>0</v>
      </c>
      <c r="H2211" t="s">
        <v>25</v>
      </c>
    </row>
    <row r="2212" spans="2:8" x14ac:dyDescent="0.2">
      <c r="B2212" s="3">
        <v>44622</v>
      </c>
      <c r="G2212" s="2">
        <f t="shared" si="34"/>
        <v>0</v>
      </c>
      <c r="H2212" t="s">
        <v>34</v>
      </c>
    </row>
    <row r="2213" spans="2:8" x14ac:dyDescent="0.2">
      <c r="B2213" s="3">
        <v>44622</v>
      </c>
      <c r="G2213" s="2">
        <f t="shared" si="34"/>
        <v>0</v>
      </c>
      <c r="H2213" t="s">
        <v>33</v>
      </c>
    </row>
    <row r="2214" spans="2:8" x14ac:dyDescent="0.2">
      <c r="B2214" s="3">
        <v>44622</v>
      </c>
      <c r="G2214" s="2">
        <f t="shared" si="34"/>
        <v>0</v>
      </c>
      <c r="H2214" t="s">
        <v>9</v>
      </c>
    </row>
    <row r="2215" spans="2:8" x14ac:dyDescent="0.2">
      <c r="B2215" s="3">
        <v>44622</v>
      </c>
      <c r="G2215" s="2">
        <f t="shared" si="34"/>
        <v>0</v>
      </c>
      <c r="H2215" t="s">
        <v>32</v>
      </c>
    </row>
    <row r="2216" spans="2:8" x14ac:dyDescent="0.2">
      <c r="B2216" s="3">
        <v>44622</v>
      </c>
      <c r="G2216" s="2">
        <f t="shared" si="34"/>
        <v>0</v>
      </c>
      <c r="H2216" s="1"/>
    </row>
    <row r="2217" spans="2:8" x14ac:dyDescent="0.2">
      <c r="B2217" s="3">
        <v>44623</v>
      </c>
      <c r="D2217" s="28"/>
      <c r="G2217" s="2">
        <f t="shared" si="34"/>
        <v>0</v>
      </c>
      <c r="H2217" t="s">
        <v>14</v>
      </c>
    </row>
    <row r="2218" spans="2:8" x14ac:dyDescent="0.2">
      <c r="B2218" s="3">
        <v>44623</v>
      </c>
      <c r="F2218" s="1">
        <v>5000</v>
      </c>
      <c r="G2218" s="2">
        <f t="shared" si="34"/>
        <v>-5000</v>
      </c>
      <c r="H2218" t="s">
        <v>27</v>
      </c>
    </row>
    <row r="2219" spans="2:8" x14ac:dyDescent="0.2">
      <c r="B2219" s="3">
        <v>44623</v>
      </c>
      <c r="F2219" s="1">
        <v>3000</v>
      </c>
      <c r="G2219" s="2">
        <f t="shared" si="34"/>
        <v>-3000</v>
      </c>
      <c r="H2219" t="s">
        <v>13</v>
      </c>
    </row>
    <row r="2220" spans="2:8" x14ac:dyDescent="0.2">
      <c r="B2220" s="3">
        <v>44623</v>
      </c>
      <c r="G2220" s="2">
        <f t="shared" si="34"/>
        <v>0</v>
      </c>
      <c r="H2220" t="s">
        <v>30</v>
      </c>
    </row>
    <row r="2221" spans="2:8" x14ac:dyDescent="0.2">
      <c r="B2221" s="3">
        <v>44623</v>
      </c>
      <c r="D2221" s="1">
        <v>1546.5</v>
      </c>
      <c r="E2221" s="1">
        <v>1857.5</v>
      </c>
      <c r="F2221" s="1">
        <v>5000</v>
      </c>
      <c r="G2221" s="2">
        <f t="shared" si="34"/>
        <v>-3142.5</v>
      </c>
      <c r="H2221" t="s">
        <v>35</v>
      </c>
    </row>
    <row r="2222" spans="2:8" x14ac:dyDescent="0.2">
      <c r="B2222" s="3">
        <v>44623</v>
      </c>
      <c r="G2222" s="2">
        <f t="shared" si="34"/>
        <v>0</v>
      </c>
      <c r="H2222" t="s">
        <v>25</v>
      </c>
    </row>
    <row r="2223" spans="2:8" x14ac:dyDescent="0.2">
      <c r="B2223" s="3">
        <v>44623</v>
      </c>
      <c r="F2223" s="1">
        <v>2000</v>
      </c>
      <c r="G2223" s="2">
        <f t="shared" si="34"/>
        <v>-2000</v>
      </c>
      <c r="H2223" t="s">
        <v>34</v>
      </c>
    </row>
    <row r="2224" spans="2:8" x14ac:dyDescent="0.2">
      <c r="B2224" s="3">
        <v>44623</v>
      </c>
      <c r="G2224" s="2">
        <f t="shared" si="34"/>
        <v>0</v>
      </c>
      <c r="H2224" t="s">
        <v>33</v>
      </c>
    </row>
    <row r="2225" spans="2:8" x14ac:dyDescent="0.2">
      <c r="B2225" s="3">
        <v>44623</v>
      </c>
      <c r="G2225" s="2">
        <f t="shared" si="34"/>
        <v>0</v>
      </c>
      <c r="H2225" t="s">
        <v>9</v>
      </c>
    </row>
    <row r="2226" spans="2:8" x14ac:dyDescent="0.2">
      <c r="B2226" s="3">
        <v>44623</v>
      </c>
      <c r="G2226" s="2">
        <f t="shared" si="34"/>
        <v>0</v>
      </c>
      <c r="H2226" t="s">
        <v>32</v>
      </c>
    </row>
    <row r="2227" spans="2:8" x14ac:dyDescent="0.2">
      <c r="B2227" s="3">
        <v>44623</v>
      </c>
      <c r="G2227" s="2">
        <f t="shared" si="34"/>
        <v>0</v>
      </c>
      <c r="H2227" s="1"/>
    </row>
    <row r="2228" spans="2:8" x14ac:dyDescent="0.2">
      <c r="B2228" s="3">
        <v>44624</v>
      </c>
      <c r="D2228" s="28"/>
      <c r="G2228" s="2">
        <f t="shared" si="34"/>
        <v>0</v>
      </c>
      <c r="H2228" t="s">
        <v>14</v>
      </c>
    </row>
    <row r="2229" spans="2:8" x14ac:dyDescent="0.2">
      <c r="B2229" s="3">
        <v>44624</v>
      </c>
      <c r="G2229" s="2">
        <f t="shared" si="34"/>
        <v>0</v>
      </c>
      <c r="H2229" t="s">
        <v>27</v>
      </c>
    </row>
    <row r="2230" spans="2:8" x14ac:dyDescent="0.2">
      <c r="B2230" s="3">
        <v>44624</v>
      </c>
      <c r="G2230" s="2">
        <f t="shared" si="34"/>
        <v>0</v>
      </c>
      <c r="H2230" t="s">
        <v>13</v>
      </c>
    </row>
    <row r="2231" spans="2:8" x14ac:dyDescent="0.2">
      <c r="B2231" s="3">
        <v>44624</v>
      </c>
      <c r="G2231" s="2">
        <f t="shared" si="34"/>
        <v>0</v>
      </c>
      <c r="H2231" t="s">
        <v>30</v>
      </c>
    </row>
    <row r="2232" spans="2:8" x14ac:dyDescent="0.2">
      <c r="B2232" s="3">
        <v>44624</v>
      </c>
      <c r="G2232" s="2">
        <f t="shared" si="34"/>
        <v>0</v>
      </c>
      <c r="H2232" t="s">
        <v>35</v>
      </c>
    </row>
    <row r="2233" spans="2:8" x14ac:dyDescent="0.2">
      <c r="B2233" s="3">
        <v>44624</v>
      </c>
      <c r="G2233" s="2">
        <f t="shared" si="34"/>
        <v>0</v>
      </c>
      <c r="H2233" t="s">
        <v>25</v>
      </c>
    </row>
    <row r="2234" spans="2:8" x14ac:dyDescent="0.2">
      <c r="B2234" s="3">
        <v>44624</v>
      </c>
      <c r="G2234" s="2">
        <f t="shared" si="34"/>
        <v>0</v>
      </c>
      <c r="H2234" t="s">
        <v>34</v>
      </c>
    </row>
    <row r="2235" spans="2:8" x14ac:dyDescent="0.2">
      <c r="B2235" s="3">
        <v>44624</v>
      </c>
      <c r="G2235" s="2">
        <f t="shared" si="34"/>
        <v>0</v>
      </c>
      <c r="H2235" t="s">
        <v>33</v>
      </c>
    </row>
    <row r="2236" spans="2:8" x14ac:dyDescent="0.2">
      <c r="B2236" s="3">
        <v>44624</v>
      </c>
      <c r="G2236" s="2">
        <f t="shared" si="34"/>
        <v>0</v>
      </c>
      <c r="H2236" t="s">
        <v>9</v>
      </c>
    </row>
    <row r="2237" spans="2:8" x14ac:dyDescent="0.2">
      <c r="B2237" s="3">
        <v>44624</v>
      </c>
      <c r="G2237" s="2">
        <f t="shared" si="34"/>
        <v>0</v>
      </c>
      <c r="H2237" t="s">
        <v>32</v>
      </c>
    </row>
    <row r="2238" spans="2:8" x14ac:dyDescent="0.2">
      <c r="B2238" s="3">
        <v>44624</v>
      </c>
      <c r="G2238" s="2">
        <f t="shared" si="34"/>
        <v>0</v>
      </c>
      <c r="H2238" s="1"/>
    </row>
    <row r="2239" spans="2:8" x14ac:dyDescent="0.2">
      <c r="B2239" s="3">
        <v>44625</v>
      </c>
      <c r="D2239" s="28">
        <f>21*350</f>
        <v>7350</v>
      </c>
      <c r="E2239" s="1">
        <v>8050</v>
      </c>
      <c r="G2239" s="2">
        <f t="shared" si="34"/>
        <v>8050</v>
      </c>
      <c r="H2239" t="s">
        <v>14</v>
      </c>
    </row>
    <row r="2240" spans="2:8" x14ac:dyDescent="0.2">
      <c r="B2240" s="3">
        <v>44625</v>
      </c>
      <c r="G2240" s="2">
        <f t="shared" si="34"/>
        <v>0</v>
      </c>
      <c r="H2240" t="s">
        <v>27</v>
      </c>
    </row>
    <row r="2241" spans="2:8" x14ac:dyDescent="0.2">
      <c r="B2241" s="3">
        <v>44625</v>
      </c>
      <c r="G2241" s="2">
        <f t="shared" si="34"/>
        <v>0</v>
      </c>
      <c r="H2241" t="s">
        <v>13</v>
      </c>
    </row>
    <row r="2242" spans="2:8" x14ac:dyDescent="0.2">
      <c r="B2242" s="3">
        <v>44625</v>
      </c>
      <c r="G2242" s="2">
        <f t="shared" si="34"/>
        <v>0</v>
      </c>
      <c r="H2242" t="s">
        <v>30</v>
      </c>
    </row>
    <row r="2243" spans="2:8" x14ac:dyDescent="0.2">
      <c r="B2243" s="3">
        <v>44625</v>
      </c>
      <c r="G2243" s="2">
        <f t="shared" ref="G2243:G2306" si="35">E2243-F2243</f>
        <v>0</v>
      </c>
      <c r="H2243" t="s">
        <v>35</v>
      </c>
    </row>
    <row r="2244" spans="2:8" x14ac:dyDescent="0.2">
      <c r="B2244" s="3">
        <v>44625</v>
      </c>
      <c r="G2244" s="2">
        <f t="shared" si="35"/>
        <v>0</v>
      </c>
      <c r="H2244" t="s">
        <v>25</v>
      </c>
    </row>
    <row r="2245" spans="2:8" x14ac:dyDescent="0.2">
      <c r="B2245" s="3">
        <v>44625</v>
      </c>
      <c r="D2245" s="1">
        <v>703</v>
      </c>
      <c r="E2245" s="1">
        <v>760</v>
      </c>
      <c r="G2245" s="2">
        <f t="shared" si="35"/>
        <v>760</v>
      </c>
      <c r="H2245" t="s">
        <v>34</v>
      </c>
    </row>
    <row r="2246" spans="2:8" x14ac:dyDescent="0.2">
      <c r="B2246" s="3">
        <v>44625</v>
      </c>
      <c r="G2246" s="2">
        <f t="shared" si="35"/>
        <v>0</v>
      </c>
      <c r="H2246" t="s">
        <v>33</v>
      </c>
    </row>
    <row r="2247" spans="2:8" x14ac:dyDescent="0.2">
      <c r="B2247" s="3">
        <v>44625</v>
      </c>
      <c r="G2247" s="2">
        <f t="shared" si="35"/>
        <v>0</v>
      </c>
      <c r="H2247" t="s">
        <v>9</v>
      </c>
    </row>
    <row r="2248" spans="2:8" x14ac:dyDescent="0.2">
      <c r="B2248" s="3">
        <v>44625</v>
      </c>
      <c r="G2248" s="2">
        <f t="shared" si="35"/>
        <v>0</v>
      </c>
      <c r="H2248" t="s">
        <v>32</v>
      </c>
    </row>
    <row r="2249" spans="2:8" x14ac:dyDescent="0.2">
      <c r="B2249" s="3">
        <v>44625</v>
      </c>
      <c r="G2249" s="2">
        <f t="shared" si="35"/>
        <v>0</v>
      </c>
      <c r="H2249" s="1"/>
    </row>
    <row r="2250" spans="2:8" x14ac:dyDescent="0.2">
      <c r="B2250" s="3">
        <v>44626</v>
      </c>
      <c r="D2250" s="28">
        <v>9718.5</v>
      </c>
      <c r="E2250" s="1">
        <v>10305.799999999999</v>
      </c>
      <c r="G2250" s="2">
        <f t="shared" si="35"/>
        <v>10305.799999999999</v>
      </c>
      <c r="H2250" t="s">
        <v>14</v>
      </c>
    </row>
    <row r="2251" spans="2:8" x14ac:dyDescent="0.2">
      <c r="B2251" s="3">
        <v>44626</v>
      </c>
      <c r="G2251" s="2">
        <f t="shared" si="35"/>
        <v>0</v>
      </c>
      <c r="H2251" t="s">
        <v>27</v>
      </c>
    </row>
    <row r="2252" spans="2:8" x14ac:dyDescent="0.2">
      <c r="B2252" s="3">
        <v>44626</v>
      </c>
      <c r="G2252" s="2">
        <f t="shared" si="35"/>
        <v>0</v>
      </c>
      <c r="H2252" t="s">
        <v>13</v>
      </c>
    </row>
    <row r="2253" spans="2:8" x14ac:dyDescent="0.2">
      <c r="B2253" s="3">
        <v>44626</v>
      </c>
      <c r="G2253" s="2">
        <f t="shared" si="35"/>
        <v>0</v>
      </c>
      <c r="H2253" t="s">
        <v>30</v>
      </c>
    </row>
    <row r="2254" spans="2:8" x14ac:dyDescent="0.2">
      <c r="B2254" s="3">
        <v>44626</v>
      </c>
      <c r="G2254" s="2">
        <f t="shared" si="35"/>
        <v>0</v>
      </c>
      <c r="H2254" t="s">
        <v>35</v>
      </c>
    </row>
    <row r="2255" spans="2:8" x14ac:dyDescent="0.2">
      <c r="B2255" s="3">
        <v>44626</v>
      </c>
      <c r="G2255" s="2">
        <f t="shared" si="35"/>
        <v>0</v>
      </c>
      <c r="H2255" t="s">
        <v>25</v>
      </c>
    </row>
    <row r="2256" spans="2:8" x14ac:dyDescent="0.2">
      <c r="B2256" s="3">
        <v>44626</v>
      </c>
      <c r="G2256" s="2">
        <f t="shared" si="35"/>
        <v>0</v>
      </c>
      <c r="H2256" t="s">
        <v>34</v>
      </c>
    </row>
    <row r="2257" spans="2:8" x14ac:dyDescent="0.2">
      <c r="B2257" s="3">
        <v>44626</v>
      </c>
      <c r="G2257" s="2">
        <f t="shared" si="35"/>
        <v>0</v>
      </c>
      <c r="H2257" t="s">
        <v>33</v>
      </c>
    </row>
    <row r="2258" spans="2:8" x14ac:dyDescent="0.2">
      <c r="B2258" s="3">
        <v>44626</v>
      </c>
      <c r="G2258" s="2">
        <f t="shared" si="35"/>
        <v>0</v>
      </c>
      <c r="H2258" t="s">
        <v>9</v>
      </c>
    </row>
    <row r="2259" spans="2:8" x14ac:dyDescent="0.2">
      <c r="B2259" s="3">
        <v>44626</v>
      </c>
      <c r="G2259" s="2">
        <f t="shared" si="35"/>
        <v>0</v>
      </c>
      <c r="H2259" t="s">
        <v>32</v>
      </c>
    </row>
    <row r="2260" spans="2:8" x14ac:dyDescent="0.2">
      <c r="B2260" s="3">
        <v>44626</v>
      </c>
      <c r="G2260" s="2">
        <f t="shared" si="35"/>
        <v>0</v>
      </c>
      <c r="H2260" s="1"/>
    </row>
    <row r="2261" spans="2:8" x14ac:dyDescent="0.2">
      <c r="B2261" s="3">
        <v>44627</v>
      </c>
      <c r="D2261" s="28"/>
      <c r="F2261" s="1">
        <v>7000</v>
      </c>
      <c r="G2261" s="2">
        <f t="shared" si="35"/>
        <v>-7000</v>
      </c>
      <c r="H2261" t="s">
        <v>14</v>
      </c>
    </row>
    <row r="2262" spans="2:8" x14ac:dyDescent="0.2">
      <c r="B2262" s="3">
        <v>44627</v>
      </c>
      <c r="G2262" s="2">
        <f t="shared" si="35"/>
        <v>0</v>
      </c>
      <c r="H2262" t="s">
        <v>27</v>
      </c>
    </row>
    <row r="2263" spans="2:8" x14ac:dyDescent="0.2">
      <c r="B2263" s="3">
        <v>44627</v>
      </c>
      <c r="G2263" s="2">
        <f t="shared" si="35"/>
        <v>0</v>
      </c>
      <c r="H2263" t="s">
        <v>13</v>
      </c>
    </row>
    <row r="2264" spans="2:8" x14ac:dyDescent="0.2">
      <c r="B2264" s="3">
        <v>44627</v>
      </c>
      <c r="F2264" s="1">
        <v>35000</v>
      </c>
      <c r="G2264" s="2">
        <f t="shared" si="35"/>
        <v>-35000</v>
      </c>
      <c r="H2264" t="s">
        <v>30</v>
      </c>
    </row>
    <row r="2265" spans="2:8" x14ac:dyDescent="0.2">
      <c r="B2265" s="3">
        <v>44627</v>
      </c>
      <c r="F2265" s="1">
        <v>1860</v>
      </c>
      <c r="G2265" s="2">
        <f t="shared" si="35"/>
        <v>-1860</v>
      </c>
      <c r="H2265" t="s">
        <v>35</v>
      </c>
    </row>
    <row r="2266" spans="2:8" x14ac:dyDescent="0.2">
      <c r="B2266" s="3">
        <v>44627</v>
      </c>
      <c r="G2266" s="2">
        <f t="shared" si="35"/>
        <v>0</v>
      </c>
      <c r="H2266" t="s">
        <v>25</v>
      </c>
    </row>
    <row r="2267" spans="2:8" x14ac:dyDescent="0.2">
      <c r="B2267" s="3">
        <v>44627</v>
      </c>
      <c r="G2267" s="2">
        <f t="shared" si="35"/>
        <v>0</v>
      </c>
      <c r="H2267" t="s">
        <v>34</v>
      </c>
    </row>
    <row r="2268" spans="2:8" x14ac:dyDescent="0.2">
      <c r="B2268" s="3">
        <v>44627</v>
      </c>
      <c r="G2268" s="2">
        <f t="shared" si="35"/>
        <v>0</v>
      </c>
      <c r="H2268" t="s">
        <v>33</v>
      </c>
    </row>
    <row r="2269" spans="2:8" x14ac:dyDescent="0.2">
      <c r="B2269" s="3">
        <v>44627</v>
      </c>
      <c r="G2269" s="2">
        <f t="shared" si="35"/>
        <v>0</v>
      </c>
      <c r="H2269" t="s">
        <v>9</v>
      </c>
    </row>
    <row r="2270" spans="2:8" x14ac:dyDescent="0.2">
      <c r="B2270" s="3">
        <v>44627</v>
      </c>
      <c r="G2270" s="2">
        <f t="shared" si="35"/>
        <v>0</v>
      </c>
      <c r="H2270" t="s">
        <v>32</v>
      </c>
    </row>
    <row r="2271" spans="2:8" x14ac:dyDescent="0.2">
      <c r="B2271" s="3">
        <v>44627</v>
      </c>
      <c r="G2271" s="2">
        <f t="shared" si="35"/>
        <v>0</v>
      </c>
      <c r="H2271" s="1"/>
    </row>
    <row r="2272" spans="2:8" x14ac:dyDescent="0.2">
      <c r="B2272" s="3">
        <v>44628</v>
      </c>
      <c r="D2272" s="28"/>
      <c r="G2272" s="2">
        <f t="shared" si="35"/>
        <v>0</v>
      </c>
      <c r="H2272" t="s">
        <v>14</v>
      </c>
    </row>
    <row r="2273" spans="2:8" x14ac:dyDescent="0.2">
      <c r="B2273" s="3">
        <v>44628</v>
      </c>
      <c r="G2273" s="2">
        <f t="shared" si="35"/>
        <v>0</v>
      </c>
      <c r="H2273" t="s">
        <v>27</v>
      </c>
    </row>
    <row r="2274" spans="2:8" x14ac:dyDescent="0.2">
      <c r="B2274" s="3">
        <v>44628</v>
      </c>
      <c r="G2274" s="2">
        <f t="shared" si="35"/>
        <v>0</v>
      </c>
      <c r="H2274" t="s">
        <v>13</v>
      </c>
    </row>
    <row r="2275" spans="2:8" x14ac:dyDescent="0.2">
      <c r="B2275" s="3">
        <v>44628</v>
      </c>
      <c r="G2275" s="2">
        <f t="shared" si="35"/>
        <v>0</v>
      </c>
      <c r="H2275" t="s">
        <v>30</v>
      </c>
    </row>
    <row r="2276" spans="2:8" x14ac:dyDescent="0.2">
      <c r="B2276" s="3">
        <v>44628</v>
      </c>
      <c r="G2276" s="2">
        <f t="shared" si="35"/>
        <v>0</v>
      </c>
      <c r="H2276" t="s">
        <v>35</v>
      </c>
    </row>
    <row r="2277" spans="2:8" x14ac:dyDescent="0.2">
      <c r="B2277" s="3">
        <v>44628</v>
      </c>
      <c r="G2277" s="2">
        <f t="shared" si="35"/>
        <v>0</v>
      </c>
      <c r="H2277" t="s">
        <v>25</v>
      </c>
    </row>
    <row r="2278" spans="2:8" x14ac:dyDescent="0.2">
      <c r="B2278" s="3">
        <v>44628</v>
      </c>
      <c r="G2278" s="2">
        <f t="shared" si="35"/>
        <v>0</v>
      </c>
      <c r="H2278" t="s">
        <v>34</v>
      </c>
    </row>
    <row r="2279" spans="2:8" x14ac:dyDescent="0.2">
      <c r="B2279" s="3">
        <v>44628</v>
      </c>
      <c r="G2279" s="2">
        <f t="shared" si="35"/>
        <v>0</v>
      </c>
      <c r="H2279" t="s">
        <v>33</v>
      </c>
    </row>
    <row r="2280" spans="2:8" x14ac:dyDescent="0.2">
      <c r="B2280" s="3">
        <v>44628</v>
      </c>
      <c r="G2280" s="2">
        <f t="shared" si="35"/>
        <v>0</v>
      </c>
      <c r="H2280" t="s">
        <v>9</v>
      </c>
    </row>
    <row r="2281" spans="2:8" x14ac:dyDescent="0.2">
      <c r="B2281" s="3">
        <v>44628</v>
      </c>
      <c r="G2281" s="2">
        <f t="shared" si="35"/>
        <v>0</v>
      </c>
      <c r="H2281" t="s">
        <v>32</v>
      </c>
    </row>
    <row r="2282" spans="2:8" x14ac:dyDescent="0.2">
      <c r="B2282" s="3">
        <v>44628</v>
      </c>
      <c r="G2282" s="2">
        <f t="shared" si="35"/>
        <v>0</v>
      </c>
      <c r="H2282" s="1"/>
    </row>
    <row r="2283" spans="2:8" x14ac:dyDescent="0.2">
      <c r="B2283" s="3">
        <v>44629</v>
      </c>
      <c r="D2283" s="28">
        <v>27500</v>
      </c>
      <c r="E2283" s="1">
        <f>2304+27670</f>
        <v>29974</v>
      </c>
      <c r="G2283" s="2">
        <f t="shared" si="35"/>
        <v>29974</v>
      </c>
      <c r="H2283" t="s">
        <v>14</v>
      </c>
    </row>
    <row r="2284" spans="2:8" x14ac:dyDescent="0.2">
      <c r="B2284" s="3">
        <v>44629</v>
      </c>
      <c r="D2284" s="1">
        <v>18588</v>
      </c>
      <c r="E2284" s="1">
        <v>20973</v>
      </c>
      <c r="G2284" s="2">
        <f t="shared" si="35"/>
        <v>20973</v>
      </c>
      <c r="H2284" t="s">
        <v>27</v>
      </c>
    </row>
    <row r="2285" spans="2:8" x14ac:dyDescent="0.2">
      <c r="B2285" s="3">
        <v>44629</v>
      </c>
      <c r="G2285" s="2">
        <f t="shared" si="35"/>
        <v>0</v>
      </c>
      <c r="H2285" t="s">
        <v>13</v>
      </c>
    </row>
    <row r="2286" spans="2:8" x14ac:dyDescent="0.2">
      <c r="B2286" s="3">
        <v>44629</v>
      </c>
      <c r="G2286" s="2">
        <f t="shared" si="35"/>
        <v>0</v>
      </c>
      <c r="H2286" t="s">
        <v>30</v>
      </c>
    </row>
    <row r="2287" spans="2:8" x14ac:dyDescent="0.2">
      <c r="B2287" s="3">
        <v>44629</v>
      </c>
      <c r="G2287" s="2">
        <f t="shared" si="35"/>
        <v>0</v>
      </c>
      <c r="H2287" t="s">
        <v>35</v>
      </c>
    </row>
    <row r="2288" spans="2:8" x14ac:dyDescent="0.2">
      <c r="B2288" s="3">
        <v>44629</v>
      </c>
      <c r="G2288" s="2">
        <f t="shared" si="35"/>
        <v>0</v>
      </c>
      <c r="H2288" t="s">
        <v>25</v>
      </c>
    </row>
    <row r="2289" spans="2:8" x14ac:dyDescent="0.2">
      <c r="B2289" s="3">
        <v>44629</v>
      </c>
      <c r="G2289" s="2">
        <f t="shared" si="35"/>
        <v>0</v>
      </c>
      <c r="H2289" t="s">
        <v>34</v>
      </c>
    </row>
    <row r="2290" spans="2:8" x14ac:dyDescent="0.2">
      <c r="B2290" s="3">
        <v>44629</v>
      </c>
      <c r="G2290" s="2">
        <f t="shared" si="35"/>
        <v>0</v>
      </c>
      <c r="H2290" t="s">
        <v>33</v>
      </c>
    </row>
    <row r="2291" spans="2:8" x14ac:dyDescent="0.2">
      <c r="B2291" s="3">
        <v>44629</v>
      </c>
      <c r="G2291" s="2">
        <f t="shared" si="35"/>
        <v>0</v>
      </c>
      <c r="H2291" t="s">
        <v>9</v>
      </c>
    </row>
    <row r="2292" spans="2:8" x14ac:dyDescent="0.2">
      <c r="B2292" s="3">
        <v>44629</v>
      </c>
      <c r="G2292" s="2">
        <f t="shared" si="35"/>
        <v>0</v>
      </c>
      <c r="H2292" t="s">
        <v>32</v>
      </c>
    </row>
    <row r="2293" spans="2:8" x14ac:dyDescent="0.2">
      <c r="B2293" s="3">
        <v>44629</v>
      </c>
      <c r="G2293" s="2">
        <f t="shared" si="35"/>
        <v>0</v>
      </c>
      <c r="H2293" s="1"/>
    </row>
    <row r="2294" spans="2:8" x14ac:dyDescent="0.2">
      <c r="B2294" s="3">
        <v>44630</v>
      </c>
      <c r="D2294" s="28"/>
      <c r="G2294" s="2">
        <f t="shared" si="35"/>
        <v>0</v>
      </c>
      <c r="H2294" t="s">
        <v>14</v>
      </c>
    </row>
    <row r="2295" spans="2:8" x14ac:dyDescent="0.2">
      <c r="B2295" s="3">
        <v>44630</v>
      </c>
      <c r="F2295" s="1">
        <v>10000</v>
      </c>
      <c r="G2295" s="2">
        <f t="shared" si="35"/>
        <v>-10000</v>
      </c>
      <c r="H2295" t="s">
        <v>27</v>
      </c>
    </row>
    <row r="2296" spans="2:8" x14ac:dyDescent="0.2">
      <c r="B2296" s="3">
        <v>44630</v>
      </c>
      <c r="D2296" s="1">
        <v>5612</v>
      </c>
      <c r="E2296" s="1">
        <v>6265</v>
      </c>
      <c r="F2296" s="1">
        <v>3000</v>
      </c>
      <c r="G2296" s="2">
        <f t="shared" si="35"/>
        <v>3265</v>
      </c>
      <c r="H2296" t="s">
        <v>13</v>
      </c>
    </row>
    <row r="2297" spans="2:8" x14ac:dyDescent="0.2">
      <c r="B2297" s="3">
        <v>44630</v>
      </c>
      <c r="G2297" s="2">
        <f t="shared" si="35"/>
        <v>0</v>
      </c>
      <c r="H2297" t="s">
        <v>30</v>
      </c>
    </row>
    <row r="2298" spans="2:8" x14ac:dyDescent="0.2">
      <c r="B2298" s="3">
        <v>44630</v>
      </c>
      <c r="D2298" s="1">
        <v>486</v>
      </c>
      <c r="E2298" s="1">
        <v>615</v>
      </c>
      <c r="G2298" s="2">
        <f t="shared" si="35"/>
        <v>615</v>
      </c>
      <c r="H2298" t="s">
        <v>35</v>
      </c>
    </row>
    <row r="2299" spans="2:8" x14ac:dyDescent="0.2">
      <c r="B2299" s="3">
        <v>44630</v>
      </c>
      <c r="G2299" s="2">
        <f t="shared" si="35"/>
        <v>0</v>
      </c>
      <c r="H2299" t="s">
        <v>25</v>
      </c>
    </row>
    <row r="2300" spans="2:8" x14ac:dyDescent="0.2">
      <c r="B2300" s="3">
        <v>44630</v>
      </c>
      <c r="G2300" s="2">
        <f t="shared" si="35"/>
        <v>0</v>
      </c>
      <c r="H2300" t="s">
        <v>34</v>
      </c>
    </row>
    <row r="2301" spans="2:8" x14ac:dyDescent="0.2">
      <c r="B2301" s="3">
        <v>44630</v>
      </c>
      <c r="G2301" s="2">
        <f t="shared" si="35"/>
        <v>0</v>
      </c>
      <c r="H2301" t="s">
        <v>33</v>
      </c>
    </row>
    <row r="2302" spans="2:8" x14ac:dyDescent="0.2">
      <c r="B2302" s="3">
        <v>44630</v>
      </c>
      <c r="G2302" s="2">
        <f t="shared" si="35"/>
        <v>0</v>
      </c>
      <c r="H2302" t="s">
        <v>9</v>
      </c>
    </row>
    <row r="2303" spans="2:8" x14ac:dyDescent="0.2">
      <c r="B2303" s="3">
        <v>44630</v>
      </c>
      <c r="G2303" s="2">
        <f t="shared" si="35"/>
        <v>0</v>
      </c>
      <c r="H2303" t="s">
        <v>32</v>
      </c>
    </row>
    <row r="2304" spans="2:8" x14ac:dyDescent="0.2">
      <c r="B2304" s="3">
        <v>44630</v>
      </c>
      <c r="G2304" s="2">
        <f t="shared" si="35"/>
        <v>0</v>
      </c>
      <c r="H2304" s="1"/>
    </row>
    <row r="2305" spans="2:8" x14ac:dyDescent="0.2">
      <c r="B2305" s="3">
        <v>44631</v>
      </c>
      <c r="D2305" s="28"/>
      <c r="G2305" s="2">
        <f t="shared" si="35"/>
        <v>0</v>
      </c>
      <c r="H2305" t="s">
        <v>14</v>
      </c>
    </row>
    <row r="2306" spans="2:8" x14ac:dyDescent="0.2">
      <c r="B2306" s="3">
        <v>44631</v>
      </c>
      <c r="G2306" s="2">
        <f t="shared" si="35"/>
        <v>0</v>
      </c>
      <c r="H2306" t="s">
        <v>27</v>
      </c>
    </row>
    <row r="2307" spans="2:8" x14ac:dyDescent="0.2">
      <c r="B2307" s="3">
        <v>44631</v>
      </c>
      <c r="G2307" s="2">
        <f t="shared" ref="G2307:G2370" si="36">E2307-F2307</f>
        <v>0</v>
      </c>
      <c r="H2307" t="s">
        <v>13</v>
      </c>
    </row>
    <row r="2308" spans="2:8" x14ac:dyDescent="0.2">
      <c r="B2308" s="3">
        <v>44631</v>
      </c>
      <c r="G2308" s="2">
        <f t="shared" si="36"/>
        <v>0</v>
      </c>
      <c r="H2308" t="s">
        <v>30</v>
      </c>
    </row>
    <row r="2309" spans="2:8" x14ac:dyDescent="0.2">
      <c r="B2309" s="3">
        <v>44631</v>
      </c>
      <c r="G2309" s="2">
        <f t="shared" si="36"/>
        <v>0</v>
      </c>
      <c r="H2309" t="s">
        <v>35</v>
      </c>
    </row>
    <row r="2310" spans="2:8" x14ac:dyDescent="0.2">
      <c r="B2310" s="3">
        <v>44631</v>
      </c>
      <c r="G2310" s="2">
        <f t="shared" si="36"/>
        <v>0</v>
      </c>
      <c r="H2310" t="s">
        <v>25</v>
      </c>
    </row>
    <row r="2311" spans="2:8" x14ac:dyDescent="0.2">
      <c r="B2311" s="3">
        <v>44631</v>
      </c>
      <c r="G2311" s="2">
        <f t="shared" si="36"/>
        <v>0</v>
      </c>
      <c r="H2311" t="s">
        <v>34</v>
      </c>
    </row>
    <row r="2312" spans="2:8" x14ac:dyDescent="0.2">
      <c r="B2312" s="3">
        <v>44631</v>
      </c>
      <c r="G2312" s="2">
        <f t="shared" si="36"/>
        <v>0</v>
      </c>
      <c r="H2312" t="s">
        <v>33</v>
      </c>
    </row>
    <row r="2313" spans="2:8" x14ac:dyDescent="0.2">
      <c r="B2313" s="3">
        <v>44631</v>
      </c>
      <c r="G2313" s="2">
        <f t="shared" si="36"/>
        <v>0</v>
      </c>
      <c r="H2313" t="s">
        <v>9</v>
      </c>
    </row>
    <row r="2314" spans="2:8" x14ac:dyDescent="0.2">
      <c r="B2314" s="3">
        <v>44631</v>
      </c>
      <c r="G2314" s="2">
        <f t="shared" si="36"/>
        <v>0</v>
      </c>
      <c r="H2314" t="s">
        <v>32</v>
      </c>
    </row>
    <row r="2315" spans="2:8" x14ac:dyDescent="0.2">
      <c r="B2315" s="3">
        <v>44631</v>
      </c>
      <c r="G2315" s="2">
        <f t="shared" si="36"/>
        <v>0</v>
      </c>
      <c r="H2315" s="1"/>
    </row>
    <row r="2316" spans="2:8" x14ac:dyDescent="0.2">
      <c r="B2316" s="3">
        <v>44632</v>
      </c>
      <c r="D2316" s="28"/>
      <c r="G2316" s="2">
        <f t="shared" si="36"/>
        <v>0</v>
      </c>
      <c r="H2316" t="s">
        <v>14</v>
      </c>
    </row>
    <row r="2317" spans="2:8" x14ac:dyDescent="0.2">
      <c r="B2317" s="3">
        <v>44632</v>
      </c>
      <c r="G2317" s="2">
        <f t="shared" si="36"/>
        <v>0</v>
      </c>
      <c r="H2317" t="s">
        <v>27</v>
      </c>
    </row>
    <row r="2318" spans="2:8" x14ac:dyDescent="0.2">
      <c r="B2318" s="3">
        <v>44632</v>
      </c>
      <c r="G2318" s="2">
        <f t="shared" si="36"/>
        <v>0</v>
      </c>
      <c r="H2318" t="s">
        <v>13</v>
      </c>
    </row>
    <row r="2319" spans="2:8" x14ac:dyDescent="0.2">
      <c r="B2319" s="3">
        <v>44632</v>
      </c>
      <c r="G2319" s="2">
        <f t="shared" si="36"/>
        <v>0</v>
      </c>
      <c r="H2319" t="s">
        <v>30</v>
      </c>
    </row>
    <row r="2320" spans="2:8" x14ac:dyDescent="0.2">
      <c r="B2320" s="3">
        <v>44632</v>
      </c>
      <c r="G2320" s="2">
        <f t="shared" si="36"/>
        <v>0</v>
      </c>
      <c r="H2320" t="s">
        <v>35</v>
      </c>
    </row>
    <row r="2321" spans="2:8" x14ac:dyDescent="0.2">
      <c r="B2321" s="3">
        <v>44632</v>
      </c>
      <c r="D2321" s="1">
        <v>6139.75</v>
      </c>
      <c r="E2321" s="1">
        <v>7803.3</v>
      </c>
      <c r="G2321" s="2">
        <f t="shared" si="36"/>
        <v>7803.3</v>
      </c>
      <c r="H2321" t="s">
        <v>25</v>
      </c>
    </row>
    <row r="2322" spans="2:8" x14ac:dyDescent="0.2">
      <c r="B2322" s="3">
        <v>44632</v>
      </c>
      <c r="G2322" s="2">
        <f t="shared" si="36"/>
        <v>0</v>
      </c>
      <c r="H2322" t="s">
        <v>34</v>
      </c>
    </row>
    <row r="2323" spans="2:8" x14ac:dyDescent="0.2">
      <c r="B2323" s="3">
        <v>44632</v>
      </c>
      <c r="F2323" s="1">
        <v>2000</v>
      </c>
      <c r="G2323" s="2">
        <f t="shared" si="36"/>
        <v>-2000</v>
      </c>
      <c r="H2323" t="s">
        <v>33</v>
      </c>
    </row>
    <row r="2324" spans="2:8" x14ac:dyDescent="0.2">
      <c r="B2324" s="3">
        <v>44632</v>
      </c>
      <c r="G2324" s="2">
        <f t="shared" si="36"/>
        <v>0</v>
      </c>
      <c r="H2324" t="s">
        <v>9</v>
      </c>
    </row>
    <row r="2325" spans="2:8" x14ac:dyDescent="0.2">
      <c r="B2325" s="3">
        <v>44632</v>
      </c>
      <c r="G2325" s="2">
        <f t="shared" si="36"/>
        <v>0</v>
      </c>
      <c r="H2325" t="s">
        <v>32</v>
      </c>
    </row>
    <row r="2326" spans="2:8" x14ac:dyDescent="0.2">
      <c r="B2326" s="3">
        <v>44632</v>
      </c>
      <c r="G2326" s="2">
        <f t="shared" si="36"/>
        <v>0</v>
      </c>
      <c r="H2326" s="1"/>
    </row>
    <row r="2327" spans="2:8" x14ac:dyDescent="0.2">
      <c r="B2327" s="3">
        <v>44633</v>
      </c>
      <c r="D2327" s="28">
        <v>8072</v>
      </c>
      <c r="E2327" s="1">
        <v>8652</v>
      </c>
      <c r="F2327" s="1">
        <v>5000</v>
      </c>
      <c r="G2327" s="2">
        <f t="shared" si="36"/>
        <v>3652</v>
      </c>
      <c r="H2327" t="s">
        <v>14</v>
      </c>
    </row>
    <row r="2328" spans="2:8" x14ac:dyDescent="0.2">
      <c r="B2328" s="3">
        <v>44633</v>
      </c>
      <c r="G2328" s="2">
        <f t="shared" si="36"/>
        <v>0</v>
      </c>
      <c r="H2328" t="s">
        <v>27</v>
      </c>
    </row>
    <row r="2329" spans="2:8" x14ac:dyDescent="0.2">
      <c r="B2329" s="3">
        <v>44633</v>
      </c>
      <c r="G2329" s="2">
        <f t="shared" si="36"/>
        <v>0</v>
      </c>
      <c r="H2329" t="s">
        <v>13</v>
      </c>
    </row>
    <row r="2330" spans="2:8" x14ac:dyDescent="0.2">
      <c r="B2330" s="3">
        <v>44633</v>
      </c>
      <c r="D2330" s="1">
        <v>16636</v>
      </c>
      <c r="E2330" s="1">
        <v>21520.92</v>
      </c>
      <c r="G2330" s="2">
        <f t="shared" si="36"/>
        <v>21520.92</v>
      </c>
      <c r="H2330" t="s">
        <v>30</v>
      </c>
    </row>
    <row r="2331" spans="2:8" x14ac:dyDescent="0.2">
      <c r="B2331" s="3">
        <v>44633</v>
      </c>
      <c r="G2331" s="2">
        <f t="shared" si="36"/>
        <v>0</v>
      </c>
      <c r="H2331" t="s">
        <v>35</v>
      </c>
    </row>
    <row r="2332" spans="2:8" x14ac:dyDescent="0.2">
      <c r="B2332" s="3">
        <v>44633</v>
      </c>
      <c r="F2332" s="1">
        <v>3000</v>
      </c>
      <c r="G2332" s="2">
        <f t="shared" si="36"/>
        <v>-3000</v>
      </c>
      <c r="H2332" t="s">
        <v>25</v>
      </c>
    </row>
    <row r="2333" spans="2:8" x14ac:dyDescent="0.2">
      <c r="B2333" s="3">
        <v>44633</v>
      </c>
      <c r="G2333" s="2">
        <f t="shared" si="36"/>
        <v>0</v>
      </c>
      <c r="H2333" t="s">
        <v>34</v>
      </c>
    </row>
    <row r="2334" spans="2:8" x14ac:dyDescent="0.2">
      <c r="B2334" s="3">
        <v>44633</v>
      </c>
      <c r="G2334" s="2">
        <f t="shared" si="36"/>
        <v>0</v>
      </c>
      <c r="H2334" t="s">
        <v>33</v>
      </c>
    </row>
    <row r="2335" spans="2:8" x14ac:dyDescent="0.2">
      <c r="B2335" s="3">
        <v>44633</v>
      </c>
      <c r="G2335" s="2">
        <f t="shared" si="36"/>
        <v>0</v>
      </c>
      <c r="H2335" t="s">
        <v>9</v>
      </c>
    </row>
    <row r="2336" spans="2:8" x14ac:dyDescent="0.2">
      <c r="B2336" s="3">
        <v>44633</v>
      </c>
      <c r="G2336" s="2">
        <f t="shared" si="36"/>
        <v>0</v>
      </c>
      <c r="H2336" t="s">
        <v>32</v>
      </c>
    </row>
    <row r="2337" spans="2:8" x14ac:dyDescent="0.2">
      <c r="B2337" s="3">
        <v>44633</v>
      </c>
      <c r="D2337" s="1">
        <v>1280</v>
      </c>
      <c r="E2337" s="1">
        <v>1600</v>
      </c>
      <c r="G2337" s="2">
        <f t="shared" si="36"/>
        <v>1600</v>
      </c>
      <c r="H2337" t="s">
        <v>39</v>
      </c>
    </row>
    <row r="2338" spans="2:8" x14ac:dyDescent="0.2">
      <c r="B2338" s="3">
        <v>44634</v>
      </c>
      <c r="D2338" s="28"/>
      <c r="G2338" s="2">
        <f t="shared" si="36"/>
        <v>0</v>
      </c>
      <c r="H2338" t="s">
        <v>14</v>
      </c>
    </row>
    <row r="2339" spans="2:8" x14ac:dyDescent="0.2">
      <c r="B2339" s="3">
        <v>44634</v>
      </c>
      <c r="G2339" s="2">
        <f t="shared" si="36"/>
        <v>0</v>
      </c>
      <c r="H2339" t="s">
        <v>27</v>
      </c>
    </row>
    <row r="2340" spans="2:8" x14ac:dyDescent="0.2">
      <c r="B2340" s="3">
        <v>44634</v>
      </c>
      <c r="G2340" s="2">
        <f t="shared" si="36"/>
        <v>0</v>
      </c>
      <c r="H2340" t="s">
        <v>13</v>
      </c>
    </row>
    <row r="2341" spans="2:8" x14ac:dyDescent="0.2">
      <c r="B2341" s="3">
        <v>44634</v>
      </c>
      <c r="G2341" s="2">
        <f t="shared" si="36"/>
        <v>0</v>
      </c>
      <c r="H2341" t="s">
        <v>30</v>
      </c>
    </row>
    <row r="2342" spans="2:8" x14ac:dyDescent="0.2">
      <c r="B2342" s="3">
        <v>44634</v>
      </c>
      <c r="G2342" s="2">
        <f t="shared" si="36"/>
        <v>0</v>
      </c>
      <c r="H2342" t="s">
        <v>35</v>
      </c>
    </row>
    <row r="2343" spans="2:8" x14ac:dyDescent="0.2">
      <c r="B2343" s="3">
        <v>44634</v>
      </c>
      <c r="G2343" s="2">
        <f t="shared" si="36"/>
        <v>0</v>
      </c>
      <c r="H2343" t="s">
        <v>25</v>
      </c>
    </row>
    <row r="2344" spans="2:8" x14ac:dyDescent="0.2">
      <c r="B2344" s="3">
        <v>44634</v>
      </c>
      <c r="G2344" s="2">
        <f t="shared" si="36"/>
        <v>0</v>
      </c>
      <c r="H2344" t="s">
        <v>34</v>
      </c>
    </row>
    <row r="2345" spans="2:8" x14ac:dyDescent="0.2">
      <c r="B2345" s="3">
        <v>44634</v>
      </c>
      <c r="G2345" s="2">
        <f t="shared" si="36"/>
        <v>0</v>
      </c>
      <c r="H2345" t="s">
        <v>33</v>
      </c>
    </row>
    <row r="2346" spans="2:8" x14ac:dyDescent="0.2">
      <c r="B2346" s="3">
        <v>44634</v>
      </c>
      <c r="G2346" s="2">
        <f t="shared" si="36"/>
        <v>0</v>
      </c>
      <c r="H2346" t="s">
        <v>9</v>
      </c>
    </row>
    <row r="2347" spans="2:8" x14ac:dyDescent="0.2">
      <c r="B2347" s="3">
        <v>44634</v>
      </c>
      <c r="G2347" s="2">
        <f t="shared" si="36"/>
        <v>0</v>
      </c>
      <c r="H2347" t="s">
        <v>32</v>
      </c>
    </row>
    <row r="2348" spans="2:8" x14ac:dyDescent="0.2">
      <c r="B2348" s="3">
        <v>44634</v>
      </c>
      <c r="G2348" s="2">
        <f t="shared" si="36"/>
        <v>0</v>
      </c>
      <c r="H2348" s="1"/>
    </row>
    <row r="2349" spans="2:8" x14ac:dyDescent="0.2">
      <c r="B2349" s="3">
        <v>44635</v>
      </c>
      <c r="D2349" s="28"/>
      <c r="G2349" s="2">
        <f t="shared" si="36"/>
        <v>0</v>
      </c>
      <c r="H2349" t="s">
        <v>14</v>
      </c>
    </row>
    <row r="2350" spans="2:8" x14ac:dyDescent="0.2">
      <c r="B2350" s="3">
        <v>44635</v>
      </c>
      <c r="G2350" s="2">
        <f t="shared" si="36"/>
        <v>0</v>
      </c>
      <c r="H2350" t="s">
        <v>27</v>
      </c>
    </row>
    <row r="2351" spans="2:8" x14ac:dyDescent="0.2">
      <c r="B2351" s="3">
        <v>44635</v>
      </c>
      <c r="G2351" s="2">
        <f t="shared" si="36"/>
        <v>0</v>
      </c>
      <c r="H2351" t="s">
        <v>13</v>
      </c>
    </row>
    <row r="2352" spans="2:8" x14ac:dyDescent="0.2">
      <c r="B2352" s="3">
        <v>44635</v>
      </c>
      <c r="G2352" s="2">
        <f t="shared" si="36"/>
        <v>0</v>
      </c>
      <c r="H2352" t="s">
        <v>30</v>
      </c>
    </row>
    <row r="2353" spans="2:8" x14ac:dyDescent="0.2">
      <c r="B2353" s="3">
        <v>44635</v>
      </c>
      <c r="D2353" s="1">
        <v>998.5</v>
      </c>
      <c r="E2353" s="1">
        <v>1242.5</v>
      </c>
      <c r="F2353" s="1">
        <v>1860</v>
      </c>
      <c r="G2353" s="2">
        <f t="shared" si="36"/>
        <v>-617.5</v>
      </c>
      <c r="H2353" t="s">
        <v>35</v>
      </c>
    </row>
    <row r="2354" spans="2:8" x14ac:dyDescent="0.2">
      <c r="B2354" s="3">
        <v>44635</v>
      </c>
      <c r="G2354" s="2">
        <f t="shared" si="36"/>
        <v>0</v>
      </c>
      <c r="H2354" t="s">
        <v>25</v>
      </c>
    </row>
    <row r="2355" spans="2:8" x14ac:dyDescent="0.2">
      <c r="B2355" s="3">
        <v>44635</v>
      </c>
      <c r="G2355" s="2">
        <f t="shared" si="36"/>
        <v>0</v>
      </c>
      <c r="H2355" t="s">
        <v>34</v>
      </c>
    </row>
    <row r="2356" spans="2:8" x14ac:dyDescent="0.2">
      <c r="B2356" s="3">
        <v>44635</v>
      </c>
      <c r="G2356" s="2">
        <f t="shared" si="36"/>
        <v>0</v>
      </c>
      <c r="H2356" t="s">
        <v>33</v>
      </c>
    </row>
    <row r="2357" spans="2:8" x14ac:dyDescent="0.2">
      <c r="B2357" s="3">
        <v>44635</v>
      </c>
      <c r="G2357" s="2">
        <f t="shared" si="36"/>
        <v>0</v>
      </c>
      <c r="H2357" t="s">
        <v>9</v>
      </c>
    </row>
    <row r="2358" spans="2:8" x14ac:dyDescent="0.2">
      <c r="B2358" s="3">
        <v>44635</v>
      </c>
      <c r="G2358" s="2">
        <f t="shared" si="36"/>
        <v>0</v>
      </c>
      <c r="H2358" t="s">
        <v>32</v>
      </c>
    </row>
    <row r="2359" spans="2:8" x14ac:dyDescent="0.2">
      <c r="B2359" s="3">
        <v>44635</v>
      </c>
      <c r="G2359" s="2">
        <f t="shared" si="36"/>
        <v>0</v>
      </c>
      <c r="H2359" s="1"/>
    </row>
    <row r="2360" spans="2:8" x14ac:dyDescent="0.2">
      <c r="B2360" s="3">
        <v>44636</v>
      </c>
      <c r="D2360" s="28"/>
      <c r="F2360" s="1">
        <v>5000</v>
      </c>
      <c r="G2360" s="2">
        <f t="shared" si="36"/>
        <v>-5000</v>
      </c>
      <c r="H2360" t="s">
        <v>14</v>
      </c>
    </row>
    <row r="2361" spans="2:8" x14ac:dyDescent="0.2">
      <c r="B2361" s="3">
        <v>44636</v>
      </c>
      <c r="G2361" s="2">
        <f t="shared" si="36"/>
        <v>0</v>
      </c>
      <c r="H2361" t="s">
        <v>27</v>
      </c>
    </row>
    <row r="2362" spans="2:8" x14ac:dyDescent="0.2">
      <c r="B2362" s="3">
        <v>44636</v>
      </c>
      <c r="G2362" s="2">
        <f t="shared" si="36"/>
        <v>0</v>
      </c>
      <c r="H2362" t="s">
        <v>13</v>
      </c>
    </row>
    <row r="2363" spans="2:8" x14ac:dyDescent="0.2">
      <c r="B2363" s="3">
        <v>44636</v>
      </c>
      <c r="G2363" s="2">
        <f t="shared" si="36"/>
        <v>0</v>
      </c>
      <c r="H2363" t="s">
        <v>30</v>
      </c>
    </row>
    <row r="2364" spans="2:8" x14ac:dyDescent="0.2">
      <c r="B2364" s="3">
        <v>44636</v>
      </c>
      <c r="G2364" s="2">
        <f t="shared" si="36"/>
        <v>0</v>
      </c>
      <c r="H2364" t="s">
        <v>35</v>
      </c>
    </row>
    <row r="2365" spans="2:8" x14ac:dyDescent="0.2">
      <c r="B2365" s="3">
        <v>44636</v>
      </c>
      <c r="G2365" s="2">
        <f t="shared" si="36"/>
        <v>0</v>
      </c>
      <c r="H2365" t="s">
        <v>25</v>
      </c>
    </row>
    <row r="2366" spans="2:8" x14ac:dyDescent="0.2">
      <c r="B2366" s="3">
        <v>44636</v>
      </c>
      <c r="G2366" s="2">
        <f t="shared" si="36"/>
        <v>0</v>
      </c>
      <c r="H2366" t="s">
        <v>34</v>
      </c>
    </row>
    <row r="2367" spans="2:8" x14ac:dyDescent="0.2">
      <c r="B2367" s="3">
        <v>44636</v>
      </c>
      <c r="G2367" s="2">
        <f t="shared" si="36"/>
        <v>0</v>
      </c>
      <c r="H2367" t="s">
        <v>33</v>
      </c>
    </row>
    <row r="2368" spans="2:8" x14ac:dyDescent="0.2">
      <c r="B2368" s="3">
        <v>44636</v>
      </c>
      <c r="F2368" s="1">
        <v>8100</v>
      </c>
      <c r="G2368" s="2">
        <f t="shared" si="36"/>
        <v>-8100</v>
      </c>
      <c r="H2368" t="s">
        <v>9</v>
      </c>
    </row>
    <row r="2369" spans="2:8" x14ac:dyDescent="0.2">
      <c r="B2369" s="3">
        <v>44636</v>
      </c>
      <c r="G2369" s="2">
        <f t="shared" si="36"/>
        <v>0</v>
      </c>
      <c r="H2369" t="s">
        <v>32</v>
      </c>
    </row>
    <row r="2370" spans="2:8" x14ac:dyDescent="0.2">
      <c r="B2370" s="3">
        <v>44636</v>
      </c>
      <c r="G2370" s="2">
        <f t="shared" si="36"/>
        <v>0</v>
      </c>
      <c r="H2370" s="1"/>
    </row>
    <row r="2371" spans="2:8" x14ac:dyDescent="0.2">
      <c r="B2371" s="3">
        <v>44637</v>
      </c>
      <c r="D2371" s="28"/>
      <c r="G2371" s="2">
        <f t="shared" ref="G2371:G2434" si="37">E2371-F2371</f>
        <v>0</v>
      </c>
      <c r="H2371" t="s">
        <v>14</v>
      </c>
    </row>
    <row r="2372" spans="2:8" x14ac:dyDescent="0.2">
      <c r="B2372" s="3">
        <v>44637</v>
      </c>
      <c r="F2372" s="1">
        <v>5000</v>
      </c>
      <c r="G2372" s="2">
        <f t="shared" si="37"/>
        <v>-5000</v>
      </c>
      <c r="H2372" t="s">
        <v>27</v>
      </c>
    </row>
    <row r="2373" spans="2:8" x14ac:dyDescent="0.2">
      <c r="B2373" s="3">
        <v>44637</v>
      </c>
      <c r="G2373" s="2">
        <f t="shared" si="37"/>
        <v>0</v>
      </c>
      <c r="H2373" t="s">
        <v>13</v>
      </c>
    </row>
    <row r="2374" spans="2:8" x14ac:dyDescent="0.2">
      <c r="B2374" s="3">
        <v>44637</v>
      </c>
      <c r="G2374" s="2">
        <f t="shared" si="37"/>
        <v>0</v>
      </c>
      <c r="H2374" t="s">
        <v>30</v>
      </c>
    </row>
    <row r="2375" spans="2:8" x14ac:dyDescent="0.2">
      <c r="B2375" s="3">
        <v>44637</v>
      </c>
      <c r="G2375" s="2">
        <f t="shared" si="37"/>
        <v>0</v>
      </c>
      <c r="H2375" t="s">
        <v>35</v>
      </c>
    </row>
    <row r="2376" spans="2:8" x14ac:dyDescent="0.2">
      <c r="B2376" s="3">
        <v>44637</v>
      </c>
      <c r="G2376" s="2">
        <f t="shared" si="37"/>
        <v>0</v>
      </c>
      <c r="H2376" t="s">
        <v>25</v>
      </c>
    </row>
    <row r="2377" spans="2:8" x14ac:dyDescent="0.2">
      <c r="B2377" s="3">
        <v>44637</v>
      </c>
      <c r="D2377" s="1">
        <v>1288.5</v>
      </c>
      <c r="E2377" s="1">
        <v>1507</v>
      </c>
      <c r="F2377" s="1">
        <v>950</v>
      </c>
      <c r="G2377" s="2">
        <f t="shared" si="37"/>
        <v>557</v>
      </c>
      <c r="H2377" t="s">
        <v>34</v>
      </c>
    </row>
    <row r="2378" spans="2:8" x14ac:dyDescent="0.2">
      <c r="B2378" s="3">
        <v>44637</v>
      </c>
      <c r="G2378" s="2">
        <f t="shared" si="37"/>
        <v>0</v>
      </c>
      <c r="H2378" t="s">
        <v>33</v>
      </c>
    </row>
    <row r="2379" spans="2:8" x14ac:dyDescent="0.2">
      <c r="B2379" s="3">
        <v>44637</v>
      </c>
      <c r="G2379" s="2">
        <f t="shared" si="37"/>
        <v>0</v>
      </c>
      <c r="H2379" t="s">
        <v>9</v>
      </c>
    </row>
    <row r="2380" spans="2:8" x14ac:dyDescent="0.2">
      <c r="B2380" s="3">
        <v>44637</v>
      </c>
      <c r="G2380" s="2">
        <f t="shared" si="37"/>
        <v>0</v>
      </c>
      <c r="H2380" t="s">
        <v>32</v>
      </c>
    </row>
    <row r="2381" spans="2:8" x14ac:dyDescent="0.2">
      <c r="B2381" s="3">
        <v>44637</v>
      </c>
      <c r="G2381" s="2">
        <f t="shared" si="37"/>
        <v>0</v>
      </c>
      <c r="H2381" s="1"/>
    </row>
    <row r="2382" spans="2:8" x14ac:dyDescent="0.2">
      <c r="B2382" s="3">
        <v>44638</v>
      </c>
      <c r="D2382" s="28"/>
      <c r="G2382" s="2">
        <f t="shared" si="37"/>
        <v>0</v>
      </c>
      <c r="H2382" t="s">
        <v>14</v>
      </c>
    </row>
    <row r="2383" spans="2:8" x14ac:dyDescent="0.2">
      <c r="B2383" s="3">
        <v>44638</v>
      </c>
      <c r="G2383" s="2">
        <f t="shared" si="37"/>
        <v>0</v>
      </c>
      <c r="H2383" t="s">
        <v>27</v>
      </c>
    </row>
    <row r="2384" spans="2:8" x14ac:dyDescent="0.2">
      <c r="B2384" s="3">
        <v>44638</v>
      </c>
      <c r="G2384" s="2">
        <f t="shared" si="37"/>
        <v>0</v>
      </c>
      <c r="H2384" t="s">
        <v>13</v>
      </c>
    </row>
    <row r="2385" spans="2:8" x14ac:dyDescent="0.2">
      <c r="B2385" s="3">
        <v>44638</v>
      </c>
      <c r="G2385" s="2">
        <f t="shared" si="37"/>
        <v>0</v>
      </c>
      <c r="H2385" t="s">
        <v>30</v>
      </c>
    </row>
    <row r="2386" spans="2:8" x14ac:dyDescent="0.2">
      <c r="B2386" s="3">
        <v>44638</v>
      </c>
      <c r="G2386" s="2">
        <f t="shared" si="37"/>
        <v>0</v>
      </c>
      <c r="H2386" t="s">
        <v>35</v>
      </c>
    </row>
    <row r="2387" spans="2:8" x14ac:dyDescent="0.2">
      <c r="B2387" s="3">
        <v>44638</v>
      </c>
      <c r="E2387" s="1">
        <v>408.56</v>
      </c>
      <c r="G2387" s="2">
        <f t="shared" si="37"/>
        <v>408.56</v>
      </c>
      <c r="H2387" t="s">
        <v>25</v>
      </c>
    </row>
    <row r="2388" spans="2:8" x14ac:dyDescent="0.2">
      <c r="B2388" s="3">
        <v>44638</v>
      </c>
      <c r="G2388" s="2">
        <f t="shared" si="37"/>
        <v>0</v>
      </c>
      <c r="H2388" t="s">
        <v>34</v>
      </c>
    </row>
    <row r="2389" spans="2:8" x14ac:dyDescent="0.2">
      <c r="B2389" s="3">
        <v>44638</v>
      </c>
      <c r="G2389" s="2">
        <f t="shared" si="37"/>
        <v>0</v>
      </c>
      <c r="H2389" t="s">
        <v>33</v>
      </c>
    </row>
    <row r="2390" spans="2:8" x14ac:dyDescent="0.2">
      <c r="B2390" s="3">
        <v>44638</v>
      </c>
      <c r="G2390" s="2">
        <f t="shared" si="37"/>
        <v>0</v>
      </c>
      <c r="H2390" t="s">
        <v>9</v>
      </c>
    </row>
    <row r="2391" spans="2:8" x14ac:dyDescent="0.2">
      <c r="B2391" s="3">
        <v>44638</v>
      </c>
      <c r="G2391" s="2">
        <f t="shared" si="37"/>
        <v>0</v>
      </c>
      <c r="H2391" t="s">
        <v>32</v>
      </c>
    </row>
    <row r="2392" spans="2:8" x14ac:dyDescent="0.2">
      <c r="B2392" s="3">
        <v>44638</v>
      </c>
      <c r="G2392" s="2">
        <f t="shared" si="37"/>
        <v>0</v>
      </c>
      <c r="H2392" s="1"/>
    </row>
    <row r="2393" spans="2:8" x14ac:dyDescent="0.2">
      <c r="B2393" s="3">
        <v>44639</v>
      </c>
      <c r="D2393" s="28"/>
      <c r="G2393" s="2">
        <f t="shared" si="37"/>
        <v>0</v>
      </c>
      <c r="H2393" t="s">
        <v>14</v>
      </c>
    </row>
    <row r="2394" spans="2:8" x14ac:dyDescent="0.2">
      <c r="B2394" s="3">
        <v>44639</v>
      </c>
      <c r="G2394" s="2">
        <f t="shared" si="37"/>
        <v>0</v>
      </c>
      <c r="H2394" t="s">
        <v>27</v>
      </c>
    </row>
    <row r="2395" spans="2:8" x14ac:dyDescent="0.2">
      <c r="B2395" s="3">
        <v>44639</v>
      </c>
      <c r="G2395" s="2">
        <f t="shared" si="37"/>
        <v>0</v>
      </c>
      <c r="H2395" t="s">
        <v>13</v>
      </c>
    </row>
    <row r="2396" spans="2:8" x14ac:dyDescent="0.2">
      <c r="B2396" s="3">
        <v>44639</v>
      </c>
      <c r="G2396" s="2">
        <f t="shared" si="37"/>
        <v>0</v>
      </c>
      <c r="H2396" t="s">
        <v>30</v>
      </c>
    </row>
    <row r="2397" spans="2:8" x14ac:dyDescent="0.2">
      <c r="B2397" s="3">
        <v>44639</v>
      </c>
      <c r="G2397" s="2">
        <f t="shared" si="37"/>
        <v>0</v>
      </c>
      <c r="H2397" t="s">
        <v>35</v>
      </c>
    </row>
    <row r="2398" spans="2:8" x14ac:dyDescent="0.2">
      <c r="B2398" s="3">
        <v>44639</v>
      </c>
      <c r="G2398" s="2">
        <f t="shared" si="37"/>
        <v>0</v>
      </c>
      <c r="H2398" t="s">
        <v>25</v>
      </c>
    </row>
    <row r="2399" spans="2:8" x14ac:dyDescent="0.2">
      <c r="B2399" s="3">
        <v>44639</v>
      </c>
      <c r="G2399" s="2">
        <f t="shared" si="37"/>
        <v>0</v>
      </c>
      <c r="H2399" t="s">
        <v>34</v>
      </c>
    </row>
    <row r="2400" spans="2:8" x14ac:dyDescent="0.2">
      <c r="B2400" s="3">
        <v>44639</v>
      </c>
      <c r="G2400" s="2">
        <f t="shared" si="37"/>
        <v>0</v>
      </c>
      <c r="H2400" t="s">
        <v>33</v>
      </c>
    </row>
    <row r="2401" spans="2:8" x14ac:dyDescent="0.2">
      <c r="B2401" s="3">
        <v>44639</v>
      </c>
      <c r="D2401" s="1">
        <v>7300</v>
      </c>
      <c r="E2401" s="1">
        <v>8200</v>
      </c>
      <c r="G2401" s="2">
        <f t="shared" si="37"/>
        <v>8200</v>
      </c>
      <c r="H2401" t="s">
        <v>9</v>
      </c>
    </row>
    <row r="2402" spans="2:8" x14ac:dyDescent="0.2">
      <c r="B2402" s="3">
        <v>44639</v>
      </c>
      <c r="G2402" s="2">
        <f t="shared" si="37"/>
        <v>0</v>
      </c>
      <c r="H2402" t="s">
        <v>32</v>
      </c>
    </row>
    <row r="2403" spans="2:8" x14ac:dyDescent="0.2">
      <c r="B2403" s="3">
        <v>44639</v>
      </c>
      <c r="G2403" s="2">
        <f t="shared" si="37"/>
        <v>0</v>
      </c>
      <c r="H2403" s="1"/>
    </row>
    <row r="2404" spans="2:8" x14ac:dyDescent="0.2">
      <c r="B2404" s="3">
        <v>44640</v>
      </c>
      <c r="D2404" s="28"/>
      <c r="F2404" s="1">
        <v>5000</v>
      </c>
      <c r="G2404" s="2">
        <f t="shared" si="37"/>
        <v>-5000</v>
      </c>
      <c r="H2404" t="s">
        <v>14</v>
      </c>
    </row>
    <row r="2405" spans="2:8" x14ac:dyDescent="0.2">
      <c r="B2405" s="3">
        <v>44640</v>
      </c>
      <c r="G2405" s="2">
        <f t="shared" si="37"/>
        <v>0</v>
      </c>
      <c r="H2405" t="s">
        <v>27</v>
      </c>
    </row>
    <row r="2406" spans="2:8" x14ac:dyDescent="0.2">
      <c r="B2406" s="3">
        <v>44640</v>
      </c>
      <c r="G2406" s="2">
        <f t="shared" si="37"/>
        <v>0</v>
      </c>
      <c r="H2406" t="s">
        <v>13</v>
      </c>
    </row>
    <row r="2407" spans="2:8" x14ac:dyDescent="0.2">
      <c r="B2407" s="3">
        <v>44640</v>
      </c>
      <c r="G2407" s="2">
        <f t="shared" si="37"/>
        <v>0</v>
      </c>
      <c r="H2407" t="s">
        <v>30</v>
      </c>
    </row>
    <row r="2408" spans="2:8" x14ac:dyDescent="0.2">
      <c r="B2408" s="3">
        <v>44640</v>
      </c>
      <c r="G2408" s="2">
        <f t="shared" si="37"/>
        <v>0</v>
      </c>
      <c r="H2408" t="s">
        <v>35</v>
      </c>
    </row>
    <row r="2409" spans="2:8" x14ac:dyDescent="0.2">
      <c r="B2409" s="3">
        <v>44640</v>
      </c>
      <c r="G2409" s="2">
        <f t="shared" si="37"/>
        <v>0</v>
      </c>
      <c r="H2409" t="s">
        <v>25</v>
      </c>
    </row>
    <row r="2410" spans="2:8" x14ac:dyDescent="0.2">
      <c r="B2410" s="3">
        <v>44640</v>
      </c>
      <c r="G2410" s="2">
        <f t="shared" si="37"/>
        <v>0</v>
      </c>
      <c r="H2410" t="s">
        <v>34</v>
      </c>
    </row>
    <row r="2411" spans="2:8" x14ac:dyDescent="0.2">
      <c r="B2411" s="3">
        <v>44640</v>
      </c>
      <c r="G2411" s="2">
        <f t="shared" si="37"/>
        <v>0</v>
      </c>
      <c r="H2411" t="s">
        <v>33</v>
      </c>
    </row>
    <row r="2412" spans="2:8" x14ac:dyDescent="0.2">
      <c r="B2412" s="3">
        <v>44640</v>
      </c>
      <c r="G2412" s="2">
        <f t="shared" si="37"/>
        <v>0</v>
      </c>
      <c r="H2412" t="s">
        <v>9</v>
      </c>
    </row>
    <row r="2413" spans="2:8" x14ac:dyDescent="0.2">
      <c r="B2413" s="3">
        <v>44640</v>
      </c>
      <c r="G2413" s="2">
        <f t="shared" si="37"/>
        <v>0</v>
      </c>
      <c r="H2413" t="s">
        <v>32</v>
      </c>
    </row>
    <row r="2414" spans="2:8" x14ac:dyDescent="0.2">
      <c r="B2414" s="3">
        <v>44640</v>
      </c>
      <c r="G2414" s="2">
        <f t="shared" si="37"/>
        <v>0</v>
      </c>
      <c r="H2414" s="1"/>
    </row>
    <row r="2415" spans="2:8" x14ac:dyDescent="0.2">
      <c r="B2415" s="3">
        <v>44641</v>
      </c>
      <c r="D2415" s="28"/>
      <c r="G2415" s="2">
        <f t="shared" si="37"/>
        <v>0</v>
      </c>
      <c r="H2415" t="s">
        <v>14</v>
      </c>
    </row>
    <row r="2416" spans="2:8" x14ac:dyDescent="0.2">
      <c r="B2416" s="3">
        <v>44641</v>
      </c>
      <c r="G2416" s="2">
        <f t="shared" si="37"/>
        <v>0</v>
      </c>
      <c r="H2416" t="s">
        <v>27</v>
      </c>
    </row>
    <row r="2417" spans="2:8" x14ac:dyDescent="0.2">
      <c r="B2417" s="3">
        <v>44641</v>
      </c>
      <c r="G2417" s="2">
        <f t="shared" si="37"/>
        <v>0</v>
      </c>
      <c r="H2417" t="s">
        <v>13</v>
      </c>
    </row>
    <row r="2418" spans="2:8" x14ac:dyDescent="0.2">
      <c r="B2418" s="3">
        <v>44641</v>
      </c>
      <c r="G2418" s="2">
        <f t="shared" si="37"/>
        <v>0</v>
      </c>
      <c r="H2418" t="s">
        <v>30</v>
      </c>
    </row>
    <row r="2419" spans="2:8" x14ac:dyDescent="0.2">
      <c r="B2419" s="3">
        <v>44641</v>
      </c>
      <c r="D2419" s="1">
        <v>818.75</v>
      </c>
      <c r="E2419" s="1">
        <v>1015</v>
      </c>
      <c r="G2419" s="2">
        <f t="shared" si="37"/>
        <v>1015</v>
      </c>
      <c r="H2419" t="s">
        <v>35</v>
      </c>
    </row>
    <row r="2420" spans="2:8" x14ac:dyDescent="0.2">
      <c r="B2420" s="3">
        <v>44641</v>
      </c>
      <c r="D2420" s="1">
        <v>13110</v>
      </c>
      <c r="E2420" s="1">
        <v>17433.45</v>
      </c>
      <c r="G2420" s="2">
        <f t="shared" si="37"/>
        <v>17433.45</v>
      </c>
      <c r="H2420" t="s">
        <v>25</v>
      </c>
    </row>
    <row r="2421" spans="2:8" x14ac:dyDescent="0.2">
      <c r="B2421" s="3">
        <v>44641</v>
      </c>
      <c r="D2421" s="1">
        <v>785</v>
      </c>
      <c r="E2421" s="1">
        <v>895</v>
      </c>
      <c r="G2421" s="2">
        <f t="shared" si="37"/>
        <v>895</v>
      </c>
      <c r="H2421" t="s">
        <v>34</v>
      </c>
    </row>
    <row r="2422" spans="2:8" x14ac:dyDescent="0.2">
      <c r="B2422" s="3">
        <v>44641</v>
      </c>
      <c r="G2422" s="2">
        <f t="shared" si="37"/>
        <v>0</v>
      </c>
      <c r="H2422" t="s">
        <v>33</v>
      </c>
    </row>
    <row r="2423" spans="2:8" x14ac:dyDescent="0.2">
      <c r="B2423" s="3">
        <v>44641</v>
      </c>
      <c r="G2423" s="2">
        <f t="shared" si="37"/>
        <v>0</v>
      </c>
      <c r="H2423" t="s">
        <v>9</v>
      </c>
    </row>
    <row r="2424" spans="2:8" x14ac:dyDescent="0.2">
      <c r="B2424" s="3">
        <v>44641</v>
      </c>
      <c r="D2424" s="1">
        <v>891</v>
      </c>
      <c r="E2424" s="1">
        <v>1080</v>
      </c>
      <c r="G2424" s="2">
        <f t="shared" si="37"/>
        <v>1080</v>
      </c>
      <c r="H2424" t="s">
        <v>32</v>
      </c>
    </row>
    <row r="2425" spans="2:8" x14ac:dyDescent="0.2">
      <c r="B2425" s="3">
        <v>44641</v>
      </c>
      <c r="G2425" s="2">
        <f t="shared" si="37"/>
        <v>0</v>
      </c>
      <c r="H2425" s="1"/>
    </row>
    <row r="2426" spans="2:8" x14ac:dyDescent="0.2">
      <c r="B2426" s="3">
        <v>44642</v>
      </c>
      <c r="D2426" s="28"/>
      <c r="F2426" s="1">
        <v>10000</v>
      </c>
      <c r="G2426" s="2">
        <f t="shared" si="37"/>
        <v>-10000</v>
      </c>
      <c r="H2426" t="s">
        <v>14</v>
      </c>
    </row>
    <row r="2427" spans="2:8" x14ac:dyDescent="0.2">
      <c r="B2427" s="3">
        <v>44642</v>
      </c>
      <c r="G2427" s="2">
        <f t="shared" si="37"/>
        <v>0</v>
      </c>
      <c r="H2427" t="s">
        <v>27</v>
      </c>
    </row>
    <row r="2428" spans="2:8" x14ac:dyDescent="0.2">
      <c r="B2428" s="3">
        <v>44642</v>
      </c>
      <c r="D2428" s="1">
        <v>3654</v>
      </c>
      <c r="E2428" s="1">
        <v>4599</v>
      </c>
      <c r="F2428" s="1">
        <v>5000</v>
      </c>
      <c r="G2428" s="2">
        <f t="shared" si="37"/>
        <v>-401</v>
      </c>
      <c r="H2428" t="s">
        <v>13</v>
      </c>
    </row>
    <row r="2429" spans="2:8" x14ac:dyDescent="0.2">
      <c r="B2429" s="3">
        <v>44642</v>
      </c>
      <c r="G2429" s="2">
        <f t="shared" si="37"/>
        <v>0</v>
      </c>
      <c r="H2429" t="s">
        <v>30</v>
      </c>
    </row>
    <row r="2430" spans="2:8" x14ac:dyDescent="0.2">
      <c r="B2430" s="3">
        <v>44642</v>
      </c>
      <c r="G2430" s="2">
        <f t="shared" si="37"/>
        <v>0</v>
      </c>
      <c r="H2430" t="s">
        <v>35</v>
      </c>
    </row>
    <row r="2431" spans="2:8" x14ac:dyDescent="0.2">
      <c r="B2431" s="3">
        <v>44642</v>
      </c>
      <c r="G2431" s="2">
        <f t="shared" si="37"/>
        <v>0</v>
      </c>
      <c r="H2431" t="s">
        <v>25</v>
      </c>
    </row>
    <row r="2432" spans="2:8" x14ac:dyDescent="0.2">
      <c r="B2432" s="3">
        <v>44642</v>
      </c>
      <c r="G2432" s="2">
        <f t="shared" si="37"/>
        <v>0</v>
      </c>
      <c r="H2432" t="s">
        <v>34</v>
      </c>
    </row>
    <row r="2433" spans="2:8" x14ac:dyDescent="0.2">
      <c r="B2433" s="3">
        <v>44642</v>
      </c>
      <c r="G2433" s="2">
        <f t="shared" si="37"/>
        <v>0</v>
      </c>
      <c r="H2433" t="s">
        <v>33</v>
      </c>
    </row>
    <row r="2434" spans="2:8" x14ac:dyDescent="0.2">
      <c r="B2434" s="3">
        <v>44642</v>
      </c>
      <c r="G2434" s="2">
        <f t="shared" si="37"/>
        <v>0</v>
      </c>
      <c r="H2434" t="s">
        <v>9</v>
      </c>
    </row>
    <row r="2435" spans="2:8" x14ac:dyDescent="0.2">
      <c r="B2435" s="3">
        <v>44642</v>
      </c>
      <c r="G2435" s="2">
        <f t="shared" ref="G2435:G2498" si="38">E2435-F2435</f>
        <v>0</v>
      </c>
      <c r="H2435" t="s">
        <v>32</v>
      </c>
    </row>
    <row r="2436" spans="2:8" x14ac:dyDescent="0.2">
      <c r="B2436" s="3">
        <v>44642</v>
      </c>
      <c r="G2436" s="2">
        <f t="shared" si="38"/>
        <v>0</v>
      </c>
      <c r="H2436" s="1"/>
    </row>
    <row r="2437" spans="2:8" x14ac:dyDescent="0.2">
      <c r="B2437" s="3">
        <v>44643</v>
      </c>
      <c r="D2437" s="28"/>
      <c r="G2437" s="2">
        <f t="shared" si="38"/>
        <v>0</v>
      </c>
      <c r="H2437" t="s">
        <v>14</v>
      </c>
    </row>
    <row r="2438" spans="2:8" x14ac:dyDescent="0.2">
      <c r="B2438" s="3">
        <v>44643</v>
      </c>
      <c r="G2438" s="2">
        <f t="shared" si="38"/>
        <v>0</v>
      </c>
      <c r="H2438" t="s">
        <v>27</v>
      </c>
    </row>
    <row r="2439" spans="2:8" x14ac:dyDescent="0.2">
      <c r="B2439" s="3">
        <v>44643</v>
      </c>
      <c r="G2439" s="2">
        <f t="shared" si="38"/>
        <v>0</v>
      </c>
      <c r="H2439" t="s">
        <v>13</v>
      </c>
    </row>
    <row r="2440" spans="2:8" x14ac:dyDescent="0.2">
      <c r="B2440" s="3">
        <v>44643</v>
      </c>
      <c r="G2440" s="2">
        <f t="shared" si="38"/>
        <v>0</v>
      </c>
      <c r="H2440" t="s">
        <v>30</v>
      </c>
    </row>
    <row r="2441" spans="2:8" x14ac:dyDescent="0.2">
      <c r="B2441" s="3">
        <v>44643</v>
      </c>
      <c r="G2441" s="2">
        <f t="shared" si="38"/>
        <v>0</v>
      </c>
      <c r="H2441" t="s">
        <v>35</v>
      </c>
    </row>
    <row r="2442" spans="2:8" x14ac:dyDescent="0.2">
      <c r="B2442" s="3">
        <v>44643</v>
      </c>
      <c r="G2442" s="2">
        <f t="shared" si="38"/>
        <v>0</v>
      </c>
      <c r="H2442" t="s">
        <v>25</v>
      </c>
    </row>
    <row r="2443" spans="2:8" x14ac:dyDescent="0.2">
      <c r="B2443" s="3">
        <v>44643</v>
      </c>
      <c r="G2443" s="2">
        <f t="shared" si="38"/>
        <v>0</v>
      </c>
      <c r="H2443" t="s">
        <v>34</v>
      </c>
    </row>
    <row r="2444" spans="2:8" x14ac:dyDescent="0.2">
      <c r="B2444" s="3">
        <v>44643</v>
      </c>
      <c r="F2444" s="1">
        <v>2100</v>
      </c>
      <c r="G2444" s="2">
        <f t="shared" si="38"/>
        <v>-2100</v>
      </c>
      <c r="H2444" t="s">
        <v>33</v>
      </c>
    </row>
    <row r="2445" spans="2:8" x14ac:dyDescent="0.2">
      <c r="B2445" s="3">
        <v>44643</v>
      </c>
      <c r="G2445" s="2">
        <f t="shared" si="38"/>
        <v>0</v>
      </c>
      <c r="H2445" t="s">
        <v>9</v>
      </c>
    </row>
    <row r="2446" spans="2:8" x14ac:dyDescent="0.2">
      <c r="B2446" s="3">
        <v>44643</v>
      </c>
      <c r="G2446" s="2">
        <f t="shared" si="38"/>
        <v>0</v>
      </c>
      <c r="H2446" t="s">
        <v>32</v>
      </c>
    </row>
    <row r="2447" spans="2:8" x14ac:dyDescent="0.2">
      <c r="B2447" s="3">
        <v>44643</v>
      </c>
      <c r="G2447" s="2">
        <f t="shared" si="38"/>
        <v>0</v>
      </c>
      <c r="H2447" s="1"/>
    </row>
    <row r="2448" spans="2:8" x14ac:dyDescent="0.2">
      <c r="B2448" s="3">
        <v>44644</v>
      </c>
      <c r="D2448" s="28"/>
      <c r="G2448" s="2">
        <f t="shared" si="38"/>
        <v>0</v>
      </c>
      <c r="H2448" t="s">
        <v>14</v>
      </c>
    </row>
    <row r="2449" spans="2:8" x14ac:dyDescent="0.2">
      <c r="B2449" s="3">
        <v>44644</v>
      </c>
      <c r="D2449" s="1">
        <v>15910.25</v>
      </c>
      <c r="E2449" s="1">
        <v>17906.25</v>
      </c>
      <c r="F2449" s="1">
        <v>10000</v>
      </c>
      <c r="G2449" s="2">
        <f t="shared" si="38"/>
        <v>7906.25</v>
      </c>
      <c r="H2449" t="s">
        <v>27</v>
      </c>
    </row>
    <row r="2450" spans="2:8" x14ac:dyDescent="0.2">
      <c r="B2450" s="3">
        <v>44644</v>
      </c>
      <c r="G2450" s="2">
        <f t="shared" si="38"/>
        <v>0</v>
      </c>
      <c r="H2450" t="s">
        <v>13</v>
      </c>
    </row>
    <row r="2451" spans="2:8" x14ac:dyDescent="0.2">
      <c r="B2451" s="3">
        <v>44644</v>
      </c>
      <c r="G2451" s="2">
        <f t="shared" si="38"/>
        <v>0</v>
      </c>
      <c r="H2451" t="s">
        <v>30</v>
      </c>
    </row>
    <row r="2452" spans="2:8" x14ac:dyDescent="0.2">
      <c r="B2452" s="3">
        <v>44644</v>
      </c>
      <c r="G2452" s="2">
        <f t="shared" si="38"/>
        <v>0</v>
      </c>
      <c r="H2452" t="s">
        <v>35</v>
      </c>
    </row>
    <row r="2453" spans="2:8" x14ac:dyDescent="0.2">
      <c r="B2453" s="3">
        <v>44644</v>
      </c>
      <c r="G2453" s="2">
        <f t="shared" si="38"/>
        <v>0</v>
      </c>
      <c r="H2453" t="s">
        <v>25</v>
      </c>
    </row>
    <row r="2454" spans="2:8" x14ac:dyDescent="0.2">
      <c r="B2454" s="3">
        <v>44644</v>
      </c>
      <c r="G2454" s="2">
        <f t="shared" si="38"/>
        <v>0</v>
      </c>
      <c r="H2454" t="s">
        <v>34</v>
      </c>
    </row>
    <row r="2455" spans="2:8" x14ac:dyDescent="0.2">
      <c r="B2455" s="3">
        <v>44644</v>
      </c>
      <c r="D2455" s="1">
        <v>2237.5</v>
      </c>
      <c r="E2455" s="1">
        <v>2475</v>
      </c>
      <c r="G2455" s="2">
        <f t="shared" si="38"/>
        <v>2475</v>
      </c>
      <c r="H2455" t="s">
        <v>33</v>
      </c>
    </row>
    <row r="2456" spans="2:8" x14ac:dyDescent="0.2">
      <c r="B2456" s="3">
        <v>44644</v>
      </c>
      <c r="D2456" s="1">
        <v>5970</v>
      </c>
      <c r="E2456" s="1">
        <v>6360</v>
      </c>
      <c r="G2456" s="2">
        <f t="shared" si="38"/>
        <v>6360</v>
      </c>
      <c r="H2456" t="s">
        <v>9</v>
      </c>
    </row>
    <row r="2457" spans="2:8" x14ac:dyDescent="0.2">
      <c r="B2457" s="3">
        <v>44644</v>
      </c>
      <c r="G2457" s="2">
        <f t="shared" si="38"/>
        <v>0</v>
      </c>
      <c r="H2457" t="s">
        <v>32</v>
      </c>
    </row>
    <row r="2458" spans="2:8" x14ac:dyDescent="0.2">
      <c r="B2458" s="3">
        <v>44644</v>
      </c>
      <c r="G2458" s="2">
        <f t="shared" si="38"/>
        <v>0</v>
      </c>
      <c r="H2458" s="1"/>
    </row>
    <row r="2459" spans="2:8" x14ac:dyDescent="0.2">
      <c r="B2459" s="3">
        <v>44645</v>
      </c>
      <c r="D2459" s="28"/>
      <c r="G2459" s="2">
        <f t="shared" si="38"/>
        <v>0</v>
      </c>
      <c r="H2459" t="s">
        <v>14</v>
      </c>
    </row>
    <row r="2460" spans="2:8" x14ac:dyDescent="0.2">
      <c r="B2460" s="3">
        <v>44645</v>
      </c>
      <c r="G2460" s="2">
        <f t="shared" si="38"/>
        <v>0</v>
      </c>
      <c r="H2460" t="s">
        <v>27</v>
      </c>
    </row>
    <row r="2461" spans="2:8" x14ac:dyDescent="0.2">
      <c r="B2461" s="3">
        <v>44645</v>
      </c>
      <c r="G2461" s="2">
        <f t="shared" si="38"/>
        <v>0</v>
      </c>
      <c r="H2461" t="s">
        <v>13</v>
      </c>
    </row>
    <row r="2462" spans="2:8" x14ac:dyDescent="0.2">
      <c r="B2462" s="3">
        <v>44645</v>
      </c>
      <c r="G2462" s="2">
        <f t="shared" si="38"/>
        <v>0</v>
      </c>
      <c r="H2462" t="s">
        <v>30</v>
      </c>
    </row>
    <row r="2463" spans="2:8" x14ac:dyDescent="0.2">
      <c r="B2463" s="3">
        <v>44645</v>
      </c>
      <c r="G2463" s="2">
        <f t="shared" si="38"/>
        <v>0</v>
      </c>
      <c r="H2463" t="s">
        <v>35</v>
      </c>
    </row>
    <row r="2464" spans="2:8" x14ac:dyDescent="0.2">
      <c r="B2464" s="3">
        <v>44645</v>
      </c>
      <c r="G2464" s="2">
        <f t="shared" si="38"/>
        <v>0</v>
      </c>
      <c r="H2464" t="s">
        <v>25</v>
      </c>
    </row>
    <row r="2465" spans="2:8" x14ac:dyDescent="0.2">
      <c r="B2465" s="3">
        <v>44645</v>
      </c>
      <c r="G2465" s="2">
        <f t="shared" si="38"/>
        <v>0</v>
      </c>
      <c r="H2465" t="s">
        <v>34</v>
      </c>
    </row>
    <row r="2466" spans="2:8" x14ac:dyDescent="0.2">
      <c r="B2466" s="3">
        <v>44645</v>
      </c>
      <c r="G2466" s="2">
        <f t="shared" si="38"/>
        <v>0</v>
      </c>
      <c r="H2466" t="s">
        <v>33</v>
      </c>
    </row>
    <row r="2467" spans="2:8" x14ac:dyDescent="0.2">
      <c r="B2467" s="3">
        <v>44645</v>
      </c>
      <c r="G2467" s="2">
        <f t="shared" si="38"/>
        <v>0</v>
      </c>
      <c r="H2467" t="s">
        <v>9</v>
      </c>
    </row>
    <row r="2468" spans="2:8" x14ac:dyDescent="0.2">
      <c r="B2468" s="3">
        <v>44645</v>
      </c>
      <c r="G2468" s="2">
        <f t="shared" si="38"/>
        <v>0</v>
      </c>
      <c r="H2468" t="s">
        <v>32</v>
      </c>
    </row>
    <row r="2469" spans="2:8" x14ac:dyDescent="0.2">
      <c r="B2469" s="3">
        <v>44645</v>
      </c>
      <c r="G2469" s="2">
        <f t="shared" si="38"/>
        <v>0</v>
      </c>
      <c r="H2469" s="1"/>
    </row>
    <row r="2470" spans="2:8" x14ac:dyDescent="0.2">
      <c r="B2470" s="3">
        <v>44646</v>
      </c>
      <c r="D2470" s="28"/>
      <c r="G2470" s="2">
        <f t="shared" si="38"/>
        <v>0</v>
      </c>
      <c r="H2470" t="s">
        <v>14</v>
      </c>
    </row>
    <row r="2471" spans="2:8" x14ac:dyDescent="0.2">
      <c r="B2471" s="3">
        <v>44646</v>
      </c>
      <c r="G2471" s="2">
        <f t="shared" si="38"/>
        <v>0</v>
      </c>
      <c r="H2471" t="s">
        <v>27</v>
      </c>
    </row>
    <row r="2472" spans="2:8" x14ac:dyDescent="0.2">
      <c r="B2472" s="3">
        <v>44646</v>
      </c>
      <c r="G2472" s="2">
        <f t="shared" si="38"/>
        <v>0</v>
      </c>
      <c r="H2472" t="s">
        <v>13</v>
      </c>
    </row>
    <row r="2473" spans="2:8" x14ac:dyDescent="0.2">
      <c r="B2473" s="3">
        <v>44646</v>
      </c>
      <c r="G2473" s="2">
        <f t="shared" si="38"/>
        <v>0</v>
      </c>
      <c r="H2473" t="s">
        <v>30</v>
      </c>
    </row>
    <row r="2474" spans="2:8" x14ac:dyDescent="0.2">
      <c r="B2474" s="3">
        <v>44646</v>
      </c>
      <c r="D2474" s="1">
        <v>800</v>
      </c>
      <c r="E2474" s="1">
        <v>1104</v>
      </c>
      <c r="G2474" s="2">
        <f t="shared" si="38"/>
        <v>1104</v>
      </c>
      <c r="H2474" t="s">
        <v>35</v>
      </c>
    </row>
    <row r="2475" spans="2:8" x14ac:dyDescent="0.2">
      <c r="B2475" s="3">
        <v>44646</v>
      </c>
      <c r="F2475" s="1">
        <v>5200</v>
      </c>
      <c r="G2475" s="2">
        <f t="shared" si="38"/>
        <v>-5200</v>
      </c>
      <c r="H2475" t="s">
        <v>25</v>
      </c>
    </row>
    <row r="2476" spans="2:8" x14ac:dyDescent="0.2">
      <c r="B2476" s="3">
        <v>44646</v>
      </c>
      <c r="G2476" s="2">
        <f t="shared" si="38"/>
        <v>0</v>
      </c>
      <c r="H2476" t="s">
        <v>34</v>
      </c>
    </row>
    <row r="2477" spans="2:8" x14ac:dyDescent="0.2">
      <c r="B2477" s="3">
        <v>44646</v>
      </c>
      <c r="G2477" s="2">
        <f t="shared" si="38"/>
        <v>0</v>
      </c>
      <c r="H2477" t="s">
        <v>33</v>
      </c>
    </row>
    <row r="2478" spans="2:8" x14ac:dyDescent="0.2">
      <c r="B2478" s="3">
        <v>44646</v>
      </c>
      <c r="G2478" s="2">
        <f t="shared" si="38"/>
        <v>0</v>
      </c>
      <c r="H2478" t="s">
        <v>9</v>
      </c>
    </row>
    <row r="2479" spans="2:8" x14ac:dyDescent="0.2">
      <c r="B2479" s="3">
        <v>44646</v>
      </c>
      <c r="G2479" s="2">
        <f t="shared" si="38"/>
        <v>0</v>
      </c>
      <c r="H2479" t="s">
        <v>32</v>
      </c>
    </row>
    <row r="2480" spans="2:8" x14ac:dyDescent="0.2">
      <c r="B2480" s="3">
        <v>44646</v>
      </c>
      <c r="G2480" s="2">
        <f t="shared" si="38"/>
        <v>0</v>
      </c>
      <c r="H2480" s="1"/>
    </row>
    <row r="2481" spans="2:8" x14ac:dyDescent="0.2">
      <c r="B2481" s="3">
        <v>44647</v>
      </c>
      <c r="D2481" s="28">
        <v>4977</v>
      </c>
      <c r="E2481" s="1">
        <v>5405</v>
      </c>
      <c r="G2481" s="2">
        <f t="shared" si="38"/>
        <v>5405</v>
      </c>
      <c r="H2481" t="s">
        <v>14</v>
      </c>
    </row>
    <row r="2482" spans="2:8" x14ac:dyDescent="0.2">
      <c r="B2482" s="3">
        <v>44647</v>
      </c>
      <c r="G2482" s="2">
        <f t="shared" si="38"/>
        <v>0</v>
      </c>
      <c r="H2482" t="s">
        <v>27</v>
      </c>
    </row>
    <row r="2483" spans="2:8" x14ac:dyDescent="0.2">
      <c r="B2483" s="3">
        <v>44647</v>
      </c>
      <c r="G2483" s="2">
        <f t="shared" si="38"/>
        <v>0</v>
      </c>
      <c r="H2483" t="s">
        <v>13</v>
      </c>
    </row>
    <row r="2484" spans="2:8" x14ac:dyDescent="0.2">
      <c r="B2484" s="3">
        <v>44647</v>
      </c>
      <c r="G2484" s="2">
        <f t="shared" si="38"/>
        <v>0</v>
      </c>
      <c r="H2484" t="s">
        <v>30</v>
      </c>
    </row>
    <row r="2485" spans="2:8" x14ac:dyDescent="0.2">
      <c r="B2485" s="3">
        <v>44647</v>
      </c>
      <c r="F2485" s="1">
        <v>2120</v>
      </c>
      <c r="G2485" s="2">
        <f t="shared" si="38"/>
        <v>-2120</v>
      </c>
      <c r="H2485" t="s">
        <v>35</v>
      </c>
    </row>
    <row r="2486" spans="2:8" x14ac:dyDescent="0.2">
      <c r="B2486" s="3">
        <v>44647</v>
      </c>
      <c r="G2486" s="2">
        <f t="shared" si="38"/>
        <v>0</v>
      </c>
      <c r="H2486" t="s">
        <v>25</v>
      </c>
    </row>
    <row r="2487" spans="2:8" x14ac:dyDescent="0.2">
      <c r="B2487" s="3">
        <v>44647</v>
      </c>
      <c r="G2487" s="2">
        <f t="shared" si="38"/>
        <v>0</v>
      </c>
      <c r="H2487" t="s">
        <v>34</v>
      </c>
    </row>
    <row r="2488" spans="2:8" x14ac:dyDescent="0.2">
      <c r="B2488" s="3">
        <v>44647</v>
      </c>
      <c r="G2488" s="2">
        <f t="shared" si="38"/>
        <v>0</v>
      </c>
      <c r="H2488" t="s">
        <v>33</v>
      </c>
    </row>
    <row r="2489" spans="2:8" x14ac:dyDescent="0.2">
      <c r="B2489" s="3">
        <v>44647</v>
      </c>
      <c r="G2489" s="2">
        <f t="shared" si="38"/>
        <v>0</v>
      </c>
      <c r="H2489" t="s">
        <v>9</v>
      </c>
    </row>
    <row r="2490" spans="2:8" x14ac:dyDescent="0.2">
      <c r="B2490" s="3">
        <v>44647</v>
      </c>
      <c r="F2490" s="1">
        <v>1080</v>
      </c>
      <c r="G2490" s="2">
        <f t="shared" si="38"/>
        <v>-1080</v>
      </c>
      <c r="H2490" t="s">
        <v>32</v>
      </c>
    </row>
    <row r="2491" spans="2:8" x14ac:dyDescent="0.2">
      <c r="B2491" s="3">
        <v>44647</v>
      </c>
      <c r="G2491" s="2">
        <f t="shared" si="38"/>
        <v>0</v>
      </c>
      <c r="H2491" s="1"/>
    </row>
    <row r="2492" spans="2:8" x14ac:dyDescent="0.2">
      <c r="B2492" s="3">
        <v>44648</v>
      </c>
      <c r="D2492" s="28"/>
      <c r="F2492" s="1">
        <v>7000</v>
      </c>
      <c r="G2492" s="2">
        <f t="shared" si="38"/>
        <v>-7000</v>
      </c>
      <c r="H2492" t="s">
        <v>14</v>
      </c>
    </row>
    <row r="2493" spans="2:8" x14ac:dyDescent="0.2">
      <c r="B2493" s="3">
        <v>44648</v>
      </c>
      <c r="F2493" s="1">
        <v>5000</v>
      </c>
      <c r="G2493" s="2">
        <f t="shared" si="38"/>
        <v>-5000</v>
      </c>
      <c r="H2493" t="s">
        <v>27</v>
      </c>
    </row>
    <row r="2494" spans="2:8" x14ac:dyDescent="0.2">
      <c r="B2494" s="3">
        <v>44648</v>
      </c>
      <c r="D2494" s="1">
        <v>4729.6000000000004</v>
      </c>
      <c r="E2494" s="1">
        <v>5340</v>
      </c>
      <c r="G2494" s="2">
        <f t="shared" si="38"/>
        <v>5340</v>
      </c>
      <c r="H2494" t="s">
        <v>13</v>
      </c>
    </row>
    <row r="2495" spans="2:8" x14ac:dyDescent="0.2">
      <c r="B2495" s="3">
        <v>44648</v>
      </c>
      <c r="G2495" s="2">
        <f t="shared" si="38"/>
        <v>0</v>
      </c>
      <c r="H2495" t="s">
        <v>30</v>
      </c>
    </row>
    <row r="2496" spans="2:8" x14ac:dyDescent="0.2">
      <c r="B2496" s="3">
        <v>44648</v>
      </c>
      <c r="G2496" s="2">
        <f t="shared" si="38"/>
        <v>0</v>
      </c>
      <c r="H2496" t="s">
        <v>35</v>
      </c>
    </row>
    <row r="2497" spans="2:8" x14ac:dyDescent="0.2">
      <c r="B2497" s="3">
        <v>44648</v>
      </c>
      <c r="F2497" s="1">
        <v>2000</v>
      </c>
      <c r="G2497" s="2">
        <f t="shared" si="38"/>
        <v>-2000</v>
      </c>
      <c r="H2497" t="s">
        <v>25</v>
      </c>
    </row>
    <row r="2498" spans="2:8" x14ac:dyDescent="0.2">
      <c r="B2498" s="3">
        <v>44648</v>
      </c>
      <c r="G2498" s="2">
        <f t="shared" si="38"/>
        <v>0</v>
      </c>
      <c r="H2498" t="s">
        <v>34</v>
      </c>
    </row>
    <row r="2499" spans="2:8" x14ac:dyDescent="0.2">
      <c r="B2499" s="3">
        <v>44648</v>
      </c>
      <c r="G2499" s="2">
        <f t="shared" ref="G2499:G2562" si="39">E2499-F2499</f>
        <v>0</v>
      </c>
      <c r="H2499" t="s">
        <v>33</v>
      </c>
    </row>
    <row r="2500" spans="2:8" x14ac:dyDescent="0.2">
      <c r="B2500" s="3">
        <v>44648</v>
      </c>
      <c r="D2500" s="1">
        <v>875</v>
      </c>
      <c r="E2500" s="1">
        <v>1250</v>
      </c>
      <c r="F2500" s="1">
        <v>15560</v>
      </c>
      <c r="G2500" s="2">
        <f t="shared" si="39"/>
        <v>-14310</v>
      </c>
      <c r="H2500" t="s">
        <v>9</v>
      </c>
    </row>
    <row r="2501" spans="2:8" x14ac:dyDescent="0.2">
      <c r="B2501" s="3">
        <v>44648</v>
      </c>
      <c r="G2501" s="2">
        <f t="shared" si="39"/>
        <v>0</v>
      </c>
      <c r="H2501" t="s">
        <v>32</v>
      </c>
    </row>
    <row r="2502" spans="2:8" x14ac:dyDescent="0.2">
      <c r="B2502" s="3">
        <v>44648</v>
      </c>
      <c r="F2502" s="1">
        <v>1600</v>
      </c>
      <c r="G2502" s="2">
        <f t="shared" si="39"/>
        <v>-1600</v>
      </c>
      <c r="H2502" t="s">
        <v>39</v>
      </c>
    </row>
    <row r="2503" spans="2:8" x14ac:dyDescent="0.2">
      <c r="B2503" s="3">
        <v>44649</v>
      </c>
      <c r="D2503" s="28"/>
      <c r="G2503" s="2">
        <f t="shared" si="39"/>
        <v>0</v>
      </c>
      <c r="H2503" t="s">
        <v>14</v>
      </c>
    </row>
    <row r="2504" spans="2:8" x14ac:dyDescent="0.2">
      <c r="B2504" s="3">
        <v>44649</v>
      </c>
      <c r="D2504" s="1">
        <v>7700</v>
      </c>
      <c r="E2504" s="1">
        <v>8600</v>
      </c>
      <c r="G2504" s="2">
        <f t="shared" si="39"/>
        <v>8600</v>
      </c>
      <c r="H2504" t="s">
        <v>27</v>
      </c>
    </row>
    <row r="2505" spans="2:8" x14ac:dyDescent="0.2">
      <c r="B2505" s="3">
        <v>44649</v>
      </c>
      <c r="F2505" s="1">
        <v>5000</v>
      </c>
      <c r="G2505" s="2">
        <f t="shared" si="39"/>
        <v>-5000</v>
      </c>
      <c r="H2505" t="s">
        <v>13</v>
      </c>
    </row>
    <row r="2506" spans="2:8" x14ac:dyDescent="0.2">
      <c r="B2506" s="3">
        <v>44649</v>
      </c>
      <c r="G2506" s="2">
        <f t="shared" si="39"/>
        <v>0</v>
      </c>
      <c r="H2506" t="s">
        <v>30</v>
      </c>
    </row>
    <row r="2507" spans="2:8" x14ac:dyDescent="0.2">
      <c r="B2507" s="3">
        <v>44649</v>
      </c>
      <c r="G2507" s="2">
        <f t="shared" si="39"/>
        <v>0</v>
      </c>
      <c r="H2507" t="s">
        <v>35</v>
      </c>
    </row>
    <row r="2508" spans="2:8" x14ac:dyDescent="0.2">
      <c r="B2508" s="3">
        <v>44649</v>
      </c>
      <c r="G2508" s="2">
        <f t="shared" si="39"/>
        <v>0</v>
      </c>
      <c r="H2508" t="s">
        <v>25</v>
      </c>
    </row>
    <row r="2509" spans="2:8" x14ac:dyDescent="0.2">
      <c r="B2509" s="3">
        <v>44649</v>
      </c>
      <c r="G2509" s="2">
        <f t="shared" si="39"/>
        <v>0</v>
      </c>
      <c r="H2509" t="s">
        <v>34</v>
      </c>
    </row>
    <row r="2510" spans="2:8" x14ac:dyDescent="0.2">
      <c r="B2510" s="3">
        <v>44649</v>
      </c>
      <c r="G2510" s="2">
        <f t="shared" si="39"/>
        <v>0</v>
      </c>
      <c r="H2510" t="s">
        <v>33</v>
      </c>
    </row>
    <row r="2511" spans="2:8" x14ac:dyDescent="0.2">
      <c r="B2511" s="3">
        <v>44649</v>
      </c>
      <c r="G2511" s="2">
        <f t="shared" si="39"/>
        <v>0</v>
      </c>
      <c r="H2511" t="s">
        <v>9</v>
      </c>
    </row>
    <row r="2512" spans="2:8" x14ac:dyDescent="0.2">
      <c r="B2512" s="3">
        <v>44649</v>
      </c>
      <c r="G2512" s="2">
        <f t="shared" si="39"/>
        <v>0</v>
      </c>
      <c r="H2512" t="s">
        <v>32</v>
      </c>
    </row>
    <row r="2513" spans="2:8" x14ac:dyDescent="0.2">
      <c r="B2513" s="3">
        <v>44649</v>
      </c>
      <c r="G2513" s="2">
        <f t="shared" si="39"/>
        <v>0</v>
      </c>
      <c r="H2513" s="1"/>
    </row>
    <row r="2514" spans="2:8" x14ac:dyDescent="0.2">
      <c r="B2514" s="3">
        <v>44650</v>
      </c>
      <c r="D2514" s="28"/>
      <c r="G2514" s="2">
        <f t="shared" si="39"/>
        <v>0</v>
      </c>
      <c r="H2514" t="s">
        <v>14</v>
      </c>
    </row>
    <row r="2515" spans="2:8" x14ac:dyDescent="0.2">
      <c r="B2515" s="3">
        <v>44650</v>
      </c>
      <c r="G2515" s="2">
        <f t="shared" si="39"/>
        <v>0</v>
      </c>
      <c r="H2515" t="s">
        <v>27</v>
      </c>
    </row>
    <row r="2516" spans="2:8" x14ac:dyDescent="0.2">
      <c r="B2516" s="3">
        <v>44650</v>
      </c>
      <c r="G2516" s="2">
        <f t="shared" si="39"/>
        <v>0</v>
      </c>
      <c r="H2516" t="s">
        <v>13</v>
      </c>
    </row>
    <row r="2517" spans="2:8" x14ac:dyDescent="0.2">
      <c r="B2517" s="3">
        <v>44650</v>
      </c>
      <c r="G2517" s="2">
        <f t="shared" si="39"/>
        <v>0</v>
      </c>
      <c r="H2517" t="s">
        <v>30</v>
      </c>
    </row>
    <row r="2518" spans="2:8" x14ac:dyDescent="0.2">
      <c r="B2518" s="3">
        <v>44650</v>
      </c>
      <c r="G2518" s="2">
        <f t="shared" si="39"/>
        <v>0</v>
      </c>
      <c r="H2518" t="s">
        <v>35</v>
      </c>
    </row>
    <row r="2519" spans="2:8" x14ac:dyDescent="0.2">
      <c r="B2519" s="3">
        <v>44650</v>
      </c>
      <c r="G2519" s="2">
        <f t="shared" si="39"/>
        <v>0</v>
      </c>
      <c r="H2519" t="s">
        <v>25</v>
      </c>
    </row>
    <row r="2520" spans="2:8" x14ac:dyDescent="0.2">
      <c r="B2520" s="3">
        <v>44650</v>
      </c>
      <c r="G2520" s="2">
        <f t="shared" si="39"/>
        <v>0</v>
      </c>
      <c r="H2520" t="s">
        <v>34</v>
      </c>
    </row>
    <row r="2521" spans="2:8" x14ac:dyDescent="0.2">
      <c r="B2521" s="3">
        <v>44650</v>
      </c>
      <c r="G2521" s="2">
        <f t="shared" si="39"/>
        <v>0</v>
      </c>
      <c r="H2521" t="s">
        <v>33</v>
      </c>
    </row>
    <row r="2522" spans="2:8" x14ac:dyDescent="0.2">
      <c r="B2522" s="3">
        <v>44650</v>
      </c>
      <c r="G2522" s="2">
        <f t="shared" si="39"/>
        <v>0</v>
      </c>
      <c r="H2522" t="s">
        <v>9</v>
      </c>
    </row>
    <row r="2523" spans="2:8" x14ac:dyDescent="0.2">
      <c r="B2523" s="3">
        <v>44650</v>
      </c>
      <c r="G2523" s="2">
        <f t="shared" si="39"/>
        <v>0</v>
      </c>
      <c r="H2523" t="s">
        <v>32</v>
      </c>
    </row>
    <row r="2524" spans="2:8" x14ac:dyDescent="0.2">
      <c r="B2524" s="3">
        <v>44650</v>
      </c>
      <c r="G2524" s="2">
        <f t="shared" si="39"/>
        <v>0</v>
      </c>
      <c r="H2524" s="1"/>
    </row>
    <row r="2525" spans="2:8" x14ac:dyDescent="0.2">
      <c r="B2525" s="3">
        <v>44651</v>
      </c>
      <c r="D2525" s="28"/>
      <c r="G2525" s="2">
        <f t="shared" si="39"/>
        <v>0</v>
      </c>
      <c r="H2525" t="s">
        <v>14</v>
      </c>
    </row>
    <row r="2526" spans="2:8" x14ac:dyDescent="0.2">
      <c r="B2526" s="3">
        <v>44651</v>
      </c>
      <c r="F2526" s="1">
        <v>474.79250000000002</v>
      </c>
      <c r="G2526" s="2">
        <f t="shared" si="39"/>
        <v>-474.79250000000002</v>
      </c>
      <c r="H2526" t="s">
        <v>27</v>
      </c>
    </row>
    <row r="2527" spans="2:8" x14ac:dyDescent="0.2">
      <c r="B2527" s="3">
        <v>44651</v>
      </c>
      <c r="G2527" s="2">
        <f t="shared" si="39"/>
        <v>0</v>
      </c>
      <c r="H2527" t="s">
        <v>13</v>
      </c>
    </row>
    <row r="2528" spans="2:8" x14ac:dyDescent="0.2">
      <c r="B2528" s="3">
        <v>44651</v>
      </c>
      <c r="G2528" s="2">
        <f t="shared" si="39"/>
        <v>0</v>
      </c>
      <c r="H2528" t="s">
        <v>30</v>
      </c>
    </row>
    <row r="2529" spans="2:8" x14ac:dyDescent="0.2">
      <c r="B2529" s="3">
        <v>44651</v>
      </c>
      <c r="G2529" s="2">
        <f t="shared" si="39"/>
        <v>0</v>
      </c>
      <c r="H2529" t="s">
        <v>35</v>
      </c>
    </row>
    <row r="2530" spans="2:8" x14ac:dyDescent="0.2">
      <c r="B2530" s="3">
        <v>44651</v>
      </c>
      <c r="G2530" s="2">
        <f t="shared" si="39"/>
        <v>0</v>
      </c>
      <c r="H2530" t="s">
        <v>25</v>
      </c>
    </row>
    <row r="2531" spans="2:8" x14ac:dyDescent="0.2">
      <c r="B2531" s="3">
        <v>44651</v>
      </c>
      <c r="G2531" s="2">
        <f t="shared" si="39"/>
        <v>0</v>
      </c>
      <c r="H2531" t="s">
        <v>34</v>
      </c>
    </row>
    <row r="2532" spans="2:8" x14ac:dyDescent="0.2">
      <c r="B2532" s="3">
        <v>44651</v>
      </c>
      <c r="G2532" s="2">
        <f t="shared" si="39"/>
        <v>0</v>
      </c>
      <c r="H2532" t="s">
        <v>33</v>
      </c>
    </row>
    <row r="2533" spans="2:8" x14ac:dyDescent="0.2">
      <c r="B2533" s="3">
        <v>44651</v>
      </c>
      <c r="D2533" s="1">
        <v>875</v>
      </c>
      <c r="E2533" s="1">
        <v>1250</v>
      </c>
      <c r="F2533" s="1">
        <v>1500</v>
      </c>
      <c r="G2533" s="2">
        <f t="shared" si="39"/>
        <v>-250</v>
      </c>
      <c r="H2533" t="s">
        <v>9</v>
      </c>
    </row>
    <row r="2534" spans="2:8" x14ac:dyDescent="0.2">
      <c r="B2534" s="3">
        <v>44651</v>
      </c>
      <c r="G2534" s="2">
        <f t="shared" si="39"/>
        <v>0</v>
      </c>
      <c r="H2534" t="s">
        <v>32</v>
      </c>
    </row>
    <row r="2535" spans="2:8" x14ac:dyDescent="0.2">
      <c r="B2535" s="3">
        <v>44651</v>
      </c>
      <c r="G2535" s="2">
        <f t="shared" si="39"/>
        <v>0</v>
      </c>
      <c r="H2535" s="1"/>
    </row>
    <row r="2536" spans="2:8" x14ac:dyDescent="0.2">
      <c r="B2536" s="3">
        <v>44652</v>
      </c>
      <c r="D2536" s="28"/>
      <c r="G2536" s="2">
        <f t="shared" si="39"/>
        <v>0</v>
      </c>
      <c r="H2536" t="s">
        <v>14</v>
      </c>
    </row>
    <row r="2537" spans="2:8" x14ac:dyDescent="0.2">
      <c r="B2537" s="3">
        <v>44652</v>
      </c>
      <c r="G2537" s="2">
        <f t="shared" si="39"/>
        <v>0</v>
      </c>
      <c r="H2537" t="s">
        <v>27</v>
      </c>
    </row>
    <row r="2538" spans="2:8" x14ac:dyDescent="0.2">
      <c r="B2538" s="3">
        <v>44652</v>
      </c>
      <c r="G2538" s="2">
        <f t="shared" si="39"/>
        <v>0</v>
      </c>
      <c r="H2538" t="s">
        <v>13</v>
      </c>
    </row>
    <row r="2539" spans="2:8" x14ac:dyDescent="0.2">
      <c r="B2539" s="3">
        <v>44652</v>
      </c>
      <c r="G2539" s="2">
        <f t="shared" si="39"/>
        <v>0</v>
      </c>
      <c r="H2539" t="s">
        <v>30</v>
      </c>
    </row>
    <row r="2540" spans="2:8" x14ac:dyDescent="0.2">
      <c r="B2540" s="3">
        <v>44652</v>
      </c>
      <c r="G2540" s="2">
        <f t="shared" si="39"/>
        <v>0</v>
      </c>
      <c r="H2540" t="s">
        <v>35</v>
      </c>
    </row>
    <row r="2541" spans="2:8" x14ac:dyDescent="0.2">
      <c r="B2541" s="3">
        <v>44652</v>
      </c>
      <c r="G2541" s="2">
        <f t="shared" si="39"/>
        <v>0</v>
      </c>
      <c r="H2541" t="s">
        <v>25</v>
      </c>
    </row>
    <row r="2542" spans="2:8" x14ac:dyDescent="0.2">
      <c r="B2542" s="3">
        <v>44652</v>
      </c>
      <c r="G2542" s="2">
        <f t="shared" si="39"/>
        <v>0</v>
      </c>
      <c r="H2542" t="s">
        <v>34</v>
      </c>
    </row>
    <row r="2543" spans="2:8" x14ac:dyDescent="0.2">
      <c r="B2543" s="3">
        <v>44652</v>
      </c>
      <c r="G2543" s="2">
        <f t="shared" si="39"/>
        <v>0</v>
      </c>
      <c r="H2543" t="s">
        <v>33</v>
      </c>
    </row>
    <row r="2544" spans="2:8" x14ac:dyDescent="0.2">
      <c r="B2544" s="3">
        <v>44652</v>
      </c>
      <c r="G2544" s="2">
        <f t="shared" si="39"/>
        <v>0</v>
      </c>
      <c r="H2544" t="s">
        <v>9</v>
      </c>
    </row>
    <row r="2545" spans="2:8" x14ac:dyDescent="0.2">
      <c r="B2545" s="3">
        <v>44652</v>
      </c>
      <c r="G2545" s="2">
        <f t="shared" si="39"/>
        <v>0</v>
      </c>
      <c r="H2545" t="s">
        <v>32</v>
      </c>
    </row>
    <row r="2546" spans="2:8" x14ac:dyDescent="0.2">
      <c r="B2546" s="3">
        <v>44652</v>
      </c>
      <c r="G2546" s="2">
        <f t="shared" si="39"/>
        <v>0</v>
      </c>
      <c r="H2546" s="1"/>
    </row>
    <row r="2547" spans="2:8" x14ac:dyDescent="0.2">
      <c r="B2547" s="3">
        <v>44653</v>
      </c>
      <c r="D2547" s="28">
        <f>24*125</f>
        <v>3000</v>
      </c>
      <c r="E2547" s="1">
        <v>3312.5</v>
      </c>
      <c r="G2547" s="2">
        <f t="shared" si="39"/>
        <v>3312.5</v>
      </c>
      <c r="H2547" t="s">
        <v>14</v>
      </c>
    </row>
    <row r="2548" spans="2:8" x14ac:dyDescent="0.2">
      <c r="B2548" s="3">
        <v>44653</v>
      </c>
      <c r="G2548" s="2">
        <f t="shared" si="39"/>
        <v>0</v>
      </c>
      <c r="H2548" t="s">
        <v>27</v>
      </c>
    </row>
    <row r="2549" spans="2:8" x14ac:dyDescent="0.2">
      <c r="B2549" s="3">
        <v>44653</v>
      </c>
      <c r="G2549" s="2">
        <f t="shared" si="39"/>
        <v>0</v>
      </c>
      <c r="H2549" t="s">
        <v>13</v>
      </c>
    </row>
    <row r="2550" spans="2:8" x14ac:dyDescent="0.2">
      <c r="B2550" s="3">
        <v>44653</v>
      </c>
      <c r="G2550" s="2">
        <f t="shared" si="39"/>
        <v>0</v>
      </c>
      <c r="H2550" t="s">
        <v>30</v>
      </c>
    </row>
    <row r="2551" spans="2:8" x14ac:dyDescent="0.2">
      <c r="B2551" s="3">
        <v>44653</v>
      </c>
      <c r="D2551" s="1">
        <v>535</v>
      </c>
      <c r="E2551" s="1">
        <v>637.5</v>
      </c>
      <c r="G2551" s="2">
        <f t="shared" si="39"/>
        <v>637.5</v>
      </c>
      <c r="H2551" t="s">
        <v>35</v>
      </c>
    </row>
    <row r="2552" spans="2:8" x14ac:dyDescent="0.2">
      <c r="B2552" s="3">
        <v>44653</v>
      </c>
      <c r="G2552" s="2">
        <f t="shared" si="39"/>
        <v>0</v>
      </c>
      <c r="H2552" t="s">
        <v>25</v>
      </c>
    </row>
    <row r="2553" spans="2:8" x14ac:dyDescent="0.2">
      <c r="B2553" s="3">
        <v>44653</v>
      </c>
      <c r="G2553" s="2">
        <f t="shared" si="39"/>
        <v>0</v>
      </c>
      <c r="H2553" t="s">
        <v>34</v>
      </c>
    </row>
    <row r="2554" spans="2:8" x14ac:dyDescent="0.2">
      <c r="B2554" s="3">
        <v>44653</v>
      </c>
      <c r="G2554" s="2">
        <f t="shared" si="39"/>
        <v>0</v>
      </c>
      <c r="H2554" t="s">
        <v>33</v>
      </c>
    </row>
    <row r="2555" spans="2:8" x14ac:dyDescent="0.2">
      <c r="B2555" s="3">
        <v>44653</v>
      </c>
      <c r="G2555" s="2">
        <f t="shared" si="39"/>
        <v>0</v>
      </c>
      <c r="H2555" t="s">
        <v>9</v>
      </c>
    </row>
    <row r="2556" spans="2:8" x14ac:dyDescent="0.2">
      <c r="B2556" s="3">
        <v>44653</v>
      </c>
      <c r="G2556" s="2">
        <f t="shared" si="39"/>
        <v>0</v>
      </c>
      <c r="H2556" t="s">
        <v>32</v>
      </c>
    </row>
    <row r="2557" spans="2:8" x14ac:dyDescent="0.2">
      <c r="B2557" s="3">
        <v>44653</v>
      </c>
      <c r="G2557" s="2">
        <f t="shared" si="39"/>
        <v>0</v>
      </c>
      <c r="H2557" s="1"/>
    </row>
    <row r="2558" spans="2:8" x14ac:dyDescent="0.2">
      <c r="B2558" s="3">
        <v>44654</v>
      </c>
      <c r="D2558" s="28"/>
      <c r="F2558" s="1">
        <v>7000</v>
      </c>
      <c r="G2558" s="2">
        <f t="shared" si="39"/>
        <v>-7000</v>
      </c>
      <c r="H2558" t="s">
        <v>14</v>
      </c>
    </row>
    <row r="2559" spans="2:8" x14ac:dyDescent="0.2">
      <c r="B2559" s="3">
        <v>44654</v>
      </c>
      <c r="G2559" s="2">
        <f t="shared" si="39"/>
        <v>0</v>
      </c>
      <c r="H2559" t="s">
        <v>27</v>
      </c>
    </row>
    <row r="2560" spans="2:8" x14ac:dyDescent="0.2">
      <c r="B2560" s="3">
        <v>44654</v>
      </c>
      <c r="D2560" s="1">
        <v>6176.25</v>
      </c>
      <c r="E2560" s="1">
        <v>7094.25</v>
      </c>
      <c r="F2560" s="1">
        <v>4000</v>
      </c>
      <c r="G2560" s="2">
        <f t="shared" si="39"/>
        <v>3094.25</v>
      </c>
      <c r="H2560" t="s">
        <v>13</v>
      </c>
    </row>
    <row r="2561" spans="2:8" x14ac:dyDescent="0.2">
      <c r="B2561" s="3">
        <v>44654</v>
      </c>
      <c r="G2561" s="2">
        <f t="shared" si="39"/>
        <v>0</v>
      </c>
      <c r="H2561" t="s">
        <v>30</v>
      </c>
    </row>
    <row r="2562" spans="2:8" x14ac:dyDescent="0.2">
      <c r="B2562" s="3">
        <v>44654</v>
      </c>
      <c r="G2562" s="2">
        <f t="shared" si="39"/>
        <v>0</v>
      </c>
      <c r="H2562" t="s">
        <v>35</v>
      </c>
    </row>
    <row r="2563" spans="2:8" x14ac:dyDescent="0.2">
      <c r="B2563" s="3">
        <v>44654</v>
      </c>
      <c r="F2563" s="1">
        <v>5000</v>
      </c>
      <c r="G2563" s="2">
        <f t="shared" ref="G2563:G2626" si="40">E2563-F2563</f>
        <v>-5000</v>
      </c>
      <c r="H2563" t="s">
        <v>25</v>
      </c>
    </row>
    <row r="2564" spans="2:8" x14ac:dyDescent="0.2">
      <c r="B2564" s="3">
        <v>44654</v>
      </c>
      <c r="G2564" s="2">
        <f t="shared" si="40"/>
        <v>0</v>
      </c>
      <c r="H2564" t="s">
        <v>34</v>
      </c>
    </row>
    <row r="2565" spans="2:8" x14ac:dyDescent="0.2">
      <c r="B2565" s="3">
        <v>44654</v>
      </c>
      <c r="D2565" s="1">
        <v>350</v>
      </c>
      <c r="E2565" s="1">
        <v>400</v>
      </c>
      <c r="F2565" s="1">
        <v>1355</v>
      </c>
      <c r="G2565" s="2">
        <f t="shared" si="40"/>
        <v>-955</v>
      </c>
      <c r="H2565" t="s">
        <v>33</v>
      </c>
    </row>
    <row r="2566" spans="2:8" x14ac:dyDescent="0.2">
      <c r="B2566" s="3">
        <v>44654</v>
      </c>
      <c r="G2566" s="2">
        <f t="shared" si="40"/>
        <v>0</v>
      </c>
      <c r="H2566" t="s">
        <v>9</v>
      </c>
    </row>
    <row r="2567" spans="2:8" x14ac:dyDescent="0.2">
      <c r="B2567" s="3">
        <v>44654</v>
      </c>
      <c r="G2567" s="2">
        <f t="shared" si="40"/>
        <v>0</v>
      </c>
      <c r="H2567" t="s">
        <v>32</v>
      </c>
    </row>
    <row r="2568" spans="2:8" x14ac:dyDescent="0.2">
      <c r="B2568" s="3">
        <v>44654</v>
      </c>
      <c r="G2568" s="2">
        <f t="shared" si="40"/>
        <v>0</v>
      </c>
      <c r="H2568" s="1"/>
    </row>
    <row r="2569" spans="2:8" x14ac:dyDescent="0.2">
      <c r="B2569" s="3">
        <v>44655</v>
      </c>
      <c r="D2569" s="28"/>
      <c r="G2569" s="2">
        <f t="shared" si="40"/>
        <v>0</v>
      </c>
      <c r="H2569" t="s">
        <v>14</v>
      </c>
    </row>
    <row r="2570" spans="2:8" x14ac:dyDescent="0.2">
      <c r="B2570" s="3">
        <v>44655</v>
      </c>
      <c r="G2570" s="2">
        <f t="shared" si="40"/>
        <v>0</v>
      </c>
      <c r="H2570" t="s">
        <v>27</v>
      </c>
    </row>
    <row r="2571" spans="2:8" x14ac:dyDescent="0.2">
      <c r="B2571" s="3">
        <v>44655</v>
      </c>
      <c r="D2571" s="1">
        <v>3464</v>
      </c>
      <c r="E2571" s="1">
        <v>3841.5</v>
      </c>
      <c r="F2571" s="1">
        <v>1650</v>
      </c>
      <c r="G2571" s="2">
        <f t="shared" si="40"/>
        <v>2191.5</v>
      </c>
      <c r="H2571" t="s">
        <v>13</v>
      </c>
    </row>
    <row r="2572" spans="2:8" x14ac:dyDescent="0.2">
      <c r="B2572" s="3">
        <v>44655</v>
      </c>
      <c r="D2572" s="1">
        <v>14329.7</v>
      </c>
      <c r="E2572" s="1">
        <v>20190.54</v>
      </c>
      <c r="G2572" s="2">
        <f t="shared" si="40"/>
        <v>20190.54</v>
      </c>
      <c r="H2572" t="s">
        <v>30</v>
      </c>
    </row>
    <row r="2573" spans="2:8" x14ac:dyDescent="0.2">
      <c r="B2573" s="3">
        <v>44655</v>
      </c>
      <c r="G2573" s="2">
        <f t="shared" si="40"/>
        <v>0</v>
      </c>
      <c r="H2573" t="s">
        <v>35</v>
      </c>
    </row>
    <row r="2574" spans="2:8" x14ac:dyDescent="0.2">
      <c r="B2574" s="3">
        <v>44655</v>
      </c>
      <c r="G2574" s="2">
        <f t="shared" si="40"/>
        <v>0</v>
      </c>
      <c r="H2574" t="s">
        <v>25</v>
      </c>
    </row>
    <row r="2575" spans="2:8" x14ac:dyDescent="0.2">
      <c r="B2575" s="3">
        <v>44655</v>
      </c>
      <c r="G2575" s="2">
        <f t="shared" si="40"/>
        <v>0</v>
      </c>
      <c r="H2575" t="s">
        <v>34</v>
      </c>
    </row>
    <row r="2576" spans="2:8" x14ac:dyDescent="0.2">
      <c r="B2576" s="3">
        <v>44655</v>
      </c>
      <c r="G2576" s="2">
        <f t="shared" si="40"/>
        <v>0</v>
      </c>
      <c r="H2576" t="s">
        <v>33</v>
      </c>
    </row>
    <row r="2577" spans="2:8" x14ac:dyDescent="0.2">
      <c r="B2577" s="3">
        <v>44655</v>
      </c>
      <c r="G2577" s="2">
        <f t="shared" si="40"/>
        <v>0</v>
      </c>
      <c r="H2577" t="s">
        <v>9</v>
      </c>
    </row>
    <row r="2578" spans="2:8" x14ac:dyDescent="0.2">
      <c r="B2578" s="3">
        <v>44655</v>
      </c>
      <c r="G2578" s="2">
        <f t="shared" si="40"/>
        <v>0</v>
      </c>
      <c r="H2578" t="s">
        <v>32</v>
      </c>
    </row>
    <row r="2579" spans="2:8" x14ac:dyDescent="0.2">
      <c r="B2579" s="3">
        <v>44655</v>
      </c>
      <c r="G2579" s="2">
        <f t="shared" si="40"/>
        <v>0</v>
      </c>
      <c r="H2579" s="1"/>
    </row>
    <row r="2580" spans="2:8" x14ac:dyDescent="0.2">
      <c r="B2580" s="3">
        <v>44656</v>
      </c>
      <c r="D2580" s="28"/>
      <c r="G2580" s="2">
        <f t="shared" si="40"/>
        <v>0</v>
      </c>
      <c r="H2580" t="s">
        <v>14</v>
      </c>
    </row>
    <row r="2581" spans="2:8" x14ac:dyDescent="0.2">
      <c r="B2581" s="3">
        <v>44656</v>
      </c>
      <c r="G2581" s="2">
        <f t="shared" si="40"/>
        <v>0</v>
      </c>
      <c r="H2581" t="s">
        <v>27</v>
      </c>
    </row>
    <row r="2582" spans="2:8" x14ac:dyDescent="0.2">
      <c r="B2582" s="3">
        <v>44656</v>
      </c>
      <c r="G2582" s="2">
        <f t="shared" si="40"/>
        <v>0</v>
      </c>
      <c r="H2582" t="s">
        <v>13</v>
      </c>
    </row>
    <row r="2583" spans="2:8" x14ac:dyDescent="0.2">
      <c r="B2583" s="3">
        <v>44656</v>
      </c>
      <c r="G2583" s="2">
        <f t="shared" si="40"/>
        <v>0</v>
      </c>
      <c r="H2583" t="s">
        <v>30</v>
      </c>
    </row>
    <row r="2584" spans="2:8" x14ac:dyDescent="0.2">
      <c r="B2584" s="3">
        <v>44656</v>
      </c>
      <c r="G2584" s="2">
        <f t="shared" si="40"/>
        <v>0</v>
      </c>
      <c r="H2584" t="s">
        <v>35</v>
      </c>
    </row>
    <row r="2585" spans="2:8" x14ac:dyDescent="0.2">
      <c r="B2585" s="3">
        <v>44656</v>
      </c>
      <c r="G2585" s="2">
        <f t="shared" si="40"/>
        <v>0</v>
      </c>
      <c r="H2585" t="s">
        <v>25</v>
      </c>
    </row>
    <row r="2586" spans="2:8" x14ac:dyDescent="0.2">
      <c r="B2586" s="3">
        <v>44656</v>
      </c>
      <c r="G2586" s="2">
        <f t="shared" si="40"/>
        <v>0</v>
      </c>
      <c r="H2586" t="s">
        <v>34</v>
      </c>
    </row>
    <row r="2587" spans="2:8" x14ac:dyDescent="0.2">
      <c r="B2587" s="3">
        <v>44656</v>
      </c>
      <c r="G2587" s="2">
        <f t="shared" si="40"/>
        <v>0</v>
      </c>
      <c r="H2587" t="s">
        <v>33</v>
      </c>
    </row>
    <row r="2588" spans="2:8" x14ac:dyDescent="0.2">
      <c r="B2588" s="3">
        <v>44656</v>
      </c>
      <c r="G2588" s="2">
        <f t="shared" si="40"/>
        <v>0</v>
      </c>
      <c r="H2588" t="s">
        <v>9</v>
      </c>
    </row>
    <row r="2589" spans="2:8" x14ac:dyDescent="0.2">
      <c r="B2589" s="3">
        <v>44656</v>
      </c>
      <c r="G2589" s="2">
        <f t="shared" si="40"/>
        <v>0</v>
      </c>
      <c r="H2589" t="s">
        <v>32</v>
      </c>
    </row>
    <row r="2590" spans="2:8" x14ac:dyDescent="0.2">
      <c r="B2590" s="3">
        <v>44656</v>
      </c>
      <c r="G2590" s="2">
        <f t="shared" si="40"/>
        <v>0</v>
      </c>
      <c r="H2590" s="1"/>
    </row>
    <row r="2591" spans="2:8" x14ac:dyDescent="0.2">
      <c r="B2591" s="3">
        <v>44657</v>
      </c>
      <c r="D2591" s="28"/>
      <c r="G2591" s="2">
        <f t="shared" si="40"/>
        <v>0</v>
      </c>
      <c r="H2591" t="s">
        <v>14</v>
      </c>
    </row>
    <row r="2592" spans="2:8" x14ac:dyDescent="0.2">
      <c r="B2592" s="3">
        <v>44657</v>
      </c>
      <c r="G2592" s="2">
        <f t="shared" si="40"/>
        <v>0</v>
      </c>
      <c r="H2592" t="s">
        <v>27</v>
      </c>
    </row>
    <row r="2593" spans="2:8" x14ac:dyDescent="0.2">
      <c r="B2593" s="3">
        <v>44657</v>
      </c>
      <c r="G2593" s="2">
        <f t="shared" si="40"/>
        <v>0</v>
      </c>
      <c r="H2593" t="s">
        <v>13</v>
      </c>
    </row>
    <row r="2594" spans="2:8" x14ac:dyDescent="0.2">
      <c r="B2594" s="3">
        <v>44657</v>
      </c>
      <c r="G2594" s="2">
        <f t="shared" si="40"/>
        <v>0</v>
      </c>
      <c r="H2594" t="s">
        <v>30</v>
      </c>
    </row>
    <row r="2595" spans="2:8" x14ac:dyDescent="0.2">
      <c r="B2595" s="3">
        <v>44657</v>
      </c>
      <c r="G2595" s="2">
        <f t="shared" si="40"/>
        <v>0</v>
      </c>
      <c r="H2595" t="s">
        <v>35</v>
      </c>
    </row>
    <row r="2596" spans="2:8" x14ac:dyDescent="0.2">
      <c r="B2596" s="3">
        <v>44657</v>
      </c>
      <c r="G2596" s="2">
        <f t="shared" si="40"/>
        <v>0</v>
      </c>
      <c r="H2596" t="s">
        <v>25</v>
      </c>
    </row>
    <row r="2597" spans="2:8" x14ac:dyDescent="0.2">
      <c r="B2597" s="3">
        <v>44657</v>
      </c>
      <c r="G2597" s="2">
        <f t="shared" si="40"/>
        <v>0</v>
      </c>
      <c r="H2597" t="s">
        <v>34</v>
      </c>
    </row>
    <row r="2598" spans="2:8" x14ac:dyDescent="0.2">
      <c r="B2598" s="3">
        <v>44657</v>
      </c>
      <c r="G2598" s="2">
        <f t="shared" si="40"/>
        <v>0</v>
      </c>
      <c r="H2598" t="s">
        <v>33</v>
      </c>
    </row>
    <row r="2599" spans="2:8" x14ac:dyDescent="0.2">
      <c r="B2599" s="3">
        <v>44657</v>
      </c>
      <c r="G2599" s="2">
        <f t="shared" si="40"/>
        <v>0</v>
      </c>
      <c r="H2599" t="s">
        <v>9</v>
      </c>
    </row>
    <row r="2600" spans="2:8" x14ac:dyDescent="0.2">
      <c r="B2600" s="3">
        <v>44657</v>
      </c>
      <c r="G2600" s="2">
        <f t="shared" si="40"/>
        <v>0</v>
      </c>
      <c r="H2600" t="s">
        <v>32</v>
      </c>
    </row>
    <row r="2601" spans="2:8" x14ac:dyDescent="0.2">
      <c r="B2601" s="3">
        <v>44657</v>
      </c>
      <c r="G2601" s="2">
        <f t="shared" si="40"/>
        <v>0</v>
      </c>
      <c r="H2601" s="1"/>
    </row>
    <row r="2602" spans="2:8" x14ac:dyDescent="0.2">
      <c r="B2602" s="3">
        <v>44658</v>
      </c>
      <c r="D2602" s="28"/>
      <c r="G2602" s="2">
        <f t="shared" si="40"/>
        <v>0</v>
      </c>
      <c r="H2602" t="s">
        <v>14</v>
      </c>
    </row>
    <row r="2603" spans="2:8" x14ac:dyDescent="0.2">
      <c r="B2603" s="3">
        <v>44658</v>
      </c>
      <c r="F2603" s="1">
        <v>5000</v>
      </c>
      <c r="G2603" s="2">
        <f t="shared" si="40"/>
        <v>-5000</v>
      </c>
      <c r="H2603" t="s">
        <v>27</v>
      </c>
    </row>
    <row r="2604" spans="2:8" x14ac:dyDescent="0.2">
      <c r="B2604" s="3">
        <v>44658</v>
      </c>
      <c r="F2604" s="1">
        <v>3000</v>
      </c>
      <c r="G2604" s="2">
        <f t="shared" si="40"/>
        <v>-3000</v>
      </c>
      <c r="H2604" t="s">
        <v>13</v>
      </c>
    </row>
    <row r="2605" spans="2:8" x14ac:dyDescent="0.2">
      <c r="B2605" s="3">
        <v>44658</v>
      </c>
      <c r="F2605" s="1">
        <v>26000</v>
      </c>
      <c r="G2605" s="2">
        <f t="shared" si="40"/>
        <v>-26000</v>
      </c>
      <c r="H2605" t="s">
        <v>30</v>
      </c>
    </row>
    <row r="2606" spans="2:8" x14ac:dyDescent="0.2">
      <c r="B2606" s="3">
        <v>44658</v>
      </c>
      <c r="G2606" s="2">
        <f t="shared" si="40"/>
        <v>0</v>
      </c>
      <c r="H2606" t="s">
        <v>35</v>
      </c>
    </row>
    <row r="2607" spans="2:8" x14ac:dyDescent="0.2">
      <c r="B2607" s="3">
        <v>44658</v>
      </c>
      <c r="G2607" s="2">
        <f t="shared" si="40"/>
        <v>0</v>
      </c>
      <c r="H2607" t="s">
        <v>25</v>
      </c>
    </row>
    <row r="2608" spans="2:8" x14ac:dyDescent="0.2">
      <c r="B2608" s="3">
        <v>44658</v>
      </c>
      <c r="G2608" s="2">
        <f t="shared" si="40"/>
        <v>0</v>
      </c>
      <c r="H2608" t="s">
        <v>34</v>
      </c>
    </row>
    <row r="2609" spans="2:8" x14ac:dyDescent="0.2">
      <c r="B2609" s="3">
        <v>44658</v>
      </c>
      <c r="G2609" s="2">
        <f t="shared" si="40"/>
        <v>0</v>
      </c>
      <c r="H2609" t="s">
        <v>33</v>
      </c>
    </row>
    <row r="2610" spans="2:8" x14ac:dyDescent="0.2">
      <c r="B2610" s="3">
        <v>44658</v>
      </c>
      <c r="G2610" s="2">
        <f t="shared" si="40"/>
        <v>0</v>
      </c>
      <c r="H2610" t="s">
        <v>9</v>
      </c>
    </row>
    <row r="2611" spans="2:8" x14ac:dyDescent="0.2">
      <c r="B2611" s="3">
        <v>44658</v>
      </c>
      <c r="G2611" s="2">
        <f t="shared" si="40"/>
        <v>0</v>
      </c>
      <c r="H2611" t="s">
        <v>32</v>
      </c>
    </row>
    <row r="2612" spans="2:8" x14ac:dyDescent="0.2">
      <c r="B2612" s="3">
        <v>44658</v>
      </c>
      <c r="G2612" s="2">
        <f t="shared" si="40"/>
        <v>0</v>
      </c>
      <c r="H2612" s="1"/>
    </row>
    <row r="2613" spans="2:8" x14ac:dyDescent="0.2">
      <c r="B2613" s="3">
        <v>44659</v>
      </c>
      <c r="D2613" s="28"/>
      <c r="G2613" s="2">
        <f t="shared" si="40"/>
        <v>0</v>
      </c>
      <c r="H2613" t="s">
        <v>14</v>
      </c>
    </row>
    <row r="2614" spans="2:8" x14ac:dyDescent="0.2">
      <c r="B2614" s="3">
        <v>44659</v>
      </c>
      <c r="G2614" s="2">
        <f t="shared" si="40"/>
        <v>0</v>
      </c>
      <c r="H2614" t="s">
        <v>27</v>
      </c>
    </row>
    <row r="2615" spans="2:8" x14ac:dyDescent="0.2">
      <c r="B2615" s="3">
        <v>44659</v>
      </c>
      <c r="G2615" s="2">
        <f t="shared" si="40"/>
        <v>0</v>
      </c>
      <c r="H2615" t="s">
        <v>13</v>
      </c>
    </row>
    <row r="2616" spans="2:8" x14ac:dyDescent="0.2">
      <c r="B2616" s="3">
        <v>44659</v>
      </c>
      <c r="G2616" s="2">
        <f t="shared" si="40"/>
        <v>0</v>
      </c>
      <c r="H2616" t="s">
        <v>30</v>
      </c>
    </row>
    <row r="2617" spans="2:8" x14ac:dyDescent="0.2">
      <c r="B2617" s="3">
        <v>44659</v>
      </c>
      <c r="G2617" s="2">
        <f t="shared" si="40"/>
        <v>0</v>
      </c>
      <c r="H2617" t="s">
        <v>35</v>
      </c>
    </row>
    <row r="2618" spans="2:8" x14ac:dyDescent="0.2">
      <c r="B2618" s="3">
        <v>44659</v>
      </c>
      <c r="G2618" s="2">
        <f t="shared" si="40"/>
        <v>0</v>
      </c>
      <c r="H2618" t="s">
        <v>25</v>
      </c>
    </row>
    <row r="2619" spans="2:8" x14ac:dyDescent="0.2">
      <c r="B2619" s="3">
        <v>44659</v>
      </c>
      <c r="G2619" s="2">
        <f t="shared" si="40"/>
        <v>0</v>
      </c>
      <c r="H2619" t="s">
        <v>34</v>
      </c>
    </row>
    <row r="2620" spans="2:8" x14ac:dyDescent="0.2">
      <c r="B2620" s="3">
        <v>44659</v>
      </c>
      <c r="G2620" s="2">
        <f t="shared" si="40"/>
        <v>0</v>
      </c>
      <c r="H2620" t="s">
        <v>33</v>
      </c>
    </row>
    <row r="2621" spans="2:8" x14ac:dyDescent="0.2">
      <c r="B2621" s="3">
        <v>44659</v>
      </c>
      <c r="G2621" s="2">
        <f t="shared" si="40"/>
        <v>0</v>
      </c>
      <c r="H2621" t="s">
        <v>9</v>
      </c>
    </row>
    <row r="2622" spans="2:8" x14ac:dyDescent="0.2">
      <c r="B2622" s="3">
        <v>44659</v>
      </c>
      <c r="G2622" s="2">
        <f t="shared" si="40"/>
        <v>0</v>
      </c>
      <c r="H2622" t="s">
        <v>32</v>
      </c>
    </row>
    <row r="2623" spans="2:8" x14ac:dyDescent="0.2">
      <c r="B2623" s="3">
        <v>44659</v>
      </c>
      <c r="G2623" s="2">
        <f t="shared" si="40"/>
        <v>0</v>
      </c>
      <c r="H2623" s="1"/>
    </row>
    <row r="2624" spans="2:8" x14ac:dyDescent="0.2">
      <c r="B2624" s="3">
        <v>44660</v>
      </c>
      <c r="D2624" s="28"/>
      <c r="G2624" s="2">
        <f t="shared" si="40"/>
        <v>0</v>
      </c>
      <c r="H2624" t="s">
        <v>14</v>
      </c>
    </row>
    <row r="2625" spans="2:8" x14ac:dyDescent="0.2">
      <c r="B2625" s="3">
        <v>44660</v>
      </c>
      <c r="G2625" s="2">
        <f t="shared" si="40"/>
        <v>0</v>
      </c>
      <c r="H2625" t="s">
        <v>27</v>
      </c>
    </row>
    <row r="2626" spans="2:8" x14ac:dyDescent="0.2">
      <c r="B2626" s="3">
        <v>44660</v>
      </c>
      <c r="G2626" s="2">
        <f t="shared" si="40"/>
        <v>0</v>
      </c>
      <c r="H2626" t="s">
        <v>13</v>
      </c>
    </row>
    <row r="2627" spans="2:8" x14ac:dyDescent="0.2">
      <c r="B2627" s="3">
        <v>44660</v>
      </c>
      <c r="G2627" s="2">
        <f t="shared" ref="G2627:G2690" si="41">E2627-F2627</f>
        <v>0</v>
      </c>
      <c r="H2627" t="s">
        <v>30</v>
      </c>
    </row>
    <row r="2628" spans="2:8" x14ac:dyDescent="0.2">
      <c r="B2628" s="3">
        <v>44660</v>
      </c>
      <c r="D2628" s="1">
        <v>1080</v>
      </c>
      <c r="E2628" s="1">
        <v>1362.5</v>
      </c>
      <c r="G2628" s="2">
        <f t="shared" si="41"/>
        <v>1362.5</v>
      </c>
      <c r="H2628" t="s">
        <v>35</v>
      </c>
    </row>
    <row r="2629" spans="2:8" x14ac:dyDescent="0.2">
      <c r="B2629" s="3">
        <v>44660</v>
      </c>
      <c r="G2629" s="2">
        <f t="shared" si="41"/>
        <v>0</v>
      </c>
      <c r="H2629" t="s">
        <v>25</v>
      </c>
    </row>
    <row r="2630" spans="2:8" x14ac:dyDescent="0.2">
      <c r="B2630" s="3">
        <v>44660</v>
      </c>
      <c r="G2630" s="2">
        <f t="shared" si="41"/>
        <v>0</v>
      </c>
      <c r="H2630" t="s">
        <v>34</v>
      </c>
    </row>
    <row r="2631" spans="2:8" x14ac:dyDescent="0.2">
      <c r="B2631" s="3">
        <v>44660</v>
      </c>
      <c r="G2631" s="2">
        <f t="shared" si="41"/>
        <v>0</v>
      </c>
      <c r="H2631" t="s">
        <v>33</v>
      </c>
    </row>
    <row r="2632" spans="2:8" x14ac:dyDescent="0.2">
      <c r="B2632" s="3">
        <v>44660</v>
      </c>
      <c r="G2632" s="2">
        <f t="shared" si="41"/>
        <v>0</v>
      </c>
      <c r="H2632" t="s">
        <v>9</v>
      </c>
    </row>
    <row r="2633" spans="2:8" x14ac:dyDescent="0.2">
      <c r="B2633" s="3">
        <v>44660</v>
      </c>
      <c r="G2633" s="2">
        <f t="shared" si="41"/>
        <v>0</v>
      </c>
      <c r="H2633" t="s">
        <v>32</v>
      </c>
    </row>
    <row r="2634" spans="2:8" x14ac:dyDescent="0.2">
      <c r="B2634" s="3">
        <v>44660</v>
      </c>
      <c r="G2634" s="2">
        <f t="shared" si="41"/>
        <v>0</v>
      </c>
      <c r="H2634" s="1"/>
    </row>
    <row r="2635" spans="2:8" x14ac:dyDescent="0.2">
      <c r="B2635" s="3">
        <v>44661</v>
      </c>
      <c r="D2635" s="28">
        <f>78*6</f>
        <v>468</v>
      </c>
      <c r="E2635" s="1">
        <v>558</v>
      </c>
      <c r="F2635" s="1">
        <v>7000</v>
      </c>
      <c r="G2635" s="2">
        <f t="shared" si="41"/>
        <v>-6442</v>
      </c>
      <c r="H2635" t="s">
        <v>14</v>
      </c>
    </row>
    <row r="2636" spans="2:8" x14ac:dyDescent="0.2">
      <c r="B2636" s="3">
        <v>44661</v>
      </c>
      <c r="G2636" s="2">
        <f t="shared" si="41"/>
        <v>0</v>
      </c>
      <c r="H2636" t="s">
        <v>27</v>
      </c>
    </row>
    <row r="2637" spans="2:8" x14ac:dyDescent="0.2">
      <c r="B2637" s="3">
        <v>44661</v>
      </c>
      <c r="G2637" s="2">
        <f t="shared" si="41"/>
        <v>0</v>
      </c>
      <c r="H2637" t="s">
        <v>13</v>
      </c>
    </row>
    <row r="2638" spans="2:8" x14ac:dyDescent="0.2">
      <c r="B2638" s="3">
        <v>44661</v>
      </c>
      <c r="G2638" s="2">
        <f t="shared" si="41"/>
        <v>0</v>
      </c>
      <c r="H2638" t="s">
        <v>30</v>
      </c>
    </row>
    <row r="2639" spans="2:8" x14ac:dyDescent="0.2">
      <c r="B2639" s="3">
        <v>44661</v>
      </c>
      <c r="F2639" s="1">
        <v>1400</v>
      </c>
      <c r="G2639" s="2">
        <f t="shared" si="41"/>
        <v>-1400</v>
      </c>
      <c r="H2639" t="s">
        <v>35</v>
      </c>
    </row>
    <row r="2640" spans="2:8" x14ac:dyDescent="0.2">
      <c r="B2640" s="3">
        <v>44661</v>
      </c>
      <c r="F2640" s="1">
        <v>2500</v>
      </c>
      <c r="G2640" s="2">
        <f t="shared" si="41"/>
        <v>-2500</v>
      </c>
      <c r="H2640" t="s">
        <v>25</v>
      </c>
    </row>
    <row r="2641" spans="2:8" x14ac:dyDescent="0.2">
      <c r="B2641" s="3">
        <v>44661</v>
      </c>
      <c r="G2641" s="2">
        <f t="shared" si="41"/>
        <v>0</v>
      </c>
      <c r="H2641" t="s">
        <v>34</v>
      </c>
    </row>
    <row r="2642" spans="2:8" x14ac:dyDescent="0.2">
      <c r="B2642" s="3">
        <v>44661</v>
      </c>
      <c r="D2642" s="1">
        <v>2283.1999999999998</v>
      </c>
      <c r="E2642" s="1">
        <v>2465</v>
      </c>
      <c r="G2642" s="2">
        <f t="shared" si="41"/>
        <v>2465</v>
      </c>
      <c r="H2642" t="s">
        <v>33</v>
      </c>
    </row>
    <row r="2643" spans="2:8" x14ac:dyDescent="0.2">
      <c r="B2643" s="3">
        <v>44661</v>
      </c>
      <c r="G2643" s="2">
        <f t="shared" si="41"/>
        <v>0</v>
      </c>
      <c r="H2643" t="s">
        <v>9</v>
      </c>
    </row>
    <row r="2644" spans="2:8" x14ac:dyDescent="0.2">
      <c r="B2644" s="3">
        <v>44661</v>
      </c>
      <c r="G2644" s="2">
        <f t="shared" si="41"/>
        <v>0</v>
      </c>
      <c r="H2644" t="s">
        <v>32</v>
      </c>
    </row>
    <row r="2645" spans="2:8" x14ac:dyDescent="0.2">
      <c r="B2645" s="3">
        <v>44661</v>
      </c>
      <c r="G2645" s="2">
        <f t="shared" si="41"/>
        <v>0</v>
      </c>
      <c r="H2645" s="1"/>
    </row>
    <row r="2646" spans="2:8" x14ac:dyDescent="0.2">
      <c r="B2646" s="3">
        <v>44662</v>
      </c>
      <c r="D2646" s="28"/>
      <c r="G2646" s="2">
        <f t="shared" si="41"/>
        <v>0</v>
      </c>
      <c r="H2646" t="s">
        <v>14</v>
      </c>
    </row>
    <row r="2647" spans="2:8" x14ac:dyDescent="0.2">
      <c r="B2647" s="3">
        <v>44662</v>
      </c>
      <c r="G2647" s="2">
        <f t="shared" si="41"/>
        <v>0</v>
      </c>
      <c r="H2647" t="s">
        <v>27</v>
      </c>
    </row>
    <row r="2648" spans="2:8" x14ac:dyDescent="0.2">
      <c r="B2648" s="3">
        <v>44662</v>
      </c>
      <c r="G2648" s="2">
        <f t="shared" si="41"/>
        <v>0</v>
      </c>
      <c r="H2648" t="s">
        <v>13</v>
      </c>
    </row>
    <row r="2649" spans="2:8" x14ac:dyDescent="0.2">
      <c r="B2649" s="3">
        <v>44662</v>
      </c>
      <c r="G2649" s="2">
        <f t="shared" si="41"/>
        <v>0</v>
      </c>
      <c r="H2649" t="s">
        <v>30</v>
      </c>
    </row>
    <row r="2650" spans="2:8" x14ac:dyDescent="0.2">
      <c r="B2650" s="3">
        <v>44662</v>
      </c>
      <c r="G2650" s="2">
        <f t="shared" si="41"/>
        <v>0</v>
      </c>
      <c r="H2650" t="s">
        <v>35</v>
      </c>
    </row>
    <row r="2651" spans="2:8" x14ac:dyDescent="0.2">
      <c r="B2651" s="3">
        <v>44662</v>
      </c>
      <c r="G2651" s="2">
        <f t="shared" si="41"/>
        <v>0</v>
      </c>
      <c r="H2651" t="s">
        <v>25</v>
      </c>
    </row>
    <row r="2652" spans="2:8" x14ac:dyDescent="0.2">
      <c r="B2652" s="3">
        <v>44662</v>
      </c>
      <c r="G2652" s="2">
        <f t="shared" si="41"/>
        <v>0</v>
      </c>
      <c r="H2652" t="s">
        <v>34</v>
      </c>
    </row>
    <row r="2653" spans="2:8" x14ac:dyDescent="0.2">
      <c r="B2653" s="3">
        <v>44662</v>
      </c>
      <c r="G2653" s="2">
        <f t="shared" si="41"/>
        <v>0</v>
      </c>
      <c r="H2653" t="s">
        <v>33</v>
      </c>
    </row>
    <row r="2654" spans="2:8" x14ac:dyDescent="0.2">
      <c r="B2654" s="3">
        <v>44662</v>
      </c>
      <c r="G2654" s="2">
        <f t="shared" si="41"/>
        <v>0</v>
      </c>
      <c r="H2654" t="s">
        <v>9</v>
      </c>
    </row>
    <row r="2655" spans="2:8" x14ac:dyDescent="0.2">
      <c r="B2655" s="3">
        <v>44662</v>
      </c>
      <c r="G2655" s="2">
        <f t="shared" si="41"/>
        <v>0</v>
      </c>
      <c r="H2655" t="s">
        <v>32</v>
      </c>
    </row>
    <row r="2656" spans="2:8" x14ac:dyDescent="0.2">
      <c r="B2656" s="3">
        <v>44662</v>
      </c>
      <c r="G2656" s="2">
        <f t="shared" si="41"/>
        <v>0</v>
      </c>
      <c r="H2656" s="1"/>
    </row>
    <row r="2657" spans="2:8" x14ac:dyDescent="0.2">
      <c r="B2657" s="3">
        <v>44663</v>
      </c>
      <c r="D2657" s="28"/>
      <c r="G2657" s="2">
        <f t="shared" si="41"/>
        <v>0</v>
      </c>
      <c r="H2657" t="s">
        <v>14</v>
      </c>
    </row>
    <row r="2658" spans="2:8" x14ac:dyDescent="0.2">
      <c r="B2658" s="3">
        <v>44663</v>
      </c>
      <c r="D2658" s="1">
        <v>4012.6</v>
      </c>
      <c r="E2658" s="1">
        <v>4563.75</v>
      </c>
      <c r="G2658" s="2">
        <f t="shared" si="41"/>
        <v>4563.75</v>
      </c>
      <c r="H2658" t="s">
        <v>27</v>
      </c>
    </row>
    <row r="2659" spans="2:8" x14ac:dyDescent="0.2">
      <c r="B2659" s="3">
        <v>44663</v>
      </c>
      <c r="G2659" s="2">
        <f t="shared" si="41"/>
        <v>0</v>
      </c>
      <c r="H2659" t="s">
        <v>13</v>
      </c>
    </row>
    <row r="2660" spans="2:8" x14ac:dyDescent="0.2">
      <c r="B2660" s="3">
        <v>44663</v>
      </c>
      <c r="G2660" s="2">
        <f t="shared" si="41"/>
        <v>0</v>
      </c>
      <c r="H2660" t="s">
        <v>30</v>
      </c>
    </row>
    <row r="2661" spans="2:8" x14ac:dyDescent="0.2">
      <c r="B2661" s="3">
        <v>44663</v>
      </c>
      <c r="G2661" s="2">
        <f t="shared" si="41"/>
        <v>0</v>
      </c>
      <c r="H2661" t="s">
        <v>35</v>
      </c>
    </row>
    <row r="2662" spans="2:8" x14ac:dyDescent="0.2">
      <c r="B2662" s="3">
        <v>44663</v>
      </c>
      <c r="G2662" s="2">
        <f t="shared" si="41"/>
        <v>0</v>
      </c>
      <c r="H2662" t="s">
        <v>25</v>
      </c>
    </row>
    <row r="2663" spans="2:8" x14ac:dyDescent="0.2">
      <c r="B2663" s="3">
        <v>44663</v>
      </c>
      <c r="G2663" s="2">
        <f t="shared" si="41"/>
        <v>0</v>
      </c>
      <c r="H2663" t="s">
        <v>34</v>
      </c>
    </row>
    <row r="2664" spans="2:8" x14ac:dyDescent="0.2">
      <c r="B2664" s="3">
        <v>44663</v>
      </c>
      <c r="G2664" s="2">
        <f t="shared" si="41"/>
        <v>0</v>
      </c>
      <c r="H2664" t="s">
        <v>33</v>
      </c>
    </row>
    <row r="2665" spans="2:8" x14ac:dyDescent="0.2">
      <c r="B2665" s="3">
        <v>44663</v>
      </c>
      <c r="G2665" s="2">
        <f t="shared" si="41"/>
        <v>0</v>
      </c>
      <c r="H2665" t="s">
        <v>9</v>
      </c>
    </row>
    <row r="2666" spans="2:8" x14ac:dyDescent="0.2">
      <c r="B2666" s="3">
        <v>44663</v>
      </c>
      <c r="G2666" s="2">
        <f t="shared" si="41"/>
        <v>0</v>
      </c>
      <c r="H2666" t="s">
        <v>32</v>
      </c>
    </row>
    <row r="2667" spans="2:8" x14ac:dyDescent="0.2">
      <c r="B2667" s="3">
        <v>44663</v>
      </c>
      <c r="G2667" s="2">
        <f t="shared" si="41"/>
        <v>0</v>
      </c>
      <c r="H2667" s="1"/>
    </row>
    <row r="2668" spans="2:8" x14ac:dyDescent="0.2">
      <c r="B2668" s="3">
        <v>44664</v>
      </c>
      <c r="D2668" s="28"/>
      <c r="G2668" s="2">
        <f t="shared" si="41"/>
        <v>0</v>
      </c>
      <c r="H2668" t="s">
        <v>14</v>
      </c>
    </row>
    <row r="2669" spans="2:8" x14ac:dyDescent="0.2">
      <c r="B2669" s="3">
        <v>44664</v>
      </c>
      <c r="G2669" s="2">
        <f t="shared" si="41"/>
        <v>0</v>
      </c>
      <c r="H2669" t="s">
        <v>27</v>
      </c>
    </row>
    <row r="2670" spans="2:8" x14ac:dyDescent="0.2">
      <c r="B2670" s="3">
        <v>44664</v>
      </c>
      <c r="G2670" s="2">
        <f t="shared" si="41"/>
        <v>0</v>
      </c>
      <c r="H2670" t="s">
        <v>13</v>
      </c>
    </row>
    <row r="2671" spans="2:8" x14ac:dyDescent="0.2">
      <c r="B2671" s="3">
        <v>44664</v>
      </c>
      <c r="G2671" s="2">
        <f t="shared" si="41"/>
        <v>0</v>
      </c>
      <c r="H2671" t="s">
        <v>30</v>
      </c>
    </row>
    <row r="2672" spans="2:8" x14ac:dyDescent="0.2">
      <c r="B2672" s="3">
        <v>44664</v>
      </c>
      <c r="G2672" s="2">
        <f t="shared" si="41"/>
        <v>0</v>
      </c>
      <c r="H2672" t="s">
        <v>35</v>
      </c>
    </row>
    <row r="2673" spans="2:8" x14ac:dyDescent="0.2">
      <c r="B2673" s="3">
        <v>44664</v>
      </c>
      <c r="G2673" s="2">
        <f t="shared" si="41"/>
        <v>0</v>
      </c>
      <c r="H2673" t="s">
        <v>25</v>
      </c>
    </row>
    <row r="2674" spans="2:8" x14ac:dyDescent="0.2">
      <c r="B2674" s="3">
        <v>44664</v>
      </c>
      <c r="G2674" s="2">
        <f t="shared" si="41"/>
        <v>0</v>
      </c>
      <c r="H2674" t="s">
        <v>34</v>
      </c>
    </row>
    <row r="2675" spans="2:8" x14ac:dyDescent="0.2">
      <c r="B2675" s="3">
        <v>44664</v>
      </c>
      <c r="G2675" s="2">
        <f t="shared" si="41"/>
        <v>0</v>
      </c>
      <c r="H2675" t="s">
        <v>33</v>
      </c>
    </row>
    <row r="2676" spans="2:8" x14ac:dyDescent="0.2">
      <c r="B2676" s="3">
        <v>44664</v>
      </c>
      <c r="G2676" s="2">
        <f t="shared" si="41"/>
        <v>0</v>
      </c>
      <c r="H2676" t="s">
        <v>9</v>
      </c>
    </row>
    <row r="2677" spans="2:8" x14ac:dyDescent="0.2">
      <c r="B2677" s="3">
        <v>44664</v>
      </c>
      <c r="G2677" s="2">
        <f t="shared" si="41"/>
        <v>0</v>
      </c>
      <c r="H2677" t="s">
        <v>32</v>
      </c>
    </row>
    <row r="2678" spans="2:8" x14ac:dyDescent="0.2">
      <c r="B2678" s="3">
        <v>44664</v>
      </c>
      <c r="G2678" s="2">
        <f t="shared" si="41"/>
        <v>0</v>
      </c>
      <c r="H2678" s="1"/>
    </row>
    <row r="2679" spans="2:8" x14ac:dyDescent="0.2">
      <c r="B2679" s="3">
        <v>44665</v>
      </c>
      <c r="D2679" s="28"/>
      <c r="F2679" s="1">
        <v>5000</v>
      </c>
      <c r="G2679" s="2">
        <f t="shared" si="41"/>
        <v>-5000</v>
      </c>
      <c r="H2679" t="s">
        <v>14</v>
      </c>
    </row>
    <row r="2680" spans="2:8" x14ac:dyDescent="0.2">
      <c r="B2680" s="3">
        <v>44665</v>
      </c>
      <c r="F2680" s="1">
        <v>5000</v>
      </c>
      <c r="G2680" s="2">
        <f t="shared" si="41"/>
        <v>-5000</v>
      </c>
      <c r="H2680" t="s">
        <v>27</v>
      </c>
    </row>
    <row r="2681" spans="2:8" x14ac:dyDescent="0.2">
      <c r="B2681" s="3">
        <v>44665</v>
      </c>
      <c r="G2681" s="2">
        <f t="shared" si="41"/>
        <v>0</v>
      </c>
      <c r="H2681" t="s">
        <v>13</v>
      </c>
    </row>
    <row r="2682" spans="2:8" x14ac:dyDescent="0.2">
      <c r="B2682" s="3">
        <v>44665</v>
      </c>
      <c r="G2682" s="2">
        <f t="shared" si="41"/>
        <v>0</v>
      </c>
      <c r="H2682" t="s">
        <v>30</v>
      </c>
    </row>
    <row r="2683" spans="2:8" x14ac:dyDescent="0.2">
      <c r="B2683" s="3">
        <v>44665</v>
      </c>
      <c r="D2683" s="1">
        <v>1185</v>
      </c>
      <c r="E2683" s="1">
        <v>1465</v>
      </c>
      <c r="G2683" s="2">
        <f t="shared" si="41"/>
        <v>1465</v>
      </c>
      <c r="H2683" t="s">
        <v>35</v>
      </c>
    </row>
    <row r="2684" spans="2:8" x14ac:dyDescent="0.2">
      <c r="B2684" s="3">
        <v>44665</v>
      </c>
      <c r="F2684" s="1">
        <v>3000</v>
      </c>
      <c r="G2684" s="2">
        <f t="shared" si="41"/>
        <v>-3000</v>
      </c>
      <c r="H2684" t="s">
        <v>25</v>
      </c>
    </row>
    <row r="2685" spans="2:8" x14ac:dyDescent="0.2">
      <c r="B2685" s="3">
        <v>44665</v>
      </c>
      <c r="G2685" s="2">
        <f t="shared" si="41"/>
        <v>0</v>
      </c>
      <c r="H2685" t="s">
        <v>34</v>
      </c>
    </row>
    <row r="2686" spans="2:8" x14ac:dyDescent="0.2">
      <c r="B2686" s="3">
        <v>44665</v>
      </c>
      <c r="G2686" s="2">
        <f t="shared" si="41"/>
        <v>0</v>
      </c>
      <c r="H2686" t="s">
        <v>33</v>
      </c>
    </row>
    <row r="2687" spans="2:8" x14ac:dyDescent="0.2">
      <c r="B2687" s="3">
        <v>44665</v>
      </c>
      <c r="G2687" s="2">
        <f t="shared" si="41"/>
        <v>0</v>
      </c>
      <c r="H2687" t="s">
        <v>9</v>
      </c>
    </row>
    <row r="2688" spans="2:8" x14ac:dyDescent="0.2">
      <c r="B2688" s="3">
        <v>44665</v>
      </c>
      <c r="G2688" s="2">
        <f t="shared" si="41"/>
        <v>0</v>
      </c>
      <c r="H2688" t="s">
        <v>32</v>
      </c>
    </row>
    <row r="2689" spans="2:8" x14ac:dyDescent="0.2">
      <c r="B2689" s="3">
        <v>44665</v>
      </c>
      <c r="G2689" s="2">
        <f t="shared" si="41"/>
        <v>0</v>
      </c>
      <c r="H2689" s="1"/>
    </row>
    <row r="2690" spans="2:8" x14ac:dyDescent="0.2">
      <c r="B2690" s="3">
        <v>44666</v>
      </c>
      <c r="D2690" s="28"/>
      <c r="G2690" s="2">
        <f t="shared" si="41"/>
        <v>0</v>
      </c>
      <c r="H2690" t="s">
        <v>14</v>
      </c>
    </row>
    <row r="2691" spans="2:8" x14ac:dyDescent="0.2">
      <c r="B2691" s="3">
        <v>44666</v>
      </c>
      <c r="G2691" s="2">
        <f t="shared" ref="G2691:G2754" si="42">E2691-F2691</f>
        <v>0</v>
      </c>
      <c r="H2691" t="s">
        <v>27</v>
      </c>
    </row>
    <row r="2692" spans="2:8" x14ac:dyDescent="0.2">
      <c r="B2692" s="3">
        <v>44666</v>
      </c>
      <c r="G2692" s="2">
        <f t="shared" si="42"/>
        <v>0</v>
      </c>
      <c r="H2692" t="s">
        <v>13</v>
      </c>
    </row>
    <row r="2693" spans="2:8" x14ac:dyDescent="0.2">
      <c r="B2693" s="3">
        <v>44666</v>
      </c>
      <c r="G2693" s="2">
        <f t="shared" si="42"/>
        <v>0</v>
      </c>
      <c r="H2693" t="s">
        <v>30</v>
      </c>
    </row>
    <row r="2694" spans="2:8" x14ac:dyDescent="0.2">
      <c r="B2694" s="3">
        <v>44666</v>
      </c>
      <c r="G2694" s="2">
        <f t="shared" si="42"/>
        <v>0</v>
      </c>
      <c r="H2694" t="s">
        <v>35</v>
      </c>
    </row>
    <row r="2695" spans="2:8" x14ac:dyDescent="0.2">
      <c r="B2695" s="3">
        <v>44666</v>
      </c>
      <c r="G2695" s="2">
        <f t="shared" si="42"/>
        <v>0</v>
      </c>
      <c r="H2695" t="s">
        <v>25</v>
      </c>
    </row>
    <row r="2696" spans="2:8" x14ac:dyDescent="0.2">
      <c r="B2696" s="3">
        <v>44666</v>
      </c>
      <c r="G2696" s="2">
        <f t="shared" si="42"/>
        <v>0</v>
      </c>
      <c r="H2696" t="s">
        <v>34</v>
      </c>
    </row>
    <row r="2697" spans="2:8" x14ac:dyDescent="0.2">
      <c r="B2697" s="3">
        <v>44666</v>
      </c>
      <c r="G2697" s="2">
        <f t="shared" si="42"/>
        <v>0</v>
      </c>
      <c r="H2697" t="s">
        <v>33</v>
      </c>
    </row>
    <row r="2698" spans="2:8" x14ac:dyDescent="0.2">
      <c r="B2698" s="3">
        <v>44666</v>
      </c>
      <c r="G2698" s="2">
        <f t="shared" si="42"/>
        <v>0</v>
      </c>
      <c r="H2698" t="s">
        <v>9</v>
      </c>
    </row>
    <row r="2699" spans="2:8" x14ac:dyDescent="0.2">
      <c r="B2699" s="3">
        <v>44666</v>
      </c>
      <c r="G2699" s="2">
        <f t="shared" si="42"/>
        <v>0</v>
      </c>
      <c r="H2699" t="s">
        <v>32</v>
      </c>
    </row>
    <row r="2700" spans="2:8" x14ac:dyDescent="0.2">
      <c r="B2700" s="3">
        <v>44666</v>
      </c>
      <c r="G2700" s="2">
        <f t="shared" si="42"/>
        <v>0</v>
      </c>
      <c r="H2700" s="1"/>
    </row>
    <row r="2701" spans="2:8" x14ac:dyDescent="0.2">
      <c r="B2701" s="3">
        <v>44667</v>
      </c>
      <c r="D2701" s="28"/>
      <c r="G2701" s="2">
        <f t="shared" si="42"/>
        <v>0</v>
      </c>
      <c r="H2701" t="s">
        <v>14</v>
      </c>
    </row>
    <row r="2702" spans="2:8" x14ac:dyDescent="0.2">
      <c r="B2702" s="3">
        <v>44667</v>
      </c>
      <c r="G2702" s="2">
        <f t="shared" si="42"/>
        <v>0</v>
      </c>
      <c r="H2702" t="s">
        <v>27</v>
      </c>
    </row>
    <row r="2703" spans="2:8" x14ac:dyDescent="0.2">
      <c r="B2703" s="3">
        <v>44667</v>
      </c>
      <c r="G2703" s="2">
        <f t="shared" si="42"/>
        <v>0</v>
      </c>
      <c r="H2703" t="s">
        <v>13</v>
      </c>
    </row>
    <row r="2704" spans="2:8" x14ac:dyDescent="0.2">
      <c r="B2704" s="3">
        <v>44667</v>
      </c>
      <c r="G2704" s="2">
        <f t="shared" si="42"/>
        <v>0</v>
      </c>
      <c r="H2704" t="s">
        <v>30</v>
      </c>
    </row>
    <row r="2705" spans="2:8" x14ac:dyDescent="0.2">
      <c r="B2705" s="3">
        <v>44667</v>
      </c>
      <c r="G2705" s="2">
        <f t="shared" si="42"/>
        <v>0</v>
      </c>
      <c r="H2705" t="s">
        <v>35</v>
      </c>
    </row>
    <row r="2706" spans="2:8" x14ac:dyDescent="0.2">
      <c r="B2706" s="3">
        <v>44667</v>
      </c>
      <c r="G2706" s="2">
        <f t="shared" si="42"/>
        <v>0</v>
      </c>
      <c r="H2706" t="s">
        <v>25</v>
      </c>
    </row>
    <row r="2707" spans="2:8" x14ac:dyDescent="0.2">
      <c r="B2707" s="3">
        <v>44667</v>
      </c>
      <c r="G2707" s="2">
        <f t="shared" si="42"/>
        <v>0</v>
      </c>
      <c r="H2707" t="s">
        <v>34</v>
      </c>
    </row>
    <row r="2708" spans="2:8" x14ac:dyDescent="0.2">
      <c r="B2708" s="3">
        <v>44667</v>
      </c>
      <c r="G2708" s="2">
        <f t="shared" si="42"/>
        <v>0</v>
      </c>
      <c r="H2708" t="s">
        <v>33</v>
      </c>
    </row>
    <row r="2709" spans="2:8" x14ac:dyDescent="0.2">
      <c r="B2709" s="3">
        <v>44667</v>
      </c>
      <c r="G2709" s="2">
        <f t="shared" si="42"/>
        <v>0</v>
      </c>
      <c r="H2709" t="s">
        <v>9</v>
      </c>
    </row>
    <row r="2710" spans="2:8" x14ac:dyDescent="0.2">
      <c r="B2710" s="3">
        <v>44667</v>
      </c>
      <c r="G2710" s="2">
        <f t="shared" si="42"/>
        <v>0</v>
      </c>
      <c r="H2710" t="s">
        <v>32</v>
      </c>
    </row>
    <row r="2711" spans="2:8" x14ac:dyDescent="0.2">
      <c r="B2711" s="3">
        <v>44667</v>
      </c>
      <c r="G2711" s="2">
        <f t="shared" si="42"/>
        <v>0</v>
      </c>
      <c r="H2711" s="1"/>
    </row>
    <row r="2712" spans="2:8" x14ac:dyDescent="0.2">
      <c r="B2712" s="3">
        <v>44668</v>
      </c>
      <c r="D2712" s="28"/>
      <c r="G2712" s="2">
        <f t="shared" si="42"/>
        <v>0</v>
      </c>
      <c r="H2712" t="s">
        <v>14</v>
      </c>
    </row>
    <row r="2713" spans="2:8" x14ac:dyDescent="0.2">
      <c r="B2713" s="3">
        <v>44668</v>
      </c>
      <c r="D2713" s="1">
        <v>10855</v>
      </c>
      <c r="E2713" s="1">
        <v>12270</v>
      </c>
      <c r="F2713" s="1">
        <v>5000</v>
      </c>
      <c r="G2713" s="2">
        <f t="shared" si="42"/>
        <v>7270</v>
      </c>
      <c r="H2713" t="s">
        <v>27</v>
      </c>
    </row>
    <row r="2714" spans="2:8" x14ac:dyDescent="0.2">
      <c r="B2714" s="3">
        <v>44668</v>
      </c>
      <c r="D2714" s="1">
        <v>2400</v>
      </c>
      <c r="E2714" s="1">
        <v>2910</v>
      </c>
      <c r="G2714" s="2">
        <f t="shared" si="42"/>
        <v>2910</v>
      </c>
      <c r="H2714" t="s">
        <v>13</v>
      </c>
    </row>
    <row r="2715" spans="2:8" x14ac:dyDescent="0.2">
      <c r="B2715" s="3">
        <v>44668</v>
      </c>
      <c r="G2715" s="2">
        <f t="shared" si="42"/>
        <v>0</v>
      </c>
      <c r="H2715" t="s">
        <v>30</v>
      </c>
    </row>
    <row r="2716" spans="2:8" x14ac:dyDescent="0.2">
      <c r="B2716" s="3">
        <v>44668</v>
      </c>
      <c r="G2716" s="2">
        <f t="shared" si="42"/>
        <v>0</v>
      </c>
      <c r="H2716" t="s">
        <v>35</v>
      </c>
    </row>
    <row r="2717" spans="2:8" x14ac:dyDescent="0.2">
      <c r="B2717" s="3">
        <v>44668</v>
      </c>
      <c r="G2717" s="2">
        <f t="shared" si="42"/>
        <v>0</v>
      </c>
      <c r="H2717" t="s">
        <v>25</v>
      </c>
    </row>
    <row r="2718" spans="2:8" x14ac:dyDescent="0.2">
      <c r="B2718" s="3">
        <v>44668</v>
      </c>
      <c r="G2718" s="2">
        <f t="shared" si="42"/>
        <v>0</v>
      </c>
      <c r="H2718" t="s">
        <v>34</v>
      </c>
    </row>
    <row r="2719" spans="2:8" x14ac:dyDescent="0.2">
      <c r="B2719" s="3">
        <v>44668</v>
      </c>
      <c r="G2719" s="2">
        <f t="shared" si="42"/>
        <v>0</v>
      </c>
      <c r="H2719" t="s">
        <v>33</v>
      </c>
    </row>
    <row r="2720" spans="2:8" x14ac:dyDescent="0.2">
      <c r="B2720" s="3">
        <v>44668</v>
      </c>
      <c r="G2720" s="2">
        <f t="shared" si="42"/>
        <v>0</v>
      </c>
      <c r="H2720" t="s">
        <v>9</v>
      </c>
    </row>
    <row r="2721" spans="2:8" x14ac:dyDescent="0.2">
      <c r="B2721" s="3">
        <v>44668</v>
      </c>
      <c r="G2721" s="2">
        <f t="shared" si="42"/>
        <v>0</v>
      </c>
      <c r="H2721" t="s">
        <v>32</v>
      </c>
    </row>
    <row r="2722" spans="2:8" x14ac:dyDescent="0.2">
      <c r="B2722" s="3">
        <v>44668</v>
      </c>
      <c r="F2722" s="1">
        <v>1000</v>
      </c>
      <c r="G2722" s="2">
        <f t="shared" si="42"/>
        <v>-1000</v>
      </c>
      <c r="H2722" s="1" t="s">
        <v>2</v>
      </c>
    </row>
    <row r="2723" spans="2:8" x14ac:dyDescent="0.2">
      <c r="B2723" s="3">
        <v>44669</v>
      </c>
      <c r="D2723" s="28"/>
      <c r="G2723" s="2">
        <f t="shared" si="42"/>
        <v>0</v>
      </c>
      <c r="H2723" t="s">
        <v>14</v>
      </c>
    </row>
    <row r="2724" spans="2:8" x14ac:dyDescent="0.2">
      <c r="B2724" s="3">
        <v>44669</v>
      </c>
      <c r="G2724" s="2">
        <f t="shared" si="42"/>
        <v>0</v>
      </c>
      <c r="H2724" t="s">
        <v>27</v>
      </c>
    </row>
    <row r="2725" spans="2:8" x14ac:dyDescent="0.2">
      <c r="B2725" s="3">
        <v>44669</v>
      </c>
      <c r="G2725" s="2">
        <f t="shared" si="42"/>
        <v>0</v>
      </c>
      <c r="H2725" t="s">
        <v>13</v>
      </c>
    </row>
    <row r="2726" spans="2:8" x14ac:dyDescent="0.2">
      <c r="B2726" s="3">
        <v>44669</v>
      </c>
      <c r="G2726" s="2">
        <f t="shared" si="42"/>
        <v>0</v>
      </c>
      <c r="H2726" t="s">
        <v>30</v>
      </c>
    </row>
    <row r="2727" spans="2:8" x14ac:dyDescent="0.2">
      <c r="B2727" s="3">
        <v>44669</v>
      </c>
      <c r="F2727" s="1">
        <v>1465</v>
      </c>
      <c r="G2727" s="2">
        <f t="shared" si="42"/>
        <v>-1465</v>
      </c>
      <c r="H2727" t="s">
        <v>35</v>
      </c>
    </row>
    <row r="2728" spans="2:8" x14ac:dyDescent="0.2">
      <c r="B2728" s="3">
        <v>44669</v>
      </c>
      <c r="G2728" s="2">
        <f t="shared" si="42"/>
        <v>0</v>
      </c>
      <c r="H2728" t="s">
        <v>25</v>
      </c>
    </row>
    <row r="2729" spans="2:8" x14ac:dyDescent="0.2">
      <c r="B2729" s="3">
        <v>44669</v>
      </c>
      <c r="G2729" s="2">
        <f t="shared" si="42"/>
        <v>0</v>
      </c>
      <c r="H2729" t="s">
        <v>34</v>
      </c>
    </row>
    <row r="2730" spans="2:8" x14ac:dyDescent="0.2">
      <c r="B2730" s="3">
        <v>44669</v>
      </c>
      <c r="G2730" s="2">
        <f t="shared" si="42"/>
        <v>0</v>
      </c>
      <c r="H2730" t="s">
        <v>33</v>
      </c>
    </row>
    <row r="2731" spans="2:8" x14ac:dyDescent="0.2">
      <c r="B2731" s="3">
        <v>44669</v>
      </c>
      <c r="G2731" s="2">
        <f t="shared" si="42"/>
        <v>0</v>
      </c>
      <c r="H2731" t="s">
        <v>9</v>
      </c>
    </row>
    <row r="2732" spans="2:8" x14ac:dyDescent="0.2">
      <c r="B2732" s="3">
        <v>44669</v>
      </c>
      <c r="G2732" s="2">
        <f t="shared" si="42"/>
        <v>0</v>
      </c>
      <c r="H2732" t="s">
        <v>32</v>
      </c>
    </row>
    <row r="2733" spans="2:8" x14ac:dyDescent="0.2">
      <c r="B2733" s="3">
        <v>44669</v>
      </c>
      <c r="G2733" s="2">
        <f t="shared" si="42"/>
        <v>0</v>
      </c>
      <c r="H2733" s="1"/>
    </row>
    <row r="2734" spans="2:8" x14ac:dyDescent="0.2">
      <c r="B2734" s="3">
        <v>44670</v>
      </c>
      <c r="D2734" s="28">
        <v>1152.5</v>
      </c>
      <c r="E2734" s="1">
        <v>1335</v>
      </c>
      <c r="G2734" s="2">
        <f t="shared" si="42"/>
        <v>1335</v>
      </c>
      <c r="H2734" t="s">
        <v>14</v>
      </c>
    </row>
    <row r="2735" spans="2:8" x14ac:dyDescent="0.2">
      <c r="B2735" s="3">
        <v>44670</v>
      </c>
      <c r="G2735" s="2">
        <f t="shared" si="42"/>
        <v>0</v>
      </c>
      <c r="H2735" t="s">
        <v>27</v>
      </c>
    </row>
    <row r="2736" spans="2:8" x14ac:dyDescent="0.2">
      <c r="B2736" s="3">
        <v>44670</v>
      </c>
      <c r="G2736" s="2">
        <f t="shared" si="42"/>
        <v>0</v>
      </c>
      <c r="H2736" t="s">
        <v>13</v>
      </c>
    </row>
    <row r="2737" spans="2:8" x14ac:dyDescent="0.2">
      <c r="B2737" s="3">
        <v>44670</v>
      </c>
      <c r="G2737" s="2">
        <f t="shared" si="42"/>
        <v>0</v>
      </c>
      <c r="H2737" t="s">
        <v>30</v>
      </c>
    </row>
    <row r="2738" spans="2:8" x14ac:dyDescent="0.2">
      <c r="B2738" s="3">
        <v>44670</v>
      </c>
      <c r="G2738" s="2">
        <f t="shared" si="42"/>
        <v>0</v>
      </c>
      <c r="H2738" t="s">
        <v>35</v>
      </c>
    </row>
    <row r="2739" spans="2:8" x14ac:dyDescent="0.2">
      <c r="B2739" s="3">
        <v>44670</v>
      </c>
      <c r="G2739" s="2">
        <f t="shared" si="42"/>
        <v>0</v>
      </c>
      <c r="H2739" t="s">
        <v>25</v>
      </c>
    </row>
    <row r="2740" spans="2:8" x14ac:dyDescent="0.2">
      <c r="B2740" s="3">
        <v>44670</v>
      </c>
      <c r="G2740" s="2">
        <f t="shared" si="42"/>
        <v>0</v>
      </c>
      <c r="H2740" t="s">
        <v>34</v>
      </c>
    </row>
    <row r="2741" spans="2:8" x14ac:dyDescent="0.2">
      <c r="B2741" s="3">
        <v>44670</v>
      </c>
      <c r="G2741" s="2">
        <f t="shared" si="42"/>
        <v>0</v>
      </c>
      <c r="H2741" t="s">
        <v>33</v>
      </c>
    </row>
    <row r="2742" spans="2:8" x14ac:dyDescent="0.2">
      <c r="B2742" s="3">
        <v>44670</v>
      </c>
      <c r="G2742" s="2">
        <f t="shared" si="42"/>
        <v>0</v>
      </c>
      <c r="H2742" t="s">
        <v>9</v>
      </c>
    </row>
    <row r="2743" spans="2:8" x14ac:dyDescent="0.2">
      <c r="B2743" s="3">
        <v>44670</v>
      </c>
      <c r="G2743" s="2">
        <f t="shared" si="42"/>
        <v>0</v>
      </c>
      <c r="H2743" t="s">
        <v>32</v>
      </c>
    </row>
    <row r="2744" spans="2:8" x14ac:dyDescent="0.2">
      <c r="B2744" s="3">
        <v>44670</v>
      </c>
      <c r="G2744" s="2">
        <f t="shared" si="42"/>
        <v>0</v>
      </c>
      <c r="H2744" s="1"/>
    </row>
    <row r="2745" spans="2:8" x14ac:dyDescent="0.2">
      <c r="B2745" s="3">
        <v>44671</v>
      </c>
      <c r="D2745" s="28"/>
      <c r="G2745" s="2">
        <f t="shared" si="42"/>
        <v>0</v>
      </c>
      <c r="H2745" t="s">
        <v>14</v>
      </c>
    </row>
    <row r="2746" spans="2:8" x14ac:dyDescent="0.2">
      <c r="B2746" s="3">
        <v>44671</v>
      </c>
      <c r="G2746" s="2">
        <f t="shared" si="42"/>
        <v>0</v>
      </c>
      <c r="H2746" t="s">
        <v>27</v>
      </c>
    </row>
    <row r="2747" spans="2:8" x14ac:dyDescent="0.2">
      <c r="B2747" s="3">
        <v>44671</v>
      </c>
      <c r="G2747" s="2">
        <f t="shared" si="42"/>
        <v>0</v>
      </c>
      <c r="H2747" t="s">
        <v>13</v>
      </c>
    </row>
    <row r="2748" spans="2:8" x14ac:dyDescent="0.2">
      <c r="B2748" s="3">
        <v>44671</v>
      </c>
      <c r="D2748" s="1">
        <v>19914.5</v>
      </c>
      <c r="E2748" s="1">
        <v>26817.7</v>
      </c>
      <c r="G2748" s="2">
        <f t="shared" si="42"/>
        <v>26817.7</v>
      </c>
      <c r="H2748" t="s">
        <v>30</v>
      </c>
    </row>
    <row r="2749" spans="2:8" x14ac:dyDescent="0.2">
      <c r="B2749" s="3">
        <v>44671</v>
      </c>
      <c r="G2749" s="2">
        <f t="shared" si="42"/>
        <v>0</v>
      </c>
      <c r="H2749" t="s">
        <v>35</v>
      </c>
    </row>
    <row r="2750" spans="2:8" x14ac:dyDescent="0.2">
      <c r="B2750" s="3">
        <v>44671</v>
      </c>
      <c r="G2750" s="2">
        <f t="shared" si="42"/>
        <v>0</v>
      </c>
      <c r="H2750" t="s">
        <v>25</v>
      </c>
    </row>
    <row r="2751" spans="2:8" x14ac:dyDescent="0.2">
      <c r="B2751" s="3">
        <v>44671</v>
      </c>
      <c r="G2751" s="2">
        <f t="shared" si="42"/>
        <v>0</v>
      </c>
      <c r="H2751" t="s">
        <v>34</v>
      </c>
    </row>
    <row r="2752" spans="2:8" x14ac:dyDescent="0.2">
      <c r="B2752" s="3">
        <v>44671</v>
      </c>
      <c r="G2752" s="2">
        <f t="shared" si="42"/>
        <v>0</v>
      </c>
      <c r="H2752" t="s">
        <v>33</v>
      </c>
    </row>
    <row r="2753" spans="2:8" x14ac:dyDescent="0.2">
      <c r="B2753" s="3">
        <v>44671</v>
      </c>
      <c r="G2753" s="2">
        <f t="shared" si="42"/>
        <v>0</v>
      </c>
      <c r="H2753" t="s">
        <v>9</v>
      </c>
    </row>
    <row r="2754" spans="2:8" x14ac:dyDescent="0.2">
      <c r="B2754" s="3">
        <v>44671</v>
      </c>
      <c r="G2754" s="2">
        <f t="shared" si="42"/>
        <v>0</v>
      </c>
      <c r="H2754" t="s">
        <v>32</v>
      </c>
    </row>
    <row r="2755" spans="2:8" x14ac:dyDescent="0.2">
      <c r="B2755" s="3">
        <v>44671</v>
      </c>
      <c r="G2755" s="2">
        <f t="shared" ref="G2755:G2818" si="43">E2755-F2755</f>
        <v>0</v>
      </c>
      <c r="H2755" s="1"/>
    </row>
    <row r="2756" spans="2:8" x14ac:dyDescent="0.2">
      <c r="B2756" s="3">
        <v>44672</v>
      </c>
      <c r="D2756" s="28"/>
      <c r="G2756" s="2">
        <f t="shared" si="43"/>
        <v>0</v>
      </c>
      <c r="H2756" t="s">
        <v>14</v>
      </c>
    </row>
    <row r="2757" spans="2:8" x14ac:dyDescent="0.2">
      <c r="B2757" s="3">
        <v>44672</v>
      </c>
      <c r="G2757" s="2">
        <f t="shared" si="43"/>
        <v>0</v>
      </c>
      <c r="H2757" t="s">
        <v>27</v>
      </c>
    </row>
    <row r="2758" spans="2:8" x14ac:dyDescent="0.2">
      <c r="B2758" s="3">
        <v>44672</v>
      </c>
      <c r="D2758" s="1">
        <v>2690</v>
      </c>
      <c r="E2758" s="1">
        <v>3067.5</v>
      </c>
      <c r="G2758" s="2">
        <f t="shared" si="43"/>
        <v>3067.5</v>
      </c>
      <c r="H2758" t="s">
        <v>13</v>
      </c>
    </row>
    <row r="2759" spans="2:8" x14ac:dyDescent="0.2">
      <c r="B2759" s="3">
        <v>44672</v>
      </c>
      <c r="G2759" s="2">
        <f t="shared" si="43"/>
        <v>0</v>
      </c>
      <c r="H2759" t="s">
        <v>30</v>
      </c>
    </row>
    <row r="2760" spans="2:8" x14ac:dyDescent="0.2">
      <c r="B2760" s="3">
        <v>44672</v>
      </c>
      <c r="G2760" s="2">
        <f t="shared" si="43"/>
        <v>0</v>
      </c>
      <c r="H2760" t="s">
        <v>35</v>
      </c>
    </row>
    <row r="2761" spans="2:8" x14ac:dyDescent="0.2">
      <c r="B2761" s="3">
        <v>44672</v>
      </c>
      <c r="G2761" s="2">
        <f t="shared" si="43"/>
        <v>0</v>
      </c>
      <c r="H2761" t="s">
        <v>25</v>
      </c>
    </row>
    <row r="2762" spans="2:8" x14ac:dyDescent="0.2">
      <c r="B2762" s="3">
        <v>44672</v>
      </c>
      <c r="G2762" s="2">
        <f t="shared" si="43"/>
        <v>0</v>
      </c>
      <c r="H2762" t="s">
        <v>34</v>
      </c>
    </row>
    <row r="2763" spans="2:8" x14ac:dyDescent="0.2">
      <c r="B2763" s="3">
        <v>44672</v>
      </c>
      <c r="G2763" s="2">
        <f t="shared" si="43"/>
        <v>0</v>
      </c>
      <c r="H2763" t="s">
        <v>33</v>
      </c>
    </row>
    <row r="2764" spans="2:8" x14ac:dyDescent="0.2">
      <c r="B2764" s="3">
        <v>44672</v>
      </c>
      <c r="G2764" s="2">
        <f t="shared" si="43"/>
        <v>0</v>
      </c>
      <c r="H2764" t="s">
        <v>9</v>
      </c>
    </row>
    <row r="2765" spans="2:8" x14ac:dyDescent="0.2">
      <c r="B2765" s="3">
        <v>44672</v>
      </c>
      <c r="G2765" s="2">
        <f t="shared" si="43"/>
        <v>0</v>
      </c>
      <c r="H2765" t="s">
        <v>32</v>
      </c>
    </row>
    <row r="2766" spans="2:8" x14ac:dyDescent="0.2">
      <c r="B2766" s="3">
        <v>44672</v>
      </c>
      <c r="G2766" s="2">
        <f t="shared" si="43"/>
        <v>0</v>
      </c>
      <c r="H2766" s="1"/>
    </row>
    <row r="2767" spans="2:8" x14ac:dyDescent="0.2">
      <c r="B2767" s="3">
        <v>44673</v>
      </c>
      <c r="D2767" s="28"/>
      <c r="G2767" s="2">
        <f t="shared" si="43"/>
        <v>0</v>
      </c>
      <c r="H2767" t="s">
        <v>14</v>
      </c>
    </row>
    <row r="2768" spans="2:8" x14ac:dyDescent="0.2">
      <c r="B2768" s="3">
        <v>44673</v>
      </c>
      <c r="G2768" s="2">
        <f t="shared" si="43"/>
        <v>0</v>
      </c>
      <c r="H2768" t="s">
        <v>27</v>
      </c>
    </row>
    <row r="2769" spans="2:8" x14ac:dyDescent="0.2">
      <c r="B2769" s="3">
        <v>44673</v>
      </c>
      <c r="G2769" s="2">
        <f t="shared" si="43"/>
        <v>0</v>
      </c>
      <c r="H2769" t="s">
        <v>13</v>
      </c>
    </row>
    <row r="2770" spans="2:8" x14ac:dyDescent="0.2">
      <c r="B2770" s="3">
        <v>44673</v>
      </c>
      <c r="G2770" s="2">
        <f t="shared" si="43"/>
        <v>0</v>
      </c>
      <c r="H2770" t="s">
        <v>30</v>
      </c>
    </row>
    <row r="2771" spans="2:8" x14ac:dyDescent="0.2">
      <c r="B2771" s="3">
        <v>44673</v>
      </c>
      <c r="G2771" s="2">
        <f t="shared" si="43"/>
        <v>0</v>
      </c>
      <c r="H2771" t="s">
        <v>35</v>
      </c>
    </row>
    <row r="2772" spans="2:8" x14ac:dyDescent="0.2">
      <c r="B2772" s="3">
        <v>44673</v>
      </c>
      <c r="G2772" s="2">
        <f t="shared" si="43"/>
        <v>0</v>
      </c>
      <c r="H2772" t="s">
        <v>25</v>
      </c>
    </row>
    <row r="2773" spans="2:8" x14ac:dyDescent="0.2">
      <c r="B2773" s="3">
        <v>44673</v>
      </c>
      <c r="G2773" s="2">
        <f t="shared" si="43"/>
        <v>0</v>
      </c>
      <c r="H2773" t="s">
        <v>34</v>
      </c>
    </row>
    <row r="2774" spans="2:8" x14ac:dyDescent="0.2">
      <c r="B2774" s="3">
        <v>44673</v>
      </c>
      <c r="G2774" s="2">
        <f t="shared" si="43"/>
        <v>0</v>
      </c>
      <c r="H2774" t="s">
        <v>33</v>
      </c>
    </row>
    <row r="2775" spans="2:8" x14ac:dyDescent="0.2">
      <c r="B2775" s="3">
        <v>44673</v>
      </c>
      <c r="G2775" s="2">
        <f t="shared" si="43"/>
        <v>0</v>
      </c>
      <c r="H2775" t="s">
        <v>9</v>
      </c>
    </row>
    <row r="2776" spans="2:8" x14ac:dyDescent="0.2">
      <c r="B2776" s="3">
        <v>44673</v>
      </c>
      <c r="G2776" s="2">
        <f t="shared" si="43"/>
        <v>0</v>
      </c>
      <c r="H2776" t="s">
        <v>32</v>
      </c>
    </row>
    <row r="2777" spans="2:8" x14ac:dyDescent="0.2">
      <c r="B2777" s="3">
        <v>44673</v>
      </c>
      <c r="G2777" s="2">
        <f t="shared" si="43"/>
        <v>0</v>
      </c>
      <c r="H2777" s="1"/>
    </row>
    <row r="2778" spans="2:8" x14ac:dyDescent="0.2">
      <c r="B2778" s="3">
        <v>44674</v>
      </c>
      <c r="D2778" s="28"/>
      <c r="F2778" s="1">
        <v>7000</v>
      </c>
      <c r="G2778" s="2">
        <f t="shared" si="43"/>
        <v>-7000</v>
      </c>
      <c r="H2778" t="s">
        <v>14</v>
      </c>
    </row>
    <row r="2779" spans="2:8" x14ac:dyDescent="0.2">
      <c r="B2779" s="3">
        <v>44674</v>
      </c>
      <c r="G2779" s="2">
        <f t="shared" si="43"/>
        <v>0</v>
      </c>
      <c r="H2779" t="s">
        <v>27</v>
      </c>
    </row>
    <row r="2780" spans="2:8" x14ac:dyDescent="0.2">
      <c r="B2780" s="3">
        <v>44674</v>
      </c>
      <c r="F2780" s="1">
        <v>3000</v>
      </c>
      <c r="G2780" s="2">
        <f t="shared" si="43"/>
        <v>-3000</v>
      </c>
      <c r="H2780" t="s">
        <v>13</v>
      </c>
    </row>
    <row r="2781" spans="2:8" x14ac:dyDescent="0.2">
      <c r="B2781" s="3">
        <v>44674</v>
      </c>
      <c r="G2781" s="2">
        <f t="shared" si="43"/>
        <v>0</v>
      </c>
      <c r="H2781" t="s">
        <v>30</v>
      </c>
    </row>
    <row r="2782" spans="2:8" x14ac:dyDescent="0.2">
      <c r="B2782" s="3">
        <v>44674</v>
      </c>
      <c r="D2782" s="1">
        <v>695</v>
      </c>
      <c r="E2782" s="1">
        <v>837.5</v>
      </c>
      <c r="G2782" s="2">
        <f t="shared" si="43"/>
        <v>837.5</v>
      </c>
      <c r="H2782" t="s">
        <v>35</v>
      </c>
    </row>
    <row r="2783" spans="2:8" x14ac:dyDescent="0.2">
      <c r="B2783" s="3">
        <v>44674</v>
      </c>
      <c r="G2783" s="2">
        <f t="shared" si="43"/>
        <v>0</v>
      </c>
      <c r="H2783" t="s">
        <v>25</v>
      </c>
    </row>
    <row r="2784" spans="2:8" x14ac:dyDescent="0.2">
      <c r="B2784" s="3">
        <v>44674</v>
      </c>
      <c r="G2784" s="2">
        <f t="shared" si="43"/>
        <v>0</v>
      </c>
      <c r="H2784" t="s">
        <v>34</v>
      </c>
    </row>
    <row r="2785" spans="2:8" x14ac:dyDescent="0.2">
      <c r="B2785" s="3">
        <v>44674</v>
      </c>
      <c r="G2785" s="2">
        <f t="shared" si="43"/>
        <v>0</v>
      </c>
      <c r="H2785" t="s">
        <v>33</v>
      </c>
    </row>
    <row r="2786" spans="2:8" x14ac:dyDescent="0.2">
      <c r="B2786" s="3">
        <v>44674</v>
      </c>
      <c r="G2786" s="2">
        <f t="shared" si="43"/>
        <v>0</v>
      </c>
      <c r="H2786" t="s">
        <v>9</v>
      </c>
    </row>
    <row r="2787" spans="2:8" x14ac:dyDescent="0.2">
      <c r="B2787" s="3">
        <v>44674</v>
      </c>
      <c r="G2787" s="2">
        <f t="shared" si="43"/>
        <v>0</v>
      </c>
      <c r="H2787" t="s">
        <v>32</v>
      </c>
    </row>
    <row r="2788" spans="2:8" x14ac:dyDescent="0.2">
      <c r="B2788" s="3">
        <v>44674</v>
      </c>
      <c r="G2788" s="2">
        <f t="shared" si="43"/>
        <v>0</v>
      </c>
      <c r="H2788" s="1"/>
    </row>
    <row r="2789" spans="2:8" x14ac:dyDescent="0.2">
      <c r="B2789" s="3">
        <v>44675</v>
      </c>
      <c r="D2789" s="28"/>
      <c r="G2789" s="2">
        <f t="shared" si="43"/>
        <v>0</v>
      </c>
      <c r="H2789" t="s">
        <v>14</v>
      </c>
    </row>
    <row r="2790" spans="2:8" x14ac:dyDescent="0.2">
      <c r="B2790" s="3">
        <v>44675</v>
      </c>
      <c r="F2790" s="1">
        <v>5000</v>
      </c>
      <c r="G2790" s="2">
        <f t="shared" si="43"/>
        <v>-5000</v>
      </c>
      <c r="H2790" t="s">
        <v>27</v>
      </c>
    </row>
    <row r="2791" spans="2:8" x14ac:dyDescent="0.2">
      <c r="B2791" s="3">
        <v>44675</v>
      </c>
      <c r="G2791" s="2">
        <f t="shared" si="43"/>
        <v>0</v>
      </c>
      <c r="H2791" t="s">
        <v>13</v>
      </c>
    </row>
    <row r="2792" spans="2:8" x14ac:dyDescent="0.2">
      <c r="B2792" s="3">
        <v>44675</v>
      </c>
      <c r="G2792" s="2">
        <f t="shared" si="43"/>
        <v>0</v>
      </c>
      <c r="H2792" t="s">
        <v>30</v>
      </c>
    </row>
    <row r="2793" spans="2:8" x14ac:dyDescent="0.2">
      <c r="B2793" s="3">
        <v>44675</v>
      </c>
      <c r="G2793" s="2">
        <f t="shared" si="43"/>
        <v>0</v>
      </c>
      <c r="H2793" t="s">
        <v>35</v>
      </c>
    </row>
    <row r="2794" spans="2:8" x14ac:dyDescent="0.2">
      <c r="B2794" s="3">
        <v>44675</v>
      </c>
      <c r="G2794" s="2">
        <f t="shared" si="43"/>
        <v>0</v>
      </c>
      <c r="H2794" t="s">
        <v>25</v>
      </c>
    </row>
    <row r="2795" spans="2:8" x14ac:dyDescent="0.2">
      <c r="B2795" s="3">
        <v>44675</v>
      </c>
      <c r="G2795" s="2">
        <f t="shared" si="43"/>
        <v>0</v>
      </c>
      <c r="H2795" t="s">
        <v>34</v>
      </c>
    </row>
    <row r="2796" spans="2:8" x14ac:dyDescent="0.2">
      <c r="B2796" s="3">
        <v>44675</v>
      </c>
      <c r="G2796" s="2">
        <f t="shared" si="43"/>
        <v>0</v>
      </c>
      <c r="H2796" t="s">
        <v>33</v>
      </c>
    </row>
    <row r="2797" spans="2:8" x14ac:dyDescent="0.2">
      <c r="B2797" s="3">
        <v>44675</v>
      </c>
      <c r="G2797" s="2">
        <f t="shared" si="43"/>
        <v>0</v>
      </c>
      <c r="H2797" t="s">
        <v>9</v>
      </c>
    </row>
    <row r="2798" spans="2:8" x14ac:dyDescent="0.2">
      <c r="B2798" s="3">
        <v>44675</v>
      </c>
      <c r="G2798" s="2">
        <f t="shared" si="43"/>
        <v>0</v>
      </c>
      <c r="H2798" t="s">
        <v>32</v>
      </c>
    </row>
    <row r="2799" spans="2:8" x14ac:dyDescent="0.2">
      <c r="B2799" s="3">
        <v>44675</v>
      </c>
      <c r="G2799" s="2">
        <f t="shared" si="43"/>
        <v>0</v>
      </c>
      <c r="H2799" s="1"/>
    </row>
    <row r="2800" spans="2:8" x14ac:dyDescent="0.2">
      <c r="B2800" s="3">
        <v>44676</v>
      </c>
      <c r="D2800" s="28"/>
      <c r="G2800" s="2">
        <f t="shared" si="43"/>
        <v>0</v>
      </c>
      <c r="H2800" t="s">
        <v>14</v>
      </c>
    </row>
    <row r="2801" spans="2:8" x14ac:dyDescent="0.2">
      <c r="B2801" s="3">
        <v>44676</v>
      </c>
      <c r="G2801" s="2">
        <f t="shared" si="43"/>
        <v>0</v>
      </c>
      <c r="H2801" t="s">
        <v>27</v>
      </c>
    </row>
    <row r="2802" spans="2:8" x14ac:dyDescent="0.2">
      <c r="B2802" s="3">
        <v>44676</v>
      </c>
      <c r="G2802" s="2">
        <f t="shared" si="43"/>
        <v>0</v>
      </c>
      <c r="H2802" t="s">
        <v>13</v>
      </c>
    </row>
    <row r="2803" spans="2:8" x14ac:dyDescent="0.2">
      <c r="B2803" s="3">
        <v>44676</v>
      </c>
      <c r="G2803" s="2">
        <f t="shared" si="43"/>
        <v>0</v>
      </c>
      <c r="H2803" t="s">
        <v>30</v>
      </c>
    </row>
    <row r="2804" spans="2:8" x14ac:dyDescent="0.2">
      <c r="B2804" s="3">
        <v>44676</v>
      </c>
      <c r="G2804" s="2">
        <f t="shared" si="43"/>
        <v>0</v>
      </c>
      <c r="H2804" t="s">
        <v>35</v>
      </c>
    </row>
    <row r="2805" spans="2:8" x14ac:dyDescent="0.2">
      <c r="B2805" s="3">
        <v>44676</v>
      </c>
      <c r="G2805" s="2">
        <f t="shared" si="43"/>
        <v>0</v>
      </c>
      <c r="H2805" t="s">
        <v>25</v>
      </c>
    </row>
    <row r="2806" spans="2:8" x14ac:dyDescent="0.2">
      <c r="B2806" s="3">
        <v>44676</v>
      </c>
      <c r="G2806" s="2">
        <f t="shared" si="43"/>
        <v>0</v>
      </c>
      <c r="H2806" t="s">
        <v>34</v>
      </c>
    </row>
    <row r="2807" spans="2:8" x14ac:dyDescent="0.2">
      <c r="B2807" s="3">
        <v>44676</v>
      </c>
      <c r="G2807" s="2">
        <f t="shared" si="43"/>
        <v>0</v>
      </c>
      <c r="H2807" t="s">
        <v>33</v>
      </c>
    </row>
    <row r="2808" spans="2:8" x14ac:dyDescent="0.2">
      <c r="B2808" s="3">
        <v>44676</v>
      </c>
      <c r="F2808" s="1">
        <v>1000</v>
      </c>
      <c r="G2808" s="2">
        <f t="shared" si="43"/>
        <v>-1000</v>
      </c>
      <c r="H2808" t="s">
        <v>9</v>
      </c>
    </row>
    <row r="2809" spans="2:8" x14ac:dyDescent="0.2">
      <c r="B2809" s="3">
        <v>44676</v>
      </c>
      <c r="G2809" s="2">
        <f t="shared" si="43"/>
        <v>0</v>
      </c>
      <c r="H2809" t="s">
        <v>32</v>
      </c>
    </row>
    <row r="2810" spans="2:8" x14ac:dyDescent="0.2">
      <c r="B2810" s="3">
        <v>44676</v>
      </c>
      <c r="F2810" s="1">
        <v>450</v>
      </c>
      <c r="G2810" s="2">
        <f t="shared" si="43"/>
        <v>-450</v>
      </c>
      <c r="H2810" t="s">
        <v>39</v>
      </c>
    </row>
    <row r="2811" spans="2:8" x14ac:dyDescent="0.2">
      <c r="B2811" s="3">
        <v>44677</v>
      </c>
      <c r="D2811" s="28"/>
      <c r="G2811" s="2">
        <f t="shared" si="43"/>
        <v>0</v>
      </c>
      <c r="H2811" t="s">
        <v>14</v>
      </c>
    </row>
    <row r="2812" spans="2:8" x14ac:dyDescent="0.2">
      <c r="B2812" s="3">
        <v>44677</v>
      </c>
      <c r="D2812" s="1">
        <v>19718.75</v>
      </c>
      <c r="E2812" s="1">
        <v>21482.5</v>
      </c>
      <c r="G2812" s="2">
        <f t="shared" si="43"/>
        <v>21482.5</v>
      </c>
      <c r="H2812" t="s">
        <v>27</v>
      </c>
    </row>
    <row r="2813" spans="2:8" x14ac:dyDescent="0.2">
      <c r="B2813" s="3">
        <v>44677</v>
      </c>
      <c r="G2813" s="2">
        <f t="shared" si="43"/>
        <v>0</v>
      </c>
      <c r="H2813" t="s">
        <v>13</v>
      </c>
    </row>
    <row r="2814" spans="2:8" x14ac:dyDescent="0.2">
      <c r="B2814" s="3">
        <v>44677</v>
      </c>
      <c r="G2814" s="2">
        <f t="shared" si="43"/>
        <v>0</v>
      </c>
      <c r="H2814" t="s">
        <v>30</v>
      </c>
    </row>
    <row r="2815" spans="2:8" x14ac:dyDescent="0.2">
      <c r="B2815" s="3">
        <v>44677</v>
      </c>
      <c r="G2815" s="2">
        <f t="shared" si="43"/>
        <v>0</v>
      </c>
      <c r="H2815" t="s">
        <v>35</v>
      </c>
    </row>
    <row r="2816" spans="2:8" x14ac:dyDescent="0.2">
      <c r="B2816" s="3">
        <v>44677</v>
      </c>
      <c r="D2816" s="1">
        <v>15180</v>
      </c>
      <c r="E2816" s="1">
        <v>21821.879999999997</v>
      </c>
      <c r="F2816" s="1">
        <v>5000</v>
      </c>
      <c r="G2816" s="2">
        <f t="shared" si="43"/>
        <v>16821.879999999997</v>
      </c>
      <c r="H2816" t="s">
        <v>25</v>
      </c>
    </row>
    <row r="2817" spans="2:8" x14ac:dyDescent="0.2">
      <c r="B2817" s="3">
        <v>44677</v>
      </c>
      <c r="G2817" s="2">
        <f t="shared" si="43"/>
        <v>0</v>
      </c>
      <c r="H2817" t="s">
        <v>34</v>
      </c>
    </row>
    <row r="2818" spans="2:8" x14ac:dyDescent="0.2">
      <c r="B2818" s="3">
        <v>44677</v>
      </c>
      <c r="G2818" s="2">
        <f t="shared" si="43"/>
        <v>0</v>
      </c>
      <c r="H2818" t="s">
        <v>33</v>
      </c>
    </row>
    <row r="2819" spans="2:8" x14ac:dyDescent="0.2">
      <c r="B2819" s="3">
        <v>44677</v>
      </c>
      <c r="G2819" s="2">
        <f t="shared" ref="G2819:G2882" si="44">E2819-F2819</f>
        <v>0</v>
      </c>
      <c r="H2819" t="s">
        <v>9</v>
      </c>
    </row>
    <row r="2820" spans="2:8" x14ac:dyDescent="0.2">
      <c r="B2820" s="3">
        <v>44677</v>
      </c>
      <c r="G2820" s="2">
        <f t="shared" si="44"/>
        <v>0</v>
      </c>
      <c r="H2820" t="s">
        <v>32</v>
      </c>
    </row>
    <row r="2821" spans="2:8" x14ac:dyDescent="0.2">
      <c r="B2821" s="3">
        <v>44677</v>
      </c>
      <c r="G2821" s="2">
        <f t="shared" si="44"/>
        <v>0</v>
      </c>
      <c r="H2821" s="1"/>
    </row>
    <row r="2822" spans="2:8" x14ac:dyDescent="0.2">
      <c r="B2822" s="3">
        <v>44678</v>
      </c>
      <c r="D2822" s="28"/>
      <c r="G2822" s="2">
        <f t="shared" si="44"/>
        <v>0</v>
      </c>
      <c r="H2822" t="s">
        <v>14</v>
      </c>
    </row>
    <row r="2823" spans="2:8" x14ac:dyDescent="0.2">
      <c r="B2823" s="3">
        <v>44678</v>
      </c>
      <c r="D2823" s="1">
        <v>3900</v>
      </c>
      <c r="E2823" s="1">
        <v>4400</v>
      </c>
      <c r="G2823" s="2">
        <f t="shared" si="44"/>
        <v>4400</v>
      </c>
      <c r="H2823" t="s">
        <v>27</v>
      </c>
    </row>
    <row r="2824" spans="2:8" x14ac:dyDescent="0.2">
      <c r="B2824" s="3">
        <v>44678</v>
      </c>
      <c r="G2824" s="2">
        <f t="shared" si="44"/>
        <v>0</v>
      </c>
      <c r="H2824" t="s">
        <v>13</v>
      </c>
    </row>
    <row r="2825" spans="2:8" x14ac:dyDescent="0.2">
      <c r="B2825" s="3">
        <v>44678</v>
      </c>
      <c r="G2825" s="2">
        <f t="shared" si="44"/>
        <v>0</v>
      </c>
      <c r="H2825" t="s">
        <v>30</v>
      </c>
    </row>
    <row r="2826" spans="2:8" x14ac:dyDescent="0.2">
      <c r="B2826" s="3">
        <v>44678</v>
      </c>
      <c r="G2826" s="2">
        <f t="shared" si="44"/>
        <v>0</v>
      </c>
      <c r="H2826" t="s">
        <v>35</v>
      </c>
    </row>
    <row r="2827" spans="2:8" x14ac:dyDescent="0.2">
      <c r="B2827" s="3">
        <v>44678</v>
      </c>
      <c r="G2827" s="2">
        <f t="shared" si="44"/>
        <v>0</v>
      </c>
      <c r="H2827" t="s">
        <v>25</v>
      </c>
    </row>
    <row r="2828" spans="2:8" x14ac:dyDescent="0.2">
      <c r="B2828" s="3">
        <v>44678</v>
      </c>
      <c r="G2828" s="2">
        <f t="shared" si="44"/>
        <v>0</v>
      </c>
      <c r="H2828" t="s">
        <v>34</v>
      </c>
    </row>
    <row r="2829" spans="2:8" x14ac:dyDescent="0.2">
      <c r="B2829" s="3">
        <v>44678</v>
      </c>
      <c r="G2829" s="2">
        <f t="shared" si="44"/>
        <v>0</v>
      </c>
      <c r="H2829" t="s">
        <v>33</v>
      </c>
    </row>
    <row r="2830" spans="2:8" x14ac:dyDescent="0.2">
      <c r="B2830" s="3">
        <v>44678</v>
      </c>
      <c r="G2830" s="2">
        <f t="shared" si="44"/>
        <v>0</v>
      </c>
      <c r="H2830" t="s">
        <v>9</v>
      </c>
    </row>
    <row r="2831" spans="2:8" x14ac:dyDescent="0.2">
      <c r="B2831" s="3">
        <v>44678</v>
      </c>
      <c r="G2831" s="2">
        <f t="shared" si="44"/>
        <v>0</v>
      </c>
      <c r="H2831" t="s">
        <v>32</v>
      </c>
    </row>
    <row r="2832" spans="2:8" x14ac:dyDescent="0.2">
      <c r="B2832" s="3">
        <v>44678</v>
      </c>
      <c r="G2832" s="2">
        <f t="shared" si="44"/>
        <v>0</v>
      </c>
      <c r="H2832" s="1"/>
    </row>
    <row r="2833" spans="2:8" x14ac:dyDescent="0.2">
      <c r="B2833" s="3">
        <v>44679</v>
      </c>
      <c r="D2833" s="28"/>
      <c r="G2833" s="2">
        <f t="shared" si="44"/>
        <v>0</v>
      </c>
      <c r="H2833" t="s">
        <v>14</v>
      </c>
    </row>
    <row r="2834" spans="2:8" x14ac:dyDescent="0.2">
      <c r="B2834" s="3">
        <v>44679</v>
      </c>
      <c r="G2834" s="2">
        <f t="shared" si="44"/>
        <v>0</v>
      </c>
      <c r="H2834" t="s">
        <v>27</v>
      </c>
    </row>
    <row r="2835" spans="2:8" x14ac:dyDescent="0.2">
      <c r="B2835" s="3">
        <v>44679</v>
      </c>
      <c r="F2835" s="1">
        <v>3000</v>
      </c>
      <c r="G2835" s="2">
        <f t="shared" si="44"/>
        <v>-3000</v>
      </c>
      <c r="H2835" t="s">
        <v>13</v>
      </c>
    </row>
    <row r="2836" spans="2:8" x14ac:dyDescent="0.2">
      <c r="B2836" s="3">
        <v>44679</v>
      </c>
      <c r="G2836" s="2">
        <f t="shared" si="44"/>
        <v>0</v>
      </c>
      <c r="H2836" t="s">
        <v>30</v>
      </c>
    </row>
    <row r="2837" spans="2:8" x14ac:dyDescent="0.2">
      <c r="B2837" s="3">
        <v>44679</v>
      </c>
      <c r="D2837" s="1">
        <v>1210</v>
      </c>
      <c r="E2837" s="1">
        <v>1465</v>
      </c>
      <c r="F2837" s="1">
        <v>2300</v>
      </c>
      <c r="G2837" s="2">
        <f t="shared" si="44"/>
        <v>-835</v>
      </c>
      <c r="H2837" t="s">
        <v>35</v>
      </c>
    </row>
    <row r="2838" spans="2:8" x14ac:dyDescent="0.2">
      <c r="B2838" s="3">
        <v>44679</v>
      </c>
      <c r="G2838" s="2">
        <f t="shared" si="44"/>
        <v>0</v>
      </c>
      <c r="H2838" t="s">
        <v>25</v>
      </c>
    </row>
    <row r="2839" spans="2:8" x14ac:dyDescent="0.2">
      <c r="B2839" s="3">
        <v>44679</v>
      </c>
      <c r="G2839" s="2">
        <f t="shared" si="44"/>
        <v>0</v>
      </c>
      <c r="H2839" t="s">
        <v>34</v>
      </c>
    </row>
    <row r="2840" spans="2:8" x14ac:dyDescent="0.2">
      <c r="B2840" s="3">
        <v>44679</v>
      </c>
      <c r="G2840" s="2">
        <f t="shared" si="44"/>
        <v>0</v>
      </c>
      <c r="H2840" t="s">
        <v>33</v>
      </c>
    </row>
    <row r="2841" spans="2:8" x14ac:dyDescent="0.2">
      <c r="B2841" s="3">
        <v>44679</v>
      </c>
      <c r="G2841" s="2">
        <f t="shared" si="44"/>
        <v>0</v>
      </c>
      <c r="H2841" t="s">
        <v>9</v>
      </c>
    </row>
    <row r="2842" spans="2:8" x14ac:dyDescent="0.2">
      <c r="B2842" s="3">
        <v>44679</v>
      </c>
      <c r="G2842" s="2">
        <f t="shared" si="44"/>
        <v>0</v>
      </c>
      <c r="H2842" t="s">
        <v>32</v>
      </c>
    </row>
    <row r="2843" spans="2:8" x14ac:dyDescent="0.2">
      <c r="B2843" s="3">
        <v>44679</v>
      </c>
      <c r="G2843" s="2">
        <f t="shared" si="44"/>
        <v>0</v>
      </c>
      <c r="H2843" s="1"/>
    </row>
    <row r="2844" spans="2:8" x14ac:dyDescent="0.2">
      <c r="B2844" s="3">
        <v>44680</v>
      </c>
      <c r="D2844" s="28"/>
      <c r="G2844" s="2">
        <f t="shared" si="44"/>
        <v>0</v>
      </c>
      <c r="H2844" t="s">
        <v>14</v>
      </c>
    </row>
    <row r="2845" spans="2:8" x14ac:dyDescent="0.2">
      <c r="B2845" s="3">
        <v>44680</v>
      </c>
      <c r="G2845" s="2">
        <f t="shared" si="44"/>
        <v>0</v>
      </c>
      <c r="H2845" t="s">
        <v>27</v>
      </c>
    </row>
    <row r="2846" spans="2:8" x14ac:dyDescent="0.2">
      <c r="B2846" s="3">
        <v>44680</v>
      </c>
      <c r="G2846" s="2">
        <f t="shared" si="44"/>
        <v>0</v>
      </c>
      <c r="H2846" t="s">
        <v>13</v>
      </c>
    </row>
    <row r="2847" spans="2:8" x14ac:dyDescent="0.2">
      <c r="B2847" s="3">
        <v>44680</v>
      </c>
      <c r="G2847" s="2">
        <f t="shared" si="44"/>
        <v>0</v>
      </c>
      <c r="H2847" t="s">
        <v>30</v>
      </c>
    </row>
    <row r="2848" spans="2:8" x14ac:dyDescent="0.2">
      <c r="B2848" s="3">
        <v>44680</v>
      </c>
      <c r="G2848" s="2">
        <f t="shared" si="44"/>
        <v>0</v>
      </c>
      <c r="H2848" t="s">
        <v>35</v>
      </c>
    </row>
    <row r="2849" spans="2:8" x14ac:dyDescent="0.2">
      <c r="B2849" s="3">
        <v>44680</v>
      </c>
      <c r="G2849" s="2">
        <f t="shared" si="44"/>
        <v>0</v>
      </c>
      <c r="H2849" t="s">
        <v>25</v>
      </c>
    </row>
    <row r="2850" spans="2:8" x14ac:dyDescent="0.2">
      <c r="B2850" s="3">
        <v>44680</v>
      </c>
      <c r="G2850" s="2">
        <f t="shared" si="44"/>
        <v>0</v>
      </c>
      <c r="H2850" t="s">
        <v>34</v>
      </c>
    </row>
    <row r="2851" spans="2:8" x14ac:dyDescent="0.2">
      <c r="B2851" s="3">
        <v>44680</v>
      </c>
      <c r="G2851" s="2">
        <f t="shared" si="44"/>
        <v>0</v>
      </c>
      <c r="H2851" t="s">
        <v>33</v>
      </c>
    </row>
    <row r="2852" spans="2:8" x14ac:dyDescent="0.2">
      <c r="B2852" s="3">
        <v>44680</v>
      </c>
      <c r="G2852" s="2">
        <f t="shared" si="44"/>
        <v>0</v>
      </c>
      <c r="H2852" t="s">
        <v>9</v>
      </c>
    </row>
    <row r="2853" spans="2:8" x14ac:dyDescent="0.2">
      <c r="B2853" s="3">
        <v>44680</v>
      </c>
      <c r="G2853" s="2">
        <f t="shared" si="44"/>
        <v>0</v>
      </c>
      <c r="H2853" t="s">
        <v>32</v>
      </c>
    </row>
    <row r="2854" spans="2:8" x14ac:dyDescent="0.2">
      <c r="B2854" s="3">
        <v>44680</v>
      </c>
      <c r="G2854" s="2">
        <f t="shared" si="44"/>
        <v>0</v>
      </c>
      <c r="H2854" s="1"/>
    </row>
    <row r="2855" spans="2:8" x14ac:dyDescent="0.2">
      <c r="B2855" s="3">
        <v>44681</v>
      </c>
      <c r="D2855" s="28">
        <v>3416</v>
      </c>
      <c r="E2855" s="1">
        <v>3685</v>
      </c>
      <c r="F2855" s="1">
        <v>7000</v>
      </c>
      <c r="G2855" s="2">
        <f t="shared" si="44"/>
        <v>-3315</v>
      </c>
      <c r="H2855" t="s">
        <v>14</v>
      </c>
    </row>
    <row r="2856" spans="2:8" x14ac:dyDescent="0.2">
      <c r="B2856" s="3">
        <v>44681</v>
      </c>
      <c r="F2856" s="1">
        <v>427.16250000000002</v>
      </c>
      <c r="G2856" s="2">
        <f t="shared" si="44"/>
        <v>-427.16250000000002</v>
      </c>
      <c r="H2856" t="s">
        <v>27</v>
      </c>
    </row>
    <row r="2857" spans="2:8" x14ac:dyDescent="0.2">
      <c r="B2857" s="3">
        <v>44681</v>
      </c>
      <c r="G2857" s="2">
        <f t="shared" si="44"/>
        <v>0</v>
      </c>
      <c r="H2857" t="s">
        <v>13</v>
      </c>
    </row>
    <row r="2858" spans="2:8" x14ac:dyDescent="0.2">
      <c r="B2858" s="3">
        <v>44681</v>
      </c>
      <c r="G2858" s="2">
        <f t="shared" si="44"/>
        <v>0</v>
      </c>
      <c r="H2858" t="s">
        <v>30</v>
      </c>
    </row>
    <row r="2859" spans="2:8" x14ac:dyDescent="0.2">
      <c r="B2859" s="3">
        <v>44681</v>
      </c>
      <c r="G2859" s="2">
        <f t="shared" si="44"/>
        <v>0</v>
      </c>
      <c r="H2859" t="s">
        <v>35</v>
      </c>
    </row>
    <row r="2860" spans="2:8" x14ac:dyDescent="0.2">
      <c r="B2860" s="3">
        <v>44681</v>
      </c>
      <c r="G2860" s="2">
        <f t="shared" si="44"/>
        <v>0</v>
      </c>
      <c r="H2860" t="s">
        <v>25</v>
      </c>
    </row>
    <row r="2861" spans="2:8" x14ac:dyDescent="0.2">
      <c r="B2861" s="3">
        <v>44681</v>
      </c>
      <c r="G2861" s="2">
        <f t="shared" si="44"/>
        <v>0</v>
      </c>
      <c r="H2861" t="s">
        <v>34</v>
      </c>
    </row>
    <row r="2862" spans="2:8" x14ac:dyDescent="0.2">
      <c r="B2862" s="3">
        <v>44681</v>
      </c>
      <c r="D2862" s="1">
        <v>525</v>
      </c>
      <c r="E2862" s="1">
        <v>581.25</v>
      </c>
      <c r="G2862" s="2">
        <f t="shared" si="44"/>
        <v>581.25</v>
      </c>
      <c r="H2862" t="s">
        <v>33</v>
      </c>
    </row>
    <row r="2863" spans="2:8" x14ac:dyDescent="0.2">
      <c r="B2863" s="3">
        <v>44681</v>
      </c>
      <c r="G2863" s="2">
        <f t="shared" si="44"/>
        <v>0</v>
      </c>
      <c r="H2863" t="s">
        <v>9</v>
      </c>
    </row>
    <row r="2864" spans="2:8" x14ac:dyDescent="0.2">
      <c r="B2864" s="3">
        <v>44681</v>
      </c>
      <c r="G2864" s="2">
        <f t="shared" si="44"/>
        <v>0</v>
      </c>
      <c r="H2864" t="s">
        <v>32</v>
      </c>
    </row>
    <row r="2865" spans="2:8" x14ac:dyDescent="0.2">
      <c r="B2865" s="3">
        <v>44681</v>
      </c>
      <c r="G2865" s="2">
        <f t="shared" si="44"/>
        <v>0</v>
      </c>
      <c r="H2865" s="1"/>
    </row>
    <row r="2866" spans="2:8" x14ac:dyDescent="0.2">
      <c r="B2866" s="3">
        <v>44682</v>
      </c>
      <c r="D2866" s="28"/>
      <c r="G2866" s="2">
        <f t="shared" si="44"/>
        <v>0</v>
      </c>
      <c r="H2866" t="s">
        <v>14</v>
      </c>
    </row>
    <row r="2867" spans="2:8" x14ac:dyDescent="0.2">
      <c r="B2867" s="3">
        <v>44682</v>
      </c>
      <c r="D2867" s="1">
        <v>14100</v>
      </c>
      <c r="E2867" s="1">
        <v>15900</v>
      </c>
      <c r="G2867" s="2">
        <f t="shared" si="44"/>
        <v>15900</v>
      </c>
      <c r="H2867" t="s">
        <v>27</v>
      </c>
    </row>
    <row r="2868" spans="2:8" x14ac:dyDescent="0.2">
      <c r="B2868" s="3">
        <v>44682</v>
      </c>
      <c r="G2868" s="2">
        <f t="shared" si="44"/>
        <v>0</v>
      </c>
      <c r="H2868" t="s">
        <v>13</v>
      </c>
    </row>
    <row r="2869" spans="2:8" x14ac:dyDescent="0.2">
      <c r="B2869" s="3">
        <v>44682</v>
      </c>
      <c r="D2869" s="1">
        <v>16694.05</v>
      </c>
      <c r="E2869" s="1">
        <v>22210.269999999993</v>
      </c>
      <c r="G2869" s="2">
        <f t="shared" si="44"/>
        <v>22210.269999999993</v>
      </c>
      <c r="H2869" t="s">
        <v>30</v>
      </c>
    </row>
    <row r="2870" spans="2:8" x14ac:dyDescent="0.2">
      <c r="B2870" s="3">
        <v>44682</v>
      </c>
      <c r="G2870" s="2">
        <f t="shared" si="44"/>
        <v>0</v>
      </c>
      <c r="H2870" t="s">
        <v>35</v>
      </c>
    </row>
    <row r="2871" spans="2:8" x14ac:dyDescent="0.2">
      <c r="B2871" s="3">
        <v>44682</v>
      </c>
      <c r="G2871" s="2">
        <f t="shared" si="44"/>
        <v>0</v>
      </c>
      <c r="H2871" t="s">
        <v>25</v>
      </c>
    </row>
    <row r="2872" spans="2:8" x14ac:dyDescent="0.2">
      <c r="B2872" s="3">
        <v>44682</v>
      </c>
      <c r="D2872" s="1">
        <v>3345.5</v>
      </c>
      <c r="E2872" s="1">
        <v>4115</v>
      </c>
      <c r="F2872" s="1">
        <v>2267</v>
      </c>
      <c r="G2872" s="2">
        <f t="shared" si="44"/>
        <v>1848</v>
      </c>
      <c r="H2872" t="s">
        <v>34</v>
      </c>
    </row>
    <row r="2873" spans="2:8" x14ac:dyDescent="0.2">
      <c r="B2873" s="3">
        <v>44682</v>
      </c>
      <c r="G2873" s="2">
        <f t="shared" si="44"/>
        <v>0</v>
      </c>
      <c r="H2873" t="s">
        <v>33</v>
      </c>
    </row>
    <row r="2874" spans="2:8" x14ac:dyDescent="0.2">
      <c r="B2874" s="3">
        <v>44682</v>
      </c>
      <c r="G2874" s="2">
        <f t="shared" si="44"/>
        <v>0</v>
      </c>
      <c r="H2874" t="s">
        <v>9</v>
      </c>
    </row>
    <row r="2875" spans="2:8" x14ac:dyDescent="0.2">
      <c r="B2875" s="3">
        <v>44682</v>
      </c>
      <c r="G2875" s="2">
        <f t="shared" si="44"/>
        <v>0</v>
      </c>
      <c r="H2875" t="s">
        <v>32</v>
      </c>
    </row>
    <row r="2876" spans="2:8" x14ac:dyDescent="0.2">
      <c r="B2876" s="3">
        <v>44682</v>
      </c>
      <c r="D2876" s="1">
        <v>1165</v>
      </c>
      <c r="E2876" s="1">
        <v>1320</v>
      </c>
      <c r="G2876" s="2">
        <f t="shared" si="44"/>
        <v>1320</v>
      </c>
      <c r="H2876" t="s">
        <v>37</v>
      </c>
    </row>
    <row r="2877" spans="2:8" x14ac:dyDescent="0.2">
      <c r="B2877" s="3">
        <v>44683</v>
      </c>
      <c r="D2877" s="28"/>
      <c r="G2877" s="2">
        <f t="shared" si="44"/>
        <v>0</v>
      </c>
      <c r="H2877" t="s">
        <v>14</v>
      </c>
    </row>
    <row r="2878" spans="2:8" x14ac:dyDescent="0.2">
      <c r="B2878" s="3">
        <v>44683</v>
      </c>
      <c r="G2878" s="2">
        <f t="shared" si="44"/>
        <v>0</v>
      </c>
      <c r="H2878" t="s">
        <v>27</v>
      </c>
    </row>
    <row r="2879" spans="2:8" x14ac:dyDescent="0.2">
      <c r="B2879" s="3">
        <v>44683</v>
      </c>
      <c r="G2879" s="2">
        <f t="shared" si="44"/>
        <v>0</v>
      </c>
      <c r="H2879" t="s">
        <v>13</v>
      </c>
    </row>
    <row r="2880" spans="2:8" x14ac:dyDescent="0.2">
      <c r="B2880" s="3">
        <v>44683</v>
      </c>
      <c r="G2880" s="2">
        <f t="shared" si="44"/>
        <v>0</v>
      </c>
      <c r="H2880" t="s">
        <v>30</v>
      </c>
    </row>
    <row r="2881" spans="2:8" x14ac:dyDescent="0.2">
      <c r="B2881" s="3">
        <v>44683</v>
      </c>
      <c r="G2881" s="2">
        <f t="shared" si="44"/>
        <v>0</v>
      </c>
      <c r="H2881" t="s">
        <v>35</v>
      </c>
    </row>
    <row r="2882" spans="2:8" x14ac:dyDescent="0.2">
      <c r="B2882" s="3">
        <v>44683</v>
      </c>
      <c r="G2882" s="2">
        <f t="shared" si="44"/>
        <v>0</v>
      </c>
      <c r="H2882" t="s">
        <v>25</v>
      </c>
    </row>
    <row r="2883" spans="2:8" x14ac:dyDescent="0.2">
      <c r="B2883" s="3">
        <v>44683</v>
      </c>
      <c r="G2883" s="2">
        <f t="shared" ref="G2883:G2946" si="45">E2883-F2883</f>
        <v>0</v>
      </c>
      <c r="H2883" t="s">
        <v>34</v>
      </c>
    </row>
    <row r="2884" spans="2:8" x14ac:dyDescent="0.2">
      <c r="B2884" s="3">
        <v>44683</v>
      </c>
      <c r="G2884" s="2">
        <f t="shared" si="45"/>
        <v>0</v>
      </c>
      <c r="H2884" t="s">
        <v>33</v>
      </c>
    </row>
    <row r="2885" spans="2:8" x14ac:dyDescent="0.2">
      <c r="B2885" s="3">
        <v>44683</v>
      </c>
      <c r="G2885" s="2">
        <f t="shared" si="45"/>
        <v>0</v>
      </c>
      <c r="H2885" t="s">
        <v>9</v>
      </c>
    </row>
    <row r="2886" spans="2:8" x14ac:dyDescent="0.2">
      <c r="B2886" s="3">
        <v>44683</v>
      </c>
      <c r="G2886" s="2">
        <f t="shared" si="45"/>
        <v>0</v>
      </c>
      <c r="H2886" t="s">
        <v>32</v>
      </c>
    </row>
    <row r="2887" spans="2:8" x14ac:dyDescent="0.2">
      <c r="B2887" s="3">
        <v>44683</v>
      </c>
      <c r="G2887" s="2">
        <f t="shared" si="45"/>
        <v>0</v>
      </c>
      <c r="H2887" s="1"/>
    </row>
    <row r="2888" spans="2:8" x14ac:dyDescent="0.2">
      <c r="B2888" s="3">
        <v>44684</v>
      </c>
      <c r="D2888" s="28"/>
      <c r="G2888" s="2">
        <f t="shared" si="45"/>
        <v>0</v>
      </c>
      <c r="H2888" t="s">
        <v>14</v>
      </c>
    </row>
    <row r="2889" spans="2:8" x14ac:dyDescent="0.2">
      <c r="B2889" s="3">
        <v>44684</v>
      </c>
      <c r="G2889" s="2">
        <f t="shared" si="45"/>
        <v>0</v>
      </c>
      <c r="H2889" t="s">
        <v>27</v>
      </c>
    </row>
    <row r="2890" spans="2:8" x14ac:dyDescent="0.2">
      <c r="B2890" s="3">
        <v>44684</v>
      </c>
      <c r="G2890" s="2">
        <f t="shared" si="45"/>
        <v>0</v>
      </c>
      <c r="H2890" t="s">
        <v>13</v>
      </c>
    </row>
    <row r="2891" spans="2:8" x14ac:dyDescent="0.2">
      <c r="B2891" s="3">
        <v>44684</v>
      </c>
      <c r="G2891" s="2">
        <f t="shared" si="45"/>
        <v>0</v>
      </c>
      <c r="H2891" t="s">
        <v>30</v>
      </c>
    </row>
    <row r="2892" spans="2:8" x14ac:dyDescent="0.2">
      <c r="B2892" s="3">
        <v>44684</v>
      </c>
      <c r="G2892" s="2">
        <f t="shared" si="45"/>
        <v>0</v>
      </c>
      <c r="H2892" t="s">
        <v>35</v>
      </c>
    </row>
    <row r="2893" spans="2:8" x14ac:dyDescent="0.2">
      <c r="B2893" s="3">
        <v>44684</v>
      </c>
      <c r="G2893" s="2">
        <f t="shared" si="45"/>
        <v>0</v>
      </c>
      <c r="H2893" t="s">
        <v>25</v>
      </c>
    </row>
    <row r="2894" spans="2:8" x14ac:dyDescent="0.2">
      <c r="B2894" s="3">
        <v>44684</v>
      </c>
      <c r="G2894" s="2">
        <f t="shared" si="45"/>
        <v>0</v>
      </c>
      <c r="H2894" t="s">
        <v>34</v>
      </c>
    </row>
    <row r="2895" spans="2:8" x14ac:dyDescent="0.2">
      <c r="B2895" s="3">
        <v>44684</v>
      </c>
      <c r="G2895" s="2">
        <f t="shared" si="45"/>
        <v>0</v>
      </c>
      <c r="H2895" t="s">
        <v>33</v>
      </c>
    </row>
    <row r="2896" spans="2:8" x14ac:dyDescent="0.2">
      <c r="B2896" s="3">
        <v>44684</v>
      </c>
      <c r="G2896" s="2">
        <f t="shared" si="45"/>
        <v>0</v>
      </c>
      <c r="H2896" t="s">
        <v>9</v>
      </c>
    </row>
    <row r="2897" spans="2:8" x14ac:dyDescent="0.2">
      <c r="B2897" s="3">
        <v>44684</v>
      </c>
      <c r="G2897" s="2">
        <f t="shared" si="45"/>
        <v>0</v>
      </c>
      <c r="H2897" t="s">
        <v>32</v>
      </c>
    </row>
    <row r="2898" spans="2:8" x14ac:dyDescent="0.2">
      <c r="B2898" s="3">
        <v>44684</v>
      </c>
      <c r="G2898" s="2">
        <f t="shared" si="45"/>
        <v>0</v>
      </c>
      <c r="H2898" s="1"/>
    </row>
    <row r="2899" spans="2:8" x14ac:dyDescent="0.2">
      <c r="B2899" s="3">
        <v>44685</v>
      </c>
      <c r="D2899" s="28"/>
      <c r="G2899" s="2">
        <f t="shared" si="45"/>
        <v>0</v>
      </c>
      <c r="H2899" t="s">
        <v>14</v>
      </c>
    </row>
    <row r="2900" spans="2:8" x14ac:dyDescent="0.2">
      <c r="B2900" s="3">
        <v>44685</v>
      </c>
      <c r="G2900" s="2">
        <f t="shared" si="45"/>
        <v>0</v>
      </c>
      <c r="H2900" t="s">
        <v>27</v>
      </c>
    </row>
    <row r="2901" spans="2:8" x14ac:dyDescent="0.2">
      <c r="B2901" s="3">
        <v>44685</v>
      </c>
      <c r="G2901" s="2">
        <f t="shared" si="45"/>
        <v>0</v>
      </c>
      <c r="H2901" t="s">
        <v>13</v>
      </c>
    </row>
    <row r="2902" spans="2:8" x14ac:dyDescent="0.2">
      <c r="B2902" s="3">
        <v>44685</v>
      </c>
      <c r="G2902" s="2">
        <f t="shared" si="45"/>
        <v>0</v>
      </c>
      <c r="H2902" t="s">
        <v>30</v>
      </c>
    </row>
    <row r="2903" spans="2:8" x14ac:dyDescent="0.2">
      <c r="B2903" s="3">
        <v>44685</v>
      </c>
      <c r="G2903" s="2">
        <f t="shared" si="45"/>
        <v>0</v>
      </c>
      <c r="H2903" t="s">
        <v>35</v>
      </c>
    </row>
    <row r="2904" spans="2:8" x14ac:dyDescent="0.2">
      <c r="B2904" s="3">
        <v>44685</v>
      </c>
      <c r="G2904" s="2">
        <f t="shared" si="45"/>
        <v>0</v>
      </c>
      <c r="H2904" t="s">
        <v>25</v>
      </c>
    </row>
    <row r="2905" spans="2:8" x14ac:dyDescent="0.2">
      <c r="B2905" s="3">
        <v>44685</v>
      </c>
      <c r="G2905" s="2">
        <f t="shared" si="45"/>
        <v>0</v>
      </c>
      <c r="H2905" t="s">
        <v>34</v>
      </c>
    </row>
    <row r="2906" spans="2:8" x14ac:dyDescent="0.2">
      <c r="B2906" s="3">
        <v>44685</v>
      </c>
      <c r="G2906" s="2">
        <f t="shared" si="45"/>
        <v>0</v>
      </c>
      <c r="H2906" t="s">
        <v>33</v>
      </c>
    </row>
    <row r="2907" spans="2:8" x14ac:dyDescent="0.2">
      <c r="B2907" s="3">
        <v>44685</v>
      </c>
      <c r="G2907" s="2">
        <f t="shared" si="45"/>
        <v>0</v>
      </c>
      <c r="H2907" t="s">
        <v>9</v>
      </c>
    </row>
    <row r="2908" spans="2:8" x14ac:dyDescent="0.2">
      <c r="B2908" s="3">
        <v>44685</v>
      </c>
      <c r="G2908" s="2">
        <f t="shared" si="45"/>
        <v>0</v>
      </c>
      <c r="H2908" t="s">
        <v>32</v>
      </c>
    </row>
    <row r="2909" spans="2:8" x14ac:dyDescent="0.2">
      <c r="B2909" s="3">
        <v>44685</v>
      </c>
      <c r="G2909" s="2">
        <f t="shared" si="45"/>
        <v>0</v>
      </c>
      <c r="H2909" s="1"/>
    </row>
    <row r="2910" spans="2:8" x14ac:dyDescent="0.2">
      <c r="B2910" s="3">
        <v>44686</v>
      </c>
      <c r="D2910" s="28"/>
      <c r="G2910" s="2">
        <f t="shared" si="45"/>
        <v>0</v>
      </c>
      <c r="H2910" t="s">
        <v>14</v>
      </c>
    </row>
    <row r="2911" spans="2:8" x14ac:dyDescent="0.2">
      <c r="B2911" s="3">
        <v>44686</v>
      </c>
      <c r="G2911" s="2">
        <f t="shared" si="45"/>
        <v>0</v>
      </c>
      <c r="H2911" t="s">
        <v>27</v>
      </c>
    </row>
    <row r="2912" spans="2:8" x14ac:dyDescent="0.2">
      <c r="B2912" s="3">
        <v>44686</v>
      </c>
      <c r="G2912" s="2">
        <f t="shared" si="45"/>
        <v>0</v>
      </c>
      <c r="H2912" t="s">
        <v>13</v>
      </c>
    </row>
    <row r="2913" spans="2:8" x14ac:dyDescent="0.2">
      <c r="B2913" s="3">
        <v>44686</v>
      </c>
      <c r="G2913" s="2">
        <f t="shared" si="45"/>
        <v>0</v>
      </c>
      <c r="H2913" t="s">
        <v>30</v>
      </c>
    </row>
    <row r="2914" spans="2:8" x14ac:dyDescent="0.2">
      <c r="B2914" s="3">
        <v>44686</v>
      </c>
      <c r="G2914" s="2">
        <f t="shared" si="45"/>
        <v>0</v>
      </c>
      <c r="H2914" t="s">
        <v>35</v>
      </c>
    </row>
    <row r="2915" spans="2:8" x14ac:dyDescent="0.2">
      <c r="B2915" s="3">
        <v>44686</v>
      </c>
      <c r="G2915" s="2">
        <f t="shared" si="45"/>
        <v>0</v>
      </c>
      <c r="H2915" t="s">
        <v>25</v>
      </c>
    </row>
    <row r="2916" spans="2:8" x14ac:dyDescent="0.2">
      <c r="B2916" s="3">
        <v>44686</v>
      </c>
      <c r="G2916" s="2">
        <f t="shared" si="45"/>
        <v>0</v>
      </c>
      <c r="H2916" t="s">
        <v>34</v>
      </c>
    </row>
    <row r="2917" spans="2:8" x14ac:dyDescent="0.2">
      <c r="B2917" s="3">
        <v>44686</v>
      </c>
      <c r="G2917" s="2">
        <f t="shared" si="45"/>
        <v>0</v>
      </c>
      <c r="H2917" t="s">
        <v>33</v>
      </c>
    </row>
    <row r="2918" spans="2:8" x14ac:dyDescent="0.2">
      <c r="B2918" s="3">
        <v>44686</v>
      </c>
      <c r="G2918" s="2">
        <f t="shared" si="45"/>
        <v>0</v>
      </c>
      <c r="H2918" t="s">
        <v>9</v>
      </c>
    </row>
    <row r="2919" spans="2:8" x14ac:dyDescent="0.2">
      <c r="B2919" s="3">
        <v>44686</v>
      </c>
      <c r="G2919" s="2">
        <f t="shared" si="45"/>
        <v>0</v>
      </c>
      <c r="H2919" t="s">
        <v>32</v>
      </c>
    </row>
    <row r="2920" spans="2:8" x14ac:dyDescent="0.2">
      <c r="B2920" s="3">
        <v>44686</v>
      </c>
      <c r="G2920" s="2">
        <f t="shared" si="45"/>
        <v>0</v>
      </c>
      <c r="H2920" s="1"/>
    </row>
    <row r="2921" spans="2:8" x14ac:dyDescent="0.2">
      <c r="B2921" s="3">
        <v>44687</v>
      </c>
      <c r="D2921" s="28"/>
      <c r="G2921" s="2">
        <f t="shared" si="45"/>
        <v>0</v>
      </c>
      <c r="H2921" t="s">
        <v>14</v>
      </c>
    </row>
    <row r="2922" spans="2:8" x14ac:dyDescent="0.2">
      <c r="B2922" s="3">
        <v>44687</v>
      </c>
      <c r="G2922" s="2">
        <f t="shared" si="45"/>
        <v>0</v>
      </c>
      <c r="H2922" t="s">
        <v>27</v>
      </c>
    </row>
    <row r="2923" spans="2:8" x14ac:dyDescent="0.2">
      <c r="B2923" s="3">
        <v>44687</v>
      </c>
      <c r="G2923" s="2">
        <f t="shared" si="45"/>
        <v>0</v>
      </c>
      <c r="H2923" t="s">
        <v>13</v>
      </c>
    </row>
    <row r="2924" spans="2:8" x14ac:dyDescent="0.2">
      <c r="B2924" s="3">
        <v>44687</v>
      </c>
      <c r="G2924" s="2">
        <f t="shared" si="45"/>
        <v>0</v>
      </c>
      <c r="H2924" t="s">
        <v>30</v>
      </c>
    </row>
    <row r="2925" spans="2:8" x14ac:dyDescent="0.2">
      <c r="B2925" s="3">
        <v>44687</v>
      </c>
      <c r="G2925" s="2">
        <f t="shared" si="45"/>
        <v>0</v>
      </c>
      <c r="H2925" t="s">
        <v>35</v>
      </c>
    </row>
    <row r="2926" spans="2:8" x14ac:dyDescent="0.2">
      <c r="B2926" s="3">
        <v>44687</v>
      </c>
      <c r="G2926" s="2">
        <f t="shared" si="45"/>
        <v>0</v>
      </c>
      <c r="H2926" t="s">
        <v>25</v>
      </c>
    </row>
    <row r="2927" spans="2:8" x14ac:dyDescent="0.2">
      <c r="B2927" s="3">
        <v>44687</v>
      </c>
      <c r="G2927" s="2">
        <f t="shared" si="45"/>
        <v>0</v>
      </c>
      <c r="H2927" t="s">
        <v>34</v>
      </c>
    </row>
    <row r="2928" spans="2:8" x14ac:dyDescent="0.2">
      <c r="B2928" s="3">
        <v>44687</v>
      </c>
      <c r="G2928" s="2">
        <f t="shared" si="45"/>
        <v>0</v>
      </c>
      <c r="H2928" t="s">
        <v>33</v>
      </c>
    </row>
    <row r="2929" spans="2:8" x14ac:dyDescent="0.2">
      <c r="B2929" s="3">
        <v>44687</v>
      </c>
      <c r="G2929" s="2">
        <f t="shared" si="45"/>
        <v>0</v>
      </c>
      <c r="H2929" t="s">
        <v>9</v>
      </c>
    </row>
    <row r="2930" spans="2:8" x14ac:dyDescent="0.2">
      <c r="B2930" s="3">
        <v>44687</v>
      </c>
      <c r="G2930" s="2">
        <f t="shared" si="45"/>
        <v>0</v>
      </c>
      <c r="H2930" t="s">
        <v>32</v>
      </c>
    </row>
    <row r="2931" spans="2:8" x14ac:dyDescent="0.2">
      <c r="B2931" s="3">
        <v>44687</v>
      </c>
      <c r="G2931" s="2">
        <f t="shared" si="45"/>
        <v>0</v>
      </c>
      <c r="H2931" s="1"/>
    </row>
    <row r="2932" spans="2:8" x14ac:dyDescent="0.2">
      <c r="B2932" s="3">
        <v>44688</v>
      </c>
      <c r="D2932" s="28"/>
      <c r="F2932" s="1">
        <v>7000</v>
      </c>
      <c r="G2932" s="2">
        <f t="shared" si="45"/>
        <v>-7000</v>
      </c>
      <c r="H2932" t="s">
        <v>14</v>
      </c>
    </row>
    <row r="2933" spans="2:8" x14ac:dyDescent="0.2">
      <c r="B2933" s="3">
        <v>44688</v>
      </c>
      <c r="F2933" s="1">
        <v>5000</v>
      </c>
      <c r="G2933" s="2">
        <f t="shared" si="45"/>
        <v>-5000</v>
      </c>
      <c r="H2933" t="s">
        <v>27</v>
      </c>
    </row>
    <row r="2934" spans="2:8" x14ac:dyDescent="0.2">
      <c r="B2934" s="3">
        <v>44688</v>
      </c>
      <c r="G2934" s="2">
        <f t="shared" si="45"/>
        <v>0</v>
      </c>
      <c r="H2934" t="s">
        <v>13</v>
      </c>
    </row>
    <row r="2935" spans="2:8" x14ac:dyDescent="0.2">
      <c r="B2935" s="3">
        <v>44688</v>
      </c>
      <c r="G2935" s="2">
        <f t="shared" si="45"/>
        <v>0</v>
      </c>
      <c r="H2935" t="s">
        <v>30</v>
      </c>
    </row>
    <row r="2936" spans="2:8" x14ac:dyDescent="0.2">
      <c r="B2936" s="3">
        <v>44688</v>
      </c>
      <c r="D2936" s="1">
        <v>1055</v>
      </c>
      <c r="E2936" s="1">
        <v>1287.5</v>
      </c>
      <c r="G2936" s="2">
        <f t="shared" si="45"/>
        <v>1287.5</v>
      </c>
      <c r="H2936" t="s">
        <v>35</v>
      </c>
    </row>
    <row r="2937" spans="2:8" x14ac:dyDescent="0.2">
      <c r="B2937" s="3">
        <v>44688</v>
      </c>
      <c r="G2937" s="2">
        <f t="shared" si="45"/>
        <v>0</v>
      </c>
      <c r="H2937" t="s">
        <v>25</v>
      </c>
    </row>
    <row r="2938" spans="2:8" x14ac:dyDescent="0.2">
      <c r="B2938" s="3">
        <v>44688</v>
      </c>
      <c r="G2938" s="2">
        <f t="shared" si="45"/>
        <v>0</v>
      </c>
      <c r="H2938" t="s">
        <v>34</v>
      </c>
    </row>
    <row r="2939" spans="2:8" x14ac:dyDescent="0.2">
      <c r="B2939" s="3">
        <v>44688</v>
      </c>
      <c r="F2939" s="1">
        <v>4000</v>
      </c>
      <c r="G2939" s="2">
        <f t="shared" si="45"/>
        <v>-4000</v>
      </c>
      <c r="H2939" t="s">
        <v>33</v>
      </c>
    </row>
    <row r="2940" spans="2:8" x14ac:dyDescent="0.2">
      <c r="B2940" s="3">
        <v>44688</v>
      </c>
      <c r="G2940" s="2">
        <f t="shared" si="45"/>
        <v>0</v>
      </c>
      <c r="H2940" t="s">
        <v>9</v>
      </c>
    </row>
    <row r="2941" spans="2:8" x14ac:dyDescent="0.2">
      <c r="B2941" s="3">
        <v>44688</v>
      </c>
      <c r="G2941" s="2">
        <f t="shared" si="45"/>
        <v>0</v>
      </c>
      <c r="H2941" t="s">
        <v>32</v>
      </c>
    </row>
    <row r="2942" spans="2:8" x14ac:dyDescent="0.2">
      <c r="B2942" s="3">
        <v>44688</v>
      </c>
      <c r="G2942" s="2">
        <f t="shared" si="45"/>
        <v>0</v>
      </c>
      <c r="H2942" s="1"/>
    </row>
    <row r="2943" spans="2:8" x14ac:dyDescent="0.2">
      <c r="B2943" s="3">
        <v>44689</v>
      </c>
      <c r="D2943" s="28"/>
      <c r="G2943" s="2">
        <f t="shared" si="45"/>
        <v>0</v>
      </c>
      <c r="H2943" t="s">
        <v>14</v>
      </c>
    </row>
    <row r="2944" spans="2:8" x14ac:dyDescent="0.2">
      <c r="B2944" s="3">
        <v>44689</v>
      </c>
      <c r="G2944" s="2">
        <f t="shared" si="45"/>
        <v>0</v>
      </c>
      <c r="H2944" t="s">
        <v>27</v>
      </c>
    </row>
    <row r="2945" spans="2:8" x14ac:dyDescent="0.2">
      <c r="B2945" s="3">
        <v>44689</v>
      </c>
      <c r="F2945" s="1">
        <v>3000</v>
      </c>
      <c r="G2945" s="2">
        <f t="shared" si="45"/>
        <v>-3000</v>
      </c>
      <c r="H2945" t="s">
        <v>13</v>
      </c>
    </row>
    <row r="2946" spans="2:8" x14ac:dyDescent="0.2">
      <c r="B2946" s="3">
        <v>44689</v>
      </c>
      <c r="G2946" s="2">
        <f t="shared" si="45"/>
        <v>0</v>
      </c>
      <c r="H2946" t="s">
        <v>30</v>
      </c>
    </row>
    <row r="2947" spans="2:8" x14ac:dyDescent="0.2">
      <c r="B2947" s="3">
        <v>44689</v>
      </c>
      <c r="G2947" s="2">
        <f t="shared" ref="G2947:G3010" si="46">E2947-F2947</f>
        <v>0</v>
      </c>
      <c r="H2947" t="s">
        <v>35</v>
      </c>
    </row>
    <row r="2948" spans="2:8" x14ac:dyDescent="0.2">
      <c r="B2948" s="3">
        <v>44689</v>
      </c>
      <c r="G2948" s="2">
        <f t="shared" si="46"/>
        <v>0</v>
      </c>
      <c r="H2948" t="s">
        <v>25</v>
      </c>
    </row>
    <row r="2949" spans="2:8" x14ac:dyDescent="0.2">
      <c r="B2949" s="3">
        <v>44689</v>
      </c>
      <c r="G2949" s="2">
        <f t="shared" si="46"/>
        <v>0</v>
      </c>
      <c r="H2949" t="s">
        <v>34</v>
      </c>
    </row>
    <row r="2950" spans="2:8" x14ac:dyDescent="0.2">
      <c r="B2950" s="3">
        <v>44689</v>
      </c>
      <c r="G2950" s="2">
        <f t="shared" si="46"/>
        <v>0</v>
      </c>
      <c r="H2950" t="s">
        <v>33</v>
      </c>
    </row>
    <row r="2951" spans="2:8" x14ac:dyDescent="0.2">
      <c r="B2951" s="3">
        <v>44689</v>
      </c>
      <c r="G2951" s="2">
        <f t="shared" si="46"/>
        <v>0</v>
      </c>
      <c r="H2951" t="s">
        <v>9</v>
      </c>
    </row>
    <row r="2952" spans="2:8" x14ac:dyDescent="0.2">
      <c r="B2952" s="3">
        <v>44689</v>
      </c>
      <c r="G2952" s="2">
        <f t="shared" si="46"/>
        <v>0</v>
      </c>
      <c r="H2952" t="s">
        <v>32</v>
      </c>
    </row>
    <row r="2953" spans="2:8" x14ac:dyDescent="0.2">
      <c r="B2953" s="3">
        <v>44689</v>
      </c>
      <c r="G2953" s="2">
        <f t="shared" si="46"/>
        <v>0</v>
      </c>
      <c r="H2953" s="1"/>
    </row>
    <row r="2954" spans="2:8" x14ac:dyDescent="0.2">
      <c r="B2954" s="3">
        <v>44690</v>
      </c>
      <c r="D2954" s="28"/>
      <c r="G2954" s="2">
        <f t="shared" si="46"/>
        <v>0</v>
      </c>
      <c r="H2954" t="s">
        <v>14</v>
      </c>
    </row>
    <row r="2955" spans="2:8" x14ac:dyDescent="0.2">
      <c r="B2955" s="3">
        <v>44690</v>
      </c>
      <c r="D2955" s="1">
        <v>16227</v>
      </c>
      <c r="E2955" s="1">
        <v>18115</v>
      </c>
      <c r="G2955" s="2">
        <f t="shared" si="46"/>
        <v>18115</v>
      </c>
      <c r="H2955" t="s">
        <v>27</v>
      </c>
    </row>
    <row r="2956" spans="2:8" x14ac:dyDescent="0.2">
      <c r="B2956" s="3">
        <v>44690</v>
      </c>
      <c r="G2956" s="2">
        <f t="shared" si="46"/>
        <v>0</v>
      </c>
      <c r="H2956" t="s">
        <v>13</v>
      </c>
    </row>
    <row r="2957" spans="2:8" x14ac:dyDescent="0.2">
      <c r="B2957" s="3">
        <v>44690</v>
      </c>
      <c r="G2957" s="2">
        <f t="shared" si="46"/>
        <v>0</v>
      </c>
      <c r="H2957" t="s">
        <v>30</v>
      </c>
    </row>
    <row r="2958" spans="2:8" x14ac:dyDescent="0.2">
      <c r="B2958" s="3">
        <v>44690</v>
      </c>
      <c r="G2958" s="2">
        <f t="shared" si="46"/>
        <v>0</v>
      </c>
      <c r="H2958" t="s">
        <v>35</v>
      </c>
    </row>
    <row r="2959" spans="2:8" x14ac:dyDescent="0.2">
      <c r="B2959" s="3">
        <v>44690</v>
      </c>
      <c r="G2959" s="2">
        <f t="shared" si="46"/>
        <v>0</v>
      </c>
      <c r="H2959" t="s">
        <v>25</v>
      </c>
    </row>
    <row r="2960" spans="2:8" x14ac:dyDescent="0.2">
      <c r="B2960" s="3">
        <v>44690</v>
      </c>
      <c r="G2960" s="2">
        <f t="shared" si="46"/>
        <v>0</v>
      </c>
      <c r="H2960" t="s">
        <v>34</v>
      </c>
    </row>
    <row r="2961" spans="2:8" x14ac:dyDescent="0.2">
      <c r="B2961" s="3">
        <v>44690</v>
      </c>
      <c r="G2961" s="2">
        <f t="shared" si="46"/>
        <v>0</v>
      </c>
      <c r="H2961" t="s">
        <v>33</v>
      </c>
    </row>
    <row r="2962" spans="2:8" x14ac:dyDescent="0.2">
      <c r="B2962" s="3">
        <v>44690</v>
      </c>
      <c r="G2962" s="2">
        <f t="shared" si="46"/>
        <v>0</v>
      </c>
      <c r="H2962" t="s">
        <v>9</v>
      </c>
    </row>
    <row r="2963" spans="2:8" x14ac:dyDescent="0.2">
      <c r="B2963" s="3">
        <v>44690</v>
      </c>
      <c r="G2963" s="2">
        <f t="shared" si="46"/>
        <v>0</v>
      </c>
      <c r="H2963" t="s">
        <v>32</v>
      </c>
    </row>
    <row r="2964" spans="2:8" x14ac:dyDescent="0.2">
      <c r="B2964" s="3">
        <v>44690</v>
      </c>
      <c r="G2964" s="2">
        <f t="shared" si="46"/>
        <v>0</v>
      </c>
      <c r="H2964" s="1"/>
    </row>
    <row r="2965" spans="2:8" x14ac:dyDescent="0.2">
      <c r="B2965" s="3">
        <v>44691</v>
      </c>
      <c r="D2965" s="28"/>
      <c r="G2965" s="2">
        <f t="shared" si="46"/>
        <v>0</v>
      </c>
      <c r="H2965" t="s">
        <v>14</v>
      </c>
    </row>
    <row r="2966" spans="2:8" x14ac:dyDescent="0.2">
      <c r="B2966" s="3">
        <v>44691</v>
      </c>
      <c r="G2966" s="2">
        <f t="shared" si="46"/>
        <v>0</v>
      </c>
      <c r="H2966" t="s">
        <v>27</v>
      </c>
    </row>
    <row r="2967" spans="2:8" x14ac:dyDescent="0.2">
      <c r="B2967" s="3">
        <v>44691</v>
      </c>
      <c r="G2967" s="2">
        <f t="shared" si="46"/>
        <v>0</v>
      </c>
      <c r="H2967" t="s">
        <v>13</v>
      </c>
    </row>
    <row r="2968" spans="2:8" x14ac:dyDescent="0.2">
      <c r="B2968" s="3">
        <v>44691</v>
      </c>
      <c r="G2968" s="2">
        <f t="shared" si="46"/>
        <v>0</v>
      </c>
      <c r="H2968" t="s">
        <v>30</v>
      </c>
    </row>
    <row r="2969" spans="2:8" x14ac:dyDescent="0.2">
      <c r="B2969" s="3">
        <v>44691</v>
      </c>
      <c r="G2969" s="2">
        <f t="shared" si="46"/>
        <v>0</v>
      </c>
      <c r="H2969" t="s">
        <v>35</v>
      </c>
    </row>
    <row r="2970" spans="2:8" x14ac:dyDescent="0.2">
      <c r="B2970" s="3">
        <v>44691</v>
      </c>
      <c r="G2970" s="2">
        <f t="shared" si="46"/>
        <v>0</v>
      </c>
      <c r="H2970" t="s">
        <v>25</v>
      </c>
    </row>
    <row r="2971" spans="2:8" x14ac:dyDescent="0.2">
      <c r="B2971" s="3">
        <v>44691</v>
      </c>
      <c r="G2971" s="2">
        <f t="shared" si="46"/>
        <v>0</v>
      </c>
      <c r="H2971" t="s">
        <v>34</v>
      </c>
    </row>
    <row r="2972" spans="2:8" x14ac:dyDescent="0.2">
      <c r="B2972" s="3">
        <v>44691</v>
      </c>
      <c r="G2972" s="2">
        <f t="shared" si="46"/>
        <v>0</v>
      </c>
      <c r="H2972" t="s">
        <v>33</v>
      </c>
    </row>
    <row r="2973" spans="2:8" x14ac:dyDescent="0.2">
      <c r="B2973" s="3">
        <v>44691</v>
      </c>
      <c r="G2973" s="2">
        <f t="shared" si="46"/>
        <v>0</v>
      </c>
      <c r="H2973" t="s">
        <v>9</v>
      </c>
    </row>
    <row r="2974" spans="2:8" x14ac:dyDescent="0.2">
      <c r="B2974" s="3">
        <v>44691</v>
      </c>
      <c r="D2974" s="1">
        <v>1887.5</v>
      </c>
      <c r="E2974" s="1">
        <v>2162.5</v>
      </c>
      <c r="G2974" s="2">
        <f t="shared" si="46"/>
        <v>2162.5</v>
      </c>
      <c r="H2974" t="s">
        <v>32</v>
      </c>
    </row>
    <row r="2975" spans="2:8" x14ac:dyDescent="0.2">
      <c r="B2975" s="3">
        <v>44691</v>
      </c>
      <c r="G2975" s="2">
        <f t="shared" si="46"/>
        <v>0</v>
      </c>
      <c r="H2975" s="1"/>
    </row>
    <row r="2976" spans="2:8" x14ac:dyDescent="0.2">
      <c r="B2976" s="3">
        <v>44692</v>
      </c>
      <c r="D2976" s="28"/>
      <c r="G2976" s="2">
        <f t="shared" si="46"/>
        <v>0</v>
      </c>
      <c r="H2976" t="s">
        <v>14</v>
      </c>
    </row>
    <row r="2977" spans="2:8" x14ac:dyDescent="0.2">
      <c r="B2977" s="3">
        <v>44692</v>
      </c>
      <c r="G2977" s="2">
        <f t="shared" si="46"/>
        <v>0</v>
      </c>
      <c r="H2977" t="s">
        <v>27</v>
      </c>
    </row>
    <row r="2978" spans="2:8" x14ac:dyDescent="0.2">
      <c r="B2978" s="3">
        <v>44692</v>
      </c>
      <c r="G2978" s="2">
        <f t="shared" si="46"/>
        <v>0</v>
      </c>
      <c r="H2978" t="s">
        <v>13</v>
      </c>
    </row>
    <row r="2979" spans="2:8" x14ac:dyDescent="0.2">
      <c r="B2979" s="3">
        <v>44692</v>
      </c>
      <c r="G2979" s="2">
        <f t="shared" si="46"/>
        <v>0</v>
      </c>
      <c r="H2979" t="s">
        <v>30</v>
      </c>
    </row>
    <row r="2980" spans="2:8" x14ac:dyDescent="0.2">
      <c r="B2980" s="3">
        <v>44692</v>
      </c>
      <c r="F2980" s="1">
        <v>1000</v>
      </c>
      <c r="G2980" s="2">
        <f t="shared" si="46"/>
        <v>-1000</v>
      </c>
      <c r="H2980" t="s">
        <v>35</v>
      </c>
    </row>
    <row r="2981" spans="2:8" x14ac:dyDescent="0.2">
      <c r="B2981" s="3">
        <v>44692</v>
      </c>
      <c r="G2981" s="2">
        <f t="shared" si="46"/>
        <v>0</v>
      </c>
      <c r="H2981" t="s">
        <v>25</v>
      </c>
    </row>
    <row r="2982" spans="2:8" x14ac:dyDescent="0.2">
      <c r="B2982" s="3">
        <v>44692</v>
      </c>
      <c r="G2982" s="2">
        <f t="shared" si="46"/>
        <v>0</v>
      </c>
      <c r="H2982" t="s">
        <v>34</v>
      </c>
    </row>
    <row r="2983" spans="2:8" x14ac:dyDescent="0.2">
      <c r="B2983" s="3">
        <v>44692</v>
      </c>
      <c r="G2983" s="2">
        <f t="shared" si="46"/>
        <v>0</v>
      </c>
      <c r="H2983" t="s">
        <v>33</v>
      </c>
    </row>
    <row r="2984" spans="2:8" x14ac:dyDescent="0.2">
      <c r="B2984" s="3">
        <v>44692</v>
      </c>
      <c r="G2984" s="2">
        <f t="shared" si="46"/>
        <v>0</v>
      </c>
      <c r="H2984" t="s">
        <v>9</v>
      </c>
    </row>
    <row r="2985" spans="2:8" x14ac:dyDescent="0.2">
      <c r="B2985" s="3">
        <v>44692</v>
      </c>
      <c r="G2985" s="2">
        <f t="shared" si="46"/>
        <v>0</v>
      </c>
      <c r="H2985" t="s">
        <v>32</v>
      </c>
    </row>
    <row r="2986" spans="2:8" x14ac:dyDescent="0.2">
      <c r="B2986" s="3">
        <v>44692</v>
      </c>
      <c r="G2986" s="2">
        <f t="shared" si="46"/>
        <v>0</v>
      </c>
      <c r="H2986" s="1"/>
    </row>
    <row r="2987" spans="2:8" x14ac:dyDescent="0.2">
      <c r="B2987" s="3">
        <v>44693</v>
      </c>
      <c r="D2987" s="28"/>
      <c r="G2987" s="2">
        <f t="shared" si="46"/>
        <v>0</v>
      </c>
      <c r="H2987" t="s">
        <v>14</v>
      </c>
    </row>
    <row r="2988" spans="2:8" x14ac:dyDescent="0.2">
      <c r="B2988" s="3">
        <v>44693</v>
      </c>
      <c r="D2988" s="1">
        <v>3425</v>
      </c>
      <c r="E2988" s="1">
        <v>4250</v>
      </c>
      <c r="G2988" s="2">
        <f t="shared" si="46"/>
        <v>4250</v>
      </c>
      <c r="H2988" t="s">
        <v>27</v>
      </c>
    </row>
    <row r="2989" spans="2:8" x14ac:dyDescent="0.2">
      <c r="B2989" s="3">
        <v>44693</v>
      </c>
      <c r="D2989" s="1">
        <v>4225.6000000000004</v>
      </c>
      <c r="E2989" s="1">
        <v>4737.75</v>
      </c>
      <c r="G2989" s="2">
        <f t="shared" si="46"/>
        <v>4737.75</v>
      </c>
      <c r="H2989" t="s">
        <v>13</v>
      </c>
    </row>
    <row r="2990" spans="2:8" x14ac:dyDescent="0.2">
      <c r="B2990" s="3">
        <v>44693</v>
      </c>
      <c r="D2990" s="1">
        <v>2000</v>
      </c>
      <c r="E2990" s="1">
        <v>2655.6</v>
      </c>
      <c r="G2990" s="2">
        <f t="shared" si="46"/>
        <v>2655.6</v>
      </c>
      <c r="H2990" t="s">
        <v>30</v>
      </c>
    </row>
    <row r="2991" spans="2:8" x14ac:dyDescent="0.2">
      <c r="B2991" s="3">
        <v>44693</v>
      </c>
      <c r="D2991" s="1">
        <v>1040</v>
      </c>
      <c r="E2991" s="1">
        <v>1220</v>
      </c>
      <c r="G2991" s="2">
        <f t="shared" si="46"/>
        <v>1220</v>
      </c>
      <c r="H2991" t="s">
        <v>35</v>
      </c>
    </row>
    <row r="2992" spans="2:8" x14ac:dyDescent="0.2">
      <c r="B2992" s="3">
        <v>44693</v>
      </c>
      <c r="D2992" s="1">
        <v>1072.5</v>
      </c>
      <c r="E2992" s="1">
        <v>1658.6999999999998</v>
      </c>
      <c r="G2992" s="2">
        <f t="shared" si="46"/>
        <v>1658.6999999999998</v>
      </c>
      <c r="H2992" t="s">
        <v>25</v>
      </c>
    </row>
    <row r="2993" spans="2:8" x14ac:dyDescent="0.2">
      <c r="B2993" s="3">
        <v>44693</v>
      </c>
      <c r="G2993" s="2">
        <f t="shared" si="46"/>
        <v>0</v>
      </c>
      <c r="H2993" t="s">
        <v>34</v>
      </c>
    </row>
    <row r="2994" spans="2:8" x14ac:dyDescent="0.2">
      <c r="B2994" s="3">
        <v>44693</v>
      </c>
      <c r="G2994" s="2">
        <f t="shared" si="46"/>
        <v>0</v>
      </c>
      <c r="H2994" t="s">
        <v>33</v>
      </c>
    </row>
    <row r="2995" spans="2:8" x14ac:dyDescent="0.2">
      <c r="B2995" s="3">
        <v>44693</v>
      </c>
      <c r="G2995" s="2">
        <f t="shared" si="46"/>
        <v>0</v>
      </c>
      <c r="H2995" t="s">
        <v>9</v>
      </c>
    </row>
    <row r="2996" spans="2:8" x14ac:dyDescent="0.2">
      <c r="B2996" s="3">
        <v>44693</v>
      </c>
      <c r="F2996" s="1">
        <v>2160</v>
      </c>
      <c r="G2996" s="2">
        <f t="shared" si="46"/>
        <v>-2160</v>
      </c>
      <c r="H2996" t="s">
        <v>32</v>
      </c>
    </row>
    <row r="2997" spans="2:8" x14ac:dyDescent="0.2">
      <c r="B2997" s="3">
        <v>44693</v>
      </c>
      <c r="G2997" s="2">
        <f t="shared" si="46"/>
        <v>0</v>
      </c>
      <c r="H2997" s="1"/>
    </row>
    <row r="2998" spans="2:8" x14ac:dyDescent="0.2">
      <c r="B2998" s="3">
        <v>44694</v>
      </c>
      <c r="D2998" s="28"/>
      <c r="G2998" s="2">
        <f t="shared" si="46"/>
        <v>0</v>
      </c>
      <c r="H2998" t="s">
        <v>14</v>
      </c>
    </row>
    <row r="2999" spans="2:8" x14ac:dyDescent="0.2">
      <c r="B2999" s="3">
        <v>44694</v>
      </c>
      <c r="G2999" s="2">
        <f t="shared" si="46"/>
        <v>0</v>
      </c>
      <c r="H2999" t="s">
        <v>27</v>
      </c>
    </row>
    <row r="3000" spans="2:8" x14ac:dyDescent="0.2">
      <c r="B3000" s="3">
        <v>44694</v>
      </c>
      <c r="G3000" s="2">
        <f t="shared" si="46"/>
        <v>0</v>
      </c>
      <c r="H3000" t="s">
        <v>13</v>
      </c>
    </row>
    <row r="3001" spans="2:8" x14ac:dyDescent="0.2">
      <c r="B3001" s="3">
        <v>44694</v>
      </c>
      <c r="G3001" s="2">
        <f t="shared" si="46"/>
        <v>0</v>
      </c>
      <c r="H3001" t="s">
        <v>30</v>
      </c>
    </row>
    <row r="3002" spans="2:8" x14ac:dyDescent="0.2">
      <c r="B3002" s="3">
        <v>44694</v>
      </c>
      <c r="G3002" s="2">
        <f t="shared" si="46"/>
        <v>0</v>
      </c>
      <c r="H3002" t="s">
        <v>35</v>
      </c>
    </row>
    <row r="3003" spans="2:8" x14ac:dyDescent="0.2">
      <c r="B3003" s="3">
        <v>44694</v>
      </c>
      <c r="G3003" s="2">
        <f t="shared" si="46"/>
        <v>0</v>
      </c>
      <c r="H3003" t="s">
        <v>25</v>
      </c>
    </row>
    <row r="3004" spans="2:8" x14ac:dyDescent="0.2">
      <c r="B3004" s="3">
        <v>44694</v>
      </c>
      <c r="G3004" s="2">
        <f t="shared" si="46"/>
        <v>0</v>
      </c>
      <c r="H3004" t="s">
        <v>34</v>
      </c>
    </row>
    <row r="3005" spans="2:8" x14ac:dyDescent="0.2">
      <c r="B3005" s="3">
        <v>44694</v>
      </c>
      <c r="G3005" s="2">
        <f t="shared" si="46"/>
        <v>0</v>
      </c>
      <c r="H3005" t="s">
        <v>33</v>
      </c>
    </row>
    <row r="3006" spans="2:8" x14ac:dyDescent="0.2">
      <c r="B3006" s="3">
        <v>44694</v>
      </c>
      <c r="G3006" s="2">
        <f t="shared" si="46"/>
        <v>0</v>
      </c>
      <c r="H3006" t="s">
        <v>9</v>
      </c>
    </row>
    <row r="3007" spans="2:8" x14ac:dyDescent="0.2">
      <c r="B3007" s="3">
        <v>44694</v>
      </c>
      <c r="G3007" s="2">
        <f t="shared" si="46"/>
        <v>0</v>
      </c>
      <c r="H3007" t="s">
        <v>32</v>
      </c>
    </row>
    <row r="3008" spans="2:8" x14ac:dyDescent="0.2">
      <c r="B3008" s="3">
        <v>44694</v>
      </c>
      <c r="G3008" s="2">
        <f t="shared" si="46"/>
        <v>0</v>
      </c>
      <c r="H3008" s="1"/>
    </row>
    <row r="3009" spans="2:8" x14ac:dyDescent="0.2">
      <c r="B3009" s="3">
        <v>44695</v>
      </c>
      <c r="D3009" s="28"/>
      <c r="F3009" s="1">
        <v>5000</v>
      </c>
      <c r="G3009" s="2">
        <f t="shared" si="46"/>
        <v>-5000</v>
      </c>
      <c r="H3009" t="s">
        <v>14</v>
      </c>
    </row>
    <row r="3010" spans="2:8" x14ac:dyDescent="0.2">
      <c r="B3010" s="3">
        <v>44695</v>
      </c>
      <c r="F3010" s="1">
        <v>10000</v>
      </c>
      <c r="G3010" s="2">
        <f t="shared" si="46"/>
        <v>-10000</v>
      </c>
      <c r="H3010" t="s">
        <v>27</v>
      </c>
    </row>
    <row r="3011" spans="2:8" x14ac:dyDescent="0.2">
      <c r="B3011" s="3">
        <v>44695</v>
      </c>
      <c r="G3011" s="2">
        <f t="shared" ref="G3011:G3074" si="47">E3011-F3011</f>
        <v>0</v>
      </c>
      <c r="H3011" t="s">
        <v>13</v>
      </c>
    </row>
    <row r="3012" spans="2:8" x14ac:dyDescent="0.2">
      <c r="B3012" s="3">
        <v>44695</v>
      </c>
      <c r="G3012" s="2">
        <f t="shared" si="47"/>
        <v>0</v>
      </c>
      <c r="H3012" t="s">
        <v>30</v>
      </c>
    </row>
    <row r="3013" spans="2:8" x14ac:dyDescent="0.2">
      <c r="B3013" s="3">
        <v>44695</v>
      </c>
      <c r="F3013" s="1">
        <v>1510</v>
      </c>
      <c r="G3013" s="2">
        <f t="shared" si="47"/>
        <v>-1510</v>
      </c>
      <c r="H3013" t="s">
        <v>35</v>
      </c>
    </row>
    <row r="3014" spans="2:8" x14ac:dyDescent="0.2">
      <c r="B3014" s="3">
        <v>44695</v>
      </c>
      <c r="G3014" s="2">
        <f t="shared" si="47"/>
        <v>0</v>
      </c>
      <c r="H3014" t="s">
        <v>25</v>
      </c>
    </row>
    <row r="3015" spans="2:8" x14ac:dyDescent="0.2">
      <c r="B3015" s="3">
        <v>44695</v>
      </c>
      <c r="G3015" s="2">
        <f t="shared" si="47"/>
        <v>0</v>
      </c>
      <c r="H3015" t="s">
        <v>34</v>
      </c>
    </row>
    <row r="3016" spans="2:8" x14ac:dyDescent="0.2">
      <c r="B3016" s="3">
        <v>44695</v>
      </c>
      <c r="G3016" s="2">
        <f t="shared" si="47"/>
        <v>0</v>
      </c>
      <c r="H3016" t="s">
        <v>33</v>
      </c>
    </row>
    <row r="3017" spans="2:8" x14ac:dyDescent="0.2">
      <c r="B3017" s="3">
        <v>44695</v>
      </c>
      <c r="G3017" s="2">
        <f t="shared" si="47"/>
        <v>0</v>
      </c>
      <c r="H3017" t="s">
        <v>9</v>
      </c>
    </row>
    <row r="3018" spans="2:8" x14ac:dyDescent="0.2">
      <c r="B3018" s="3">
        <v>44695</v>
      </c>
      <c r="G3018" s="2">
        <f t="shared" si="47"/>
        <v>0</v>
      </c>
      <c r="H3018" t="s">
        <v>32</v>
      </c>
    </row>
    <row r="3019" spans="2:8" x14ac:dyDescent="0.2">
      <c r="B3019" s="3">
        <v>44695</v>
      </c>
      <c r="G3019" s="2">
        <f t="shared" si="47"/>
        <v>0</v>
      </c>
      <c r="H3019" s="1"/>
    </row>
    <row r="3020" spans="2:8" x14ac:dyDescent="0.2">
      <c r="B3020" s="3">
        <v>44696</v>
      </c>
      <c r="D3020" s="28">
        <v>11971</v>
      </c>
      <c r="E3020" s="1">
        <v>13405</v>
      </c>
      <c r="G3020" s="2">
        <f t="shared" si="47"/>
        <v>13405</v>
      </c>
      <c r="H3020" t="s">
        <v>14</v>
      </c>
    </row>
    <row r="3021" spans="2:8" x14ac:dyDescent="0.2">
      <c r="B3021" s="3">
        <v>44696</v>
      </c>
      <c r="G3021" s="2">
        <f t="shared" si="47"/>
        <v>0</v>
      </c>
      <c r="H3021" t="s">
        <v>27</v>
      </c>
    </row>
    <row r="3022" spans="2:8" x14ac:dyDescent="0.2">
      <c r="B3022" s="3">
        <v>44696</v>
      </c>
      <c r="F3022" s="1">
        <v>3000</v>
      </c>
      <c r="G3022" s="2">
        <f t="shared" si="47"/>
        <v>-3000</v>
      </c>
      <c r="H3022" t="s">
        <v>13</v>
      </c>
    </row>
    <row r="3023" spans="2:8" x14ac:dyDescent="0.2">
      <c r="B3023" s="3">
        <v>44696</v>
      </c>
      <c r="G3023" s="2">
        <f t="shared" si="47"/>
        <v>0</v>
      </c>
      <c r="H3023" t="s">
        <v>30</v>
      </c>
    </row>
    <row r="3024" spans="2:8" x14ac:dyDescent="0.2">
      <c r="B3024" s="3">
        <v>44696</v>
      </c>
      <c r="G3024" s="2">
        <f t="shared" si="47"/>
        <v>0</v>
      </c>
      <c r="H3024" t="s">
        <v>35</v>
      </c>
    </row>
    <row r="3025" spans="2:8" x14ac:dyDescent="0.2">
      <c r="B3025" s="3">
        <v>44696</v>
      </c>
      <c r="G3025" s="2">
        <f t="shared" si="47"/>
        <v>0</v>
      </c>
      <c r="H3025" t="s">
        <v>25</v>
      </c>
    </row>
    <row r="3026" spans="2:8" x14ac:dyDescent="0.2">
      <c r="B3026" s="3">
        <v>44696</v>
      </c>
      <c r="F3026" s="1">
        <v>1561</v>
      </c>
      <c r="G3026" s="2">
        <f t="shared" si="47"/>
        <v>-1561</v>
      </c>
      <c r="H3026" t="s">
        <v>34</v>
      </c>
    </row>
    <row r="3027" spans="2:8" x14ac:dyDescent="0.2">
      <c r="B3027" s="3">
        <v>44696</v>
      </c>
      <c r="G3027" s="2">
        <f t="shared" si="47"/>
        <v>0</v>
      </c>
      <c r="H3027" t="s">
        <v>33</v>
      </c>
    </row>
    <row r="3028" spans="2:8" x14ac:dyDescent="0.2">
      <c r="B3028" s="3">
        <v>44696</v>
      </c>
      <c r="G3028" s="2">
        <f t="shared" si="47"/>
        <v>0</v>
      </c>
      <c r="H3028" t="s">
        <v>9</v>
      </c>
    </row>
    <row r="3029" spans="2:8" x14ac:dyDescent="0.2">
      <c r="B3029" s="3">
        <v>44696</v>
      </c>
      <c r="G3029" s="2">
        <f t="shared" si="47"/>
        <v>0</v>
      </c>
      <c r="H3029" t="s">
        <v>32</v>
      </c>
    </row>
    <row r="3030" spans="2:8" x14ac:dyDescent="0.2">
      <c r="B3030" s="3">
        <v>44696</v>
      </c>
      <c r="G3030" s="2">
        <f t="shared" si="47"/>
        <v>0</v>
      </c>
      <c r="H3030" s="1"/>
    </row>
    <row r="3031" spans="2:8" x14ac:dyDescent="0.2">
      <c r="B3031" s="3">
        <v>44697</v>
      </c>
      <c r="D3031" s="28">
        <v>6845</v>
      </c>
      <c r="E3031" s="1">
        <v>7700</v>
      </c>
      <c r="G3031" s="2">
        <f t="shared" si="47"/>
        <v>7700</v>
      </c>
      <c r="H3031" t="s">
        <v>14</v>
      </c>
    </row>
    <row r="3032" spans="2:8" x14ac:dyDescent="0.2">
      <c r="B3032" s="3">
        <v>44697</v>
      </c>
      <c r="D3032" s="1">
        <v>660</v>
      </c>
      <c r="E3032" s="1">
        <v>810</v>
      </c>
      <c r="G3032" s="2">
        <f t="shared" si="47"/>
        <v>810</v>
      </c>
      <c r="H3032" t="s">
        <v>27</v>
      </c>
    </row>
    <row r="3033" spans="2:8" x14ac:dyDescent="0.2">
      <c r="B3033" s="3">
        <v>44697</v>
      </c>
      <c r="G3033" s="2">
        <f t="shared" si="47"/>
        <v>0</v>
      </c>
      <c r="H3033" t="s">
        <v>13</v>
      </c>
    </row>
    <row r="3034" spans="2:8" x14ac:dyDescent="0.2">
      <c r="B3034" s="3">
        <v>44697</v>
      </c>
      <c r="G3034" s="2">
        <f t="shared" si="47"/>
        <v>0</v>
      </c>
      <c r="H3034" t="s">
        <v>30</v>
      </c>
    </row>
    <row r="3035" spans="2:8" x14ac:dyDescent="0.2">
      <c r="B3035" s="3">
        <v>44697</v>
      </c>
      <c r="G3035" s="2">
        <f t="shared" si="47"/>
        <v>0</v>
      </c>
      <c r="H3035" t="s">
        <v>35</v>
      </c>
    </row>
    <row r="3036" spans="2:8" x14ac:dyDescent="0.2">
      <c r="B3036" s="3">
        <v>44697</v>
      </c>
      <c r="G3036" s="2">
        <f t="shared" si="47"/>
        <v>0</v>
      </c>
      <c r="H3036" t="s">
        <v>25</v>
      </c>
    </row>
    <row r="3037" spans="2:8" x14ac:dyDescent="0.2">
      <c r="B3037" s="3">
        <v>44697</v>
      </c>
      <c r="G3037" s="2">
        <f t="shared" si="47"/>
        <v>0</v>
      </c>
      <c r="H3037" t="s">
        <v>34</v>
      </c>
    </row>
    <row r="3038" spans="2:8" x14ac:dyDescent="0.2">
      <c r="B3038" s="3">
        <v>44697</v>
      </c>
      <c r="G3038" s="2">
        <f t="shared" si="47"/>
        <v>0</v>
      </c>
      <c r="H3038" t="s">
        <v>33</v>
      </c>
    </row>
    <row r="3039" spans="2:8" x14ac:dyDescent="0.2">
      <c r="B3039" s="3">
        <v>44697</v>
      </c>
      <c r="G3039" s="2">
        <f t="shared" si="47"/>
        <v>0</v>
      </c>
      <c r="H3039" t="s">
        <v>9</v>
      </c>
    </row>
    <row r="3040" spans="2:8" x14ac:dyDescent="0.2">
      <c r="B3040" s="3">
        <v>44697</v>
      </c>
      <c r="G3040" s="2">
        <f t="shared" si="47"/>
        <v>0</v>
      </c>
      <c r="H3040" t="s">
        <v>32</v>
      </c>
    </row>
    <row r="3041" spans="2:8" x14ac:dyDescent="0.2">
      <c r="B3041" s="3">
        <v>44697</v>
      </c>
      <c r="G3041" s="2">
        <f t="shared" si="47"/>
        <v>0</v>
      </c>
      <c r="H3041" s="1"/>
    </row>
    <row r="3042" spans="2:8" x14ac:dyDescent="0.2">
      <c r="B3042" s="3">
        <v>44698</v>
      </c>
      <c r="D3042" s="28"/>
      <c r="G3042" s="2">
        <f t="shared" si="47"/>
        <v>0</v>
      </c>
      <c r="H3042" t="s">
        <v>14</v>
      </c>
    </row>
    <row r="3043" spans="2:8" x14ac:dyDescent="0.2">
      <c r="B3043" s="3">
        <v>44698</v>
      </c>
      <c r="G3043" s="2">
        <f t="shared" si="47"/>
        <v>0</v>
      </c>
      <c r="H3043" t="s">
        <v>27</v>
      </c>
    </row>
    <row r="3044" spans="2:8" x14ac:dyDescent="0.2">
      <c r="B3044" s="3">
        <v>44698</v>
      </c>
      <c r="G3044" s="2">
        <f t="shared" si="47"/>
        <v>0</v>
      </c>
      <c r="H3044" t="s">
        <v>13</v>
      </c>
    </row>
    <row r="3045" spans="2:8" x14ac:dyDescent="0.2">
      <c r="B3045" s="3">
        <v>44698</v>
      </c>
      <c r="G3045" s="2">
        <f t="shared" si="47"/>
        <v>0</v>
      </c>
      <c r="H3045" t="s">
        <v>30</v>
      </c>
    </row>
    <row r="3046" spans="2:8" x14ac:dyDescent="0.2">
      <c r="B3046" s="3">
        <v>44698</v>
      </c>
      <c r="D3046" s="1">
        <v>934</v>
      </c>
      <c r="E3046" s="1">
        <v>1080</v>
      </c>
      <c r="F3046" s="1">
        <v>1080</v>
      </c>
      <c r="G3046" s="2">
        <f t="shared" si="47"/>
        <v>0</v>
      </c>
      <c r="H3046" t="s">
        <v>35</v>
      </c>
    </row>
    <row r="3047" spans="2:8" x14ac:dyDescent="0.2">
      <c r="B3047" s="3">
        <v>44698</v>
      </c>
      <c r="G3047" s="2">
        <f t="shared" si="47"/>
        <v>0</v>
      </c>
      <c r="H3047" t="s">
        <v>25</v>
      </c>
    </row>
    <row r="3048" spans="2:8" x14ac:dyDescent="0.2">
      <c r="B3048" s="3">
        <v>44698</v>
      </c>
      <c r="G3048" s="2">
        <f t="shared" si="47"/>
        <v>0</v>
      </c>
      <c r="H3048" t="s">
        <v>34</v>
      </c>
    </row>
    <row r="3049" spans="2:8" x14ac:dyDescent="0.2">
      <c r="B3049" s="3">
        <v>44698</v>
      </c>
      <c r="G3049" s="2">
        <f t="shared" si="47"/>
        <v>0</v>
      </c>
      <c r="H3049" t="s">
        <v>33</v>
      </c>
    </row>
    <row r="3050" spans="2:8" x14ac:dyDescent="0.2">
      <c r="B3050" s="3">
        <v>44698</v>
      </c>
      <c r="G3050" s="2">
        <f t="shared" si="47"/>
        <v>0</v>
      </c>
      <c r="H3050" t="s">
        <v>9</v>
      </c>
    </row>
    <row r="3051" spans="2:8" x14ac:dyDescent="0.2">
      <c r="B3051" s="3">
        <v>44698</v>
      </c>
      <c r="G3051" s="2">
        <f t="shared" si="47"/>
        <v>0</v>
      </c>
      <c r="H3051" t="s">
        <v>32</v>
      </c>
    </row>
    <row r="3052" spans="2:8" x14ac:dyDescent="0.2">
      <c r="B3052" s="3">
        <v>44698</v>
      </c>
      <c r="G3052" s="2">
        <f t="shared" si="47"/>
        <v>0</v>
      </c>
      <c r="H3052" s="1"/>
    </row>
    <row r="3053" spans="2:8" x14ac:dyDescent="0.2">
      <c r="B3053" s="3">
        <v>44699</v>
      </c>
      <c r="D3053" s="28"/>
      <c r="G3053" s="2">
        <f t="shared" si="47"/>
        <v>0</v>
      </c>
      <c r="H3053" t="s">
        <v>14</v>
      </c>
    </row>
    <row r="3054" spans="2:8" x14ac:dyDescent="0.2">
      <c r="B3054" s="3">
        <v>44699</v>
      </c>
      <c r="G3054" s="2">
        <f t="shared" si="47"/>
        <v>0</v>
      </c>
      <c r="H3054" t="s">
        <v>27</v>
      </c>
    </row>
    <row r="3055" spans="2:8" x14ac:dyDescent="0.2">
      <c r="B3055" s="3">
        <v>44699</v>
      </c>
      <c r="G3055" s="2">
        <f t="shared" si="47"/>
        <v>0</v>
      </c>
      <c r="H3055" t="s">
        <v>13</v>
      </c>
    </row>
    <row r="3056" spans="2:8" x14ac:dyDescent="0.2">
      <c r="B3056" s="3">
        <v>44699</v>
      </c>
      <c r="G3056" s="2">
        <f t="shared" si="47"/>
        <v>0</v>
      </c>
      <c r="H3056" t="s">
        <v>30</v>
      </c>
    </row>
    <row r="3057" spans="2:8" x14ac:dyDescent="0.2">
      <c r="B3057" s="3">
        <v>44699</v>
      </c>
      <c r="G3057" s="2">
        <f t="shared" si="47"/>
        <v>0</v>
      </c>
      <c r="H3057" t="s">
        <v>35</v>
      </c>
    </row>
    <row r="3058" spans="2:8" x14ac:dyDescent="0.2">
      <c r="B3058" s="3">
        <v>44699</v>
      </c>
      <c r="G3058" s="2">
        <f t="shared" si="47"/>
        <v>0</v>
      </c>
      <c r="H3058" t="s">
        <v>25</v>
      </c>
    </row>
    <row r="3059" spans="2:8" x14ac:dyDescent="0.2">
      <c r="B3059" s="3">
        <v>44699</v>
      </c>
      <c r="G3059" s="2">
        <f t="shared" si="47"/>
        <v>0</v>
      </c>
      <c r="H3059" t="s">
        <v>34</v>
      </c>
    </row>
    <row r="3060" spans="2:8" x14ac:dyDescent="0.2">
      <c r="B3060" s="3">
        <v>44699</v>
      </c>
      <c r="G3060" s="2">
        <f t="shared" si="47"/>
        <v>0</v>
      </c>
      <c r="H3060" t="s">
        <v>33</v>
      </c>
    </row>
    <row r="3061" spans="2:8" x14ac:dyDescent="0.2">
      <c r="B3061" s="3">
        <v>44699</v>
      </c>
      <c r="G3061" s="2">
        <f t="shared" si="47"/>
        <v>0</v>
      </c>
      <c r="H3061" t="s">
        <v>9</v>
      </c>
    </row>
    <row r="3062" spans="2:8" x14ac:dyDescent="0.2">
      <c r="B3062" s="3">
        <v>44699</v>
      </c>
      <c r="G3062" s="2">
        <f t="shared" si="47"/>
        <v>0</v>
      </c>
      <c r="H3062" t="s">
        <v>32</v>
      </c>
    </row>
    <row r="3063" spans="2:8" x14ac:dyDescent="0.2">
      <c r="B3063" s="3">
        <v>44699</v>
      </c>
      <c r="G3063" s="2">
        <f t="shared" si="47"/>
        <v>0</v>
      </c>
      <c r="H3063" s="1"/>
    </row>
    <row r="3064" spans="2:8" x14ac:dyDescent="0.2">
      <c r="B3064" s="3">
        <v>44700</v>
      </c>
      <c r="D3064" s="28"/>
      <c r="G3064" s="2">
        <f t="shared" si="47"/>
        <v>0</v>
      </c>
      <c r="H3064" t="s">
        <v>14</v>
      </c>
    </row>
    <row r="3065" spans="2:8" x14ac:dyDescent="0.2">
      <c r="B3065" s="3">
        <v>44700</v>
      </c>
      <c r="F3065" s="1">
        <v>5000</v>
      </c>
      <c r="G3065" s="2">
        <f t="shared" si="47"/>
        <v>-5000</v>
      </c>
      <c r="H3065" t="s">
        <v>27</v>
      </c>
    </row>
    <row r="3066" spans="2:8" x14ac:dyDescent="0.2">
      <c r="B3066" s="3">
        <v>44700</v>
      </c>
      <c r="G3066" s="2">
        <f t="shared" si="47"/>
        <v>0</v>
      </c>
      <c r="H3066" t="s">
        <v>13</v>
      </c>
    </row>
    <row r="3067" spans="2:8" x14ac:dyDescent="0.2">
      <c r="B3067" s="3">
        <v>44700</v>
      </c>
      <c r="F3067" s="1">
        <v>35000</v>
      </c>
      <c r="G3067" s="2">
        <f t="shared" si="47"/>
        <v>-35000</v>
      </c>
      <c r="H3067" t="s">
        <v>30</v>
      </c>
    </row>
    <row r="3068" spans="2:8" x14ac:dyDescent="0.2">
      <c r="B3068" s="3">
        <v>44700</v>
      </c>
      <c r="G3068" s="2">
        <f t="shared" si="47"/>
        <v>0</v>
      </c>
      <c r="H3068" t="s">
        <v>35</v>
      </c>
    </row>
    <row r="3069" spans="2:8" x14ac:dyDescent="0.2">
      <c r="B3069" s="3">
        <v>44700</v>
      </c>
      <c r="G3069" s="2">
        <f t="shared" si="47"/>
        <v>0</v>
      </c>
      <c r="H3069" t="s">
        <v>25</v>
      </c>
    </row>
    <row r="3070" spans="2:8" x14ac:dyDescent="0.2">
      <c r="B3070" s="3">
        <v>44700</v>
      </c>
      <c r="G3070" s="2">
        <f t="shared" si="47"/>
        <v>0</v>
      </c>
      <c r="H3070" t="s">
        <v>34</v>
      </c>
    </row>
    <row r="3071" spans="2:8" x14ac:dyDescent="0.2">
      <c r="B3071" s="3">
        <v>44700</v>
      </c>
      <c r="G3071" s="2">
        <f t="shared" si="47"/>
        <v>0</v>
      </c>
      <c r="H3071" t="s">
        <v>33</v>
      </c>
    </row>
    <row r="3072" spans="2:8" x14ac:dyDescent="0.2">
      <c r="B3072" s="3">
        <v>44700</v>
      </c>
      <c r="G3072" s="2">
        <f t="shared" si="47"/>
        <v>0</v>
      </c>
      <c r="H3072" t="s">
        <v>9</v>
      </c>
    </row>
    <row r="3073" spans="2:8" x14ac:dyDescent="0.2">
      <c r="B3073" s="3">
        <v>44700</v>
      </c>
      <c r="G3073" s="2">
        <f t="shared" si="47"/>
        <v>0</v>
      </c>
      <c r="H3073" t="s">
        <v>32</v>
      </c>
    </row>
    <row r="3074" spans="2:8" x14ac:dyDescent="0.2">
      <c r="B3074" s="3">
        <v>44700</v>
      </c>
      <c r="G3074" s="2">
        <f t="shared" si="47"/>
        <v>0</v>
      </c>
      <c r="H3074" s="1"/>
    </row>
    <row r="3075" spans="2:8" x14ac:dyDescent="0.2">
      <c r="B3075" s="3">
        <v>44701</v>
      </c>
      <c r="D3075" s="28"/>
      <c r="G3075" s="2">
        <f t="shared" ref="G3075:G3138" si="48">E3075-F3075</f>
        <v>0</v>
      </c>
      <c r="H3075" t="s">
        <v>14</v>
      </c>
    </row>
    <row r="3076" spans="2:8" x14ac:dyDescent="0.2">
      <c r="B3076" s="3">
        <v>44701</v>
      </c>
      <c r="F3076" s="1">
        <v>1300</v>
      </c>
      <c r="G3076" s="2">
        <f t="shared" si="48"/>
        <v>-1300</v>
      </c>
      <c r="H3076" t="s">
        <v>27</v>
      </c>
    </row>
    <row r="3077" spans="2:8" x14ac:dyDescent="0.2">
      <c r="B3077" s="3">
        <v>44701</v>
      </c>
      <c r="G3077" s="2">
        <f t="shared" si="48"/>
        <v>0</v>
      </c>
      <c r="H3077" t="s">
        <v>13</v>
      </c>
    </row>
    <row r="3078" spans="2:8" x14ac:dyDescent="0.2">
      <c r="B3078" s="3">
        <v>44701</v>
      </c>
      <c r="G3078" s="2">
        <f t="shared" si="48"/>
        <v>0</v>
      </c>
      <c r="H3078" t="s">
        <v>30</v>
      </c>
    </row>
    <row r="3079" spans="2:8" x14ac:dyDescent="0.2">
      <c r="B3079" s="3">
        <v>44701</v>
      </c>
      <c r="G3079" s="2">
        <f t="shared" si="48"/>
        <v>0</v>
      </c>
      <c r="H3079" t="s">
        <v>35</v>
      </c>
    </row>
    <row r="3080" spans="2:8" x14ac:dyDescent="0.2">
      <c r="B3080" s="3">
        <v>44701</v>
      </c>
      <c r="G3080" s="2">
        <f t="shared" si="48"/>
        <v>0</v>
      </c>
      <c r="H3080" t="s">
        <v>25</v>
      </c>
    </row>
    <row r="3081" spans="2:8" x14ac:dyDescent="0.2">
      <c r="B3081" s="3">
        <v>44701</v>
      </c>
      <c r="G3081" s="2">
        <f t="shared" si="48"/>
        <v>0</v>
      </c>
      <c r="H3081" t="s">
        <v>34</v>
      </c>
    </row>
    <row r="3082" spans="2:8" x14ac:dyDescent="0.2">
      <c r="B3082" s="3">
        <v>44701</v>
      </c>
      <c r="G3082" s="2">
        <f t="shared" si="48"/>
        <v>0</v>
      </c>
      <c r="H3082" t="s">
        <v>33</v>
      </c>
    </row>
    <row r="3083" spans="2:8" x14ac:dyDescent="0.2">
      <c r="B3083" s="3">
        <v>44701</v>
      </c>
      <c r="G3083" s="2">
        <f t="shared" si="48"/>
        <v>0</v>
      </c>
      <c r="H3083" t="s">
        <v>9</v>
      </c>
    </row>
    <row r="3084" spans="2:8" x14ac:dyDescent="0.2">
      <c r="B3084" s="3">
        <v>44701</v>
      </c>
      <c r="G3084" s="2">
        <f t="shared" si="48"/>
        <v>0</v>
      </c>
      <c r="H3084" t="s">
        <v>32</v>
      </c>
    </row>
    <row r="3085" spans="2:8" x14ac:dyDescent="0.2">
      <c r="B3085" s="3">
        <v>44701</v>
      </c>
      <c r="G3085" s="2">
        <f t="shared" si="48"/>
        <v>0</v>
      </c>
      <c r="H3085" s="1"/>
    </row>
    <row r="3086" spans="2:8" x14ac:dyDescent="0.2">
      <c r="B3086" s="3">
        <v>44702</v>
      </c>
      <c r="D3086" s="28"/>
      <c r="F3086" s="1">
        <v>7000</v>
      </c>
      <c r="G3086" s="2">
        <f t="shared" si="48"/>
        <v>-7000</v>
      </c>
      <c r="H3086" t="s">
        <v>14</v>
      </c>
    </row>
    <row r="3087" spans="2:8" x14ac:dyDescent="0.2">
      <c r="B3087" s="3">
        <v>44702</v>
      </c>
      <c r="G3087" s="2">
        <f t="shared" si="48"/>
        <v>0</v>
      </c>
      <c r="H3087" t="s">
        <v>27</v>
      </c>
    </row>
    <row r="3088" spans="2:8" x14ac:dyDescent="0.2">
      <c r="B3088" s="3">
        <v>44702</v>
      </c>
      <c r="D3088" s="1">
        <v>4204</v>
      </c>
      <c r="E3088" s="1">
        <v>5020</v>
      </c>
      <c r="F3088" s="1">
        <v>3000</v>
      </c>
      <c r="G3088" s="2">
        <f t="shared" si="48"/>
        <v>2020</v>
      </c>
      <c r="H3088" t="s">
        <v>13</v>
      </c>
    </row>
    <row r="3089" spans="2:8" x14ac:dyDescent="0.2">
      <c r="B3089" s="3">
        <v>44702</v>
      </c>
      <c r="D3089" s="1">
        <v>14057</v>
      </c>
      <c r="E3089" s="1">
        <v>18393.899999999998</v>
      </c>
      <c r="G3089" s="2">
        <f t="shared" si="48"/>
        <v>18393.899999999998</v>
      </c>
      <c r="H3089" t="s">
        <v>30</v>
      </c>
    </row>
    <row r="3090" spans="2:8" x14ac:dyDescent="0.2">
      <c r="B3090" s="3">
        <v>44702</v>
      </c>
      <c r="D3090" s="1">
        <v>1565</v>
      </c>
      <c r="E3090" s="1">
        <v>1880</v>
      </c>
      <c r="G3090" s="2">
        <f t="shared" si="48"/>
        <v>1880</v>
      </c>
      <c r="H3090" t="s">
        <v>35</v>
      </c>
    </row>
    <row r="3091" spans="2:8" x14ac:dyDescent="0.2">
      <c r="B3091" s="3">
        <v>44702</v>
      </c>
      <c r="G3091" s="2">
        <f t="shared" si="48"/>
        <v>0</v>
      </c>
      <c r="H3091" t="s">
        <v>25</v>
      </c>
    </row>
    <row r="3092" spans="2:8" x14ac:dyDescent="0.2">
      <c r="B3092" s="3">
        <v>44702</v>
      </c>
      <c r="G3092" s="2">
        <f t="shared" si="48"/>
        <v>0</v>
      </c>
      <c r="H3092" t="s">
        <v>34</v>
      </c>
    </row>
    <row r="3093" spans="2:8" x14ac:dyDescent="0.2">
      <c r="B3093" s="3">
        <v>44702</v>
      </c>
      <c r="G3093" s="2">
        <f t="shared" si="48"/>
        <v>0</v>
      </c>
      <c r="H3093" t="s">
        <v>33</v>
      </c>
    </row>
    <row r="3094" spans="2:8" x14ac:dyDescent="0.2">
      <c r="B3094" s="3">
        <v>44702</v>
      </c>
      <c r="G3094" s="2">
        <f t="shared" si="48"/>
        <v>0</v>
      </c>
      <c r="H3094" t="s">
        <v>9</v>
      </c>
    </row>
    <row r="3095" spans="2:8" x14ac:dyDescent="0.2">
      <c r="B3095" s="3">
        <v>44702</v>
      </c>
      <c r="G3095" s="2">
        <f t="shared" si="48"/>
        <v>0</v>
      </c>
      <c r="H3095" t="s">
        <v>32</v>
      </c>
    </row>
    <row r="3096" spans="2:8" x14ac:dyDescent="0.2">
      <c r="B3096" s="3">
        <v>44702</v>
      </c>
      <c r="G3096" s="2">
        <f t="shared" si="48"/>
        <v>0</v>
      </c>
      <c r="H3096" s="1"/>
    </row>
    <row r="3097" spans="2:8" x14ac:dyDescent="0.2">
      <c r="B3097" s="3">
        <v>44703</v>
      </c>
      <c r="D3097" s="28"/>
      <c r="G3097" s="2">
        <f t="shared" si="48"/>
        <v>0</v>
      </c>
      <c r="H3097" t="s">
        <v>14</v>
      </c>
    </row>
    <row r="3098" spans="2:8" x14ac:dyDescent="0.2">
      <c r="B3098" s="3">
        <v>44703</v>
      </c>
      <c r="F3098" s="1">
        <v>5000</v>
      </c>
      <c r="G3098" s="2">
        <f t="shared" si="48"/>
        <v>-5000</v>
      </c>
      <c r="H3098" t="s">
        <v>27</v>
      </c>
    </row>
    <row r="3099" spans="2:8" x14ac:dyDescent="0.2">
      <c r="B3099" s="3">
        <v>44703</v>
      </c>
      <c r="G3099" s="2">
        <f t="shared" si="48"/>
        <v>0</v>
      </c>
      <c r="H3099" t="s">
        <v>13</v>
      </c>
    </row>
    <row r="3100" spans="2:8" x14ac:dyDescent="0.2">
      <c r="B3100" s="3">
        <v>44703</v>
      </c>
      <c r="G3100" s="2">
        <f t="shared" si="48"/>
        <v>0</v>
      </c>
      <c r="H3100" t="s">
        <v>30</v>
      </c>
    </row>
    <row r="3101" spans="2:8" x14ac:dyDescent="0.2">
      <c r="B3101" s="3">
        <v>44703</v>
      </c>
      <c r="F3101" s="1">
        <v>1880</v>
      </c>
      <c r="G3101" s="2">
        <f t="shared" si="48"/>
        <v>-1880</v>
      </c>
      <c r="H3101" t="s">
        <v>35</v>
      </c>
    </row>
    <row r="3102" spans="2:8" x14ac:dyDescent="0.2">
      <c r="B3102" s="3">
        <v>44703</v>
      </c>
      <c r="F3102" s="1">
        <v>2000</v>
      </c>
      <c r="G3102" s="2">
        <f t="shared" si="48"/>
        <v>-2000</v>
      </c>
      <c r="H3102" t="s">
        <v>25</v>
      </c>
    </row>
    <row r="3103" spans="2:8" x14ac:dyDescent="0.2">
      <c r="B3103" s="3">
        <v>44703</v>
      </c>
      <c r="G3103" s="2">
        <f t="shared" si="48"/>
        <v>0</v>
      </c>
      <c r="H3103" t="s">
        <v>34</v>
      </c>
    </row>
    <row r="3104" spans="2:8" x14ac:dyDescent="0.2">
      <c r="B3104" s="3">
        <v>44703</v>
      </c>
      <c r="G3104" s="2">
        <f t="shared" si="48"/>
        <v>0</v>
      </c>
      <c r="H3104" t="s">
        <v>33</v>
      </c>
    </row>
    <row r="3105" spans="2:8" x14ac:dyDescent="0.2">
      <c r="B3105" s="3">
        <v>44703</v>
      </c>
      <c r="G3105" s="2">
        <f t="shared" si="48"/>
        <v>0</v>
      </c>
      <c r="H3105" t="s">
        <v>9</v>
      </c>
    </row>
    <row r="3106" spans="2:8" x14ac:dyDescent="0.2">
      <c r="B3106" s="3">
        <v>44703</v>
      </c>
      <c r="G3106" s="2">
        <f t="shared" si="48"/>
        <v>0</v>
      </c>
      <c r="H3106" t="s">
        <v>32</v>
      </c>
    </row>
    <row r="3107" spans="2:8" x14ac:dyDescent="0.2">
      <c r="B3107" s="3">
        <v>44703</v>
      </c>
      <c r="G3107" s="2">
        <f t="shared" si="48"/>
        <v>0</v>
      </c>
      <c r="H3107" s="1"/>
    </row>
    <row r="3108" spans="2:8" x14ac:dyDescent="0.2">
      <c r="B3108" s="3">
        <v>44704</v>
      </c>
      <c r="D3108" s="28"/>
      <c r="G3108" s="2">
        <f t="shared" si="48"/>
        <v>0</v>
      </c>
      <c r="H3108" t="s">
        <v>14</v>
      </c>
    </row>
    <row r="3109" spans="2:8" x14ac:dyDescent="0.2">
      <c r="B3109" s="3">
        <v>44704</v>
      </c>
      <c r="G3109" s="2">
        <f t="shared" si="48"/>
        <v>0</v>
      </c>
      <c r="H3109" t="s">
        <v>27</v>
      </c>
    </row>
    <row r="3110" spans="2:8" x14ac:dyDescent="0.2">
      <c r="B3110" s="3">
        <v>44704</v>
      </c>
      <c r="D3110" s="1">
        <v>3050.5</v>
      </c>
      <c r="E3110" s="1">
        <v>3445.5</v>
      </c>
      <c r="F3110" s="1">
        <v>3000</v>
      </c>
      <c r="G3110" s="2">
        <f t="shared" si="48"/>
        <v>445.5</v>
      </c>
      <c r="H3110" t="s">
        <v>13</v>
      </c>
    </row>
    <row r="3111" spans="2:8" x14ac:dyDescent="0.2">
      <c r="B3111" s="3">
        <v>44704</v>
      </c>
      <c r="G3111" s="2">
        <f t="shared" si="48"/>
        <v>0</v>
      </c>
      <c r="H3111" t="s">
        <v>30</v>
      </c>
    </row>
    <row r="3112" spans="2:8" x14ac:dyDescent="0.2">
      <c r="B3112" s="3">
        <v>44704</v>
      </c>
      <c r="G3112" s="2">
        <f t="shared" si="48"/>
        <v>0</v>
      </c>
      <c r="H3112" t="s">
        <v>35</v>
      </c>
    </row>
    <row r="3113" spans="2:8" x14ac:dyDescent="0.2">
      <c r="B3113" s="3">
        <v>44704</v>
      </c>
      <c r="G3113" s="2">
        <f t="shared" si="48"/>
        <v>0</v>
      </c>
      <c r="H3113" t="s">
        <v>25</v>
      </c>
    </row>
    <row r="3114" spans="2:8" x14ac:dyDescent="0.2">
      <c r="B3114" s="3">
        <v>44704</v>
      </c>
      <c r="G3114" s="2">
        <f t="shared" si="48"/>
        <v>0</v>
      </c>
      <c r="H3114" t="s">
        <v>34</v>
      </c>
    </row>
    <row r="3115" spans="2:8" x14ac:dyDescent="0.2">
      <c r="B3115" s="3">
        <v>44704</v>
      </c>
      <c r="G3115" s="2">
        <f t="shared" si="48"/>
        <v>0</v>
      </c>
      <c r="H3115" t="s">
        <v>33</v>
      </c>
    </row>
    <row r="3116" spans="2:8" x14ac:dyDescent="0.2">
      <c r="B3116" s="3">
        <v>44704</v>
      </c>
      <c r="G3116" s="2">
        <f t="shared" si="48"/>
        <v>0</v>
      </c>
      <c r="H3116" t="s">
        <v>9</v>
      </c>
    </row>
    <row r="3117" spans="2:8" x14ac:dyDescent="0.2">
      <c r="B3117" s="3">
        <v>44704</v>
      </c>
      <c r="G3117" s="2">
        <f t="shared" si="48"/>
        <v>0</v>
      </c>
      <c r="H3117" t="s">
        <v>32</v>
      </c>
    </row>
    <row r="3118" spans="2:8" x14ac:dyDescent="0.2">
      <c r="B3118" s="3">
        <v>44704</v>
      </c>
      <c r="G3118" s="2">
        <f t="shared" si="48"/>
        <v>0</v>
      </c>
      <c r="H3118" s="1"/>
    </row>
    <row r="3119" spans="2:8" x14ac:dyDescent="0.2">
      <c r="B3119" s="3">
        <v>44705</v>
      </c>
      <c r="D3119" s="28">
        <v>7350</v>
      </c>
      <c r="E3119" s="1">
        <v>8400</v>
      </c>
      <c r="G3119" s="2">
        <f t="shared" si="48"/>
        <v>8400</v>
      </c>
      <c r="H3119" t="s">
        <v>14</v>
      </c>
    </row>
    <row r="3120" spans="2:8" x14ac:dyDescent="0.2">
      <c r="B3120" s="3">
        <v>44705</v>
      </c>
      <c r="G3120" s="2">
        <f t="shared" si="48"/>
        <v>0</v>
      </c>
      <c r="H3120" t="s">
        <v>27</v>
      </c>
    </row>
    <row r="3121" spans="2:8" x14ac:dyDescent="0.2">
      <c r="B3121" s="3">
        <v>44705</v>
      </c>
      <c r="G3121" s="2">
        <f t="shared" si="48"/>
        <v>0</v>
      </c>
      <c r="H3121" t="s">
        <v>13</v>
      </c>
    </row>
    <row r="3122" spans="2:8" x14ac:dyDescent="0.2">
      <c r="B3122" s="3">
        <v>44705</v>
      </c>
      <c r="G3122" s="2">
        <f t="shared" si="48"/>
        <v>0</v>
      </c>
      <c r="H3122" t="s">
        <v>30</v>
      </c>
    </row>
    <row r="3123" spans="2:8" x14ac:dyDescent="0.2">
      <c r="B3123" s="3">
        <v>44705</v>
      </c>
      <c r="G3123" s="2">
        <f t="shared" si="48"/>
        <v>0</v>
      </c>
      <c r="H3123" t="s">
        <v>35</v>
      </c>
    </row>
    <row r="3124" spans="2:8" x14ac:dyDescent="0.2">
      <c r="B3124" s="3">
        <v>44705</v>
      </c>
      <c r="G3124" s="2">
        <f t="shared" si="48"/>
        <v>0</v>
      </c>
      <c r="H3124" t="s">
        <v>25</v>
      </c>
    </row>
    <row r="3125" spans="2:8" x14ac:dyDescent="0.2">
      <c r="B3125" s="3">
        <v>44705</v>
      </c>
      <c r="G3125" s="2">
        <f t="shared" si="48"/>
        <v>0</v>
      </c>
      <c r="H3125" t="s">
        <v>34</v>
      </c>
    </row>
    <row r="3126" spans="2:8" x14ac:dyDescent="0.2">
      <c r="B3126" s="3">
        <v>44705</v>
      </c>
      <c r="G3126" s="2">
        <f t="shared" si="48"/>
        <v>0</v>
      </c>
      <c r="H3126" t="s">
        <v>33</v>
      </c>
    </row>
    <row r="3127" spans="2:8" x14ac:dyDescent="0.2">
      <c r="B3127" s="3">
        <v>44705</v>
      </c>
      <c r="G3127" s="2">
        <f t="shared" si="48"/>
        <v>0</v>
      </c>
      <c r="H3127" t="s">
        <v>9</v>
      </c>
    </row>
    <row r="3128" spans="2:8" x14ac:dyDescent="0.2">
      <c r="B3128" s="3">
        <v>44705</v>
      </c>
      <c r="G3128" s="2">
        <f t="shared" si="48"/>
        <v>0</v>
      </c>
      <c r="H3128" t="s">
        <v>32</v>
      </c>
    </row>
    <row r="3129" spans="2:8" x14ac:dyDescent="0.2">
      <c r="B3129" s="3">
        <v>44705</v>
      </c>
      <c r="G3129" s="2">
        <f t="shared" si="48"/>
        <v>0</v>
      </c>
      <c r="H3129" s="1"/>
    </row>
    <row r="3130" spans="2:8" x14ac:dyDescent="0.2">
      <c r="B3130" s="3">
        <v>44706</v>
      </c>
      <c r="D3130" s="28"/>
      <c r="F3130" s="1">
        <v>3000</v>
      </c>
      <c r="G3130" s="2">
        <f t="shared" si="48"/>
        <v>-3000</v>
      </c>
      <c r="H3130" t="s">
        <v>14</v>
      </c>
    </row>
    <row r="3131" spans="2:8" x14ac:dyDescent="0.2">
      <c r="B3131" s="3">
        <v>44706</v>
      </c>
      <c r="G3131" s="2">
        <f t="shared" si="48"/>
        <v>0</v>
      </c>
      <c r="H3131" t="s">
        <v>27</v>
      </c>
    </row>
    <row r="3132" spans="2:8" x14ac:dyDescent="0.2">
      <c r="B3132" s="3">
        <v>44706</v>
      </c>
      <c r="G3132" s="2">
        <f t="shared" si="48"/>
        <v>0</v>
      </c>
      <c r="H3132" t="s">
        <v>13</v>
      </c>
    </row>
    <row r="3133" spans="2:8" x14ac:dyDescent="0.2">
      <c r="B3133" s="3">
        <v>44706</v>
      </c>
      <c r="G3133" s="2">
        <f t="shared" si="48"/>
        <v>0</v>
      </c>
      <c r="H3133" t="s">
        <v>30</v>
      </c>
    </row>
    <row r="3134" spans="2:8" x14ac:dyDescent="0.2">
      <c r="B3134" s="3">
        <v>44706</v>
      </c>
      <c r="G3134" s="2">
        <f t="shared" si="48"/>
        <v>0</v>
      </c>
      <c r="H3134" t="s">
        <v>35</v>
      </c>
    </row>
    <row r="3135" spans="2:8" x14ac:dyDescent="0.2">
      <c r="B3135" s="3">
        <v>44706</v>
      </c>
      <c r="G3135" s="2">
        <f t="shared" si="48"/>
        <v>0</v>
      </c>
      <c r="H3135" t="s">
        <v>25</v>
      </c>
    </row>
    <row r="3136" spans="2:8" x14ac:dyDescent="0.2">
      <c r="B3136" s="3">
        <v>44706</v>
      </c>
      <c r="G3136" s="2">
        <f t="shared" si="48"/>
        <v>0</v>
      </c>
      <c r="H3136" t="s">
        <v>34</v>
      </c>
    </row>
    <row r="3137" spans="2:8" x14ac:dyDescent="0.2">
      <c r="B3137" s="3">
        <v>44706</v>
      </c>
      <c r="G3137" s="2">
        <f t="shared" si="48"/>
        <v>0</v>
      </c>
      <c r="H3137" t="s">
        <v>33</v>
      </c>
    </row>
    <row r="3138" spans="2:8" x14ac:dyDescent="0.2">
      <c r="B3138" s="3">
        <v>44706</v>
      </c>
      <c r="G3138" s="2">
        <f t="shared" si="48"/>
        <v>0</v>
      </c>
      <c r="H3138" t="s">
        <v>9</v>
      </c>
    </row>
    <row r="3139" spans="2:8" x14ac:dyDescent="0.2">
      <c r="B3139" s="3">
        <v>44706</v>
      </c>
      <c r="G3139" s="2">
        <f t="shared" ref="G3139:G3202" si="49">E3139-F3139</f>
        <v>0</v>
      </c>
      <c r="H3139" t="s">
        <v>32</v>
      </c>
    </row>
    <row r="3140" spans="2:8" x14ac:dyDescent="0.2">
      <c r="B3140" s="3">
        <v>44706</v>
      </c>
      <c r="G3140" s="2">
        <f t="shared" si="49"/>
        <v>0</v>
      </c>
      <c r="H3140" s="1"/>
    </row>
    <row r="3141" spans="2:8" x14ac:dyDescent="0.2">
      <c r="B3141" s="3">
        <v>44707</v>
      </c>
      <c r="D3141" s="28">
        <v>5160</v>
      </c>
      <c r="E3141" s="1">
        <v>5824</v>
      </c>
      <c r="G3141" s="2">
        <f t="shared" si="49"/>
        <v>5824</v>
      </c>
      <c r="H3141" t="s">
        <v>14</v>
      </c>
    </row>
    <row r="3142" spans="2:8" x14ac:dyDescent="0.2">
      <c r="B3142" s="3">
        <v>44707</v>
      </c>
      <c r="G3142" s="2">
        <f t="shared" si="49"/>
        <v>0</v>
      </c>
      <c r="H3142" t="s">
        <v>27</v>
      </c>
    </row>
    <row r="3143" spans="2:8" x14ac:dyDescent="0.2">
      <c r="B3143" s="3">
        <v>44707</v>
      </c>
      <c r="G3143" s="2">
        <f t="shared" si="49"/>
        <v>0</v>
      </c>
      <c r="H3143" t="s">
        <v>13</v>
      </c>
    </row>
    <row r="3144" spans="2:8" x14ac:dyDescent="0.2">
      <c r="B3144" s="3">
        <v>44707</v>
      </c>
      <c r="D3144" s="1">
        <v>2731</v>
      </c>
      <c r="E3144" s="1">
        <v>3722.9777999999997</v>
      </c>
      <c r="G3144" s="2">
        <f t="shared" si="49"/>
        <v>3722.9777999999997</v>
      </c>
      <c r="H3144" t="s">
        <v>30</v>
      </c>
    </row>
    <row r="3145" spans="2:8" x14ac:dyDescent="0.2">
      <c r="B3145" s="3">
        <v>44707</v>
      </c>
      <c r="G3145" s="2">
        <f t="shared" si="49"/>
        <v>0</v>
      </c>
      <c r="H3145" t="s">
        <v>35</v>
      </c>
    </row>
    <row r="3146" spans="2:8" x14ac:dyDescent="0.2">
      <c r="B3146" s="3">
        <v>44707</v>
      </c>
      <c r="F3146" s="1">
        <v>2000</v>
      </c>
      <c r="G3146" s="2">
        <f t="shared" si="49"/>
        <v>-2000</v>
      </c>
      <c r="H3146" t="s">
        <v>25</v>
      </c>
    </row>
    <row r="3147" spans="2:8" x14ac:dyDescent="0.2">
      <c r="B3147" s="3">
        <v>44707</v>
      </c>
      <c r="G3147" s="2">
        <f t="shared" si="49"/>
        <v>0</v>
      </c>
      <c r="H3147" t="s">
        <v>34</v>
      </c>
    </row>
    <row r="3148" spans="2:8" x14ac:dyDescent="0.2">
      <c r="B3148" s="3">
        <v>44707</v>
      </c>
      <c r="G3148" s="2">
        <f t="shared" si="49"/>
        <v>0</v>
      </c>
      <c r="H3148" t="s">
        <v>33</v>
      </c>
    </row>
    <row r="3149" spans="2:8" x14ac:dyDescent="0.2">
      <c r="B3149" s="3">
        <v>44707</v>
      </c>
      <c r="G3149" s="2">
        <f t="shared" si="49"/>
        <v>0</v>
      </c>
      <c r="H3149" t="s">
        <v>9</v>
      </c>
    </row>
    <row r="3150" spans="2:8" x14ac:dyDescent="0.2">
      <c r="B3150" s="3">
        <v>44707</v>
      </c>
      <c r="G3150" s="2">
        <f t="shared" si="49"/>
        <v>0</v>
      </c>
      <c r="H3150" t="s">
        <v>32</v>
      </c>
    </row>
    <row r="3151" spans="2:8" x14ac:dyDescent="0.2">
      <c r="B3151" s="3">
        <v>44707</v>
      </c>
      <c r="G3151" s="2">
        <f t="shared" si="49"/>
        <v>0</v>
      </c>
      <c r="H3151" s="1"/>
    </row>
    <row r="3152" spans="2:8" x14ac:dyDescent="0.2">
      <c r="B3152" s="3">
        <v>44708</v>
      </c>
      <c r="D3152" s="28"/>
      <c r="G3152" s="2">
        <f t="shared" si="49"/>
        <v>0</v>
      </c>
      <c r="H3152" t="s">
        <v>14</v>
      </c>
    </row>
    <row r="3153" spans="2:8" x14ac:dyDescent="0.2">
      <c r="B3153" s="3">
        <v>44708</v>
      </c>
      <c r="G3153" s="2">
        <f t="shared" si="49"/>
        <v>0</v>
      </c>
      <c r="H3153" t="s">
        <v>27</v>
      </c>
    </row>
    <row r="3154" spans="2:8" x14ac:dyDescent="0.2">
      <c r="B3154" s="3">
        <v>44708</v>
      </c>
      <c r="G3154" s="2">
        <f t="shared" si="49"/>
        <v>0</v>
      </c>
      <c r="H3154" t="s">
        <v>13</v>
      </c>
    </row>
    <row r="3155" spans="2:8" x14ac:dyDescent="0.2">
      <c r="B3155" s="3">
        <v>44708</v>
      </c>
      <c r="G3155" s="2">
        <f t="shared" si="49"/>
        <v>0</v>
      </c>
      <c r="H3155" t="s">
        <v>30</v>
      </c>
    </row>
    <row r="3156" spans="2:8" x14ac:dyDescent="0.2">
      <c r="B3156" s="3">
        <v>44708</v>
      </c>
      <c r="G3156" s="2">
        <f t="shared" si="49"/>
        <v>0</v>
      </c>
      <c r="H3156" t="s">
        <v>35</v>
      </c>
    </row>
    <row r="3157" spans="2:8" x14ac:dyDescent="0.2">
      <c r="B3157" s="3">
        <v>44708</v>
      </c>
      <c r="G3157" s="2">
        <f t="shared" si="49"/>
        <v>0</v>
      </c>
      <c r="H3157" t="s">
        <v>25</v>
      </c>
    </row>
    <row r="3158" spans="2:8" x14ac:dyDescent="0.2">
      <c r="B3158" s="3">
        <v>44708</v>
      </c>
      <c r="G3158" s="2">
        <f t="shared" si="49"/>
        <v>0</v>
      </c>
      <c r="H3158" t="s">
        <v>34</v>
      </c>
    </row>
    <row r="3159" spans="2:8" x14ac:dyDescent="0.2">
      <c r="B3159" s="3">
        <v>44708</v>
      </c>
      <c r="G3159" s="2">
        <f t="shared" si="49"/>
        <v>0</v>
      </c>
      <c r="H3159" t="s">
        <v>33</v>
      </c>
    </row>
    <row r="3160" spans="2:8" x14ac:dyDescent="0.2">
      <c r="B3160" s="3">
        <v>44708</v>
      </c>
      <c r="G3160" s="2">
        <f t="shared" si="49"/>
        <v>0</v>
      </c>
      <c r="H3160" t="s">
        <v>9</v>
      </c>
    </row>
    <row r="3161" spans="2:8" x14ac:dyDescent="0.2">
      <c r="B3161" s="3">
        <v>44708</v>
      </c>
      <c r="G3161" s="2">
        <f t="shared" si="49"/>
        <v>0</v>
      </c>
      <c r="H3161" t="s">
        <v>32</v>
      </c>
    </row>
    <row r="3162" spans="2:8" x14ac:dyDescent="0.2">
      <c r="B3162" s="3">
        <v>44708</v>
      </c>
      <c r="G3162" s="2">
        <f t="shared" si="49"/>
        <v>0</v>
      </c>
      <c r="H3162" s="1"/>
    </row>
    <row r="3163" spans="2:8" x14ac:dyDescent="0.2">
      <c r="B3163" s="3">
        <v>44709</v>
      </c>
      <c r="D3163" s="28"/>
      <c r="F3163" s="1">
        <v>7000</v>
      </c>
      <c r="G3163" s="2">
        <f t="shared" si="49"/>
        <v>-7000</v>
      </c>
      <c r="H3163" t="s">
        <v>14</v>
      </c>
    </row>
    <row r="3164" spans="2:8" x14ac:dyDescent="0.2">
      <c r="B3164" s="3">
        <v>44709</v>
      </c>
      <c r="G3164" s="2">
        <f t="shared" si="49"/>
        <v>0</v>
      </c>
      <c r="H3164" t="s">
        <v>27</v>
      </c>
    </row>
    <row r="3165" spans="2:8" x14ac:dyDescent="0.2">
      <c r="B3165" s="3">
        <v>44709</v>
      </c>
      <c r="F3165" s="1">
        <v>3000</v>
      </c>
      <c r="G3165" s="2">
        <f t="shared" si="49"/>
        <v>-3000</v>
      </c>
      <c r="H3165" t="s">
        <v>13</v>
      </c>
    </row>
    <row r="3166" spans="2:8" x14ac:dyDescent="0.2">
      <c r="B3166" s="3">
        <v>44709</v>
      </c>
      <c r="G3166" s="2">
        <f t="shared" si="49"/>
        <v>0</v>
      </c>
      <c r="H3166" t="s">
        <v>30</v>
      </c>
    </row>
    <row r="3167" spans="2:8" x14ac:dyDescent="0.2">
      <c r="B3167" s="3">
        <v>44709</v>
      </c>
      <c r="G3167" s="2">
        <f t="shared" si="49"/>
        <v>0</v>
      </c>
      <c r="H3167" t="s">
        <v>35</v>
      </c>
    </row>
    <row r="3168" spans="2:8" x14ac:dyDescent="0.2">
      <c r="B3168" s="3">
        <v>44709</v>
      </c>
      <c r="G3168" s="2">
        <f t="shared" si="49"/>
        <v>0</v>
      </c>
      <c r="H3168" t="s">
        <v>25</v>
      </c>
    </row>
    <row r="3169" spans="2:8" x14ac:dyDescent="0.2">
      <c r="B3169" s="3">
        <v>44709</v>
      </c>
      <c r="G3169" s="2">
        <f t="shared" si="49"/>
        <v>0</v>
      </c>
      <c r="H3169" t="s">
        <v>34</v>
      </c>
    </row>
    <row r="3170" spans="2:8" x14ac:dyDescent="0.2">
      <c r="B3170" s="3">
        <v>44709</v>
      </c>
      <c r="G3170" s="2">
        <f t="shared" si="49"/>
        <v>0</v>
      </c>
      <c r="H3170" t="s">
        <v>33</v>
      </c>
    </row>
    <row r="3171" spans="2:8" x14ac:dyDescent="0.2">
      <c r="B3171" s="3">
        <v>44709</v>
      </c>
      <c r="G3171" s="2">
        <f t="shared" si="49"/>
        <v>0</v>
      </c>
      <c r="H3171" t="s">
        <v>9</v>
      </c>
    </row>
    <row r="3172" spans="2:8" x14ac:dyDescent="0.2">
      <c r="B3172" s="3">
        <v>44709</v>
      </c>
      <c r="G3172" s="2">
        <f t="shared" si="49"/>
        <v>0</v>
      </c>
      <c r="H3172" t="s">
        <v>32</v>
      </c>
    </row>
    <row r="3173" spans="2:8" x14ac:dyDescent="0.2">
      <c r="B3173" s="3">
        <v>44709</v>
      </c>
      <c r="D3173" s="1">
        <v>1930</v>
      </c>
      <c r="E3173" s="1">
        <v>2220</v>
      </c>
      <c r="G3173" s="2">
        <f t="shared" si="49"/>
        <v>2220</v>
      </c>
      <c r="H3173" t="s">
        <v>39</v>
      </c>
    </row>
    <row r="3174" spans="2:8" x14ac:dyDescent="0.2">
      <c r="B3174" s="3">
        <v>44710</v>
      </c>
      <c r="D3174" s="28">
        <v>1255</v>
      </c>
      <c r="E3174" s="1">
        <v>1320</v>
      </c>
      <c r="G3174" s="2">
        <f t="shared" si="49"/>
        <v>1320</v>
      </c>
      <c r="H3174" t="s">
        <v>14</v>
      </c>
    </row>
    <row r="3175" spans="2:8" x14ac:dyDescent="0.2">
      <c r="B3175" s="3">
        <v>44710</v>
      </c>
      <c r="G3175" s="2">
        <f t="shared" si="49"/>
        <v>0</v>
      </c>
      <c r="H3175" t="s">
        <v>27</v>
      </c>
    </row>
    <row r="3176" spans="2:8" x14ac:dyDescent="0.2">
      <c r="B3176" s="3">
        <v>44710</v>
      </c>
      <c r="D3176" s="1">
        <v>3987.4</v>
      </c>
      <c r="E3176" s="1">
        <v>4372.5</v>
      </c>
      <c r="G3176" s="2">
        <f t="shared" si="49"/>
        <v>4372.5</v>
      </c>
      <c r="H3176" t="s">
        <v>13</v>
      </c>
    </row>
    <row r="3177" spans="2:8" x14ac:dyDescent="0.2">
      <c r="B3177" s="3">
        <v>44710</v>
      </c>
      <c r="G3177" s="2">
        <f t="shared" si="49"/>
        <v>0</v>
      </c>
      <c r="H3177" t="s">
        <v>30</v>
      </c>
    </row>
    <row r="3178" spans="2:8" x14ac:dyDescent="0.2">
      <c r="B3178" s="3">
        <v>44710</v>
      </c>
      <c r="D3178" s="1">
        <v>1019</v>
      </c>
      <c r="E3178" s="1">
        <v>1205</v>
      </c>
      <c r="G3178" s="2">
        <f t="shared" si="49"/>
        <v>1205</v>
      </c>
      <c r="H3178" t="s">
        <v>35</v>
      </c>
    </row>
    <row r="3179" spans="2:8" x14ac:dyDescent="0.2">
      <c r="B3179" s="3">
        <v>44710</v>
      </c>
      <c r="G3179" s="2">
        <f t="shared" si="49"/>
        <v>0</v>
      </c>
      <c r="H3179" t="s">
        <v>25</v>
      </c>
    </row>
    <row r="3180" spans="2:8" x14ac:dyDescent="0.2">
      <c r="B3180" s="3">
        <v>44710</v>
      </c>
      <c r="G3180" s="2">
        <f t="shared" si="49"/>
        <v>0</v>
      </c>
      <c r="H3180" t="s">
        <v>34</v>
      </c>
    </row>
    <row r="3181" spans="2:8" x14ac:dyDescent="0.2">
      <c r="B3181" s="3">
        <v>44710</v>
      </c>
      <c r="G3181" s="2">
        <f t="shared" si="49"/>
        <v>0</v>
      </c>
      <c r="H3181" t="s">
        <v>33</v>
      </c>
    </row>
    <row r="3182" spans="2:8" x14ac:dyDescent="0.2">
      <c r="B3182" s="3">
        <v>44710</v>
      </c>
      <c r="G3182" s="2">
        <f t="shared" si="49"/>
        <v>0</v>
      </c>
      <c r="H3182" t="s">
        <v>9</v>
      </c>
    </row>
    <row r="3183" spans="2:8" x14ac:dyDescent="0.2">
      <c r="B3183" s="3">
        <v>44710</v>
      </c>
      <c r="G3183" s="2">
        <f t="shared" si="49"/>
        <v>0</v>
      </c>
      <c r="H3183" t="s">
        <v>32</v>
      </c>
    </row>
    <row r="3184" spans="2:8" x14ac:dyDescent="0.2">
      <c r="B3184" s="3">
        <v>44710</v>
      </c>
      <c r="G3184" s="2">
        <f t="shared" si="49"/>
        <v>0</v>
      </c>
      <c r="H3184" s="1"/>
    </row>
    <row r="3185" spans="2:8" x14ac:dyDescent="0.2">
      <c r="B3185" s="3">
        <v>44711</v>
      </c>
      <c r="D3185" s="28"/>
      <c r="G3185" s="2">
        <f t="shared" si="49"/>
        <v>0</v>
      </c>
      <c r="H3185" t="s">
        <v>14</v>
      </c>
    </row>
    <row r="3186" spans="2:8" x14ac:dyDescent="0.2">
      <c r="B3186" s="3">
        <v>44711</v>
      </c>
      <c r="F3186" s="1">
        <v>5000</v>
      </c>
      <c r="G3186" s="2">
        <f t="shared" si="49"/>
        <v>-5000</v>
      </c>
      <c r="H3186" t="s">
        <v>27</v>
      </c>
    </row>
    <row r="3187" spans="2:8" x14ac:dyDescent="0.2">
      <c r="B3187" s="3">
        <v>44711</v>
      </c>
      <c r="G3187" s="2">
        <f t="shared" si="49"/>
        <v>0</v>
      </c>
      <c r="H3187" t="s">
        <v>13</v>
      </c>
    </row>
    <row r="3188" spans="2:8" x14ac:dyDescent="0.2">
      <c r="B3188" s="3">
        <v>44711</v>
      </c>
      <c r="G3188" s="2">
        <f t="shared" si="49"/>
        <v>0</v>
      </c>
      <c r="H3188" t="s">
        <v>30</v>
      </c>
    </row>
    <row r="3189" spans="2:8" x14ac:dyDescent="0.2">
      <c r="B3189" s="3">
        <v>44711</v>
      </c>
      <c r="F3189" s="1">
        <v>1205</v>
      </c>
      <c r="G3189" s="2">
        <f t="shared" si="49"/>
        <v>-1205</v>
      </c>
      <c r="H3189" t="s">
        <v>35</v>
      </c>
    </row>
    <row r="3190" spans="2:8" x14ac:dyDescent="0.2">
      <c r="B3190" s="3">
        <v>44711</v>
      </c>
      <c r="G3190" s="2">
        <f t="shared" si="49"/>
        <v>0</v>
      </c>
      <c r="H3190" t="s">
        <v>25</v>
      </c>
    </row>
    <row r="3191" spans="2:8" x14ac:dyDescent="0.2">
      <c r="B3191" s="3">
        <v>44711</v>
      </c>
      <c r="G3191" s="2">
        <f t="shared" si="49"/>
        <v>0</v>
      </c>
      <c r="H3191" t="s">
        <v>34</v>
      </c>
    </row>
    <row r="3192" spans="2:8" x14ac:dyDescent="0.2">
      <c r="B3192" s="3">
        <v>44711</v>
      </c>
      <c r="G3192" s="2">
        <f t="shared" si="49"/>
        <v>0</v>
      </c>
      <c r="H3192" t="s">
        <v>33</v>
      </c>
    </row>
    <row r="3193" spans="2:8" x14ac:dyDescent="0.2">
      <c r="B3193" s="3">
        <v>44711</v>
      </c>
      <c r="G3193" s="2">
        <f t="shared" si="49"/>
        <v>0</v>
      </c>
      <c r="H3193" t="s">
        <v>9</v>
      </c>
    </row>
    <row r="3194" spans="2:8" x14ac:dyDescent="0.2">
      <c r="B3194" s="3">
        <v>44711</v>
      </c>
      <c r="G3194" s="2">
        <f t="shared" si="49"/>
        <v>0</v>
      </c>
      <c r="H3194" t="s">
        <v>32</v>
      </c>
    </row>
    <row r="3195" spans="2:8" x14ac:dyDescent="0.2">
      <c r="B3195" s="3">
        <v>44711</v>
      </c>
      <c r="G3195" s="2">
        <f t="shared" si="49"/>
        <v>0</v>
      </c>
      <c r="H3195" s="1"/>
    </row>
    <row r="3196" spans="2:8" x14ac:dyDescent="0.2">
      <c r="B3196" s="3">
        <v>44712</v>
      </c>
      <c r="D3196" s="28">
        <v>3228</v>
      </c>
      <c r="E3196" s="1">
        <v>3606</v>
      </c>
      <c r="G3196" s="2">
        <f t="shared" si="49"/>
        <v>3606</v>
      </c>
      <c r="H3196" t="s">
        <v>14</v>
      </c>
    </row>
    <row r="3197" spans="2:8" x14ac:dyDescent="0.2">
      <c r="B3197" s="3">
        <v>44712</v>
      </c>
      <c r="F3197" s="1">
        <v>390.75</v>
      </c>
      <c r="G3197" s="2">
        <f t="shared" si="49"/>
        <v>-390.75</v>
      </c>
      <c r="H3197" t="s">
        <v>27</v>
      </c>
    </row>
    <row r="3198" spans="2:8" x14ac:dyDescent="0.2">
      <c r="B3198" s="3">
        <v>44712</v>
      </c>
      <c r="F3198" s="1">
        <v>3000</v>
      </c>
      <c r="G3198" s="2">
        <f t="shared" si="49"/>
        <v>-3000</v>
      </c>
      <c r="H3198" t="s">
        <v>13</v>
      </c>
    </row>
    <row r="3199" spans="2:8" x14ac:dyDescent="0.2">
      <c r="B3199" s="3">
        <v>44712</v>
      </c>
      <c r="G3199" s="2">
        <f t="shared" si="49"/>
        <v>0</v>
      </c>
      <c r="H3199" t="s">
        <v>30</v>
      </c>
    </row>
    <row r="3200" spans="2:8" x14ac:dyDescent="0.2">
      <c r="B3200" s="3">
        <v>44712</v>
      </c>
      <c r="G3200" s="2">
        <f t="shared" si="49"/>
        <v>0</v>
      </c>
      <c r="H3200" t="s">
        <v>35</v>
      </c>
    </row>
    <row r="3201" spans="2:8" x14ac:dyDescent="0.2">
      <c r="B3201" s="3">
        <v>44712</v>
      </c>
      <c r="G3201" s="2">
        <f t="shared" si="49"/>
        <v>0</v>
      </c>
      <c r="H3201" t="s">
        <v>25</v>
      </c>
    </row>
    <row r="3202" spans="2:8" x14ac:dyDescent="0.2">
      <c r="B3202" s="3">
        <v>44712</v>
      </c>
      <c r="G3202" s="2">
        <f t="shared" si="49"/>
        <v>0</v>
      </c>
      <c r="H3202" t="s">
        <v>34</v>
      </c>
    </row>
    <row r="3203" spans="2:8" x14ac:dyDescent="0.2">
      <c r="B3203" s="3">
        <v>44712</v>
      </c>
      <c r="G3203" s="2">
        <f t="shared" ref="G3203:G3266" si="50">E3203-F3203</f>
        <v>0</v>
      </c>
      <c r="H3203" t="s">
        <v>33</v>
      </c>
    </row>
    <row r="3204" spans="2:8" x14ac:dyDescent="0.2">
      <c r="B3204" s="3">
        <v>44712</v>
      </c>
      <c r="G3204" s="2">
        <f t="shared" si="50"/>
        <v>0</v>
      </c>
      <c r="H3204" t="s">
        <v>9</v>
      </c>
    </row>
    <row r="3205" spans="2:8" x14ac:dyDescent="0.2">
      <c r="B3205" s="3">
        <v>44712</v>
      </c>
      <c r="G3205" s="2">
        <f t="shared" si="50"/>
        <v>0</v>
      </c>
      <c r="H3205" t="s">
        <v>32</v>
      </c>
    </row>
    <row r="3206" spans="2:8" x14ac:dyDescent="0.2">
      <c r="B3206" s="3">
        <v>44712</v>
      </c>
      <c r="G3206" s="2">
        <f t="shared" si="50"/>
        <v>0</v>
      </c>
      <c r="H3206" s="1"/>
    </row>
    <row r="3207" spans="2:8" x14ac:dyDescent="0.2">
      <c r="B3207" s="3">
        <v>44713</v>
      </c>
      <c r="D3207" s="28"/>
      <c r="G3207" s="2">
        <f t="shared" si="50"/>
        <v>0</v>
      </c>
      <c r="H3207" t="s">
        <v>14</v>
      </c>
    </row>
    <row r="3208" spans="2:8" x14ac:dyDescent="0.2">
      <c r="B3208" s="3">
        <v>44713</v>
      </c>
      <c r="G3208" s="2">
        <f t="shared" si="50"/>
        <v>0</v>
      </c>
      <c r="H3208" t="s">
        <v>27</v>
      </c>
    </row>
    <row r="3209" spans="2:8" x14ac:dyDescent="0.2">
      <c r="B3209" s="3">
        <v>44713</v>
      </c>
      <c r="G3209" s="2">
        <f t="shared" si="50"/>
        <v>0</v>
      </c>
      <c r="H3209" t="s">
        <v>13</v>
      </c>
    </row>
    <row r="3210" spans="2:8" x14ac:dyDescent="0.2">
      <c r="B3210" s="3">
        <v>44713</v>
      </c>
      <c r="G3210" s="2">
        <f t="shared" si="50"/>
        <v>0</v>
      </c>
      <c r="H3210" t="s">
        <v>30</v>
      </c>
    </row>
    <row r="3211" spans="2:8" x14ac:dyDescent="0.2">
      <c r="B3211" s="3">
        <v>44713</v>
      </c>
      <c r="G3211" s="2">
        <f t="shared" si="50"/>
        <v>0</v>
      </c>
      <c r="H3211" t="s">
        <v>35</v>
      </c>
    </row>
    <row r="3212" spans="2:8" x14ac:dyDescent="0.2">
      <c r="B3212" s="3">
        <v>44713</v>
      </c>
      <c r="G3212" s="2">
        <f t="shared" si="50"/>
        <v>0</v>
      </c>
      <c r="H3212" t="s">
        <v>25</v>
      </c>
    </row>
    <row r="3213" spans="2:8" x14ac:dyDescent="0.2">
      <c r="B3213" s="3">
        <v>44713</v>
      </c>
      <c r="G3213" s="2">
        <f t="shared" si="50"/>
        <v>0</v>
      </c>
      <c r="H3213" t="s">
        <v>34</v>
      </c>
    </row>
    <row r="3214" spans="2:8" x14ac:dyDescent="0.2">
      <c r="B3214" s="3">
        <v>44713</v>
      </c>
      <c r="G3214" s="2">
        <f t="shared" si="50"/>
        <v>0</v>
      </c>
      <c r="H3214" t="s">
        <v>33</v>
      </c>
    </row>
    <row r="3215" spans="2:8" x14ac:dyDescent="0.2">
      <c r="B3215" s="3">
        <v>44713</v>
      </c>
      <c r="G3215" s="2">
        <f t="shared" si="50"/>
        <v>0</v>
      </c>
      <c r="H3215" t="s">
        <v>9</v>
      </c>
    </row>
    <row r="3216" spans="2:8" x14ac:dyDescent="0.2">
      <c r="B3216" s="3">
        <v>44713</v>
      </c>
      <c r="G3216" s="2">
        <f t="shared" si="50"/>
        <v>0</v>
      </c>
      <c r="H3216" t="s">
        <v>32</v>
      </c>
    </row>
    <row r="3217" spans="2:8" x14ac:dyDescent="0.2">
      <c r="B3217" s="3">
        <v>44713</v>
      </c>
      <c r="G3217" s="2">
        <f t="shared" si="50"/>
        <v>0</v>
      </c>
      <c r="H3217" s="1"/>
    </row>
    <row r="3218" spans="2:8" x14ac:dyDescent="0.2">
      <c r="B3218" s="3">
        <v>44714</v>
      </c>
      <c r="D3218" s="28"/>
      <c r="F3218" s="1">
        <v>5000</v>
      </c>
      <c r="G3218" s="2">
        <f t="shared" si="50"/>
        <v>-5000</v>
      </c>
      <c r="H3218" t="s">
        <v>14</v>
      </c>
    </row>
    <row r="3219" spans="2:8" x14ac:dyDescent="0.2">
      <c r="B3219" s="3">
        <v>44714</v>
      </c>
      <c r="F3219" s="1">
        <v>5000</v>
      </c>
      <c r="G3219" s="2">
        <f t="shared" si="50"/>
        <v>-5000</v>
      </c>
      <c r="H3219" t="s">
        <v>27</v>
      </c>
    </row>
    <row r="3220" spans="2:8" x14ac:dyDescent="0.2">
      <c r="B3220" s="3">
        <v>44714</v>
      </c>
      <c r="D3220" s="1">
        <v>597.5</v>
      </c>
      <c r="E3220" s="1">
        <v>662.5</v>
      </c>
      <c r="G3220" s="2">
        <f t="shared" si="50"/>
        <v>662.5</v>
      </c>
      <c r="H3220" t="s">
        <v>13</v>
      </c>
    </row>
    <row r="3221" spans="2:8" x14ac:dyDescent="0.2">
      <c r="B3221" s="3">
        <v>44714</v>
      </c>
      <c r="G3221" s="2">
        <f t="shared" si="50"/>
        <v>0</v>
      </c>
      <c r="H3221" t="s">
        <v>30</v>
      </c>
    </row>
    <row r="3222" spans="2:8" x14ac:dyDescent="0.2">
      <c r="B3222" s="3">
        <v>44714</v>
      </c>
      <c r="G3222" s="2">
        <f t="shared" si="50"/>
        <v>0</v>
      </c>
      <c r="H3222" t="s">
        <v>35</v>
      </c>
    </row>
    <row r="3223" spans="2:8" x14ac:dyDescent="0.2">
      <c r="B3223" s="3">
        <v>44714</v>
      </c>
      <c r="D3223" s="1">
        <v>935</v>
      </c>
      <c r="E3223" s="1">
        <v>1207.26</v>
      </c>
      <c r="F3223" s="1">
        <v>2000</v>
      </c>
      <c r="G3223" s="2">
        <f t="shared" si="50"/>
        <v>-792.74</v>
      </c>
      <c r="H3223" t="s">
        <v>25</v>
      </c>
    </row>
    <row r="3224" spans="2:8" x14ac:dyDescent="0.2">
      <c r="B3224" s="3">
        <v>44714</v>
      </c>
      <c r="G3224" s="2">
        <f t="shared" si="50"/>
        <v>0</v>
      </c>
      <c r="H3224" t="s">
        <v>34</v>
      </c>
    </row>
    <row r="3225" spans="2:8" x14ac:dyDescent="0.2">
      <c r="B3225" s="3">
        <v>44714</v>
      </c>
      <c r="G3225" s="2">
        <f t="shared" si="50"/>
        <v>0</v>
      </c>
      <c r="H3225" t="s">
        <v>33</v>
      </c>
    </row>
    <row r="3226" spans="2:8" x14ac:dyDescent="0.2">
      <c r="B3226" s="3">
        <v>44714</v>
      </c>
      <c r="D3226" s="1">
        <v>1750</v>
      </c>
      <c r="E3226" s="1">
        <v>2500</v>
      </c>
      <c r="G3226" s="2">
        <f t="shared" si="50"/>
        <v>2500</v>
      </c>
      <c r="H3226" t="s">
        <v>9</v>
      </c>
    </row>
    <row r="3227" spans="2:8" x14ac:dyDescent="0.2">
      <c r="B3227" s="3">
        <v>44714</v>
      </c>
      <c r="G3227" s="2">
        <f t="shared" si="50"/>
        <v>0</v>
      </c>
      <c r="H3227" t="s">
        <v>32</v>
      </c>
    </row>
    <row r="3228" spans="2:8" x14ac:dyDescent="0.2">
      <c r="B3228" s="3">
        <v>44714</v>
      </c>
      <c r="G3228" s="2">
        <f t="shared" si="50"/>
        <v>0</v>
      </c>
      <c r="H3228" s="1"/>
    </row>
    <row r="3229" spans="2:8" x14ac:dyDescent="0.2">
      <c r="B3229" s="3">
        <v>44715</v>
      </c>
      <c r="D3229" s="28"/>
      <c r="G3229" s="2">
        <f t="shared" si="50"/>
        <v>0</v>
      </c>
      <c r="H3229" t="s">
        <v>14</v>
      </c>
    </row>
    <row r="3230" spans="2:8" x14ac:dyDescent="0.2">
      <c r="B3230" s="3">
        <v>44715</v>
      </c>
      <c r="G3230" s="2">
        <f t="shared" si="50"/>
        <v>0</v>
      </c>
      <c r="H3230" t="s">
        <v>27</v>
      </c>
    </row>
    <row r="3231" spans="2:8" x14ac:dyDescent="0.2">
      <c r="B3231" s="3">
        <v>44715</v>
      </c>
      <c r="G3231" s="2">
        <f t="shared" si="50"/>
        <v>0</v>
      </c>
      <c r="H3231" t="s">
        <v>13</v>
      </c>
    </row>
    <row r="3232" spans="2:8" x14ac:dyDescent="0.2">
      <c r="B3232" s="3">
        <v>44715</v>
      </c>
      <c r="G3232" s="2">
        <f t="shared" si="50"/>
        <v>0</v>
      </c>
      <c r="H3232" t="s">
        <v>30</v>
      </c>
    </row>
    <row r="3233" spans="2:8" x14ac:dyDescent="0.2">
      <c r="B3233" s="3">
        <v>44715</v>
      </c>
      <c r="G3233" s="2">
        <f t="shared" si="50"/>
        <v>0</v>
      </c>
      <c r="H3233" t="s">
        <v>35</v>
      </c>
    </row>
    <row r="3234" spans="2:8" x14ac:dyDescent="0.2">
      <c r="B3234" s="3">
        <v>44715</v>
      </c>
      <c r="G3234" s="2">
        <f t="shared" si="50"/>
        <v>0</v>
      </c>
      <c r="H3234" t="s">
        <v>25</v>
      </c>
    </row>
    <row r="3235" spans="2:8" x14ac:dyDescent="0.2">
      <c r="B3235" s="3">
        <v>44715</v>
      </c>
      <c r="G3235" s="2">
        <f t="shared" si="50"/>
        <v>0</v>
      </c>
      <c r="H3235" t="s">
        <v>34</v>
      </c>
    </row>
    <row r="3236" spans="2:8" x14ac:dyDescent="0.2">
      <c r="B3236" s="3">
        <v>44715</v>
      </c>
      <c r="G3236" s="2">
        <f t="shared" si="50"/>
        <v>0</v>
      </c>
      <c r="H3236" t="s">
        <v>33</v>
      </c>
    </row>
    <row r="3237" spans="2:8" x14ac:dyDescent="0.2">
      <c r="B3237" s="3">
        <v>44715</v>
      </c>
      <c r="G3237" s="2">
        <f t="shared" si="50"/>
        <v>0</v>
      </c>
      <c r="H3237" t="s">
        <v>9</v>
      </c>
    </row>
    <row r="3238" spans="2:8" x14ac:dyDescent="0.2">
      <c r="B3238" s="3">
        <v>44715</v>
      </c>
      <c r="G3238" s="2">
        <f t="shared" si="50"/>
        <v>0</v>
      </c>
      <c r="H3238" t="s">
        <v>32</v>
      </c>
    </row>
    <row r="3239" spans="2:8" x14ac:dyDescent="0.2">
      <c r="B3239" s="3">
        <v>44715</v>
      </c>
      <c r="G3239" s="2">
        <f t="shared" si="50"/>
        <v>0</v>
      </c>
      <c r="H3239" s="1"/>
    </row>
    <row r="3240" spans="2:8" x14ac:dyDescent="0.2">
      <c r="B3240" s="3">
        <v>44716</v>
      </c>
      <c r="D3240" s="28"/>
      <c r="G3240" s="2">
        <f t="shared" si="50"/>
        <v>0</v>
      </c>
      <c r="H3240" t="s">
        <v>14</v>
      </c>
    </row>
    <row r="3241" spans="2:8" x14ac:dyDescent="0.2">
      <c r="B3241" s="3">
        <v>44716</v>
      </c>
      <c r="G3241" s="2">
        <f t="shared" si="50"/>
        <v>0</v>
      </c>
      <c r="H3241" t="s">
        <v>27</v>
      </c>
    </row>
    <row r="3242" spans="2:8" x14ac:dyDescent="0.2">
      <c r="B3242" s="3">
        <v>44716</v>
      </c>
      <c r="G3242" s="2">
        <f t="shared" si="50"/>
        <v>0</v>
      </c>
      <c r="H3242" t="s">
        <v>13</v>
      </c>
    </row>
    <row r="3243" spans="2:8" x14ac:dyDescent="0.2">
      <c r="B3243" s="3">
        <v>44716</v>
      </c>
      <c r="G3243" s="2">
        <f t="shared" si="50"/>
        <v>0</v>
      </c>
      <c r="H3243" t="s">
        <v>30</v>
      </c>
    </row>
    <row r="3244" spans="2:8" x14ac:dyDescent="0.2">
      <c r="B3244" s="3">
        <v>44716</v>
      </c>
      <c r="G3244" s="2">
        <f t="shared" si="50"/>
        <v>0</v>
      </c>
      <c r="H3244" t="s">
        <v>35</v>
      </c>
    </row>
    <row r="3245" spans="2:8" x14ac:dyDescent="0.2">
      <c r="B3245" s="3">
        <v>44716</v>
      </c>
      <c r="G3245" s="2">
        <f t="shared" si="50"/>
        <v>0</v>
      </c>
      <c r="H3245" t="s">
        <v>25</v>
      </c>
    </row>
    <row r="3246" spans="2:8" x14ac:dyDescent="0.2">
      <c r="B3246" s="3">
        <v>44716</v>
      </c>
      <c r="G3246" s="2">
        <f t="shared" si="50"/>
        <v>0</v>
      </c>
      <c r="H3246" t="s">
        <v>34</v>
      </c>
    </row>
    <row r="3247" spans="2:8" x14ac:dyDescent="0.2">
      <c r="B3247" s="3">
        <v>44716</v>
      </c>
      <c r="G3247" s="2">
        <f t="shared" si="50"/>
        <v>0</v>
      </c>
      <c r="H3247" t="s">
        <v>33</v>
      </c>
    </row>
    <row r="3248" spans="2:8" x14ac:dyDescent="0.2">
      <c r="B3248" s="3">
        <v>44716</v>
      </c>
      <c r="G3248" s="2">
        <f t="shared" si="50"/>
        <v>0</v>
      </c>
      <c r="H3248" t="s">
        <v>9</v>
      </c>
    </row>
    <row r="3249" spans="2:8" x14ac:dyDescent="0.2">
      <c r="B3249" s="3">
        <v>44716</v>
      </c>
      <c r="G3249" s="2">
        <f t="shared" si="50"/>
        <v>0</v>
      </c>
      <c r="H3249" t="s">
        <v>32</v>
      </c>
    </row>
    <row r="3250" spans="2:8" x14ac:dyDescent="0.2">
      <c r="B3250" s="3">
        <v>44716</v>
      </c>
      <c r="G3250" s="2">
        <f t="shared" si="50"/>
        <v>0</v>
      </c>
      <c r="H3250" s="1"/>
    </row>
    <row r="3251" spans="2:8" x14ac:dyDescent="0.2">
      <c r="B3251" s="3">
        <v>44717</v>
      </c>
      <c r="D3251" s="28">
        <f>500*5</f>
        <v>2500</v>
      </c>
      <c r="E3251" s="1">
        <v>2750</v>
      </c>
      <c r="G3251" s="2">
        <f t="shared" si="50"/>
        <v>2750</v>
      </c>
      <c r="H3251" t="s">
        <v>14</v>
      </c>
    </row>
    <row r="3252" spans="2:8" x14ac:dyDescent="0.2">
      <c r="B3252" s="3">
        <v>44717</v>
      </c>
      <c r="G3252" s="2">
        <f t="shared" si="50"/>
        <v>0</v>
      </c>
      <c r="H3252" t="s">
        <v>27</v>
      </c>
    </row>
    <row r="3253" spans="2:8" x14ac:dyDescent="0.2">
      <c r="B3253" s="3">
        <v>44717</v>
      </c>
      <c r="F3253" s="1">
        <v>3000</v>
      </c>
      <c r="G3253" s="2">
        <f t="shared" si="50"/>
        <v>-3000</v>
      </c>
      <c r="H3253" t="s">
        <v>13</v>
      </c>
    </row>
    <row r="3254" spans="2:8" x14ac:dyDescent="0.2">
      <c r="B3254" s="3">
        <v>44717</v>
      </c>
      <c r="D3254" s="1">
        <v>13640</v>
      </c>
      <c r="E3254" s="1">
        <v>19009.5</v>
      </c>
      <c r="G3254" s="2">
        <f t="shared" si="50"/>
        <v>19009.5</v>
      </c>
      <c r="H3254" t="s">
        <v>30</v>
      </c>
    </row>
    <row r="3255" spans="2:8" x14ac:dyDescent="0.2">
      <c r="B3255" s="3">
        <v>44717</v>
      </c>
      <c r="D3255" s="1">
        <v>1082</v>
      </c>
      <c r="E3255" s="1">
        <v>1277.5</v>
      </c>
      <c r="G3255" s="2">
        <f t="shared" si="50"/>
        <v>1277.5</v>
      </c>
      <c r="H3255" t="s">
        <v>35</v>
      </c>
    </row>
    <row r="3256" spans="2:8" x14ac:dyDescent="0.2">
      <c r="B3256" s="3">
        <v>44717</v>
      </c>
      <c r="F3256" s="1">
        <v>2000</v>
      </c>
      <c r="G3256" s="2">
        <f t="shared" si="50"/>
        <v>-2000</v>
      </c>
      <c r="H3256" t="s">
        <v>25</v>
      </c>
    </row>
    <row r="3257" spans="2:8" x14ac:dyDescent="0.2">
      <c r="B3257" s="3">
        <v>44717</v>
      </c>
      <c r="G3257" s="2">
        <f t="shared" si="50"/>
        <v>0</v>
      </c>
      <c r="H3257" t="s">
        <v>34</v>
      </c>
    </row>
    <row r="3258" spans="2:8" x14ac:dyDescent="0.2">
      <c r="B3258" s="3">
        <v>44717</v>
      </c>
      <c r="G3258" s="2">
        <f t="shared" si="50"/>
        <v>0</v>
      </c>
      <c r="H3258" t="s">
        <v>33</v>
      </c>
    </row>
    <row r="3259" spans="2:8" x14ac:dyDescent="0.2">
      <c r="B3259" s="3">
        <v>44717</v>
      </c>
      <c r="G3259" s="2">
        <f t="shared" si="50"/>
        <v>0</v>
      </c>
      <c r="H3259" t="s">
        <v>9</v>
      </c>
    </row>
    <row r="3260" spans="2:8" x14ac:dyDescent="0.2">
      <c r="B3260" s="3">
        <v>44717</v>
      </c>
      <c r="G3260" s="2">
        <f t="shared" si="50"/>
        <v>0</v>
      </c>
      <c r="H3260" t="s">
        <v>32</v>
      </c>
    </row>
    <row r="3261" spans="2:8" x14ac:dyDescent="0.2">
      <c r="B3261" s="3">
        <v>44717</v>
      </c>
      <c r="G3261" s="2">
        <f t="shared" si="50"/>
        <v>0</v>
      </c>
      <c r="H3261" s="1"/>
    </row>
    <row r="3262" spans="2:8" x14ac:dyDescent="0.2">
      <c r="B3262" s="3">
        <v>44718</v>
      </c>
      <c r="D3262" s="28"/>
      <c r="F3262" s="1">
        <v>7000</v>
      </c>
      <c r="G3262" s="2">
        <f t="shared" si="50"/>
        <v>-7000</v>
      </c>
      <c r="H3262" t="s">
        <v>14</v>
      </c>
    </row>
    <row r="3263" spans="2:8" x14ac:dyDescent="0.2">
      <c r="B3263" s="3">
        <v>44718</v>
      </c>
      <c r="G3263" s="2">
        <f t="shared" si="50"/>
        <v>0</v>
      </c>
      <c r="H3263" t="s">
        <v>27</v>
      </c>
    </row>
    <row r="3264" spans="2:8" x14ac:dyDescent="0.2">
      <c r="B3264" s="3">
        <v>44718</v>
      </c>
      <c r="G3264" s="2">
        <f t="shared" si="50"/>
        <v>0</v>
      </c>
      <c r="H3264" t="s">
        <v>13</v>
      </c>
    </row>
    <row r="3265" spans="2:8" x14ac:dyDescent="0.2">
      <c r="B3265" s="3">
        <v>44718</v>
      </c>
      <c r="G3265" s="2">
        <f t="shared" si="50"/>
        <v>0</v>
      </c>
      <c r="H3265" t="s">
        <v>30</v>
      </c>
    </row>
    <row r="3266" spans="2:8" x14ac:dyDescent="0.2">
      <c r="B3266" s="3">
        <v>44718</v>
      </c>
      <c r="G3266" s="2">
        <f t="shared" si="50"/>
        <v>0</v>
      </c>
      <c r="H3266" t="s">
        <v>35</v>
      </c>
    </row>
    <row r="3267" spans="2:8" x14ac:dyDescent="0.2">
      <c r="B3267" s="3">
        <v>44718</v>
      </c>
      <c r="G3267" s="2">
        <f t="shared" ref="G3267:G3330" si="51">E3267-F3267</f>
        <v>0</v>
      </c>
      <c r="H3267" t="s">
        <v>25</v>
      </c>
    </row>
    <row r="3268" spans="2:8" x14ac:dyDescent="0.2">
      <c r="B3268" s="3">
        <v>44718</v>
      </c>
      <c r="G3268" s="2">
        <f t="shared" si="51"/>
        <v>0</v>
      </c>
      <c r="H3268" t="s">
        <v>34</v>
      </c>
    </row>
    <row r="3269" spans="2:8" x14ac:dyDescent="0.2">
      <c r="B3269" s="3">
        <v>44718</v>
      </c>
      <c r="G3269" s="2">
        <f t="shared" si="51"/>
        <v>0</v>
      </c>
      <c r="H3269" t="s">
        <v>33</v>
      </c>
    </row>
    <row r="3270" spans="2:8" x14ac:dyDescent="0.2">
      <c r="B3270" s="3">
        <v>44718</v>
      </c>
      <c r="G3270" s="2">
        <f t="shared" si="51"/>
        <v>0</v>
      </c>
      <c r="H3270" t="s">
        <v>9</v>
      </c>
    </row>
    <row r="3271" spans="2:8" x14ac:dyDescent="0.2">
      <c r="B3271" s="3">
        <v>44718</v>
      </c>
      <c r="G3271" s="2">
        <f t="shared" si="51"/>
        <v>0</v>
      </c>
      <c r="H3271" t="s">
        <v>32</v>
      </c>
    </row>
    <row r="3272" spans="2:8" x14ac:dyDescent="0.2">
      <c r="B3272" s="3">
        <v>44718</v>
      </c>
      <c r="G3272" s="2">
        <f t="shared" si="51"/>
        <v>0</v>
      </c>
      <c r="H3272" s="1"/>
    </row>
    <row r="3273" spans="2:8" x14ac:dyDescent="0.2">
      <c r="B3273" s="3">
        <v>44719</v>
      </c>
      <c r="D3273" s="28"/>
      <c r="G3273" s="2">
        <f t="shared" si="51"/>
        <v>0</v>
      </c>
      <c r="H3273" t="s">
        <v>14</v>
      </c>
    </row>
    <row r="3274" spans="2:8" x14ac:dyDescent="0.2">
      <c r="B3274" s="3">
        <v>44719</v>
      </c>
      <c r="G3274" s="2">
        <f t="shared" si="51"/>
        <v>0</v>
      </c>
      <c r="H3274" t="s">
        <v>27</v>
      </c>
    </row>
    <row r="3275" spans="2:8" x14ac:dyDescent="0.2">
      <c r="B3275" s="3">
        <v>44719</v>
      </c>
      <c r="G3275" s="2">
        <f t="shared" si="51"/>
        <v>0</v>
      </c>
      <c r="H3275" t="s">
        <v>13</v>
      </c>
    </row>
    <row r="3276" spans="2:8" x14ac:dyDescent="0.2">
      <c r="B3276" s="3">
        <v>44719</v>
      </c>
      <c r="G3276" s="2">
        <f t="shared" si="51"/>
        <v>0</v>
      </c>
      <c r="H3276" t="s">
        <v>30</v>
      </c>
    </row>
    <row r="3277" spans="2:8" x14ac:dyDescent="0.2">
      <c r="B3277" s="3">
        <v>44719</v>
      </c>
      <c r="G3277" s="2">
        <f t="shared" si="51"/>
        <v>0</v>
      </c>
      <c r="H3277" t="s">
        <v>35</v>
      </c>
    </row>
    <row r="3278" spans="2:8" x14ac:dyDescent="0.2">
      <c r="B3278" s="3">
        <v>44719</v>
      </c>
      <c r="G3278" s="2">
        <f t="shared" si="51"/>
        <v>0</v>
      </c>
      <c r="H3278" t="s">
        <v>25</v>
      </c>
    </row>
    <row r="3279" spans="2:8" x14ac:dyDescent="0.2">
      <c r="B3279" s="3">
        <v>44719</v>
      </c>
      <c r="G3279" s="2">
        <f t="shared" si="51"/>
        <v>0</v>
      </c>
      <c r="H3279" t="s">
        <v>34</v>
      </c>
    </row>
    <row r="3280" spans="2:8" x14ac:dyDescent="0.2">
      <c r="B3280" s="3">
        <v>44719</v>
      </c>
      <c r="G3280" s="2">
        <f t="shared" si="51"/>
        <v>0</v>
      </c>
      <c r="H3280" t="s">
        <v>33</v>
      </c>
    </row>
    <row r="3281" spans="2:8" x14ac:dyDescent="0.2">
      <c r="B3281" s="3">
        <v>44719</v>
      </c>
      <c r="G3281" s="2">
        <f t="shared" si="51"/>
        <v>0</v>
      </c>
      <c r="H3281" t="s">
        <v>9</v>
      </c>
    </row>
    <row r="3282" spans="2:8" x14ac:dyDescent="0.2">
      <c r="B3282" s="3">
        <v>44719</v>
      </c>
      <c r="G3282" s="2">
        <f t="shared" si="51"/>
        <v>0</v>
      </c>
      <c r="H3282" t="s">
        <v>32</v>
      </c>
    </row>
    <row r="3283" spans="2:8" x14ac:dyDescent="0.2">
      <c r="B3283" s="3">
        <v>44719</v>
      </c>
      <c r="G3283" s="2">
        <f t="shared" si="51"/>
        <v>0</v>
      </c>
      <c r="H3283" s="1"/>
    </row>
    <row r="3284" spans="2:8" x14ac:dyDescent="0.2">
      <c r="B3284" s="3">
        <v>44720</v>
      </c>
      <c r="D3284" s="28"/>
      <c r="G3284" s="2">
        <f t="shared" si="51"/>
        <v>0</v>
      </c>
      <c r="H3284" t="s">
        <v>14</v>
      </c>
    </row>
    <row r="3285" spans="2:8" x14ac:dyDescent="0.2">
      <c r="B3285" s="3">
        <v>44720</v>
      </c>
      <c r="G3285" s="2">
        <f t="shared" si="51"/>
        <v>0</v>
      </c>
      <c r="H3285" t="s">
        <v>27</v>
      </c>
    </row>
    <row r="3286" spans="2:8" x14ac:dyDescent="0.2">
      <c r="B3286" s="3">
        <v>44720</v>
      </c>
      <c r="G3286" s="2">
        <f t="shared" si="51"/>
        <v>0</v>
      </c>
      <c r="H3286" t="s">
        <v>13</v>
      </c>
    </row>
    <row r="3287" spans="2:8" x14ac:dyDescent="0.2">
      <c r="B3287" s="3">
        <v>44720</v>
      </c>
      <c r="G3287" s="2">
        <f t="shared" si="51"/>
        <v>0</v>
      </c>
      <c r="H3287" t="s">
        <v>30</v>
      </c>
    </row>
    <row r="3288" spans="2:8" x14ac:dyDescent="0.2">
      <c r="B3288" s="3">
        <v>44720</v>
      </c>
      <c r="F3288" s="1">
        <v>1300</v>
      </c>
      <c r="G3288" s="2">
        <f t="shared" si="51"/>
        <v>-1300</v>
      </c>
      <c r="H3288" t="s">
        <v>35</v>
      </c>
    </row>
    <row r="3289" spans="2:8" x14ac:dyDescent="0.2">
      <c r="B3289" s="3">
        <v>44720</v>
      </c>
      <c r="G3289" s="2">
        <f t="shared" si="51"/>
        <v>0</v>
      </c>
      <c r="H3289" t="s">
        <v>25</v>
      </c>
    </row>
    <row r="3290" spans="2:8" x14ac:dyDescent="0.2">
      <c r="B3290" s="3">
        <v>44720</v>
      </c>
      <c r="G3290" s="2">
        <f t="shared" si="51"/>
        <v>0</v>
      </c>
      <c r="H3290" t="s">
        <v>34</v>
      </c>
    </row>
    <row r="3291" spans="2:8" x14ac:dyDescent="0.2">
      <c r="B3291" s="3">
        <v>44720</v>
      </c>
      <c r="G3291" s="2">
        <f t="shared" si="51"/>
        <v>0</v>
      </c>
      <c r="H3291" t="s">
        <v>33</v>
      </c>
    </row>
    <row r="3292" spans="2:8" x14ac:dyDescent="0.2">
      <c r="B3292" s="3">
        <v>44720</v>
      </c>
      <c r="G3292" s="2">
        <f t="shared" si="51"/>
        <v>0</v>
      </c>
      <c r="H3292" t="s">
        <v>9</v>
      </c>
    </row>
    <row r="3293" spans="2:8" x14ac:dyDescent="0.2">
      <c r="B3293" s="3">
        <v>44720</v>
      </c>
      <c r="G3293" s="2">
        <f t="shared" si="51"/>
        <v>0</v>
      </c>
      <c r="H3293" t="s">
        <v>32</v>
      </c>
    </row>
    <row r="3294" spans="2:8" x14ac:dyDescent="0.2">
      <c r="B3294" s="3">
        <v>44720</v>
      </c>
      <c r="G3294" s="2">
        <f t="shared" si="51"/>
        <v>0</v>
      </c>
      <c r="H3294" s="1"/>
    </row>
    <row r="3295" spans="2:8" x14ac:dyDescent="0.2">
      <c r="B3295" s="3">
        <v>44721</v>
      </c>
      <c r="D3295" s="28"/>
      <c r="G3295" s="2">
        <f t="shared" si="51"/>
        <v>0</v>
      </c>
      <c r="H3295" t="s">
        <v>14</v>
      </c>
    </row>
    <row r="3296" spans="2:8" x14ac:dyDescent="0.2">
      <c r="B3296" s="3">
        <v>44721</v>
      </c>
      <c r="G3296" s="2">
        <f t="shared" si="51"/>
        <v>0</v>
      </c>
      <c r="H3296" t="s">
        <v>27</v>
      </c>
    </row>
    <row r="3297" spans="2:8" x14ac:dyDescent="0.2">
      <c r="B3297" s="3">
        <v>44721</v>
      </c>
      <c r="D3297" s="1">
        <v>1959.5</v>
      </c>
      <c r="E3297" s="1">
        <v>2402.5</v>
      </c>
      <c r="G3297" s="2">
        <f t="shared" si="51"/>
        <v>2402.5</v>
      </c>
      <c r="H3297" t="s">
        <v>13</v>
      </c>
    </row>
    <row r="3298" spans="2:8" x14ac:dyDescent="0.2">
      <c r="B3298" s="3">
        <v>44721</v>
      </c>
      <c r="D3298" s="1">
        <v>840</v>
      </c>
      <c r="E3298" s="1">
        <v>1185.5999999999999</v>
      </c>
      <c r="G3298" s="2">
        <f t="shared" si="51"/>
        <v>1185.5999999999999</v>
      </c>
      <c r="H3298" t="s">
        <v>30</v>
      </c>
    </row>
    <row r="3299" spans="2:8" x14ac:dyDescent="0.2">
      <c r="B3299" s="3">
        <v>44721</v>
      </c>
      <c r="D3299" s="1">
        <v>760</v>
      </c>
      <c r="E3299" s="1">
        <v>840</v>
      </c>
      <c r="G3299" s="2">
        <f t="shared" si="51"/>
        <v>840</v>
      </c>
      <c r="H3299" t="s">
        <v>35</v>
      </c>
    </row>
    <row r="3300" spans="2:8" x14ac:dyDescent="0.2">
      <c r="B3300" s="3">
        <v>44721</v>
      </c>
      <c r="G3300" s="2">
        <f t="shared" si="51"/>
        <v>0</v>
      </c>
      <c r="H3300" t="s">
        <v>25</v>
      </c>
    </row>
    <row r="3301" spans="2:8" x14ac:dyDescent="0.2">
      <c r="B3301" s="3">
        <v>44721</v>
      </c>
      <c r="G3301" s="2">
        <f t="shared" si="51"/>
        <v>0</v>
      </c>
      <c r="H3301" t="s">
        <v>34</v>
      </c>
    </row>
    <row r="3302" spans="2:8" x14ac:dyDescent="0.2">
      <c r="B3302" s="3">
        <v>44721</v>
      </c>
      <c r="G3302" s="2">
        <f t="shared" si="51"/>
        <v>0</v>
      </c>
      <c r="H3302" t="s">
        <v>33</v>
      </c>
    </row>
    <row r="3303" spans="2:8" x14ac:dyDescent="0.2">
      <c r="B3303" s="3">
        <v>44721</v>
      </c>
      <c r="G3303" s="2">
        <f t="shared" si="51"/>
        <v>0</v>
      </c>
      <c r="H3303" t="s">
        <v>9</v>
      </c>
    </row>
    <row r="3304" spans="2:8" x14ac:dyDescent="0.2">
      <c r="B3304" s="3">
        <v>44721</v>
      </c>
      <c r="G3304" s="2">
        <f t="shared" si="51"/>
        <v>0</v>
      </c>
      <c r="H3304" t="s">
        <v>32</v>
      </c>
    </row>
    <row r="3305" spans="2:8" x14ac:dyDescent="0.2">
      <c r="B3305" s="3">
        <v>44721</v>
      </c>
      <c r="G3305" s="2">
        <f t="shared" si="51"/>
        <v>0</v>
      </c>
      <c r="H3305" s="1"/>
    </row>
    <row r="3306" spans="2:8" x14ac:dyDescent="0.2">
      <c r="B3306" s="3">
        <v>44722</v>
      </c>
      <c r="D3306" s="28"/>
      <c r="G3306" s="2">
        <f t="shared" si="51"/>
        <v>0</v>
      </c>
      <c r="H3306" t="s">
        <v>14</v>
      </c>
    </row>
    <row r="3307" spans="2:8" x14ac:dyDescent="0.2">
      <c r="B3307" s="3">
        <v>44722</v>
      </c>
      <c r="G3307" s="2">
        <f t="shared" si="51"/>
        <v>0</v>
      </c>
      <c r="H3307" t="s">
        <v>27</v>
      </c>
    </row>
    <row r="3308" spans="2:8" x14ac:dyDescent="0.2">
      <c r="B3308" s="3">
        <v>44722</v>
      </c>
      <c r="G3308" s="2">
        <f t="shared" si="51"/>
        <v>0</v>
      </c>
      <c r="H3308" t="s">
        <v>13</v>
      </c>
    </row>
    <row r="3309" spans="2:8" x14ac:dyDescent="0.2">
      <c r="B3309" s="3">
        <v>44722</v>
      </c>
      <c r="G3309" s="2">
        <f t="shared" si="51"/>
        <v>0</v>
      </c>
      <c r="H3309" t="s">
        <v>30</v>
      </c>
    </row>
    <row r="3310" spans="2:8" x14ac:dyDescent="0.2">
      <c r="B3310" s="3">
        <v>44722</v>
      </c>
      <c r="G3310" s="2">
        <f t="shared" si="51"/>
        <v>0</v>
      </c>
      <c r="H3310" t="s">
        <v>35</v>
      </c>
    </row>
    <row r="3311" spans="2:8" x14ac:dyDescent="0.2">
      <c r="B3311" s="3">
        <v>44722</v>
      </c>
      <c r="G3311" s="2">
        <f t="shared" si="51"/>
        <v>0</v>
      </c>
      <c r="H3311" t="s">
        <v>25</v>
      </c>
    </row>
    <row r="3312" spans="2:8" x14ac:dyDescent="0.2">
      <c r="B3312" s="3">
        <v>44722</v>
      </c>
      <c r="G3312" s="2">
        <f t="shared" si="51"/>
        <v>0</v>
      </c>
      <c r="H3312" t="s">
        <v>34</v>
      </c>
    </row>
    <row r="3313" spans="2:8" x14ac:dyDescent="0.2">
      <c r="B3313" s="3">
        <v>44722</v>
      </c>
      <c r="G3313" s="2">
        <f t="shared" si="51"/>
        <v>0</v>
      </c>
      <c r="H3313" t="s">
        <v>33</v>
      </c>
    </row>
    <row r="3314" spans="2:8" x14ac:dyDescent="0.2">
      <c r="B3314" s="3">
        <v>44722</v>
      </c>
      <c r="G3314" s="2">
        <f t="shared" si="51"/>
        <v>0</v>
      </c>
      <c r="H3314" t="s">
        <v>9</v>
      </c>
    </row>
    <row r="3315" spans="2:8" x14ac:dyDescent="0.2">
      <c r="B3315" s="3">
        <v>44722</v>
      </c>
      <c r="G3315" s="2">
        <f t="shared" si="51"/>
        <v>0</v>
      </c>
      <c r="H3315" t="s">
        <v>32</v>
      </c>
    </row>
    <row r="3316" spans="2:8" x14ac:dyDescent="0.2">
      <c r="B3316" s="3">
        <v>44722</v>
      </c>
      <c r="G3316" s="2">
        <f t="shared" si="51"/>
        <v>0</v>
      </c>
      <c r="H3316" s="1"/>
    </row>
    <row r="3317" spans="2:8" x14ac:dyDescent="0.2">
      <c r="B3317" s="3">
        <v>44723</v>
      </c>
      <c r="D3317" s="28"/>
      <c r="G3317" s="2">
        <f t="shared" si="51"/>
        <v>0</v>
      </c>
      <c r="H3317" t="s">
        <v>14</v>
      </c>
    </row>
    <row r="3318" spans="2:8" x14ac:dyDescent="0.2">
      <c r="B3318" s="3">
        <v>44723</v>
      </c>
      <c r="F3318" s="1">
        <v>10000</v>
      </c>
      <c r="G3318" s="2">
        <f t="shared" si="51"/>
        <v>-10000</v>
      </c>
      <c r="H3318" t="s">
        <v>27</v>
      </c>
    </row>
    <row r="3319" spans="2:8" x14ac:dyDescent="0.2">
      <c r="B3319" s="3">
        <v>44723</v>
      </c>
      <c r="G3319" s="2">
        <f t="shared" si="51"/>
        <v>0</v>
      </c>
      <c r="H3319" t="s">
        <v>13</v>
      </c>
    </row>
    <row r="3320" spans="2:8" x14ac:dyDescent="0.2">
      <c r="B3320" s="3">
        <v>44723</v>
      </c>
      <c r="G3320" s="2">
        <f t="shared" si="51"/>
        <v>0</v>
      </c>
      <c r="H3320" t="s">
        <v>30</v>
      </c>
    </row>
    <row r="3321" spans="2:8" x14ac:dyDescent="0.2">
      <c r="B3321" s="3">
        <v>44723</v>
      </c>
      <c r="G3321" s="2">
        <f t="shared" si="51"/>
        <v>0</v>
      </c>
      <c r="H3321" t="s">
        <v>35</v>
      </c>
    </row>
    <row r="3322" spans="2:8" x14ac:dyDescent="0.2">
      <c r="B3322" s="3">
        <v>44723</v>
      </c>
      <c r="G3322" s="2">
        <f t="shared" si="51"/>
        <v>0</v>
      </c>
      <c r="H3322" t="s">
        <v>25</v>
      </c>
    </row>
    <row r="3323" spans="2:8" x14ac:dyDescent="0.2">
      <c r="B3323" s="3">
        <v>44723</v>
      </c>
      <c r="G3323" s="2">
        <f t="shared" si="51"/>
        <v>0</v>
      </c>
      <c r="H3323" t="s">
        <v>34</v>
      </c>
    </row>
    <row r="3324" spans="2:8" x14ac:dyDescent="0.2">
      <c r="B3324" s="3">
        <v>44723</v>
      </c>
      <c r="G3324" s="2">
        <f t="shared" si="51"/>
        <v>0</v>
      </c>
      <c r="H3324" t="s">
        <v>33</v>
      </c>
    </row>
    <row r="3325" spans="2:8" x14ac:dyDescent="0.2">
      <c r="B3325" s="3">
        <v>44723</v>
      </c>
      <c r="G3325" s="2">
        <f t="shared" si="51"/>
        <v>0</v>
      </c>
      <c r="H3325" t="s">
        <v>9</v>
      </c>
    </row>
    <row r="3326" spans="2:8" x14ac:dyDescent="0.2">
      <c r="B3326" s="3">
        <v>44723</v>
      </c>
      <c r="G3326" s="2">
        <f t="shared" si="51"/>
        <v>0</v>
      </c>
      <c r="H3326" t="s">
        <v>32</v>
      </c>
    </row>
    <row r="3327" spans="2:8" x14ac:dyDescent="0.2">
      <c r="B3327" s="3">
        <v>44723</v>
      </c>
      <c r="G3327" s="2">
        <f t="shared" si="51"/>
        <v>0</v>
      </c>
      <c r="H3327" s="1"/>
    </row>
    <row r="3328" spans="2:8" x14ac:dyDescent="0.2">
      <c r="B3328" s="3">
        <v>44724</v>
      </c>
      <c r="D3328" s="28"/>
      <c r="F3328" s="1">
        <v>5000</v>
      </c>
      <c r="G3328" s="2">
        <f t="shared" si="51"/>
        <v>-5000</v>
      </c>
      <c r="H3328" t="s">
        <v>14</v>
      </c>
    </row>
    <row r="3329" spans="2:8" x14ac:dyDescent="0.2">
      <c r="B3329" s="3">
        <v>44724</v>
      </c>
      <c r="G3329" s="2">
        <f t="shared" si="51"/>
        <v>0</v>
      </c>
      <c r="H3329" t="s">
        <v>27</v>
      </c>
    </row>
    <row r="3330" spans="2:8" x14ac:dyDescent="0.2">
      <c r="B3330" s="3">
        <v>44724</v>
      </c>
      <c r="G3330" s="2">
        <f t="shared" si="51"/>
        <v>0</v>
      </c>
      <c r="H3330" t="s">
        <v>13</v>
      </c>
    </row>
    <row r="3331" spans="2:8" x14ac:dyDescent="0.2">
      <c r="B3331" s="3">
        <v>44724</v>
      </c>
      <c r="G3331" s="2">
        <f t="shared" ref="G3331:G3394" si="52">E3331-F3331</f>
        <v>0</v>
      </c>
      <c r="H3331" t="s">
        <v>30</v>
      </c>
    </row>
    <row r="3332" spans="2:8" x14ac:dyDescent="0.2">
      <c r="B3332" s="3">
        <v>44724</v>
      </c>
      <c r="D3332" s="1">
        <v>985</v>
      </c>
      <c r="E3332" s="1">
        <v>1175</v>
      </c>
      <c r="G3332" s="2">
        <f t="shared" si="52"/>
        <v>1175</v>
      </c>
      <c r="H3332" t="s">
        <v>35</v>
      </c>
    </row>
    <row r="3333" spans="2:8" x14ac:dyDescent="0.2">
      <c r="B3333" s="3">
        <v>44724</v>
      </c>
      <c r="D3333" s="1">
        <v>2005</v>
      </c>
      <c r="E3333" s="1">
        <v>2231</v>
      </c>
      <c r="F3333" s="1">
        <v>2000</v>
      </c>
      <c r="G3333" s="2">
        <f t="shared" si="52"/>
        <v>231</v>
      </c>
      <c r="H3333" t="s">
        <v>25</v>
      </c>
    </row>
    <row r="3334" spans="2:8" x14ac:dyDescent="0.2">
      <c r="B3334" s="3">
        <v>44724</v>
      </c>
      <c r="G3334" s="2">
        <f t="shared" si="52"/>
        <v>0</v>
      </c>
      <c r="H3334" t="s">
        <v>34</v>
      </c>
    </row>
    <row r="3335" spans="2:8" x14ac:dyDescent="0.2">
      <c r="B3335" s="3">
        <v>44724</v>
      </c>
      <c r="G3335" s="2">
        <f t="shared" si="52"/>
        <v>0</v>
      </c>
      <c r="H3335" t="s">
        <v>33</v>
      </c>
    </row>
    <row r="3336" spans="2:8" x14ac:dyDescent="0.2">
      <c r="B3336" s="3">
        <v>44724</v>
      </c>
      <c r="G3336" s="2">
        <f t="shared" si="52"/>
        <v>0</v>
      </c>
      <c r="H3336" t="s">
        <v>9</v>
      </c>
    </row>
    <row r="3337" spans="2:8" x14ac:dyDescent="0.2">
      <c r="B3337" s="3">
        <v>44724</v>
      </c>
      <c r="G3337" s="2">
        <f t="shared" si="52"/>
        <v>0</v>
      </c>
      <c r="H3337" t="s">
        <v>32</v>
      </c>
    </row>
    <row r="3338" spans="2:8" x14ac:dyDescent="0.2">
      <c r="B3338" s="3">
        <v>44724</v>
      </c>
      <c r="G3338" s="2">
        <f t="shared" si="52"/>
        <v>0</v>
      </c>
      <c r="H3338" s="1"/>
    </row>
    <row r="3339" spans="2:8" x14ac:dyDescent="0.2">
      <c r="B3339" s="3">
        <v>44725</v>
      </c>
      <c r="D3339" s="28"/>
      <c r="G3339" s="2">
        <f t="shared" si="52"/>
        <v>0</v>
      </c>
      <c r="H3339" t="s">
        <v>14</v>
      </c>
    </row>
    <row r="3340" spans="2:8" x14ac:dyDescent="0.2">
      <c r="B3340" s="3">
        <v>44725</v>
      </c>
      <c r="G3340" s="2">
        <f t="shared" si="52"/>
        <v>0</v>
      </c>
      <c r="H3340" t="s">
        <v>27</v>
      </c>
    </row>
    <row r="3341" spans="2:8" x14ac:dyDescent="0.2">
      <c r="B3341" s="3">
        <v>44725</v>
      </c>
      <c r="G3341" s="2">
        <f t="shared" si="52"/>
        <v>0</v>
      </c>
      <c r="H3341" t="s">
        <v>13</v>
      </c>
    </row>
    <row r="3342" spans="2:8" x14ac:dyDescent="0.2">
      <c r="B3342" s="3">
        <v>44725</v>
      </c>
      <c r="D3342" s="1">
        <v>13731.5</v>
      </c>
      <c r="E3342" s="1">
        <v>18207.259999999998</v>
      </c>
      <c r="G3342" s="2">
        <f t="shared" si="52"/>
        <v>18207.259999999998</v>
      </c>
      <c r="H3342" t="s">
        <v>30</v>
      </c>
    </row>
    <row r="3343" spans="2:8" x14ac:dyDescent="0.2">
      <c r="B3343" s="3">
        <v>44725</v>
      </c>
      <c r="F3343" s="1">
        <v>2015</v>
      </c>
      <c r="G3343" s="2">
        <f t="shared" si="52"/>
        <v>-2015</v>
      </c>
      <c r="H3343" t="s">
        <v>35</v>
      </c>
    </row>
    <row r="3344" spans="2:8" x14ac:dyDescent="0.2">
      <c r="B3344" s="3">
        <v>44725</v>
      </c>
      <c r="G3344" s="2">
        <f t="shared" si="52"/>
        <v>0</v>
      </c>
      <c r="H3344" t="s">
        <v>25</v>
      </c>
    </row>
    <row r="3345" spans="2:8" x14ac:dyDescent="0.2">
      <c r="B3345" s="3">
        <v>44725</v>
      </c>
      <c r="G3345" s="2">
        <f t="shared" si="52"/>
        <v>0</v>
      </c>
      <c r="H3345" t="s">
        <v>34</v>
      </c>
    </row>
    <row r="3346" spans="2:8" x14ac:dyDescent="0.2">
      <c r="B3346" s="3">
        <v>44725</v>
      </c>
      <c r="G3346" s="2">
        <f t="shared" si="52"/>
        <v>0</v>
      </c>
      <c r="H3346" t="s">
        <v>33</v>
      </c>
    </row>
    <row r="3347" spans="2:8" x14ac:dyDescent="0.2">
      <c r="B3347" s="3">
        <v>44725</v>
      </c>
      <c r="G3347" s="2">
        <f t="shared" si="52"/>
        <v>0</v>
      </c>
      <c r="H3347" t="s">
        <v>9</v>
      </c>
    </row>
    <row r="3348" spans="2:8" x14ac:dyDescent="0.2">
      <c r="B3348" s="3">
        <v>44725</v>
      </c>
      <c r="G3348" s="2">
        <f t="shared" si="52"/>
        <v>0</v>
      </c>
      <c r="H3348" t="s">
        <v>32</v>
      </c>
    </row>
    <row r="3349" spans="2:8" x14ac:dyDescent="0.2">
      <c r="B3349" s="3">
        <v>44725</v>
      </c>
      <c r="G3349" s="2">
        <f t="shared" si="52"/>
        <v>0</v>
      </c>
      <c r="H3349" s="1"/>
    </row>
    <row r="3350" spans="2:8" x14ac:dyDescent="0.2">
      <c r="B3350" s="3">
        <v>44726</v>
      </c>
      <c r="D3350" s="28"/>
      <c r="G3350" s="2">
        <f t="shared" si="52"/>
        <v>0</v>
      </c>
      <c r="H3350" t="s">
        <v>14</v>
      </c>
    </row>
    <row r="3351" spans="2:8" x14ac:dyDescent="0.2">
      <c r="B3351" s="3">
        <v>44726</v>
      </c>
      <c r="G3351" s="2">
        <f t="shared" si="52"/>
        <v>0</v>
      </c>
      <c r="H3351" t="s">
        <v>27</v>
      </c>
    </row>
    <row r="3352" spans="2:8" x14ac:dyDescent="0.2">
      <c r="B3352" s="3">
        <v>44726</v>
      </c>
      <c r="G3352" s="2">
        <f t="shared" si="52"/>
        <v>0</v>
      </c>
      <c r="H3352" t="s">
        <v>13</v>
      </c>
    </row>
    <row r="3353" spans="2:8" x14ac:dyDescent="0.2">
      <c r="B3353" s="3">
        <v>44726</v>
      </c>
      <c r="G3353" s="2">
        <f t="shared" si="52"/>
        <v>0</v>
      </c>
      <c r="H3353" t="s">
        <v>30</v>
      </c>
    </row>
    <row r="3354" spans="2:8" x14ac:dyDescent="0.2">
      <c r="B3354" s="3">
        <v>44726</v>
      </c>
      <c r="G3354" s="2">
        <f t="shared" si="52"/>
        <v>0</v>
      </c>
      <c r="H3354" t="s">
        <v>35</v>
      </c>
    </row>
    <row r="3355" spans="2:8" x14ac:dyDescent="0.2">
      <c r="B3355" s="3">
        <v>44726</v>
      </c>
      <c r="G3355" s="2">
        <f t="shared" si="52"/>
        <v>0</v>
      </c>
      <c r="H3355" t="s">
        <v>25</v>
      </c>
    </row>
    <row r="3356" spans="2:8" x14ac:dyDescent="0.2">
      <c r="B3356" s="3">
        <v>44726</v>
      </c>
      <c r="G3356" s="2">
        <f t="shared" si="52"/>
        <v>0</v>
      </c>
      <c r="H3356" t="s">
        <v>34</v>
      </c>
    </row>
    <row r="3357" spans="2:8" x14ac:dyDescent="0.2">
      <c r="B3357" s="3">
        <v>44726</v>
      </c>
      <c r="G3357" s="2">
        <f t="shared" si="52"/>
        <v>0</v>
      </c>
      <c r="H3357" t="s">
        <v>33</v>
      </c>
    </row>
    <row r="3358" spans="2:8" x14ac:dyDescent="0.2">
      <c r="B3358" s="3">
        <v>44726</v>
      </c>
      <c r="G3358" s="2">
        <f t="shared" si="52"/>
        <v>0</v>
      </c>
      <c r="H3358" t="s">
        <v>9</v>
      </c>
    </row>
    <row r="3359" spans="2:8" x14ac:dyDescent="0.2">
      <c r="B3359" s="3">
        <v>44726</v>
      </c>
      <c r="G3359" s="2">
        <f t="shared" si="52"/>
        <v>0</v>
      </c>
      <c r="H3359" t="s">
        <v>32</v>
      </c>
    </row>
    <row r="3360" spans="2:8" x14ac:dyDescent="0.2">
      <c r="B3360" s="3">
        <v>44726</v>
      </c>
      <c r="G3360" s="2">
        <f t="shared" si="52"/>
        <v>0</v>
      </c>
      <c r="H3360" s="1"/>
    </row>
    <row r="3361" spans="2:8" x14ac:dyDescent="0.2">
      <c r="B3361" s="3">
        <v>44727</v>
      </c>
      <c r="D3361" s="28">
        <v>12300</v>
      </c>
      <c r="E3361" s="1">
        <v>13500</v>
      </c>
      <c r="G3361" s="2">
        <f t="shared" si="52"/>
        <v>13500</v>
      </c>
      <c r="H3361" t="s">
        <v>14</v>
      </c>
    </row>
    <row r="3362" spans="2:8" x14ac:dyDescent="0.2">
      <c r="B3362" s="3">
        <v>44727</v>
      </c>
      <c r="G3362" s="2">
        <f t="shared" si="52"/>
        <v>0</v>
      </c>
      <c r="H3362" t="s">
        <v>27</v>
      </c>
    </row>
    <row r="3363" spans="2:8" x14ac:dyDescent="0.2">
      <c r="B3363" s="3">
        <v>44727</v>
      </c>
      <c r="G3363" s="2">
        <f t="shared" si="52"/>
        <v>0</v>
      </c>
      <c r="H3363" t="s">
        <v>13</v>
      </c>
    </row>
    <row r="3364" spans="2:8" x14ac:dyDescent="0.2">
      <c r="B3364" s="3">
        <v>44727</v>
      </c>
      <c r="F3364" s="1">
        <v>21520</v>
      </c>
      <c r="G3364" s="2">
        <f t="shared" si="52"/>
        <v>-21520</v>
      </c>
      <c r="H3364" t="s">
        <v>30</v>
      </c>
    </row>
    <row r="3365" spans="2:8" x14ac:dyDescent="0.2">
      <c r="B3365" s="3">
        <v>44727</v>
      </c>
      <c r="D3365" s="1">
        <v>330</v>
      </c>
      <c r="E3365" s="1">
        <v>395</v>
      </c>
      <c r="G3365" s="2">
        <f t="shared" si="52"/>
        <v>395</v>
      </c>
      <c r="H3365" t="s">
        <v>35</v>
      </c>
    </row>
    <row r="3366" spans="2:8" x14ac:dyDescent="0.2">
      <c r="B3366" s="3">
        <v>44727</v>
      </c>
      <c r="G3366" s="2">
        <f t="shared" si="52"/>
        <v>0</v>
      </c>
      <c r="H3366" t="s">
        <v>25</v>
      </c>
    </row>
    <row r="3367" spans="2:8" x14ac:dyDescent="0.2">
      <c r="B3367" s="3">
        <v>44727</v>
      </c>
      <c r="G3367" s="2">
        <f t="shared" si="52"/>
        <v>0</v>
      </c>
      <c r="H3367" t="s">
        <v>34</v>
      </c>
    </row>
    <row r="3368" spans="2:8" x14ac:dyDescent="0.2">
      <c r="B3368" s="3">
        <v>44727</v>
      </c>
      <c r="G3368" s="2">
        <f t="shared" si="52"/>
        <v>0</v>
      </c>
      <c r="H3368" t="s">
        <v>33</v>
      </c>
    </row>
    <row r="3369" spans="2:8" x14ac:dyDescent="0.2">
      <c r="B3369" s="3">
        <v>44727</v>
      </c>
      <c r="G3369" s="2">
        <f t="shared" si="52"/>
        <v>0</v>
      </c>
      <c r="H3369" t="s">
        <v>9</v>
      </c>
    </row>
    <row r="3370" spans="2:8" x14ac:dyDescent="0.2">
      <c r="B3370" s="3">
        <v>44727</v>
      </c>
      <c r="G3370" s="2">
        <f t="shared" si="52"/>
        <v>0</v>
      </c>
      <c r="H3370" t="s">
        <v>32</v>
      </c>
    </row>
    <row r="3371" spans="2:8" x14ac:dyDescent="0.2">
      <c r="B3371" s="3">
        <v>44727</v>
      </c>
      <c r="G3371" s="2">
        <f t="shared" si="52"/>
        <v>0</v>
      </c>
      <c r="H3371" s="1"/>
    </row>
    <row r="3372" spans="2:8" x14ac:dyDescent="0.2">
      <c r="B3372" s="3">
        <v>44728</v>
      </c>
      <c r="D3372" s="28"/>
      <c r="G3372" s="2">
        <f t="shared" si="52"/>
        <v>0</v>
      </c>
      <c r="H3372" t="s">
        <v>14</v>
      </c>
    </row>
    <row r="3373" spans="2:8" x14ac:dyDescent="0.2">
      <c r="B3373" s="3">
        <v>44728</v>
      </c>
      <c r="F3373" s="1">
        <v>10000</v>
      </c>
      <c r="G3373" s="2">
        <f t="shared" si="52"/>
        <v>-10000</v>
      </c>
      <c r="H3373" t="s">
        <v>27</v>
      </c>
    </row>
    <row r="3374" spans="2:8" x14ac:dyDescent="0.2">
      <c r="B3374" s="3">
        <v>44728</v>
      </c>
      <c r="G3374" s="2">
        <f t="shared" si="52"/>
        <v>0</v>
      </c>
      <c r="H3374" t="s">
        <v>13</v>
      </c>
    </row>
    <row r="3375" spans="2:8" x14ac:dyDescent="0.2">
      <c r="B3375" s="3">
        <v>44728</v>
      </c>
      <c r="G3375" s="2">
        <f t="shared" si="52"/>
        <v>0</v>
      </c>
      <c r="H3375" t="s">
        <v>30</v>
      </c>
    </row>
    <row r="3376" spans="2:8" x14ac:dyDescent="0.2">
      <c r="B3376" s="3">
        <v>44728</v>
      </c>
      <c r="G3376" s="2">
        <f t="shared" si="52"/>
        <v>0</v>
      </c>
      <c r="H3376" t="s">
        <v>35</v>
      </c>
    </row>
    <row r="3377" spans="2:8" x14ac:dyDescent="0.2">
      <c r="B3377" s="3">
        <v>44728</v>
      </c>
      <c r="G3377" s="2">
        <f t="shared" si="52"/>
        <v>0</v>
      </c>
      <c r="H3377" t="s">
        <v>25</v>
      </c>
    </row>
    <row r="3378" spans="2:8" x14ac:dyDescent="0.2">
      <c r="B3378" s="3">
        <v>44728</v>
      </c>
      <c r="G3378" s="2">
        <f t="shared" si="52"/>
        <v>0</v>
      </c>
      <c r="H3378" t="s">
        <v>34</v>
      </c>
    </row>
    <row r="3379" spans="2:8" x14ac:dyDescent="0.2">
      <c r="B3379" s="3">
        <v>44728</v>
      </c>
      <c r="G3379" s="2">
        <f t="shared" si="52"/>
        <v>0</v>
      </c>
      <c r="H3379" t="s">
        <v>33</v>
      </c>
    </row>
    <row r="3380" spans="2:8" x14ac:dyDescent="0.2">
      <c r="B3380" s="3">
        <v>44728</v>
      </c>
      <c r="G3380" s="2">
        <f t="shared" si="52"/>
        <v>0</v>
      </c>
      <c r="H3380" t="s">
        <v>9</v>
      </c>
    </row>
    <row r="3381" spans="2:8" x14ac:dyDescent="0.2">
      <c r="B3381" s="3">
        <v>44728</v>
      </c>
      <c r="G3381" s="2">
        <f t="shared" si="52"/>
        <v>0</v>
      </c>
      <c r="H3381" t="s">
        <v>32</v>
      </c>
    </row>
    <row r="3382" spans="2:8" x14ac:dyDescent="0.2">
      <c r="B3382" s="3">
        <v>44728</v>
      </c>
      <c r="G3382" s="2">
        <f t="shared" si="52"/>
        <v>0</v>
      </c>
      <c r="H3382" s="1"/>
    </row>
    <row r="3383" spans="2:8" x14ac:dyDescent="0.2">
      <c r="B3383" s="3">
        <v>44729</v>
      </c>
      <c r="D3383" s="28"/>
      <c r="G3383" s="2">
        <f t="shared" si="52"/>
        <v>0</v>
      </c>
      <c r="H3383" t="s">
        <v>14</v>
      </c>
    </row>
    <row r="3384" spans="2:8" x14ac:dyDescent="0.2">
      <c r="B3384" s="3">
        <v>44729</v>
      </c>
      <c r="G3384" s="2">
        <f t="shared" si="52"/>
        <v>0</v>
      </c>
      <c r="H3384" t="s">
        <v>27</v>
      </c>
    </row>
    <row r="3385" spans="2:8" x14ac:dyDescent="0.2">
      <c r="B3385" s="3">
        <v>44729</v>
      </c>
      <c r="G3385" s="2">
        <f t="shared" si="52"/>
        <v>0</v>
      </c>
      <c r="H3385" t="s">
        <v>13</v>
      </c>
    </row>
    <row r="3386" spans="2:8" x14ac:dyDescent="0.2">
      <c r="B3386" s="3">
        <v>44729</v>
      </c>
      <c r="G3386" s="2">
        <f t="shared" si="52"/>
        <v>0</v>
      </c>
      <c r="H3386" t="s">
        <v>30</v>
      </c>
    </row>
    <row r="3387" spans="2:8" x14ac:dyDescent="0.2">
      <c r="B3387" s="3">
        <v>44729</v>
      </c>
      <c r="G3387" s="2">
        <f t="shared" si="52"/>
        <v>0</v>
      </c>
      <c r="H3387" t="s">
        <v>35</v>
      </c>
    </row>
    <row r="3388" spans="2:8" x14ac:dyDescent="0.2">
      <c r="B3388" s="3">
        <v>44729</v>
      </c>
      <c r="G3388" s="2">
        <f t="shared" si="52"/>
        <v>0</v>
      </c>
      <c r="H3388" t="s">
        <v>25</v>
      </c>
    </row>
    <row r="3389" spans="2:8" x14ac:dyDescent="0.2">
      <c r="B3389" s="3">
        <v>44729</v>
      </c>
      <c r="G3389" s="2">
        <f t="shared" si="52"/>
        <v>0</v>
      </c>
      <c r="H3389" t="s">
        <v>34</v>
      </c>
    </row>
    <row r="3390" spans="2:8" x14ac:dyDescent="0.2">
      <c r="B3390" s="3">
        <v>44729</v>
      </c>
      <c r="G3390" s="2">
        <f t="shared" si="52"/>
        <v>0</v>
      </c>
      <c r="H3390" t="s">
        <v>33</v>
      </c>
    </row>
    <row r="3391" spans="2:8" x14ac:dyDescent="0.2">
      <c r="B3391" s="3">
        <v>44729</v>
      </c>
      <c r="G3391" s="2">
        <f t="shared" si="52"/>
        <v>0</v>
      </c>
      <c r="H3391" t="s">
        <v>9</v>
      </c>
    </row>
    <row r="3392" spans="2:8" x14ac:dyDescent="0.2">
      <c r="B3392" s="3">
        <v>44729</v>
      </c>
      <c r="G3392" s="2">
        <f t="shared" si="52"/>
        <v>0</v>
      </c>
      <c r="H3392" t="s">
        <v>32</v>
      </c>
    </row>
    <row r="3393" spans="2:8" x14ac:dyDescent="0.2">
      <c r="B3393" s="3">
        <v>44729</v>
      </c>
      <c r="G3393" s="2">
        <f t="shared" si="52"/>
        <v>0</v>
      </c>
      <c r="H3393" s="1"/>
    </row>
    <row r="3394" spans="2:8" x14ac:dyDescent="0.2">
      <c r="B3394" s="3">
        <v>44730</v>
      </c>
      <c r="D3394" s="28"/>
      <c r="G3394" s="2">
        <f t="shared" si="52"/>
        <v>0</v>
      </c>
      <c r="H3394" t="s">
        <v>14</v>
      </c>
    </row>
    <row r="3395" spans="2:8" x14ac:dyDescent="0.2">
      <c r="B3395" s="3">
        <v>44730</v>
      </c>
      <c r="G3395" s="2">
        <f t="shared" ref="G3395:G3458" si="53">E3395-F3395</f>
        <v>0</v>
      </c>
      <c r="H3395" t="s">
        <v>27</v>
      </c>
    </row>
    <row r="3396" spans="2:8" x14ac:dyDescent="0.2">
      <c r="B3396" s="3">
        <v>44730</v>
      </c>
      <c r="D3396" s="1">
        <v>2912.5</v>
      </c>
      <c r="E3396" s="1">
        <v>3362</v>
      </c>
      <c r="F3396" s="1">
        <v>3000</v>
      </c>
      <c r="G3396" s="2">
        <f t="shared" si="53"/>
        <v>362</v>
      </c>
      <c r="H3396" t="s">
        <v>13</v>
      </c>
    </row>
    <row r="3397" spans="2:8" x14ac:dyDescent="0.2">
      <c r="B3397" s="3">
        <v>44730</v>
      </c>
      <c r="D3397" s="1">
        <v>7857.5</v>
      </c>
      <c r="E3397" s="1">
        <v>10390.757999999998</v>
      </c>
      <c r="G3397" s="2">
        <f t="shared" si="53"/>
        <v>10390.757999999998</v>
      </c>
      <c r="H3397" t="s">
        <v>30</v>
      </c>
    </row>
    <row r="3398" spans="2:8" x14ac:dyDescent="0.2">
      <c r="B3398" s="3">
        <v>44730</v>
      </c>
      <c r="D3398" s="1">
        <v>1260</v>
      </c>
      <c r="E3398" s="1">
        <v>1505</v>
      </c>
      <c r="G3398" s="2">
        <f t="shared" si="53"/>
        <v>1505</v>
      </c>
      <c r="H3398" t="s">
        <v>35</v>
      </c>
    </row>
    <row r="3399" spans="2:8" x14ac:dyDescent="0.2">
      <c r="B3399" s="3">
        <v>44730</v>
      </c>
      <c r="D3399" s="1">
        <v>862.5</v>
      </c>
      <c r="E3399" s="1">
        <v>1225</v>
      </c>
      <c r="G3399" s="2">
        <f t="shared" si="53"/>
        <v>1225</v>
      </c>
      <c r="H3399" t="s">
        <v>25</v>
      </c>
    </row>
    <row r="3400" spans="2:8" x14ac:dyDescent="0.2">
      <c r="B3400" s="3">
        <v>44730</v>
      </c>
      <c r="G3400" s="2">
        <f t="shared" si="53"/>
        <v>0</v>
      </c>
      <c r="H3400" t="s">
        <v>34</v>
      </c>
    </row>
    <row r="3401" spans="2:8" x14ac:dyDescent="0.2">
      <c r="B3401" s="3">
        <v>44730</v>
      </c>
      <c r="G3401" s="2">
        <f t="shared" si="53"/>
        <v>0</v>
      </c>
      <c r="H3401" t="s">
        <v>33</v>
      </c>
    </row>
    <row r="3402" spans="2:8" x14ac:dyDescent="0.2">
      <c r="B3402" s="3">
        <v>44730</v>
      </c>
      <c r="G3402" s="2">
        <f t="shared" si="53"/>
        <v>0</v>
      </c>
      <c r="H3402" t="s">
        <v>9</v>
      </c>
    </row>
    <row r="3403" spans="2:8" x14ac:dyDescent="0.2">
      <c r="B3403" s="3">
        <v>44730</v>
      </c>
      <c r="G3403" s="2">
        <f t="shared" si="53"/>
        <v>0</v>
      </c>
      <c r="H3403" t="s">
        <v>32</v>
      </c>
    </row>
    <row r="3404" spans="2:8" x14ac:dyDescent="0.2">
      <c r="B3404" s="3">
        <v>44730</v>
      </c>
      <c r="G3404" s="2">
        <f t="shared" si="53"/>
        <v>0</v>
      </c>
      <c r="H3404" s="1"/>
    </row>
    <row r="3405" spans="2:8" x14ac:dyDescent="0.2">
      <c r="B3405" s="3">
        <v>44731</v>
      </c>
      <c r="D3405" s="28">
        <v>6385</v>
      </c>
      <c r="E3405" s="1">
        <v>7020</v>
      </c>
      <c r="G3405" s="2">
        <f t="shared" si="53"/>
        <v>7020</v>
      </c>
      <c r="H3405" t="s">
        <v>14</v>
      </c>
    </row>
    <row r="3406" spans="2:8" x14ac:dyDescent="0.2">
      <c r="B3406" s="3">
        <v>44731</v>
      </c>
      <c r="G3406" s="2">
        <f t="shared" si="53"/>
        <v>0</v>
      </c>
      <c r="H3406" t="s">
        <v>27</v>
      </c>
    </row>
    <row r="3407" spans="2:8" x14ac:dyDescent="0.2">
      <c r="B3407" s="3">
        <v>44731</v>
      </c>
      <c r="G3407" s="2">
        <f t="shared" si="53"/>
        <v>0</v>
      </c>
      <c r="H3407" t="s">
        <v>13</v>
      </c>
    </row>
    <row r="3408" spans="2:8" x14ac:dyDescent="0.2">
      <c r="B3408" s="3">
        <v>44731</v>
      </c>
      <c r="G3408" s="2">
        <f t="shared" si="53"/>
        <v>0</v>
      </c>
      <c r="H3408" t="s">
        <v>30</v>
      </c>
    </row>
    <row r="3409" spans="2:8" x14ac:dyDescent="0.2">
      <c r="B3409" s="3">
        <v>44731</v>
      </c>
      <c r="F3409" s="1">
        <v>1505</v>
      </c>
      <c r="G3409" s="2">
        <f t="shared" si="53"/>
        <v>-1505</v>
      </c>
      <c r="H3409" t="s">
        <v>35</v>
      </c>
    </row>
    <row r="3410" spans="2:8" x14ac:dyDescent="0.2">
      <c r="B3410" s="3">
        <v>44731</v>
      </c>
      <c r="G3410" s="2">
        <f t="shared" si="53"/>
        <v>0</v>
      </c>
      <c r="H3410" t="s">
        <v>25</v>
      </c>
    </row>
    <row r="3411" spans="2:8" x14ac:dyDescent="0.2">
      <c r="B3411" s="3">
        <v>44731</v>
      </c>
      <c r="F3411" s="1">
        <v>4129</v>
      </c>
      <c r="G3411" s="2">
        <f t="shared" si="53"/>
        <v>-4129</v>
      </c>
      <c r="H3411" t="s">
        <v>34</v>
      </c>
    </row>
    <row r="3412" spans="2:8" x14ac:dyDescent="0.2">
      <c r="B3412" s="3">
        <v>44731</v>
      </c>
      <c r="G3412" s="2">
        <f t="shared" si="53"/>
        <v>0</v>
      </c>
      <c r="H3412" t="s">
        <v>33</v>
      </c>
    </row>
    <row r="3413" spans="2:8" x14ac:dyDescent="0.2">
      <c r="B3413" s="3">
        <v>44731</v>
      </c>
      <c r="G3413" s="2">
        <f t="shared" si="53"/>
        <v>0</v>
      </c>
      <c r="H3413" t="s">
        <v>9</v>
      </c>
    </row>
    <row r="3414" spans="2:8" x14ac:dyDescent="0.2">
      <c r="B3414" s="3">
        <v>44731</v>
      </c>
      <c r="G3414" s="2">
        <f t="shared" si="53"/>
        <v>0</v>
      </c>
      <c r="H3414" t="s">
        <v>32</v>
      </c>
    </row>
    <row r="3415" spans="2:8" x14ac:dyDescent="0.2">
      <c r="B3415" s="3">
        <v>44731</v>
      </c>
      <c r="G3415" s="2">
        <f t="shared" si="53"/>
        <v>0</v>
      </c>
      <c r="H3415" s="1"/>
    </row>
    <row r="3416" spans="2:8" x14ac:dyDescent="0.2">
      <c r="B3416" s="3">
        <v>44732</v>
      </c>
      <c r="D3416" s="28"/>
      <c r="G3416" s="2">
        <f t="shared" si="53"/>
        <v>0</v>
      </c>
      <c r="H3416" t="s">
        <v>14</v>
      </c>
    </row>
    <row r="3417" spans="2:8" x14ac:dyDescent="0.2">
      <c r="B3417" s="3">
        <v>44732</v>
      </c>
      <c r="G3417" s="2">
        <f t="shared" si="53"/>
        <v>0</v>
      </c>
      <c r="H3417" t="s">
        <v>27</v>
      </c>
    </row>
    <row r="3418" spans="2:8" x14ac:dyDescent="0.2">
      <c r="B3418" s="3">
        <v>44732</v>
      </c>
      <c r="G3418" s="2">
        <f t="shared" si="53"/>
        <v>0</v>
      </c>
      <c r="H3418" t="s">
        <v>13</v>
      </c>
    </row>
    <row r="3419" spans="2:8" x14ac:dyDescent="0.2">
      <c r="B3419" s="3">
        <v>44732</v>
      </c>
      <c r="G3419" s="2">
        <f t="shared" si="53"/>
        <v>0</v>
      </c>
      <c r="H3419" t="s">
        <v>30</v>
      </c>
    </row>
    <row r="3420" spans="2:8" x14ac:dyDescent="0.2">
      <c r="B3420" s="3">
        <v>44732</v>
      </c>
      <c r="G3420" s="2">
        <f t="shared" si="53"/>
        <v>0</v>
      </c>
      <c r="H3420" t="s">
        <v>35</v>
      </c>
    </row>
    <row r="3421" spans="2:8" x14ac:dyDescent="0.2">
      <c r="B3421" s="3">
        <v>44732</v>
      </c>
      <c r="G3421" s="2">
        <f t="shared" si="53"/>
        <v>0</v>
      </c>
      <c r="H3421" t="s">
        <v>25</v>
      </c>
    </row>
    <row r="3422" spans="2:8" x14ac:dyDescent="0.2">
      <c r="B3422" s="3">
        <v>44732</v>
      </c>
      <c r="G3422" s="2">
        <f t="shared" si="53"/>
        <v>0</v>
      </c>
      <c r="H3422" t="s">
        <v>34</v>
      </c>
    </row>
    <row r="3423" spans="2:8" x14ac:dyDescent="0.2">
      <c r="B3423" s="3">
        <v>44732</v>
      </c>
      <c r="G3423" s="2">
        <f t="shared" si="53"/>
        <v>0</v>
      </c>
      <c r="H3423" t="s">
        <v>33</v>
      </c>
    </row>
    <row r="3424" spans="2:8" x14ac:dyDescent="0.2">
      <c r="B3424" s="3">
        <v>44732</v>
      </c>
      <c r="G3424" s="2">
        <f t="shared" si="53"/>
        <v>0</v>
      </c>
      <c r="H3424" t="s">
        <v>9</v>
      </c>
    </row>
    <row r="3425" spans="2:8" x14ac:dyDescent="0.2">
      <c r="B3425" s="3">
        <v>44732</v>
      </c>
      <c r="G3425" s="2">
        <f t="shared" si="53"/>
        <v>0</v>
      </c>
      <c r="H3425" t="s">
        <v>32</v>
      </c>
    </row>
    <row r="3426" spans="2:8" x14ac:dyDescent="0.2">
      <c r="B3426" s="3">
        <v>44732</v>
      </c>
      <c r="G3426" s="2">
        <f t="shared" si="53"/>
        <v>0</v>
      </c>
      <c r="H3426" s="1"/>
    </row>
    <row r="3427" spans="2:8" x14ac:dyDescent="0.2">
      <c r="B3427" s="3">
        <v>44733</v>
      </c>
      <c r="D3427" s="28">
        <v>850</v>
      </c>
      <c r="E3427" s="1">
        <v>950</v>
      </c>
      <c r="G3427" s="2">
        <f t="shared" si="53"/>
        <v>950</v>
      </c>
      <c r="H3427" t="s">
        <v>14</v>
      </c>
    </row>
    <row r="3428" spans="2:8" x14ac:dyDescent="0.2">
      <c r="B3428" s="3">
        <v>44733</v>
      </c>
      <c r="G3428" s="2">
        <f t="shared" si="53"/>
        <v>0</v>
      </c>
      <c r="H3428" t="s">
        <v>27</v>
      </c>
    </row>
    <row r="3429" spans="2:8" x14ac:dyDescent="0.2">
      <c r="B3429" s="3">
        <v>44733</v>
      </c>
      <c r="G3429" s="2">
        <f t="shared" si="53"/>
        <v>0</v>
      </c>
      <c r="H3429" t="s">
        <v>13</v>
      </c>
    </row>
    <row r="3430" spans="2:8" x14ac:dyDescent="0.2">
      <c r="B3430" s="3">
        <v>44733</v>
      </c>
      <c r="D3430" s="1">
        <v>6670</v>
      </c>
      <c r="E3430" s="1">
        <v>8896.4459999999999</v>
      </c>
      <c r="G3430" s="2">
        <f t="shared" si="53"/>
        <v>8896.4459999999999</v>
      </c>
      <c r="H3430" t="s">
        <v>30</v>
      </c>
    </row>
    <row r="3431" spans="2:8" x14ac:dyDescent="0.2">
      <c r="B3431" s="3">
        <v>44733</v>
      </c>
      <c r="G3431" s="2">
        <f t="shared" si="53"/>
        <v>0</v>
      </c>
      <c r="H3431" t="s">
        <v>35</v>
      </c>
    </row>
    <row r="3432" spans="2:8" x14ac:dyDescent="0.2">
      <c r="B3432" s="3">
        <v>44733</v>
      </c>
      <c r="G3432" s="2">
        <f t="shared" si="53"/>
        <v>0</v>
      </c>
      <c r="H3432" t="s">
        <v>25</v>
      </c>
    </row>
    <row r="3433" spans="2:8" x14ac:dyDescent="0.2">
      <c r="B3433" s="3">
        <v>44733</v>
      </c>
      <c r="G3433" s="2">
        <f t="shared" si="53"/>
        <v>0</v>
      </c>
      <c r="H3433" t="s">
        <v>34</v>
      </c>
    </row>
    <row r="3434" spans="2:8" x14ac:dyDescent="0.2">
      <c r="B3434" s="3">
        <v>44733</v>
      </c>
      <c r="G3434" s="2">
        <f t="shared" si="53"/>
        <v>0</v>
      </c>
      <c r="H3434" t="s">
        <v>33</v>
      </c>
    </row>
    <row r="3435" spans="2:8" x14ac:dyDescent="0.2">
      <c r="B3435" s="3">
        <v>44733</v>
      </c>
      <c r="G3435" s="2">
        <f t="shared" si="53"/>
        <v>0</v>
      </c>
      <c r="H3435" t="s">
        <v>9</v>
      </c>
    </row>
    <row r="3436" spans="2:8" x14ac:dyDescent="0.2">
      <c r="B3436" s="3">
        <v>44733</v>
      </c>
      <c r="G3436" s="2">
        <f t="shared" si="53"/>
        <v>0</v>
      </c>
      <c r="H3436" t="s">
        <v>32</v>
      </c>
    </row>
    <row r="3437" spans="2:8" x14ac:dyDescent="0.2">
      <c r="B3437" s="3">
        <v>44733</v>
      </c>
      <c r="G3437" s="2">
        <f t="shared" si="53"/>
        <v>0</v>
      </c>
      <c r="H3437" s="1"/>
    </row>
    <row r="3438" spans="2:8" x14ac:dyDescent="0.2">
      <c r="B3438" s="3">
        <v>44734</v>
      </c>
      <c r="D3438" s="28"/>
      <c r="G3438" s="2">
        <f t="shared" si="53"/>
        <v>0</v>
      </c>
      <c r="H3438" t="s">
        <v>14</v>
      </c>
    </row>
    <row r="3439" spans="2:8" x14ac:dyDescent="0.2">
      <c r="B3439" s="3">
        <v>44734</v>
      </c>
      <c r="G3439" s="2">
        <f t="shared" si="53"/>
        <v>0</v>
      </c>
      <c r="H3439" t="s">
        <v>27</v>
      </c>
    </row>
    <row r="3440" spans="2:8" x14ac:dyDescent="0.2">
      <c r="B3440" s="3">
        <v>44734</v>
      </c>
      <c r="F3440" s="1">
        <v>3000</v>
      </c>
      <c r="G3440" s="2">
        <f t="shared" si="53"/>
        <v>-3000</v>
      </c>
      <c r="H3440" t="s">
        <v>13</v>
      </c>
    </row>
    <row r="3441" spans="2:8" x14ac:dyDescent="0.2">
      <c r="B3441" s="3">
        <v>44734</v>
      </c>
      <c r="G3441" s="2">
        <f t="shared" si="53"/>
        <v>0</v>
      </c>
      <c r="H3441" t="s">
        <v>30</v>
      </c>
    </row>
    <row r="3442" spans="2:8" x14ac:dyDescent="0.2">
      <c r="B3442" s="3">
        <v>44734</v>
      </c>
      <c r="G3442" s="2">
        <f t="shared" si="53"/>
        <v>0</v>
      </c>
      <c r="H3442" t="s">
        <v>35</v>
      </c>
    </row>
    <row r="3443" spans="2:8" x14ac:dyDescent="0.2">
      <c r="B3443" s="3">
        <v>44734</v>
      </c>
      <c r="G3443" s="2">
        <f t="shared" si="53"/>
        <v>0</v>
      </c>
      <c r="H3443" t="s">
        <v>25</v>
      </c>
    </row>
    <row r="3444" spans="2:8" x14ac:dyDescent="0.2">
      <c r="B3444" s="3">
        <v>44734</v>
      </c>
      <c r="G3444" s="2">
        <f t="shared" si="53"/>
        <v>0</v>
      </c>
      <c r="H3444" t="s">
        <v>34</v>
      </c>
    </row>
    <row r="3445" spans="2:8" x14ac:dyDescent="0.2">
      <c r="B3445" s="3">
        <v>44734</v>
      </c>
      <c r="G3445" s="2">
        <f t="shared" si="53"/>
        <v>0</v>
      </c>
      <c r="H3445" t="s">
        <v>33</v>
      </c>
    </row>
    <row r="3446" spans="2:8" x14ac:dyDescent="0.2">
      <c r="B3446" s="3">
        <v>44734</v>
      </c>
      <c r="F3446" s="1">
        <v>2498</v>
      </c>
      <c r="G3446" s="2">
        <f t="shared" si="53"/>
        <v>-2498</v>
      </c>
      <c r="H3446" t="s">
        <v>9</v>
      </c>
    </row>
    <row r="3447" spans="2:8" x14ac:dyDescent="0.2">
      <c r="B3447" s="3">
        <v>44734</v>
      </c>
      <c r="G3447" s="2">
        <f t="shared" si="53"/>
        <v>0</v>
      </c>
      <c r="H3447" t="s">
        <v>32</v>
      </c>
    </row>
    <row r="3448" spans="2:8" x14ac:dyDescent="0.2">
      <c r="B3448" s="3">
        <v>44734</v>
      </c>
      <c r="G3448" s="2">
        <f t="shared" si="53"/>
        <v>0</v>
      </c>
      <c r="H3448" s="1"/>
    </row>
    <row r="3449" spans="2:8" x14ac:dyDescent="0.2">
      <c r="B3449" s="3">
        <v>44735</v>
      </c>
      <c r="D3449" s="28"/>
      <c r="G3449" s="2">
        <f t="shared" si="53"/>
        <v>0</v>
      </c>
      <c r="H3449" t="s">
        <v>14</v>
      </c>
    </row>
    <row r="3450" spans="2:8" x14ac:dyDescent="0.2">
      <c r="B3450" s="3">
        <v>44735</v>
      </c>
      <c r="F3450" s="1">
        <v>7000</v>
      </c>
      <c r="G3450" s="2">
        <f t="shared" si="53"/>
        <v>-7000</v>
      </c>
      <c r="H3450" t="s">
        <v>27</v>
      </c>
    </row>
    <row r="3451" spans="2:8" x14ac:dyDescent="0.2">
      <c r="B3451" s="3">
        <v>44735</v>
      </c>
      <c r="G3451" s="2">
        <f t="shared" si="53"/>
        <v>0</v>
      </c>
      <c r="H3451" t="s">
        <v>13</v>
      </c>
    </row>
    <row r="3452" spans="2:8" x14ac:dyDescent="0.2">
      <c r="B3452" s="3">
        <v>44735</v>
      </c>
      <c r="G3452" s="2">
        <f t="shared" si="53"/>
        <v>0</v>
      </c>
      <c r="H3452" t="s">
        <v>30</v>
      </c>
    </row>
    <row r="3453" spans="2:8" x14ac:dyDescent="0.2">
      <c r="B3453" s="3">
        <v>44735</v>
      </c>
      <c r="G3453" s="2">
        <f t="shared" si="53"/>
        <v>0</v>
      </c>
      <c r="H3453" t="s">
        <v>35</v>
      </c>
    </row>
    <row r="3454" spans="2:8" x14ac:dyDescent="0.2">
      <c r="B3454" s="3">
        <v>44735</v>
      </c>
      <c r="G3454" s="2">
        <f t="shared" si="53"/>
        <v>0</v>
      </c>
      <c r="H3454" t="s">
        <v>25</v>
      </c>
    </row>
    <row r="3455" spans="2:8" x14ac:dyDescent="0.2">
      <c r="B3455" s="3">
        <v>44735</v>
      </c>
      <c r="G3455" s="2">
        <f t="shared" si="53"/>
        <v>0</v>
      </c>
      <c r="H3455" t="s">
        <v>34</v>
      </c>
    </row>
    <row r="3456" spans="2:8" x14ac:dyDescent="0.2">
      <c r="B3456" s="3">
        <v>44735</v>
      </c>
      <c r="G3456" s="2">
        <f t="shared" si="53"/>
        <v>0</v>
      </c>
      <c r="H3456" t="s">
        <v>33</v>
      </c>
    </row>
    <row r="3457" spans="2:8" x14ac:dyDescent="0.2">
      <c r="B3457" s="3">
        <v>44735</v>
      </c>
      <c r="G3457" s="2">
        <f t="shared" si="53"/>
        <v>0</v>
      </c>
      <c r="H3457" t="s">
        <v>9</v>
      </c>
    </row>
    <row r="3458" spans="2:8" x14ac:dyDescent="0.2">
      <c r="B3458" s="3">
        <v>44735</v>
      </c>
      <c r="G3458" s="2">
        <f t="shared" si="53"/>
        <v>0</v>
      </c>
      <c r="H3458" t="s">
        <v>32</v>
      </c>
    </row>
    <row r="3459" spans="2:8" x14ac:dyDescent="0.2">
      <c r="B3459" s="3">
        <v>44735</v>
      </c>
      <c r="G3459" s="2">
        <f t="shared" ref="G3459:G3522" si="54">E3459-F3459</f>
        <v>0</v>
      </c>
      <c r="H3459" s="1"/>
    </row>
    <row r="3460" spans="2:8" x14ac:dyDescent="0.2">
      <c r="B3460" s="3">
        <v>44736</v>
      </c>
      <c r="D3460" s="28"/>
      <c r="G3460" s="2">
        <f t="shared" si="54"/>
        <v>0</v>
      </c>
      <c r="H3460" t="s">
        <v>14</v>
      </c>
    </row>
    <row r="3461" spans="2:8" x14ac:dyDescent="0.2">
      <c r="B3461" s="3">
        <v>44736</v>
      </c>
      <c r="G3461" s="2">
        <f t="shared" si="54"/>
        <v>0</v>
      </c>
      <c r="H3461" t="s">
        <v>27</v>
      </c>
    </row>
    <row r="3462" spans="2:8" x14ac:dyDescent="0.2">
      <c r="B3462" s="3">
        <v>44736</v>
      </c>
      <c r="G3462" s="2">
        <f t="shared" si="54"/>
        <v>0</v>
      </c>
      <c r="H3462" t="s">
        <v>13</v>
      </c>
    </row>
    <row r="3463" spans="2:8" x14ac:dyDescent="0.2">
      <c r="B3463" s="3">
        <v>44736</v>
      </c>
      <c r="G3463" s="2">
        <f t="shared" si="54"/>
        <v>0</v>
      </c>
      <c r="H3463" t="s">
        <v>30</v>
      </c>
    </row>
    <row r="3464" spans="2:8" x14ac:dyDescent="0.2">
      <c r="B3464" s="3">
        <v>44736</v>
      </c>
      <c r="G3464" s="2">
        <f t="shared" si="54"/>
        <v>0</v>
      </c>
      <c r="H3464" t="s">
        <v>35</v>
      </c>
    </row>
    <row r="3465" spans="2:8" x14ac:dyDescent="0.2">
      <c r="B3465" s="3">
        <v>44736</v>
      </c>
      <c r="G3465" s="2">
        <f t="shared" si="54"/>
        <v>0</v>
      </c>
      <c r="H3465" t="s">
        <v>25</v>
      </c>
    </row>
    <row r="3466" spans="2:8" x14ac:dyDescent="0.2">
      <c r="B3466" s="3">
        <v>44736</v>
      </c>
      <c r="F3466" s="1">
        <v>47.25</v>
      </c>
      <c r="G3466" s="2">
        <f t="shared" si="54"/>
        <v>-47.25</v>
      </c>
      <c r="H3466" t="s">
        <v>34</v>
      </c>
    </row>
    <row r="3467" spans="2:8" x14ac:dyDescent="0.2">
      <c r="B3467" s="3">
        <v>44736</v>
      </c>
      <c r="G3467" s="2">
        <f t="shared" si="54"/>
        <v>0</v>
      </c>
      <c r="H3467" t="s">
        <v>33</v>
      </c>
    </row>
    <row r="3468" spans="2:8" x14ac:dyDescent="0.2">
      <c r="B3468" s="3">
        <v>44736</v>
      </c>
      <c r="G3468" s="2">
        <f t="shared" si="54"/>
        <v>0</v>
      </c>
      <c r="H3468" t="s">
        <v>9</v>
      </c>
    </row>
    <row r="3469" spans="2:8" x14ac:dyDescent="0.2">
      <c r="B3469" s="3">
        <v>44736</v>
      </c>
      <c r="G3469" s="2">
        <f t="shared" si="54"/>
        <v>0</v>
      </c>
      <c r="H3469" t="s">
        <v>32</v>
      </c>
    </row>
    <row r="3470" spans="2:8" x14ac:dyDescent="0.2">
      <c r="B3470" s="3">
        <v>44736</v>
      </c>
      <c r="G3470" s="2">
        <f t="shared" si="54"/>
        <v>0</v>
      </c>
      <c r="H3470" s="1"/>
    </row>
    <row r="3471" spans="2:8" x14ac:dyDescent="0.2">
      <c r="B3471" s="3">
        <v>44737</v>
      </c>
      <c r="D3471" s="28"/>
      <c r="G3471" s="2">
        <f t="shared" si="54"/>
        <v>0</v>
      </c>
      <c r="H3471" t="s">
        <v>14</v>
      </c>
    </row>
    <row r="3472" spans="2:8" x14ac:dyDescent="0.2">
      <c r="B3472" s="3">
        <v>44737</v>
      </c>
      <c r="D3472" s="1">
        <v>12270</v>
      </c>
      <c r="E3472" s="1">
        <v>13875</v>
      </c>
      <c r="G3472" s="2">
        <f t="shared" si="54"/>
        <v>13875</v>
      </c>
      <c r="H3472" t="s">
        <v>27</v>
      </c>
    </row>
    <row r="3473" spans="2:8" x14ac:dyDescent="0.2">
      <c r="B3473" s="3">
        <v>44737</v>
      </c>
      <c r="G3473" s="2">
        <f t="shared" si="54"/>
        <v>0</v>
      </c>
      <c r="H3473" t="s">
        <v>13</v>
      </c>
    </row>
    <row r="3474" spans="2:8" x14ac:dyDescent="0.2">
      <c r="B3474" s="3">
        <v>44737</v>
      </c>
      <c r="D3474" s="1">
        <v>9140</v>
      </c>
      <c r="E3474" s="1">
        <v>12300</v>
      </c>
      <c r="G3474" s="2">
        <f t="shared" si="54"/>
        <v>12300</v>
      </c>
      <c r="H3474" t="s">
        <v>30</v>
      </c>
    </row>
    <row r="3475" spans="2:8" x14ac:dyDescent="0.2">
      <c r="B3475" s="3">
        <v>44737</v>
      </c>
      <c r="D3475" s="1">
        <v>1000</v>
      </c>
      <c r="E3475" s="1">
        <v>1192.5</v>
      </c>
      <c r="G3475" s="2">
        <f t="shared" si="54"/>
        <v>1192.5</v>
      </c>
      <c r="H3475" t="s">
        <v>35</v>
      </c>
    </row>
    <row r="3476" spans="2:8" x14ac:dyDescent="0.2">
      <c r="B3476" s="3">
        <v>44737</v>
      </c>
      <c r="F3476" s="1">
        <v>2000</v>
      </c>
      <c r="G3476" s="2">
        <f t="shared" si="54"/>
        <v>-2000</v>
      </c>
      <c r="H3476" t="s">
        <v>25</v>
      </c>
    </row>
    <row r="3477" spans="2:8" x14ac:dyDescent="0.2">
      <c r="B3477" s="3">
        <v>44737</v>
      </c>
      <c r="G3477" s="2">
        <f t="shared" si="54"/>
        <v>0</v>
      </c>
      <c r="H3477" t="s">
        <v>34</v>
      </c>
    </row>
    <row r="3478" spans="2:8" x14ac:dyDescent="0.2">
      <c r="B3478" s="3">
        <v>44737</v>
      </c>
      <c r="G3478" s="2">
        <f t="shared" si="54"/>
        <v>0</v>
      </c>
      <c r="H3478" t="s">
        <v>33</v>
      </c>
    </row>
    <row r="3479" spans="2:8" x14ac:dyDescent="0.2">
      <c r="B3479" s="3">
        <v>44737</v>
      </c>
      <c r="G3479" s="2">
        <f t="shared" si="54"/>
        <v>0</v>
      </c>
      <c r="H3479" t="s">
        <v>9</v>
      </c>
    </row>
    <row r="3480" spans="2:8" x14ac:dyDescent="0.2">
      <c r="B3480" s="3">
        <v>44737</v>
      </c>
      <c r="D3480" s="1">
        <v>1850</v>
      </c>
      <c r="E3480" s="1">
        <v>2000</v>
      </c>
      <c r="G3480" s="2">
        <f t="shared" si="54"/>
        <v>2000</v>
      </c>
      <c r="H3480" t="s">
        <v>32</v>
      </c>
    </row>
    <row r="3481" spans="2:8" x14ac:dyDescent="0.2">
      <c r="B3481" s="3">
        <v>44737</v>
      </c>
      <c r="G3481" s="2">
        <f t="shared" si="54"/>
        <v>0</v>
      </c>
      <c r="H3481" s="1"/>
    </row>
    <row r="3482" spans="2:8" x14ac:dyDescent="0.2">
      <c r="B3482" s="3">
        <v>44738</v>
      </c>
      <c r="D3482" s="28"/>
      <c r="F3482" s="1">
        <v>5000</v>
      </c>
      <c r="G3482" s="2">
        <f t="shared" si="54"/>
        <v>-5000</v>
      </c>
      <c r="H3482" t="s">
        <v>14</v>
      </c>
    </row>
    <row r="3483" spans="2:8" x14ac:dyDescent="0.2">
      <c r="B3483" s="3">
        <v>44738</v>
      </c>
      <c r="G3483" s="2">
        <f t="shared" si="54"/>
        <v>0</v>
      </c>
      <c r="H3483" t="s">
        <v>27</v>
      </c>
    </row>
    <row r="3484" spans="2:8" x14ac:dyDescent="0.2">
      <c r="B3484" s="3">
        <v>44738</v>
      </c>
      <c r="G3484" s="2">
        <f t="shared" si="54"/>
        <v>0</v>
      </c>
      <c r="H3484" t="s">
        <v>13</v>
      </c>
    </row>
    <row r="3485" spans="2:8" x14ac:dyDescent="0.2">
      <c r="B3485" s="3">
        <v>44738</v>
      </c>
      <c r="G3485" s="2">
        <f t="shared" si="54"/>
        <v>0</v>
      </c>
      <c r="H3485" t="s">
        <v>30</v>
      </c>
    </row>
    <row r="3486" spans="2:8" x14ac:dyDescent="0.2">
      <c r="B3486" s="3">
        <v>44738</v>
      </c>
      <c r="F3486" s="1">
        <v>1595</v>
      </c>
      <c r="G3486" s="2">
        <f t="shared" si="54"/>
        <v>-1595</v>
      </c>
      <c r="H3486" t="s">
        <v>35</v>
      </c>
    </row>
    <row r="3487" spans="2:8" x14ac:dyDescent="0.2">
      <c r="B3487" s="3">
        <v>44738</v>
      </c>
      <c r="G3487" s="2">
        <f t="shared" si="54"/>
        <v>0</v>
      </c>
      <c r="H3487" t="s">
        <v>25</v>
      </c>
    </row>
    <row r="3488" spans="2:8" x14ac:dyDescent="0.2">
      <c r="B3488" s="3">
        <v>44738</v>
      </c>
      <c r="G3488" s="2">
        <f t="shared" si="54"/>
        <v>0</v>
      </c>
      <c r="H3488" t="s">
        <v>34</v>
      </c>
    </row>
    <row r="3489" spans="2:8" x14ac:dyDescent="0.2">
      <c r="B3489" s="3">
        <v>44738</v>
      </c>
      <c r="G3489" s="2">
        <f t="shared" si="54"/>
        <v>0</v>
      </c>
      <c r="H3489" t="s">
        <v>33</v>
      </c>
    </row>
    <row r="3490" spans="2:8" x14ac:dyDescent="0.2">
      <c r="B3490" s="3">
        <v>44738</v>
      </c>
      <c r="G3490" s="2">
        <f t="shared" si="54"/>
        <v>0</v>
      </c>
      <c r="H3490" t="s">
        <v>9</v>
      </c>
    </row>
    <row r="3491" spans="2:8" x14ac:dyDescent="0.2">
      <c r="B3491" s="3">
        <v>44738</v>
      </c>
      <c r="G3491" s="2">
        <f t="shared" si="54"/>
        <v>0</v>
      </c>
      <c r="H3491" t="s">
        <v>32</v>
      </c>
    </row>
    <row r="3492" spans="2:8" x14ac:dyDescent="0.2">
      <c r="B3492" s="3">
        <v>44738</v>
      </c>
      <c r="G3492" s="2">
        <f t="shared" si="54"/>
        <v>0</v>
      </c>
      <c r="H3492" s="1"/>
    </row>
    <row r="3493" spans="2:8" x14ac:dyDescent="0.2">
      <c r="B3493" s="3">
        <v>44739</v>
      </c>
      <c r="D3493" s="28"/>
      <c r="G3493" s="2">
        <f t="shared" si="54"/>
        <v>0</v>
      </c>
      <c r="H3493" t="s">
        <v>14</v>
      </c>
    </row>
    <row r="3494" spans="2:8" x14ac:dyDescent="0.2">
      <c r="B3494" s="3">
        <v>44739</v>
      </c>
      <c r="G3494" s="2">
        <f t="shared" si="54"/>
        <v>0</v>
      </c>
      <c r="H3494" t="s">
        <v>27</v>
      </c>
    </row>
    <row r="3495" spans="2:8" x14ac:dyDescent="0.2">
      <c r="B3495" s="3">
        <v>44739</v>
      </c>
      <c r="G3495" s="2">
        <f t="shared" si="54"/>
        <v>0</v>
      </c>
      <c r="H3495" t="s">
        <v>13</v>
      </c>
    </row>
    <row r="3496" spans="2:8" x14ac:dyDescent="0.2">
      <c r="B3496" s="3">
        <v>44739</v>
      </c>
      <c r="G3496" s="2">
        <f t="shared" si="54"/>
        <v>0</v>
      </c>
      <c r="H3496" t="s">
        <v>30</v>
      </c>
    </row>
    <row r="3497" spans="2:8" x14ac:dyDescent="0.2">
      <c r="B3497" s="3">
        <v>44739</v>
      </c>
      <c r="G3497" s="2">
        <f t="shared" si="54"/>
        <v>0</v>
      </c>
      <c r="H3497" t="s">
        <v>35</v>
      </c>
    </row>
    <row r="3498" spans="2:8" x14ac:dyDescent="0.2">
      <c r="B3498" s="3">
        <v>44739</v>
      </c>
      <c r="G3498" s="2">
        <f t="shared" si="54"/>
        <v>0</v>
      </c>
      <c r="H3498" t="s">
        <v>25</v>
      </c>
    </row>
    <row r="3499" spans="2:8" x14ac:dyDescent="0.2">
      <c r="B3499" s="3">
        <v>44739</v>
      </c>
      <c r="G3499" s="2">
        <f t="shared" si="54"/>
        <v>0</v>
      </c>
      <c r="H3499" t="s">
        <v>34</v>
      </c>
    </row>
    <row r="3500" spans="2:8" x14ac:dyDescent="0.2">
      <c r="B3500" s="3">
        <v>44739</v>
      </c>
      <c r="G3500" s="2">
        <f t="shared" si="54"/>
        <v>0</v>
      </c>
      <c r="H3500" t="s">
        <v>33</v>
      </c>
    </row>
    <row r="3501" spans="2:8" x14ac:dyDescent="0.2">
      <c r="B3501" s="3">
        <v>44739</v>
      </c>
      <c r="G3501" s="2">
        <f t="shared" si="54"/>
        <v>0</v>
      </c>
      <c r="H3501" t="s">
        <v>9</v>
      </c>
    </row>
    <row r="3502" spans="2:8" x14ac:dyDescent="0.2">
      <c r="B3502" s="3">
        <v>44739</v>
      </c>
      <c r="G3502" s="2">
        <f t="shared" si="54"/>
        <v>0</v>
      </c>
      <c r="H3502" t="s">
        <v>32</v>
      </c>
    </row>
    <row r="3503" spans="2:8" x14ac:dyDescent="0.2">
      <c r="B3503" s="3">
        <v>44739</v>
      </c>
      <c r="G3503" s="2">
        <f t="shared" si="54"/>
        <v>0</v>
      </c>
      <c r="H3503" s="1"/>
    </row>
    <row r="3504" spans="2:8" x14ac:dyDescent="0.2">
      <c r="B3504" s="3">
        <v>44740</v>
      </c>
      <c r="D3504" s="28">
        <f>125*23.9</f>
        <v>2987.5</v>
      </c>
      <c r="E3504" s="1">
        <f>125*26</f>
        <v>3250</v>
      </c>
      <c r="G3504" s="2">
        <f t="shared" si="54"/>
        <v>3250</v>
      </c>
      <c r="H3504" t="s">
        <v>14</v>
      </c>
    </row>
    <row r="3505" spans="2:8" x14ac:dyDescent="0.2">
      <c r="B3505" s="3">
        <v>44740</v>
      </c>
      <c r="G3505" s="2">
        <f t="shared" si="54"/>
        <v>0</v>
      </c>
      <c r="H3505" t="s">
        <v>27</v>
      </c>
    </row>
    <row r="3506" spans="2:8" x14ac:dyDescent="0.2">
      <c r="B3506" s="3">
        <v>44740</v>
      </c>
      <c r="G3506" s="2">
        <f t="shared" si="54"/>
        <v>0</v>
      </c>
      <c r="H3506" t="s">
        <v>13</v>
      </c>
    </row>
    <row r="3507" spans="2:8" x14ac:dyDescent="0.2">
      <c r="B3507" s="3">
        <v>44740</v>
      </c>
      <c r="G3507" s="2">
        <f t="shared" si="54"/>
        <v>0</v>
      </c>
      <c r="H3507" t="s">
        <v>30</v>
      </c>
    </row>
    <row r="3508" spans="2:8" x14ac:dyDescent="0.2">
      <c r="B3508" s="3">
        <v>44740</v>
      </c>
      <c r="G3508" s="2">
        <f t="shared" si="54"/>
        <v>0</v>
      </c>
      <c r="H3508" t="s">
        <v>35</v>
      </c>
    </row>
    <row r="3509" spans="2:8" x14ac:dyDescent="0.2">
      <c r="B3509" s="3">
        <v>44740</v>
      </c>
      <c r="G3509" s="2">
        <f t="shared" si="54"/>
        <v>0</v>
      </c>
      <c r="H3509" t="s">
        <v>25</v>
      </c>
    </row>
    <row r="3510" spans="2:8" x14ac:dyDescent="0.2">
      <c r="B3510" s="3">
        <v>44740</v>
      </c>
      <c r="G3510" s="2">
        <f t="shared" si="54"/>
        <v>0</v>
      </c>
      <c r="H3510" t="s">
        <v>34</v>
      </c>
    </row>
    <row r="3511" spans="2:8" x14ac:dyDescent="0.2">
      <c r="B3511" s="3">
        <v>44740</v>
      </c>
      <c r="G3511" s="2">
        <f t="shared" si="54"/>
        <v>0</v>
      </c>
      <c r="H3511" t="s">
        <v>33</v>
      </c>
    </row>
    <row r="3512" spans="2:8" x14ac:dyDescent="0.2">
      <c r="B3512" s="3">
        <v>44740</v>
      </c>
      <c r="G3512" s="2">
        <f t="shared" si="54"/>
        <v>0</v>
      </c>
      <c r="H3512" t="s">
        <v>9</v>
      </c>
    </row>
    <row r="3513" spans="2:8" x14ac:dyDescent="0.2">
      <c r="B3513" s="3">
        <v>44740</v>
      </c>
      <c r="G3513" s="2">
        <f t="shared" si="54"/>
        <v>0</v>
      </c>
      <c r="H3513" t="s">
        <v>32</v>
      </c>
    </row>
    <row r="3514" spans="2:8" x14ac:dyDescent="0.2">
      <c r="B3514" s="3">
        <v>44740</v>
      </c>
      <c r="D3514" s="1">
        <v>347</v>
      </c>
      <c r="E3514" s="1">
        <v>383</v>
      </c>
      <c r="G3514" s="2">
        <f t="shared" si="54"/>
        <v>383</v>
      </c>
      <c r="H3514" t="s">
        <v>39</v>
      </c>
    </row>
    <row r="3515" spans="2:8" x14ac:dyDescent="0.2">
      <c r="B3515" s="3">
        <v>44741</v>
      </c>
      <c r="D3515" s="28"/>
      <c r="G3515" s="2">
        <f t="shared" si="54"/>
        <v>0</v>
      </c>
      <c r="H3515" t="s">
        <v>14</v>
      </c>
    </row>
    <row r="3516" spans="2:8" x14ac:dyDescent="0.2">
      <c r="B3516" s="3">
        <v>44741</v>
      </c>
      <c r="F3516" s="1">
        <v>138.75</v>
      </c>
      <c r="G3516" s="2">
        <f t="shared" si="54"/>
        <v>-138.75</v>
      </c>
      <c r="H3516" t="s">
        <v>27</v>
      </c>
    </row>
    <row r="3517" spans="2:8" x14ac:dyDescent="0.2">
      <c r="B3517" s="3">
        <v>44741</v>
      </c>
      <c r="G3517" s="2">
        <f t="shared" si="54"/>
        <v>0</v>
      </c>
      <c r="H3517" t="s">
        <v>13</v>
      </c>
    </row>
    <row r="3518" spans="2:8" x14ac:dyDescent="0.2">
      <c r="B3518" s="3">
        <v>44741</v>
      </c>
      <c r="G3518" s="2">
        <f t="shared" si="54"/>
        <v>0</v>
      </c>
      <c r="H3518" t="s">
        <v>30</v>
      </c>
    </row>
    <row r="3519" spans="2:8" x14ac:dyDescent="0.2">
      <c r="B3519" s="3">
        <v>44741</v>
      </c>
      <c r="G3519" s="2">
        <f t="shared" si="54"/>
        <v>0</v>
      </c>
      <c r="H3519" t="s">
        <v>35</v>
      </c>
    </row>
    <row r="3520" spans="2:8" x14ac:dyDescent="0.2">
      <c r="B3520" s="3">
        <v>44741</v>
      </c>
      <c r="G3520" s="2">
        <f t="shared" si="54"/>
        <v>0</v>
      </c>
      <c r="H3520" t="s">
        <v>25</v>
      </c>
    </row>
    <row r="3521" spans="2:8" x14ac:dyDescent="0.2">
      <c r="B3521" s="3">
        <v>44741</v>
      </c>
      <c r="G3521" s="2">
        <f t="shared" si="54"/>
        <v>0</v>
      </c>
      <c r="H3521" t="s">
        <v>34</v>
      </c>
    </row>
    <row r="3522" spans="2:8" x14ac:dyDescent="0.2">
      <c r="B3522" s="3">
        <v>44741</v>
      </c>
      <c r="F3522" s="1">
        <v>550</v>
      </c>
      <c r="G3522" s="2">
        <f t="shared" si="54"/>
        <v>-550</v>
      </c>
      <c r="H3522" t="s">
        <v>33</v>
      </c>
    </row>
    <row r="3523" spans="2:8" x14ac:dyDescent="0.2">
      <c r="B3523" s="3">
        <v>44741</v>
      </c>
      <c r="G3523" s="2">
        <f t="shared" ref="G3523:G3586" si="55">E3523-F3523</f>
        <v>0</v>
      </c>
      <c r="H3523" t="s">
        <v>9</v>
      </c>
    </row>
    <row r="3524" spans="2:8" x14ac:dyDescent="0.2">
      <c r="B3524" s="3">
        <v>44741</v>
      </c>
      <c r="G3524" s="2">
        <f t="shared" si="55"/>
        <v>0</v>
      </c>
      <c r="H3524" t="s">
        <v>32</v>
      </c>
    </row>
    <row r="3525" spans="2:8" x14ac:dyDescent="0.2">
      <c r="B3525" s="3">
        <v>44741</v>
      </c>
      <c r="G3525" s="2">
        <f t="shared" si="55"/>
        <v>0</v>
      </c>
      <c r="H3525" s="1"/>
    </row>
    <row r="3526" spans="2:8" x14ac:dyDescent="0.2">
      <c r="B3526" s="3">
        <v>44742</v>
      </c>
      <c r="D3526" s="28"/>
      <c r="F3526" s="1">
        <v>5000</v>
      </c>
      <c r="G3526" s="2">
        <f t="shared" si="55"/>
        <v>-5000</v>
      </c>
      <c r="H3526" t="s">
        <v>14</v>
      </c>
    </row>
    <row r="3527" spans="2:8" x14ac:dyDescent="0.2">
      <c r="B3527" s="3">
        <v>44742</v>
      </c>
      <c r="F3527" s="1">
        <v>7000</v>
      </c>
      <c r="G3527" s="2">
        <f t="shared" si="55"/>
        <v>-7000</v>
      </c>
      <c r="H3527" t="s">
        <v>27</v>
      </c>
    </row>
    <row r="3528" spans="2:8" x14ac:dyDescent="0.2">
      <c r="B3528" s="3">
        <v>44742</v>
      </c>
      <c r="F3528" s="1">
        <v>3000</v>
      </c>
      <c r="G3528" s="2">
        <f t="shared" si="55"/>
        <v>-3000</v>
      </c>
      <c r="H3528" t="s">
        <v>13</v>
      </c>
    </row>
    <row r="3529" spans="2:8" x14ac:dyDescent="0.2">
      <c r="B3529" s="3">
        <v>44742</v>
      </c>
      <c r="G3529" s="2">
        <f t="shared" si="55"/>
        <v>0</v>
      </c>
      <c r="H3529" t="s">
        <v>30</v>
      </c>
    </row>
    <row r="3530" spans="2:8" x14ac:dyDescent="0.2">
      <c r="B3530" s="3">
        <v>44742</v>
      </c>
      <c r="G3530" s="2">
        <f t="shared" si="55"/>
        <v>0</v>
      </c>
      <c r="H3530" t="s">
        <v>35</v>
      </c>
    </row>
    <row r="3531" spans="2:8" x14ac:dyDescent="0.2">
      <c r="B3531" s="3">
        <v>44742</v>
      </c>
      <c r="F3531" s="1">
        <v>3000</v>
      </c>
      <c r="G3531" s="2">
        <f t="shared" si="55"/>
        <v>-3000</v>
      </c>
      <c r="H3531" t="s">
        <v>25</v>
      </c>
    </row>
    <row r="3532" spans="2:8" x14ac:dyDescent="0.2">
      <c r="B3532" s="3">
        <v>44742</v>
      </c>
      <c r="G3532" s="2">
        <f t="shared" si="55"/>
        <v>0</v>
      </c>
      <c r="H3532" t="s">
        <v>34</v>
      </c>
    </row>
    <row r="3533" spans="2:8" x14ac:dyDescent="0.2">
      <c r="B3533" s="3">
        <v>44742</v>
      </c>
      <c r="F3533" s="1">
        <v>16.25</v>
      </c>
      <c r="G3533" s="2">
        <f t="shared" si="55"/>
        <v>-16.25</v>
      </c>
      <c r="H3533" t="s">
        <v>33</v>
      </c>
    </row>
    <row r="3534" spans="2:8" x14ac:dyDescent="0.2">
      <c r="B3534" s="3">
        <v>44742</v>
      </c>
      <c r="G3534" s="2">
        <f t="shared" si="55"/>
        <v>0</v>
      </c>
      <c r="H3534" t="s">
        <v>9</v>
      </c>
    </row>
    <row r="3535" spans="2:8" x14ac:dyDescent="0.2">
      <c r="B3535" s="3">
        <v>44742</v>
      </c>
      <c r="G3535" s="2">
        <f t="shared" si="55"/>
        <v>0</v>
      </c>
      <c r="H3535" t="s">
        <v>32</v>
      </c>
    </row>
    <row r="3536" spans="2:8" x14ac:dyDescent="0.2">
      <c r="B3536" s="3">
        <v>44742</v>
      </c>
      <c r="F3536" s="1">
        <v>540</v>
      </c>
      <c r="G3536" s="2">
        <f t="shared" si="55"/>
        <v>-540</v>
      </c>
      <c r="H3536" s="1" t="s">
        <v>78</v>
      </c>
    </row>
    <row r="3537" spans="2:8" x14ac:dyDescent="0.2">
      <c r="B3537" s="3">
        <v>44743</v>
      </c>
      <c r="D3537" s="28"/>
      <c r="G3537" s="2">
        <f t="shared" si="55"/>
        <v>0</v>
      </c>
      <c r="H3537" t="s">
        <v>14</v>
      </c>
    </row>
    <row r="3538" spans="2:8" x14ac:dyDescent="0.2">
      <c r="B3538" s="3">
        <v>44743</v>
      </c>
      <c r="G3538" s="2">
        <f t="shared" si="55"/>
        <v>0</v>
      </c>
      <c r="H3538" t="s">
        <v>27</v>
      </c>
    </row>
    <row r="3539" spans="2:8" x14ac:dyDescent="0.2">
      <c r="B3539" s="3">
        <v>44743</v>
      </c>
      <c r="G3539" s="2">
        <f t="shared" si="55"/>
        <v>0</v>
      </c>
      <c r="H3539" t="s">
        <v>13</v>
      </c>
    </row>
    <row r="3540" spans="2:8" x14ac:dyDescent="0.2">
      <c r="B3540" s="3">
        <v>44743</v>
      </c>
      <c r="G3540" s="2">
        <f t="shared" si="55"/>
        <v>0</v>
      </c>
      <c r="H3540" t="s">
        <v>30</v>
      </c>
    </row>
    <row r="3541" spans="2:8" x14ac:dyDescent="0.2">
      <c r="B3541" s="3">
        <v>44743</v>
      </c>
      <c r="G3541" s="2">
        <f t="shared" si="55"/>
        <v>0</v>
      </c>
      <c r="H3541" t="s">
        <v>35</v>
      </c>
    </row>
    <row r="3542" spans="2:8" x14ac:dyDescent="0.2">
      <c r="B3542" s="3">
        <v>44743</v>
      </c>
      <c r="G3542" s="2">
        <f t="shared" si="55"/>
        <v>0</v>
      </c>
      <c r="H3542" t="s">
        <v>25</v>
      </c>
    </row>
    <row r="3543" spans="2:8" x14ac:dyDescent="0.2">
      <c r="B3543" s="3">
        <v>44743</v>
      </c>
      <c r="G3543" s="2">
        <f t="shared" si="55"/>
        <v>0</v>
      </c>
      <c r="H3543" t="s">
        <v>9</v>
      </c>
    </row>
    <row r="3544" spans="2:8" x14ac:dyDescent="0.2">
      <c r="B3544" s="3">
        <v>44743</v>
      </c>
      <c r="G3544" s="2">
        <f t="shared" si="55"/>
        <v>0</v>
      </c>
      <c r="H3544" t="s">
        <v>32</v>
      </c>
    </row>
    <row r="3545" spans="2:8" x14ac:dyDescent="0.2">
      <c r="B3545" s="3">
        <v>44743</v>
      </c>
      <c r="G3545" s="2">
        <f t="shared" si="55"/>
        <v>0</v>
      </c>
      <c r="H3545" s="1"/>
    </row>
    <row r="3546" spans="2:8" x14ac:dyDescent="0.2">
      <c r="B3546" s="3">
        <v>44744</v>
      </c>
      <c r="D3546" s="28"/>
      <c r="G3546" s="2">
        <f t="shared" si="55"/>
        <v>0</v>
      </c>
      <c r="H3546" t="s">
        <v>14</v>
      </c>
    </row>
    <row r="3547" spans="2:8" x14ac:dyDescent="0.2">
      <c r="B3547" s="3">
        <v>44744</v>
      </c>
      <c r="G3547" s="2">
        <f t="shared" si="55"/>
        <v>0</v>
      </c>
      <c r="H3547" t="s">
        <v>27</v>
      </c>
    </row>
    <row r="3548" spans="2:8" x14ac:dyDescent="0.2">
      <c r="B3548" s="3">
        <v>44744</v>
      </c>
      <c r="G3548" s="2">
        <f t="shared" si="55"/>
        <v>0</v>
      </c>
      <c r="H3548" t="s">
        <v>13</v>
      </c>
    </row>
    <row r="3549" spans="2:8" x14ac:dyDescent="0.2">
      <c r="B3549" s="3">
        <v>44744</v>
      </c>
      <c r="G3549" s="2">
        <f t="shared" si="55"/>
        <v>0</v>
      </c>
      <c r="H3549" t="s">
        <v>30</v>
      </c>
    </row>
    <row r="3550" spans="2:8" x14ac:dyDescent="0.2">
      <c r="B3550" s="3">
        <v>44744</v>
      </c>
      <c r="D3550" s="1">
        <v>1005</v>
      </c>
      <c r="E3550" s="1">
        <v>1197.5</v>
      </c>
      <c r="F3550" s="1">
        <v>1200</v>
      </c>
      <c r="G3550" s="2">
        <f t="shared" si="55"/>
        <v>-2.5</v>
      </c>
      <c r="H3550" t="s">
        <v>35</v>
      </c>
    </row>
    <row r="3551" spans="2:8" x14ac:dyDescent="0.2">
      <c r="B3551" s="3">
        <v>44744</v>
      </c>
      <c r="G3551" s="2">
        <f t="shared" si="55"/>
        <v>0</v>
      </c>
      <c r="H3551" t="s">
        <v>25</v>
      </c>
    </row>
    <row r="3552" spans="2:8" x14ac:dyDescent="0.2">
      <c r="B3552" s="3">
        <v>44744</v>
      </c>
      <c r="G3552" s="2">
        <f t="shared" si="55"/>
        <v>0</v>
      </c>
      <c r="H3552" t="s">
        <v>9</v>
      </c>
    </row>
    <row r="3553" spans="2:8" x14ac:dyDescent="0.2">
      <c r="B3553" s="3">
        <v>44744</v>
      </c>
      <c r="G3553" s="2">
        <f t="shared" si="55"/>
        <v>0</v>
      </c>
      <c r="H3553" t="s">
        <v>32</v>
      </c>
    </row>
    <row r="3554" spans="2:8" x14ac:dyDescent="0.2">
      <c r="B3554" s="3">
        <v>44744</v>
      </c>
      <c r="G3554" s="2">
        <f t="shared" si="55"/>
        <v>0</v>
      </c>
      <c r="H3554" s="1"/>
    </row>
    <row r="3555" spans="2:8" x14ac:dyDescent="0.2">
      <c r="B3555" s="3">
        <v>44745</v>
      </c>
      <c r="D3555" s="28"/>
      <c r="F3555" s="1">
        <v>7000</v>
      </c>
      <c r="G3555" s="2">
        <f t="shared" si="55"/>
        <v>-7000</v>
      </c>
      <c r="H3555" t="s">
        <v>14</v>
      </c>
    </row>
    <row r="3556" spans="2:8" x14ac:dyDescent="0.2">
      <c r="B3556" s="3">
        <v>44745</v>
      </c>
      <c r="G3556" s="2">
        <f t="shared" si="55"/>
        <v>0</v>
      </c>
      <c r="H3556" t="s">
        <v>27</v>
      </c>
    </row>
    <row r="3557" spans="2:8" x14ac:dyDescent="0.2">
      <c r="B3557" s="3">
        <v>44745</v>
      </c>
      <c r="D3557" s="1">
        <v>3408.8</v>
      </c>
      <c r="E3557" s="1">
        <v>3942</v>
      </c>
      <c r="F3557" s="1">
        <v>3000</v>
      </c>
      <c r="G3557" s="2">
        <f t="shared" si="55"/>
        <v>942</v>
      </c>
      <c r="H3557" t="s">
        <v>13</v>
      </c>
    </row>
    <row r="3558" spans="2:8" x14ac:dyDescent="0.2">
      <c r="B3558" s="3">
        <v>44745</v>
      </c>
      <c r="G3558" s="2">
        <f t="shared" si="55"/>
        <v>0</v>
      </c>
      <c r="H3558" t="s">
        <v>30</v>
      </c>
    </row>
    <row r="3559" spans="2:8" x14ac:dyDescent="0.2">
      <c r="B3559" s="3">
        <v>44745</v>
      </c>
      <c r="G3559" s="2">
        <f t="shared" si="55"/>
        <v>0</v>
      </c>
      <c r="H3559" t="s">
        <v>35</v>
      </c>
    </row>
    <row r="3560" spans="2:8" x14ac:dyDescent="0.2">
      <c r="B3560" s="3">
        <v>44745</v>
      </c>
      <c r="G3560" s="2">
        <f t="shared" si="55"/>
        <v>0</v>
      </c>
      <c r="H3560" t="s">
        <v>25</v>
      </c>
    </row>
    <row r="3561" spans="2:8" x14ac:dyDescent="0.2">
      <c r="B3561" s="3">
        <v>44745</v>
      </c>
      <c r="G3561" s="2">
        <f t="shared" si="55"/>
        <v>0</v>
      </c>
      <c r="H3561" t="s">
        <v>9</v>
      </c>
    </row>
    <row r="3562" spans="2:8" x14ac:dyDescent="0.2">
      <c r="B3562" s="3">
        <v>44745</v>
      </c>
      <c r="G3562" s="2">
        <f t="shared" si="55"/>
        <v>0</v>
      </c>
      <c r="H3562" t="s">
        <v>32</v>
      </c>
    </row>
    <row r="3563" spans="2:8" x14ac:dyDescent="0.2">
      <c r="B3563" s="3">
        <v>44745</v>
      </c>
      <c r="D3563" s="1">
        <v>2415</v>
      </c>
      <c r="E3563" s="1">
        <v>2685</v>
      </c>
      <c r="G3563" s="2">
        <f t="shared" si="55"/>
        <v>2685</v>
      </c>
      <c r="H3563" s="1" t="s">
        <v>78</v>
      </c>
    </row>
    <row r="3564" spans="2:8" x14ac:dyDescent="0.2">
      <c r="B3564" s="3">
        <v>44746</v>
      </c>
      <c r="D3564" s="28">
        <f>23.9*125</f>
        <v>2987.5</v>
      </c>
      <c r="E3564" s="1">
        <v>3250</v>
      </c>
      <c r="G3564" s="2">
        <f t="shared" si="55"/>
        <v>3250</v>
      </c>
      <c r="H3564" t="s">
        <v>14</v>
      </c>
    </row>
    <row r="3565" spans="2:8" x14ac:dyDescent="0.2">
      <c r="B3565" s="3">
        <v>44746</v>
      </c>
      <c r="G3565" s="2">
        <f t="shared" si="55"/>
        <v>0</v>
      </c>
      <c r="H3565" t="s">
        <v>27</v>
      </c>
    </row>
    <row r="3566" spans="2:8" x14ac:dyDescent="0.2">
      <c r="B3566" s="3">
        <v>44746</v>
      </c>
      <c r="G3566" s="2">
        <f t="shared" si="55"/>
        <v>0</v>
      </c>
      <c r="H3566" t="s">
        <v>13</v>
      </c>
    </row>
    <row r="3567" spans="2:8" x14ac:dyDescent="0.2">
      <c r="B3567" s="3">
        <v>44746</v>
      </c>
      <c r="G3567" s="2">
        <f t="shared" si="55"/>
        <v>0</v>
      </c>
      <c r="H3567" t="s">
        <v>30</v>
      </c>
    </row>
    <row r="3568" spans="2:8" x14ac:dyDescent="0.2">
      <c r="B3568" s="3">
        <v>44746</v>
      </c>
      <c r="G3568" s="2">
        <f t="shared" si="55"/>
        <v>0</v>
      </c>
      <c r="H3568" t="s">
        <v>35</v>
      </c>
    </row>
    <row r="3569" spans="2:8" x14ac:dyDescent="0.2">
      <c r="B3569" s="3">
        <v>44746</v>
      </c>
      <c r="G3569" s="2">
        <f t="shared" si="55"/>
        <v>0</v>
      </c>
      <c r="H3569" t="s">
        <v>25</v>
      </c>
    </row>
    <row r="3570" spans="2:8" x14ac:dyDescent="0.2">
      <c r="B3570" s="3">
        <v>44746</v>
      </c>
      <c r="D3570" s="1">
        <v>7800</v>
      </c>
      <c r="E3570" s="1">
        <v>9000</v>
      </c>
      <c r="G3570" s="2">
        <f t="shared" si="55"/>
        <v>9000</v>
      </c>
      <c r="H3570" t="s">
        <v>9</v>
      </c>
    </row>
    <row r="3571" spans="2:8" x14ac:dyDescent="0.2">
      <c r="B3571" s="3">
        <v>44746</v>
      </c>
      <c r="F3571" s="1">
        <v>2000</v>
      </c>
      <c r="G3571" s="2">
        <f t="shared" si="55"/>
        <v>-2000</v>
      </c>
      <c r="H3571" t="s">
        <v>32</v>
      </c>
    </row>
    <row r="3572" spans="2:8" x14ac:dyDescent="0.2">
      <c r="B3572" s="3">
        <v>44746</v>
      </c>
      <c r="F3572" s="1">
        <v>700</v>
      </c>
      <c r="G3572" s="2">
        <f t="shared" si="55"/>
        <v>-700</v>
      </c>
      <c r="H3572" s="1" t="s">
        <v>31</v>
      </c>
    </row>
    <row r="3573" spans="2:8" x14ac:dyDescent="0.2">
      <c r="B3573" s="3">
        <v>44747</v>
      </c>
      <c r="D3573" s="28"/>
      <c r="G3573" s="2">
        <f t="shared" si="55"/>
        <v>0</v>
      </c>
      <c r="H3573" t="s">
        <v>14</v>
      </c>
    </row>
    <row r="3574" spans="2:8" x14ac:dyDescent="0.2">
      <c r="B3574" s="3">
        <v>44747</v>
      </c>
      <c r="G3574" s="2">
        <f t="shared" si="55"/>
        <v>0</v>
      </c>
      <c r="H3574" t="s">
        <v>27</v>
      </c>
    </row>
    <row r="3575" spans="2:8" x14ac:dyDescent="0.2">
      <c r="B3575" s="3">
        <v>44747</v>
      </c>
      <c r="G3575" s="2">
        <f t="shared" si="55"/>
        <v>0</v>
      </c>
      <c r="H3575" t="s">
        <v>13</v>
      </c>
    </row>
    <row r="3576" spans="2:8" x14ac:dyDescent="0.2">
      <c r="B3576" s="3">
        <v>44747</v>
      </c>
      <c r="G3576" s="2">
        <f t="shared" si="55"/>
        <v>0</v>
      </c>
      <c r="H3576" t="s">
        <v>30</v>
      </c>
    </row>
    <row r="3577" spans="2:8" x14ac:dyDescent="0.2">
      <c r="B3577" s="3">
        <v>44747</v>
      </c>
      <c r="G3577" s="2">
        <f t="shared" si="55"/>
        <v>0</v>
      </c>
      <c r="H3577" t="s">
        <v>35</v>
      </c>
    </row>
    <row r="3578" spans="2:8" x14ac:dyDescent="0.2">
      <c r="B3578" s="3">
        <v>44747</v>
      </c>
      <c r="G3578" s="2">
        <f t="shared" si="55"/>
        <v>0</v>
      </c>
      <c r="H3578" t="s">
        <v>25</v>
      </c>
    </row>
    <row r="3579" spans="2:8" x14ac:dyDescent="0.2">
      <c r="B3579" s="3">
        <v>44747</v>
      </c>
      <c r="G3579" s="2">
        <f t="shared" si="55"/>
        <v>0</v>
      </c>
      <c r="H3579" t="s">
        <v>9</v>
      </c>
    </row>
    <row r="3580" spans="2:8" x14ac:dyDescent="0.2">
      <c r="B3580" s="3">
        <v>44747</v>
      </c>
      <c r="G3580" s="2">
        <f t="shared" si="55"/>
        <v>0</v>
      </c>
      <c r="H3580" t="s">
        <v>32</v>
      </c>
    </row>
    <row r="3581" spans="2:8" x14ac:dyDescent="0.2">
      <c r="B3581" s="3">
        <v>44747</v>
      </c>
      <c r="G3581" s="2">
        <f t="shared" si="55"/>
        <v>0</v>
      </c>
      <c r="H3581" s="1"/>
    </row>
    <row r="3582" spans="2:8" x14ac:dyDescent="0.2">
      <c r="B3582" s="3">
        <v>44748</v>
      </c>
      <c r="D3582" s="28"/>
      <c r="G3582" s="2">
        <f t="shared" si="55"/>
        <v>0</v>
      </c>
      <c r="H3582" t="s">
        <v>14</v>
      </c>
    </row>
    <row r="3583" spans="2:8" x14ac:dyDescent="0.2">
      <c r="B3583" s="3">
        <v>44748</v>
      </c>
      <c r="F3583" s="1">
        <v>7000</v>
      </c>
      <c r="G3583" s="2">
        <f t="shared" si="55"/>
        <v>-7000</v>
      </c>
      <c r="H3583" t="s">
        <v>27</v>
      </c>
    </row>
    <row r="3584" spans="2:8" x14ac:dyDescent="0.2">
      <c r="B3584" s="3">
        <v>44748</v>
      </c>
      <c r="G3584" s="2">
        <f t="shared" si="55"/>
        <v>0</v>
      </c>
      <c r="H3584" t="s">
        <v>13</v>
      </c>
    </row>
    <row r="3585" spans="2:8" x14ac:dyDescent="0.2">
      <c r="B3585" s="3">
        <v>44748</v>
      </c>
      <c r="G3585" s="2">
        <f t="shared" si="55"/>
        <v>0</v>
      </c>
      <c r="H3585" t="s">
        <v>30</v>
      </c>
    </row>
    <row r="3586" spans="2:8" x14ac:dyDescent="0.2">
      <c r="B3586" s="3">
        <v>44748</v>
      </c>
      <c r="G3586" s="2">
        <f t="shared" si="55"/>
        <v>0</v>
      </c>
      <c r="H3586" t="s">
        <v>35</v>
      </c>
    </row>
    <row r="3587" spans="2:8" x14ac:dyDescent="0.2">
      <c r="B3587" s="3">
        <v>44748</v>
      </c>
      <c r="G3587" s="2">
        <f t="shared" ref="G3587:G3650" si="56">E3587-F3587</f>
        <v>0</v>
      </c>
      <c r="H3587" t="s">
        <v>25</v>
      </c>
    </row>
    <row r="3588" spans="2:8" x14ac:dyDescent="0.2">
      <c r="B3588" s="3">
        <v>44748</v>
      </c>
      <c r="G3588" s="2">
        <f t="shared" si="56"/>
        <v>0</v>
      </c>
      <c r="H3588" t="s">
        <v>9</v>
      </c>
    </row>
    <row r="3589" spans="2:8" x14ac:dyDescent="0.2">
      <c r="B3589" s="3">
        <v>44748</v>
      </c>
      <c r="G3589" s="2">
        <f t="shared" si="56"/>
        <v>0</v>
      </c>
      <c r="H3589" t="s">
        <v>32</v>
      </c>
    </row>
    <row r="3590" spans="2:8" x14ac:dyDescent="0.2">
      <c r="B3590" s="3">
        <v>44748</v>
      </c>
      <c r="G3590" s="2">
        <f t="shared" si="56"/>
        <v>0</v>
      </c>
      <c r="H3590" s="1"/>
    </row>
    <row r="3591" spans="2:8" x14ac:dyDescent="0.2">
      <c r="B3591" s="3">
        <v>44749</v>
      </c>
      <c r="D3591" s="28"/>
      <c r="G3591" s="2">
        <f t="shared" si="56"/>
        <v>0</v>
      </c>
      <c r="H3591" t="s">
        <v>14</v>
      </c>
    </row>
    <row r="3592" spans="2:8" x14ac:dyDescent="0.2">
      <c r="B3592" s="3">
        <v>44749</v>
      </c>
      <c r="D3592" s="1">
        <v>7230</v>
      </c>
      <c r="E3592" s="1">
        <v>8380</v>
      </c>
      <c r="G3592" s="2">
        <f t="shared" si="56"/>
        <v>8380</v>
      </c>
      <c r="H3592" t="s">
        <v>27</v>
      </c>
    </row>
    <row r="3593" spans="2:8" x14ac:dyDescent="0.2">
      <c r="B3593" s="3">
        <v>44749</v>
      </c>
      <c r="G3593" s="2">
        <f t="shared" si="56"/>
        <v>0</v>
      </c>
      <c r="H3593" t="s">
        <v>13</v>
      </c>
    </row>
    <row r="3594" spans="2:8" x14ac:dyDescent="0.2">
      <c r="B3594" s="3">
        <v>44749</v>
      </c>
      <c r="D3594" s="1">
        <v>12491.75</v>
      </c>
      <c r="E3594" s="1">
        <v>16241.58</v>
      </c>
      <c r="G3594" s="2">
        <f t="shared" si="56"/>
        <v>16241.58</v>
      </c>
      <c r="H3594" t="s">
        <v>30</v>
      </c>
    </row>
    <row r="3595" spans="2:8" x14ac:dyDescent="0.2">
      <c r="B3595" s="3">
        <v>44749</v>
      </c>
      <c r="D3595" s="1">
        <v>1460</v>
      </c>
      <c r="E3595" s="1">
        <v>1675</v>
      </c>
      <c r="G3595" s="2">
        <f t="shared" si="56"/>
        <v>1675</v>
      </c>
      <c r="H3595" t="s">
        <v>35</v>
      </c>
    </row>
    <row r="3596" spans="2:8" x14ac:dyDescent="0.2">
      <c r="B3596" s="3">
        <v>44749</v>
      </c>
      <c r="G3596" s="2">
        <f t="shared" si="56"/>
        <v>0</v>
      </c>
      <c r="H3596" t="s">
        <v>25</v>
      </c>
    </row>
    <row r="3597" spans="2:8" x14ac:dyDescent="0.2">
      <c r="B3597" s="3">
        <v>44749</v>
      </c>
      <c r="G3597" s="2">
        <f t="shared" si="56"/>
        <v>0</v>
      </c>
      <c r="H3597" t="s">
        <v>9</v>
      </c>
    </row>
    <row r="3598" spans="2:8" x14ac:dyDescent="0.2">
      <c r="B3598" s="3">
        <v>44749</v>
      </c>
      <c r="G3598" s="2">
        <f t="shared" si="56"/>
        <v>0</v>
      </c>
      <c r="H3598" t="s">
        <v>32</v>
      </c>
    </row>
    <row r="3599" spans="2:8" x14ac:dyDescent="0.2">
      <c r="B3599" s="3">
        <v>44749</v>
      </c>
      <c r="F3599" s="1">
        <v>500</v>
      </c>
      <c r="G3599" s="2">
        <f t="shared" si="56"/>
        <v>-500</v>
      </c>
      <c r="H3599" s="1" t="s">
        <v>78</v>
      </c>
    </row>
    <row r="3600" spans="2:8" x14ac:dyDescent="0.2">
      <c r="B3600" s="3">
        <v>44750</v>
      </c>
      <c r="D3600" s="28"/>
      <c r="G3600" s="2">
        <f t="shared" si="56"/>
        <v>0</v>
      </c>
      <c r="H3600" t="s">
        <v>14</v>
      </c>
    </row>
    <row r="3601" spans="2:8" x14ac:dyDescent="0.2">
      <c r="B3601" s="3">
        <v>44750</v>
      </c>
      <c r="G3601" s="2">
        <f t="shared" si="56"/>
        <v>0</v>
      </c>
      <c r="H3601" t="s">
        <v>27</v>
      </c>
    </row>
    <row r="3602" spans="2:8" x14ac:dyDescent="0.2">
      <c r="B3602" s="3">
        <v>44750</v>
      </c>
      <c r="G3602" s="2">
        <f t="shared" si="56"/>
        <v>0</v>
      </c>
      <c r="H3602" t="s">
        <v>13</v>
      </c>
    </row>
    <row r="3603" spans="2:8" x14ac:dyDescent="0.2">
      <c r="B3603" s="3">
        <v>44750</v>
      </c>
      <c r="G3603" s="2">
        <f t="shared" si="56"/>
        <v>0</v>
      </c>
      <c r="H3603" t="s">
        <v>30</v>
      </c>
    </row>
    <row r="3604" spans="2:8" x14ac:dyDescent="0.2">
      <c r="B3604" s="3">
        <v>44750</v>
      </c>
      <c r="G3604" s="2">
        <f t="shared" si="56"/>
        <v>0</v>
      </c>
      <c r="H3604" t="s">
        <v>35</v>
      </c>
    </row>
    <row r="3605" spans="2:8" x14ac:dyDescent="0.2">
      <c r="B3605" s="3">
        <v>44750</v>
      </c>
      <c r="G3605" s="2">
        <f t="shared" si="56"/>
        <v>0</v>
      </c>
      <c r="H3605" t="s">
        <v>25</v>
      </c>
    </row>
    <row r="3606" spans="2:8" x14ac:dyDescent="0.2">
      <c r="B3606" s="3">
        <v>44750</v>
      </c>
      <c r="G3606" s="2">
        <f t="shared" si="56"/>
        <v>0</v>
      </c>
      <c r="H3606" t="s">
        <v>9</v>
      </c>
    </row>
    <row r="3607" spans="2:8" x14ac:dyDescent="0.2">
      <c r="B3607" s="3">
        <v>44750</v>
      </c>
      <c r="G3607" s="2">
        <f t="shared" si="56"/>
        <v>0</v>
      </c>
      <c r="H3607" t="s">
        <v>32</v>
      </c>
    </row>
    <row r="3608" spans="2:8" x14ac:dyDescent="0.2">
      <c r="B3608" s="3">
        <v>44750</v>
      </c>
      <c r="F3608" s="1">
        <v>385</v>
      </c>
      <c r="G3608" s="2">
        <f t="shared" si="56"/>
        <v>-385</v>
      </c>
      <c r="H3608" t="s">
        <v>39</v>
      </c>
    </row>
    <row r="3609" spans="2:8" x14ac:dyDescent="0.2">
      <c r="B3609" s="3">
        <v>44751</v>
      </c>
      <c r="D3609" s="28"/>
      <c r="G3609" s="2">
        <f t="shared" si="56"/>
        <v>0</v>
      </c>
      <c r="H3609" t="s">
        <v>14</v>
      </c>
    </row>
    <row r="3610" spans="2:8" x14ac:dyDescent="0.2">
      <c r="B3610" s="3">
        <v>44751</v>
      </c>
      <c r="G3610" s="2">
        <f t="shared" si="56"/>
        <v>0</v>
      </c>
      <c r="H3610" t="s">
        <v>27</v>
      </c>
    </row>
    <row r="3611" spans="2:8" x14ac:dyDescent="0.2">
      <c r="B3611" s="3">
        <v>44751</v>
      </c>
      <c r="G3611" s="2">
        <f t="shared" si="56"/>
        <v>0</v>
      </c>
      <c r="H3611" t="s">
        <v>13</v>
      </c>
    </row>
    <row r="3612" spans="2:8" x14ac:dyDescent="0.2">
      <c r="B3612" s="3">
        <v>44751</v>
      </c>
      <c r="G3612" s="2">
        <f t="shared" si="56"/>
        <v>0</v>
      </c>
      <c r="H3612" t="s">
        <v>30</v>
      </c>
    </row>
    <row r="3613" spans="2:8" x14ac:dyDescent="0.2">
      <c r="B3613" s="3">
        <v>44751</v>
      </c>
      <c r="G3613" s="2">
        <f t="shared" si="56"/>
        <v>0</v>
      </c>
      <c r="H3613" t="s">
        <v>35</v>
      </c>
    </row>
    <row r="3614" spans="2:8" x14ac:dyDescent="0.2">
      <c r="B3614" s="3">
        <v>44751</v>
      </c>
      <c r="G3614" s="2">
        <f t="shared" si="56"/>
        <v>0</v>
      </c>
      <c r="H3614" t="s">
        <v>25</v>
      </c>
    </row>
    <row r="3615" spans="2:8" x14ac:dyDescent="0.2">
      <c r="B3615" s="3">
        <v>44751</v>
      </c>
      <c r="G3615" s="2">
        <f t="shared" si="56"/>
        <v>0</v>
      </c>
      <c r="H3615" t="s">
        <v>9</v>
      </c>
    </row>
    <row r="3616" spans="2:8" x14ac:dyDescent="0.2">
      <c r="B3616" s="3">
        <v>44751</v>
      </c>
      <c r="G3616" s="2">
        <f t="shared" si="56"/>
        <v>0</v>
      </c>
      <c r="H3616" t="s">
        <v>32</v>
      </c>
    </row>
    <row r="3617" spans="2:8" x14ac:dyDescent="0.2">
      <c r="B3617" s="3">
        <v>44751</v>
      </c>
      <c r="G3617" s="2">
        <f t="shared" si="56"/>
        <v>0</v>
      </c>
      <c r="H3617" s="1"/>
    </row>
    <row r="3618" spans="2:8" x14ac:dyDescent="0.2">
      <c r="B3618" s="3">
        <v>44752</v>
      </c>
      <c r="D3618" s="28"/>
      <c r="G3618" s="2">
        <f t="shared" si="56"/>
        <v>0</v>
      </c>
      <c r="H3618" t="s">
        <v>14</v>
      </c>
    </row>
    <row r="3619" spans="2:8" x14ac:dyDescent="0.2">
      <c r="B3619" s="3">
        <v>44752</v>
      </c>
      <c r="G3619" s="2">
        <f t="shared" si="56"/>
        <v>0</v>
      </c>
      <c r="H3619" t="s">
        <v>27</v>
      </c>
    </row>
    <row r="3620" spans="2:8" x14ac:dyDescent="0.2">
      <c r="B3620" s="3">
        <v>44752</v>
      </c>
      <c r="G3620" s="2">
        <f t="shared" si="56"/>
        <v>0</v>
      </c>
      <c r="H3620" t="s">
        <v>13</v>
      </c>
    </row>
    <row r="3621" spans="2:8" x14ac:dyDescent="0.2">
      <c r="B3621" s="3">
        <v>44752</v>
      </c>
      <c r="G3621" s="2">
        <f t="shared" si="56"/>
        <v>0</v>
      </c>
      <c r="H3621" t="s">
        <v>30</v>
      </c>
    </row>
    <row r="3622" spans="2:8" x14ac:dyDescent="0.2">
      <c r="B3622" s="3">
        <v>44752</v>
      </c>
      <c r="G3622" s="2">
        <f t="shared" si="56"/>
        <v>0</v>
      </c>
      <c r="H3622" t="s">
        <v>35</v>
      </c>
    </row>
    <row r="3623" spans="2:8" x14ac:dyDescent="0.2">
      <c r="B3623" s="3">
        <v>44752</v>
      </c>
      <c r="G3623" s="2">
        <f t="shared" si="56"/>
        <v>0</v>
      </c>
      <c r="H3623" t="s">
        <v>25</v>
      </c>
    </row>
    <row r="3624" spans="2:8" x14ac:dyDescent="0.2">
      <c r="B3624" s="3">
        <v>44752</v>
      </c>
      <c r="G3624" s="2">
        <f t="shared" si="56"/>
        <v>0</v>
      </c>
      <c r="H3624" t="s">
        <v>9</v>
      </c>
    </row>
    <row r="3625" spans="2:8" x14ac:dyDescent="0.2">
      <c r="B3625" s="3">
        <v>44752</v>
      </c>
      <c r="G3625" s="2">
        <f t="shared" si="56"/>
        <v>0</v>
      </c>
      <c r="H3625" t="s">
        <v>32</v>
      </c>
    </row>
    <row r="3626" spans="2:8" x14ac:dyDescent="0.2">
      <c r="B3626" s="3">
        <v>44752</v>
      </c>
      <c r="G3626" s="2">
        <f t="shared" si="56"/>
        <v>0</v>
      </c>
      <c r="H3626" s="1"/>
    </row>
    <row r="3627" spans="2:8" x14ac:dyDescent="0.2">
      <c r="B3627" s="3">
        <v>44753</v>
      </c>
      <c r="D3627" s="28"/>
      <c r="G3627" s="2">
        <f t="shared" si="56"/>
        <v>0</v>
      </c>
      <c r="H3627" t="s">
        <v>14</v>
      </c>
    </row>
    <row r="3628" spans="2:8" x14ac:dyDescent="0.2">
      <c r="B3628" s="3">
        <v>44753</v>
      </c>
      <c r="G3628" s="2">
        <f t="shared" si="56"/>
        <v>0</v>
      </c>
      <c r="H3628" t="s">
        <v>27</v>
      </c>
    </row>
    <row r="3629" spans="2:8" x14ac:dyDescent="0.2">
      <c r="B3629" s="3">
        <v>44753</v>
      </c>
      <c r="G3629" s="2">
        <f t="shared" si="56"/>
        <v>0</v>
      </c>
      <c r="H3629" t="s">
        <v>13</v>
      </c>
    </row>
    <row r="3630" spans="2:8" x14ac:dyDescent="0.2">
      <c r="B3630" s="3">
        <v>44753</v>
      </c>
      <c r="G3630" s="2">
        <f t="shared" si="56"/>
        <v>0</v>
      </c>
      <c r="H3630" t="s">
        <v>30</v>
      </c>
    </row>
    <row r="3631" spans="2:8" x14ac:dyDescent="0.2">
      <c r="B3631" s="3">
        <v>44753</v>
      </c>
      <c r="G3631" s="2">
        <f t="shared" si="56"/>
        <v>0</v>
      </c>
      <c r="H3631" t="s">
        <v>35</v>
      </c>
    </row>
    <row r="3632" spans="2:8" x14ac:dyDescent="0.2">
      <c r="B3632" s="3">
        <v>44753</v>
      </c>
      <c r="G3632" s="2">
        <f t="shared" si="56"/>
        <v>0</v>
      </c>
      <c r="H3632" t="s">
        <v>25</v>
      </c>
    </row>
    <row r="3633" spans="2:8" x14ac:dyDescent="0.2">
      <c r="B3633" s="3">
        <v>44753</v>
      </c>
      <c r="G3633" s="2">
        <f t="shared" si="56"/>
        <v>0</v>
      </c>
      <c r="H3633" t="s">
        <v>9</v>
      </c>
    </row>
    <row r="3634" spans="2:8" x14ac:dyDescent="0.2">
      <c r="B3634" s="3">
        <v>44753</v>
      </c>
      <c r="G3634" s="2">
        <f t="shared" si="56"/>
        <v>0</v>
      </c>
      <c r="H3634" t="s">
        <v>32</v>
      </c>
    </row>
    <row r="3635" spans="2:8" x14ac:dyDescent="0.2">
      <c r="B3635" s="3">
        <v>44753</v>
      </c>
      <c r="G3635" s="2">
        <f t="shared" si="56"/>
        <v>0</v>
      </c>
      <c r="H3635" s="1"/>
    </row>
    <row r="3636" spans="2:8" x14ac:dyDescent="0.2">
      <c r="B3636" s="3">
        <v>44754</v>
      </c>
      <c r="D3636" s="28"/>
      <c r="G3636" s="2">
        <f t="shared" si="56"/>
        <v>0</v>
      </c>
      <c r="H3636" t="s">
        <v>14</v>
      </c>
    </row>
    <row r="3637" spans="2:8" x14ac:dyDescent="0.2">
      <c r="B3637" s="3">
        <v>44754</v>
      </c>
      <c r="G3637" s="2">
        <f t="shared" si="56"/>
        <v>0</v>
      </c>
      <c r="H3637" t="s">
        <v>27</v>
      </c>
    </row>
    <row r="3638" spans="2:8" x14ac:dyDescent="0.2">
      <c r="B3638" s="3">
        <v>44754</v>
      </c>
      <c r="G3638" s="2">
        <f t="shared" si="56"/>
        <v>0</v>
      </c>
      <c r="H3638" t="s">
        <v>13</v>
      </c>
    </row>
    <row r="3639" spans="2:8" x14ac:dyDescent="0.2">
      <c r="B3639" s="3">
        <v>44754</v>
      </c>
      <c r="G3639" s="2">
        <f t="shared" si="56"/>
        <v>0</v>
      </c>
      <c r="H3639" t="s">
        <v>30</v>
      </c>
    </row>
    <row r="3640" spans="2:8" x14ac:dyDescent="0.2">
      <c r="B3640" s="3">
        <v>44754</v>
      </c>
      <c r="G3640" s="2">
        <f t="shared" si="56"/>
        <v>0</v>
      </c>
      <c r="H3640" t="s">
        <v>35</v>
      </c>
    </row>
    <row r="3641" spans="2:8" x14ac:dyDescent="0.2">
      <c r="B3641" s="3">
        <v>44754</v>
      </c>
      <c r="G3641" s="2">
        <f t="shared" si="56"/>
        <v>0</v>
      </c>
      <c r="H3641" t="s">
        <v>25</v>
      </c>
    </row>
    <row r="3642" spans="2:8" x14ac:dyDescent="0.2">
      <c r="B3642" s="3">
        <v>44754</v>
      </c>
      <c r="G3642" s="2">
        <f t="shared" si="56"/>
        <v>0</v>
      </c>
      <c r="H3642" t="s">
        <v>9</v>
      </c>
    </row>
    <row r="3643" spans="2:8" x14ac:dyDescent="0.2">
      <c r="B3643" s="3">
        <v>44754</v>
      </c>
      <c r="G3643" s="2">
        <f t="shared" si="56"/>
        <v>0</v>
      </c>
      <c r="H3643" t="s">
        <v>32</v>
      </c>
    </row>
    <row r="3644" spans="2:8" x14ac:dyDescent="0.2">
      <c r="B3644" s="3">
        <v>44754</v>
      </c>
      <c r="G3644" s="2">
        <f t="shared" si="56"/>
        <v>0</v>
      </c>
      <c r="H3644" s="1"/>
    </row>
    <row r="3645" spans="2:8" x14ac:dyDescent="0.2">
      <c r="B3645" s="3">
        <v>44755</v>
      </c>
      <c r="D3645" s="28"/>
      <c r="G3645" s="2">
        <f t="shared" si="56"/>
        <v>0</v>
      </c>
      <c r="H3645" t="s">
        <v>14</v>
      </c>
    </row>
    <row r="3646" spans="2:8" x14ac:dyDescent="0.2">
      <c r="B3646" s="3">
        <v>44755</v>
      </c>
      <c r="G3646" s="2">
        <f t="shared" si="56"/>
        <v>0</v>
      </c>
      <c r="H3646" t="s">
        <v>27</v>
      </c>
    </row>
    <row r="3647" spans="2:8" x14ac:dyDescent="0.2">
      <c r="B3647" s="3">
        <v>44755</v>
      </c>
      <c r="G3647" s="2">
        <f t="shared" si="56"/>
        <v>0</v>
      </c>
      <c r="H3647" t="s">
        <v>13</v>
      </c>
    </row>
    <row r="3648" spans="2:8" x14ac:dyDescent="0.2">
      <c r="B3648" s="3">
        <v>44755</v>
      </c>
      <c r="G3648" s="2">
        <f t="shared" si="56"/>
        <v>0</v>
      </c>
      <c r="H3648" t="s">
        <v>30</v>
      </c>
    </row>
    <row r="3649" spans="2:8" x14ac:dyDescent="0.2">
      <c r="B3649" s="3">
        <v>44755</v>
      </c>
      <c r="G3649" s="2">
        <f t="shared" si="56"/>
        <v>0</v>
      </c>
      <c r="H3649" t="s">
        <v>35</v>
      </c>
    </row>
    <row r="3650" spans="2:8" x14ac:dyDescent="0.2">
      <c r="B3650" s="3">
        <v>44755</v>
      </c>
      <c r="G3650" s="2">
        <f t="shared" si="56"/>
        <v>0</v>
      </c>
      <c r="H3650" t="s">
        <v>25</v>
      </c>
    </row>
    <row r="3651" spans="2:8" x14ac:dyDescent="0.2">
      <c r="B3651" s="3">
        <v>44755</v>
      </c>
      <c r="G3651" s="2">
        <f t="shared" ref="G3651:G3714" si="57">E3651-F3651</f>
        <v>0</v>
      </c>
      <c r="H3651" t="s">
        <v>9</v>
      </c>
    </row>
    <row r="3652" spans="2:8" x14ac:dyDescent="0.2">
      <c r="B3652" s="3">
        <v>44755</v>
      </c>
      <c r="G3652" s="2">
        <f t="shared" si="57"/>
        <v>0</v>
      </c>
      <c r="H3652" t="s">
        <v>32</v>
      </c>
    </row>
    <row r="3653" spans="2:8" x14ac:dyDescent="0.2">
      <c r="B3653" s="3">
        <v>44755</v>
      </c>
      <c r="G3653" s="2">
        <f t="shared" si="57"/>
        <v>0</v>
      </c>
      <c r="H3653" s="1"/>
    </row>
    <row r="3654" spans="2:8" x14ac:dyDescent="0.2">
      <c r="B3654" s="3">
        <v>44756</v>
      </c>
      <c r="D3654" s="28"/>
      <c r="G3654" s="2">
        <f t="shared" si="57"/>
        <v>0</v>
      </c>
      <c r="H3654" t="s">
        <v>14</v>
      </c>
    </row>
    <row r="3655" spans="2:8" x14ac:dyDescent="0.2">
      <c r="B3655" s="3">
        <v>44756</v>
      </c>
      <c r="G3655" s="2">
        <f t="shared" si="57"/>
        <v>0</v>
      </c>
      <c r="H3655" t="s">
        <v>27</v>
      </c>
    </row>
    <row r="3656" spans="2:8" x14ac:dyDescent="0.2">
      <c r="B3656" s="3">
        <v>44756</v>
      </c>
      <c r="G3656" s="2">
        <f t="shared" si="57"/>
        <v>0</v>
      </c>
      <c r="H3656" t="s">
        <v>13</v>
      </c>
    </row>
    <row r="3657" spans="2:8" x14ac:dyDescent="0.2">
      <c r="B3657" s="3">
        <v>44756</v>
      </c>
      <c r="G3657" s="2">
        <f t="shared" si="57"/>
        <v>0</v>
      </c>
      <c r="H3657" t="s">
        <v>30</v>
      </c>
    </row>
    <row r="3658" spans="2:8" x14ac:dyDescent="0.2">
      <c r="B3658" s="3">
        <v>44756</v>
      </c>
      <c r="G3658" s="2">
        <f t="shared" si="57"/>
        <v>0</v>
      </c>
      <c r="H3658" t="s">
        <v>35</v>
      </c>
    </row>
    <row r="3659" spans="2:8" x14ac:dyDescent="0.2">
      <c r="B3659" s="3">
        <v>44756</v>
      </c>
      <c r="G3659" s="2">
        <f t="shared" si="57"/>
        <v>0</v>
      </c>
      <c r="H3659" t="s">
        <v>25</v>
      </c>
    </row>
    <row r="3660" spans="2:8" x14ac:dyDescent="0.2">
      <c r="B3660" s="3">
        <v>44756</v>
      </c>
      <c r="G3660" s="2">
        <f t="shared" si="57"/>
        <v>0</v>
      </c>
      <c r="H3660" t="s">
        <v>9</v>
      </c>
    </row>
    <row r="3661" spans="2:8" x14ac:dyDescent="0.2">
      <c r="B3661" s="3">
        <v>44756</v>
      </c>
      <c r="G3661" s="2">
        <f t="shared" si="57"/>
        <v>0</v>
      </c>
      <c r="H3661" t="s">
        <v>32</v>
      </c>
    </row>
    <row r="3662" spans="2:8" x14ac:dyDescent="0.2">
      <c r="B3662" s="3">
        <v>44756</v>
      </c>
      <c r="G3662" s="2">
        <f t="shared" si="57"/>
        <v>0</v>
      </c>
      <c r="H3662" s="1"/>
    </row>
    <row r="3663" spans="2:8" x14ac:dyDescent="0.2">
      <c r="B3663" s="3">
        <v>44757</v>
      </c>
      <c r="D3663" s="28"/>
      <c r="G3663" s="2">
        <f t="shared" si="57"/>
        <v>0</v>
      </c>
      <c r="H3663" t="s">
        <v>14</v>
      </c>
    </row>
    <row r="3664" spans="2:8" x14ac:dyDescent="0.2">
      <c r="B3664" s="3">
        <v>44757</v>
      </c>
      <c r="G3664" s="2">
        <f t="shared" si="57"/>
        <v>0</v>
      </c>
      <c r="H3664" t="s">
        <v>27</v>
      </c>
    </row>
    <row r="3665" spans="2:8" x14ac:dyDescent="0.2">
      <c r="B3665" s="3">
        <v>44757</v>
      </c>
      <c r="G3665" s="2">
        <f t="shared" si="57"/>
        <v>0</v>
      </c>
      <c r="H3665" t="s">
        <v>13</v>
      </c>
    </row>
    <row r="3666" spans="2:8" x14ac:dyDescent="0.2">
      <c r="B3666" s="3">
        <v>44757</v>
      </c>
      <c r="G3666" s="2">
        <f t="shared" si="57"/>
        <v>0</v>
      </c>
      <c r="H3666" t="s">
        <v>30</v>
      </c>
    </row>
    <row r="3667" spans="2:8" x14ac:dyDescent="0.2">
      <c r="B3667" s="3">
        <v>44757</v>
      </c>
      <c r="G3667" s="2">
        <f t="shared" si="57"/>
        <v>0</v>
      </c>
      <c r="H3667" t="s">
        <v>35</v>
      </c>
    </row>
    <row r="3668" spans="2:8" x14ac:dyDescent="0.2">
      <c r="B3668" s="3">
        <v>44757</v>
      </c>
      <c r="G3668" s="2">
        <f t="shared" si="57"/>
        <v>0</v>
      </c>
      <c r="H3668" t="s">
        <v>25</v>
      </c>
    </row>
    <row r="3669" spans="2:8" x14ac:dyDescent="0.2">
      <c r="B3669" s="3">
        <v>44757</v>
      </c>
      <c r="G3669" s="2">
        <f t="shared" si="57"/>
        <v>0</v>
      </c>
      <c r="H3669" t="s">
        <v>9</v>
      </c>
    </row>
    <row r="3670" spans="2:8" x14ac:dyDescent="0.2">
      <c r="B3670" s="3">
        <v>44757</v>
      </c>
      <c r="G3670" s="2">
        <f t="shared" si="57"/>
        <v>0</v>
      </c>
      <c r="H3670" t="s">
        <v>32</v>
      </c>
    </row>
    <row r="3671" spans="2:8" x14ac:dyDescent="0.2">
      <c r="B3671" s="3">
        <v>44757</v>
      </c>
      <c r="G3671" s="2">
        <f t="shared" si="57"/>
        <v>0</v>
      </c>
      <c r="H3671" s="1"/>
    </row>
    <row r="3672" spans="2:8" x14ac:dyDescent="0.2">
      <c r="B3672" s="3">
        <v>44758</v>
      </c>
      <c r="D3672" s="28"/>
      <c r="F3672" s="1">
        <v>7000</v>
      </c>
      <c r="G3672" s="2">
        <f t="shared" si="57"/>
        <v>-7000</v>
      </c>
      <c r="H3672" t="s">
        <v>14</v>
      </c>
    </row>
    <row r="3673" spans="2:8" x14ac:dyDescent="0.2">
      <c r="B3673" s="3">
        <v>44758</v>
      </c>
      <c r="F3673" s="1">
        <v>5000</v>
      </c>
      <c r="G3673" s="2">
        <f t="shared" si="57"/>
        <v>-5000</v>
      </c>
      <c r="H3673" t="s">
        <v>27</v>
      </c>
    </row>
    <row r="3674" spans="2:8" x14ac:dyDescent="0.2">
      <c r="B3674" s="3">
        <v>44758</v>
      </c>
      <c r="D3674" s="1">
        <v>2170</v>
      </c>
      <c r="E3674" s="1">
        <v>2452.5</v>
      </c>
      <c r="F3674" s="1">
        <v>3000</v>
      </c>
      <c r="G3674" s="2">
        <f t="shared" si="57"/>
        <v>-547.5</v>
      </c>
      <c r="H3674" t="s">
        <v>13</v>
      </c>
    </row>
    <row r="3675" spans="2:8" x14ac:dyDescent="0.2">
      <c r="B3675" s="3">
        <v>44758</v>
      </c>
      <c r="G3675" s="2">
        <f t="shared" si="57"/>
        <v>0</v>
      </c>
      <c r="H3675" t="s">
        <v>30</v>
      </c>
    </row>
    <row r="3676" spans="2:8" x14ac:dyDescent="0.2">
      <c r="B3676" s="3">
        <v>44758</v>
      </c>
      <c r="D3676" s="1">
        <v>1495</v>
      </c>
      <c r="E3676" s="1">
        <v>1793.5</v>
      </c>
      <c r="F3676" s="1">
        <v>7795</v>
      </c>
      <c r="G3676" s="2">
        <f t="shared" si="57"/>
        <v>-6001.5</v>
      </c>
      <c r="H3676" t="s">
        <v>35</v>
      </c>
    </row>
    <row r="3677" spans="2:8" x14ac:dyDescent="0.2">
      <c r="B3677" s="3">
        <v>44758</v>
      </c>
      <c r="G3677" s="2">
        <f t="shared" si="57"/>
        <v>0</v>
      </c>
      <c r="H3677" t="s">
        <v>25</v>
      </c>
    </row>
    <row r="3678" spans="2:8" x14ac:dyDescent="0.2">
      <c r="B3678" s="3">
        <v>44758</v>
      </c>
      <c r="G3678" s="2">
        <f t="shared" si="57"/>
        <v>0</v>
      </c>
      <c r="H3678" t="s">
        <v>9</v>
      </c>
    </row>
    <row r="3679" spans="2:8" x14ac:dyDescent="0.2">
      <c r="B3679" s="3">
        <v>44758</v>
      </c>
      <c r="G3679" s="2">
        <f t="shared" si="57"/>
        <v>0</v>
      </c>
      <c r="H3679" t="s">
        <v>32</v>
      </c>
    </row>
    <row r="3680" spans="2:8" x14ac:dyDescent="0.2">
      <c r="B3680" s="3">
        <v>44758</v>
      </c>
      <c r="D3680" s="1">
        <v>420</v>
      </c>
      <c r="E3680" s="1">
        <v>450</v>
      </c>
      <c r="F3680" s="1">
        <v>450</v>
      </c>
      <c r="G3680" s="2">
        <f t="shared" si="57"/>
        <v>0</v>
      </c>
      <c r="H3680" t="s">
        <v>39</v>
      </c>
    </row>
    <row r="3681" spans="2:8" x14ac:dyDescent="0.2">
      <c r="B3681" s="3">
        <v>44759</v>
      </c>
      <c r="D3681" s="28"/>
      <c r="G3681" s="2">
        <f t="shared" si="57"/>
        <v>0</v>
      </c>
      <c r="H3681" t="s">
        <v>14</v>
      </c>
    </row>
    <row r="3682" spans="2:8" x14ac:dyDescent="0.2">
      <c r="B3682" s="3">
        <v>44759</v>
      </c>
      <c r="G3682" s="2">
        <f t="shared" si="57"/>
        <v>0</v>
      </c>
      <c r="H3682" t="s">
        <v>27</v>
      </c>
    </row>
    <row r="3683" spans="2:8" x14ac:dyDescent="0.2">
      <c r="B3683" s="3">
        <v>44759</v>
      </c>
      <c r="G3683" s="2">
        <f t="shared" si="57"/>
        <v>0</v>
      </c>
      <c r="H3683" t="s">
        <v>13</v>
      </c>
    </row>
    <row r="3684" spans="2:8" x14ac:dyDescent="0.2">
      <c r="B3684" s="3">
        <v>44759</v>
      </c>
      <c r="D3684" s="1">
        <v>9500</v>
      </c>
      <c r="E3684" s="1">
        <v>11250</v>
      </c>
      <c r="F3684" s="1">
        <v>47007</v>
      </c>
      <c r="G3684" s="2">
        <f t="shared" si="57"/>
        <v>-35757</v>
      </c>
      <c r="H3684" t="s">
        <v>30</v>
      </c>
    </row>
    <row r="3685" spans="2:8" x14ac:dyDescent="0.2">
      <c r="B3685" s="3">
        <v>44759</v>
      </c>
      <c r="G3685" s="2">
        <f t="shared" si="57"/>
        <v>0</v>
      </c>
      <c r="H3685" t="s">
        <v>35</v>
      </c>
    </row>
    <row r="3686" spans="2:8" x14ac:dyDescent="0.2">
      <c r="B3686" s="3">
        <v>44759</v>
      </c>
      <c r="G3686" s="2">
        <f t="shared" si="57"/>
        <v>0</v>
      </c>
      <c r="H3686" t="s">
        <v>25</v>
      </c>
    </row>
    <row r="3687" spans="2:8" x14ac:dyDescent="0.2">
      <c r="B3687" s="3">
        <v>44759</v>
      </c>
      <c r="G3687" s="2">
        <f t="shared" si="57"/>
        <v>0</v>
      </c>
      <c r="H3687" t="s">
        <v>9</v>
      </c>
    </row>
    <row r="3688" spans="2:8" x14ac:dyDescent="0.2">
      <c r="B3688" s="3">
        <v>44759</v>
      </c>
      <c r="G3688" s="2">
        <f t="shared" si="57"/>
        <v>0</v>
      </c>
      <c r="H3688" t="s">
        <v>32</v>
      </c>
    </row>
    <row r="3689" spans="2:8" x14ac:dyDescent="0.2">
      <c r="B3689" s="3">
        <v>44759</v>
      </c>
      <c r="G3689" s="2">
        <f t="shared" si="57"/>
        <v>0</v>
      </c>
      <c r="H3689" s="1"/>
    </row>
    <row r="3690" spans="2:8" x14ac:dyDescent="0.2">
      <c r="B3690" s="3">
        <v>44760</v>
      </c>
      <c r="D3690" s="28">
        <v>7861.25</v>
      </c>
      <c r="E3690" s="1">
        <v>8948.75</v>
      </c>
      <c r="G3690" s="2">
        <f t="shared" si="57"/>
        <v>8948.75</v>
      </c>
      <c r="H3690" t="s">
        <v>14</v>
      </c>
    </row>
    <row r="3691" spans="2:8" x14ac:dyDescent="0.2">
      <c r="B3691" s="3">
        <v>44760</v>
      </c>
      <c r="D3691" s="1">
        <v>9987.75</v>
      </c>
      <c r="E3691" s="1">
        <v>11144.75</v>
      </c>
      <c r="G3691" s="2">
        <f t="shared" si="57"/>
        <v>11144.75</v>
      </c>
      <c r="H3691" t="s">
        <v>27</v>
      </c>
    </row>
    <row r="3692" spans="2:8" x14ac:dyDescent="0.2">
      <c r="B3692" s="3">
        <v>44760</v>
      </c>
      <c r="G3692" s="2">
        <f t="shared" si="57"/>
        <v>0</v>
      </c>
      <c r="H3692" t="s">
        <v>13</v>
      </c>
    </row>
    <row r="3693" spans="2:8" x14ac:dyDescent="0.2">
      <c r="B3693" s="3">
        <v>44760</v>
      </c>
      <c r="D3693" s="1">
        <v>1435</v>
      </c>
      <c r="E3693" s="1">
        <v>1840.6</v>
      </c>
      <c r="G3693" s="2">
        <f t="shared" si="57"/>
        <v>1840.6</v>
      </c>
      <c r="H3693" t="s">
        <v>30</v>
      </c>
    </row>
    <row r="3694" spans="2:8" x14ac:dyDescent="0.2">
      <c r="B3694" s="3">
        <v>44760</v>
      </c>
      <c r="G3694" s="2">
        <f t="shared" si="57"/>
        <v>0</v>
      </c>
      <c r="H3694" t="s">
        <v>35</v>
      </c>
    </row>
    <row r="3695" spans="2:8" x14ac:dyDescent="0.2">
      <c r="B3695" s="3">
        <v>44760</v>
      </c>
      <c r="G3695" s="2">
        <f t="shared" si="57"/>
        <v>0</v>
      </c>
      <c r="H3695" t="s">
        <v>25</v>
      </c>
    </row>
    <row r="3696" spans="2:8" x14ac:dyDescent="0.2">
      <c r="B3696" s="3">
        <v>44760</v>
      </c>
      <c r="G3696" s="2">
        <f t="shared" si="57"/>
        <v>0</v>
      </c>
      <c r="H3696" t="s">
        <v>9</v>
      </c>
    </row>
    <row r="3697" spans="2:8" x14ac:dyDescent="0.2">
      <c r="B3697" s="3">
        <v>44760</v>
      </c>
      <c r="G3697" s="2">
        <f t="shared" si="57"/>
        <v>0</v>
      </c>
      <c r="H3697" t="s">
        <v>32</v>
      </c>
    </row>
    <row r="3698" spans="2:8" x14ac:dyDescent="0.2">
      <c r="B3698" s="3">
        <v>44760</v>
      </c>
      <c r="G3698" s="2">
        <f t="shared" si="57"/>
        <v>0</v>
      </c>
      <c r="H3698" s="1"/>
    </row>
    <row r="3699" spans="2:8" x14ac:dyDescent="0.2">
      <c r="B3699" s="3">
        <v>44761</v>
      </c>
      <c r="D3699" s="28"/>
      <c r="F3699" s="1">
        <v>5000</v>
      </c>
      <c r="G3699" s="2">
        <f t="shared" si="57"/>
        <v>-5000</v>
      </c>
      <c r="H3699" t="s">
        <v>14</v>
      </c>
    </row>
    <row r="3700" spans="2:8" x14ac:dyDescent="0.2">
      <c r="B3700" s="3">
        <v>44761</v>
      </c>
      <c r="G3700" s="2">
        <f t="shared" si="57"/>
        <v>0</v>
      </c>
      <c r="H3700" t="s">
        <v>27</v>
      </c>
    </row>
    <row r="3701" spans="2:8" x14ac:dyDescent="0.2">
      <c r="B3701" s="3">
        <v>44761</v>
      </c>
      <c r="G3701" s="2">
        <f t="shared" si="57"/>
        <v>0</v>
      </c>
      <c r="H3701" t="s">
        <v>13</v>
      </c>
    </row>
    <row r="3702" spans="2:8" x14ac:dyDescent="0.2">
      <c r="B3702" s="3">
        <v>44761</v>
      </c>
      <c r="G3702" s="2">
        <f t="shared" si="57"/>
        <v>0</v>
      </c>
      <c r="H3702" t="s">
        <v>30</v>
      </c>
    </row>
    <row r="3703" spans="2:8" x14ac:dyDescent="0.2">
      <c r="B3703" s="3">
        <v>44761</v>
      </c>
      <c r="G3703" s="2">
        <f t="shared" si="57"/>
        <v>0</v>
      </c>
      <c r="H3703" t="s">
        <v>35</v>
      </c>
    </row>
    <row r="3704" spans="2:8" x14ac:dyDescent="0.2">
      <c r="B3704" s="3">
        <v>44761</v>
      </c>
      <c r="G3704" s="2">
        <f t="shared" si="57"/>
        <v>0</v>
      </c>
      <c r="H3704" t="s">
        <v>25</v>
      </c>
    </row>
    <row r="3705" spans="2:8" x14ac:dyDescent="0.2">
      <c r="B3705" s="3">
        <v>44761</v>
      </c>
      <c r="G3705" s="2">
        <f t="shared" si="57"/>
        <v>0</v>
      </c>
      <c r="H3705" t="s">
        <v>9</v>
      </c>
    </row>
    <row r="3706" spans="2:8" x14ac:dyDescent="0.2">
      <c r="B3706" s="3">
        <v>44761</v>
      </c>
      <c r="G3706" s="2">
        <f t="shared" si="57"/>
        <v>0</v>
      </c>
      <c r="H3706" t="s">
        <v>32</v>
      </c>
    </row>
    <row r="3707" spans="2:8" x14ac:dyDescent="0.2">
      <c r="B3707" s="3">
        <v>44761</v>
      </c>
      <c r="G3707" s="2">
        <f t="shared" si="57"/>
        <v>0</v>
      </c>
      <c r="H3707" s="1"/>
    </row>
    <row r="3708" spans="2:8" x14ac:dyDescent="0.2">
      <c r="B3708" s="3">
        <v>44762</v>
      </c>
      <c r="D3708" s="28"/>
      <c r="G3708" s="2">
        <f t="shared" si="57"/>
        <v>0</v>
      </c>
      <c r="H3708" t="s">
        <v>14</v>
      </c>
    </row>
    <row r="3709" spans="2:8" x14ac:dyDescent="0.2">
      <c r="B3709" s="3">
        <v>44762</v>
      </c>
      <c r="G3709" s="2">
        <f t="shared" si="57"/>
        <v>0</v>
      </c>
      <c r="H3709" t="s">
        <v>27</v>
      </c>
    </row>
    <row r="3710" spans="2:8" x14ac:dyDescent="0.2">
      <c r="B3710" s="3">
        <v>44762</v>
      </c>
      <c r="G3710" s="2">
        <f t="shared" si="57"/>
        <v>0</v>
      </c>
      <c r="H3710" t="s">
        <v>13</v>
      </c>
    </row>
    <row r="3711" spans="2:8" x14ac:dyDescent="0.2">
      <c r="B3711" s="3">
        <v>44762</v>
      </c>
      <c r="D3711" s="1">
        <v>15705.5</v>
      </c>
      <c r="E3711" s="1">
        <v>20870.55</v>
      </c>
      <c r="G3711" s="2">
        <f t="shared" si="57"/>
        <v>20870.55</v>
      </c>
      <c r="H3711" t="s">
        <v>30</v>
      </c>
    </row>
    <row r="3712" spans="2:8" x14ac:dyDescent="0.2">
      <c r="B3712" s="3">
        <v>44762</v>
      </c>
      <c r="D3712" s="1">
        <v>435</v>
      </c>
      <c r="E3712" s="1">
        <v>525</v>
      </c>
      <c r="G3712" s="2">
        <f t="shared" si="57"/>
        <v>525</v>
      </c>
      <c r="H3712" t="s">
        <v>35</v>
      </c>
    </row>
    <row r="3713" spans="2:8" x14ac:dyDescent="0.2">
      <c r="B3713" s="3">
        <v>44762</v>
      </c>
      <c r="G3713" s="2">
        <f t="shared" si="57"/>
        <v>0</v>
      </c>
      <c r="H3713" t="s">
        <v>25</v>
      </c>
    </row>
    <row r="3714" spans="2:8" x14ac:dyDescent="0.2">
      <c r="B3714" s="3">
        <v>44762</v>
      </c>
      <c r="F3714" s="1">
        <v>9000</v>
      </c>
      <c r="G3714" s="2">
        <f t="shared" si="57"/>
        <v>-9000</v>
      </c>
      <c r="H3714" t="s">
        <v>9</v>
      </c>
    </row>
    <row r="3715" spans="2:8" x14ac:dyDescent="0.2">
      <c r="B3715" s="3">
        <v>44762</v>
      </c>
      <c r="G3715" s="2">
        <f t="shared" ref="G3715:G3778" si="58">E3715-F3715</f>
        <v>0</v>
      </c>
      <c r="H3715" t="s">
        <v>32</v>
      </c>
    </row>
    <row r="3716" spans="2:8" x14ac:dyDescent="0.2">
      <c r="B3716" s="3">
        <v>44762</v>
      </c>
      <c r="G3716" s="2">
        <f t="shared" si="58"/>
        <v>0</v>
      </c>
      <c r="H3716" s="1"/>
    </row>
    <row r="3717" spans="2:8" x14ac:dyDescent="0.2">
      <c r="B3717" s="3">
        <v>44763</v>
      </c>
      <c r="D3717" s="28"/>
      <c r="G3717" s="2">
        <f t="shared" si="58"/>
        <v>0</v>
      </c>
      <c r="H3717" t="s">
        <v>14</v>
      </c>
    </row>
    <row r="3718" spans="2:8" x14ac:dyDescent="0.2">
      <c r="B3718" s="3">
        <v>44763</v>
      </c>
      <c r="F3718" s="1">
        <v>10000</v>
      </c>
      <c r="G3718" s="2">
        <f t="shared" si="58"/>
        <v>-10000</v>
      </c>
      <c r="H3718" t="s">
        <v>27</v>
      </c>
    </row>
    <row r="3719" spans="2:8" x14ac:dyDescent="0.2">
      <c r="B3719" s="3">
        <v>44763</v>
      </c>
      <c r="G3719" s="2">
        <f t="shared" si="58"/>
        <v>0</v>
      </c>
      <c r="H3719" t="s">
        <v>13</v>
      </c>
    </row>
    <row r="3720" spans="2:8" x14ac:dyDescent="0.2">
      <c r="B3720" s="3">
        <v>44763</v>
      </c>
      <c r="G3720" s="2">
        <f t="shared" si="58"/>
        <v>0</v>
      </c>
      <c r="H3720" t="s">
        <v>30</v>
      </c>
    </row>
    <row r="3721" spans="2:8" x14ac:dyDescent="0.2">
      <c r="B3721" s="3">
        <v>44763</v>
      </c>
      <c r="G3721" s="2">
        <f t="shared" si="58"/>
        <v>0</v>
      </c>
      <c r="H3721" t="s">
        <v>35</v>
      </c>
    </row>
    <row r="3722" spans="2:8" x14ac:dyDescent="0.2">
      <c r="B3722" s="3">
        <v>44763</v>
      </c>
      <c r="G3722" s="2">
        <f t="shared" si="58"/>
        <v>0</v>
      </c>
      <c r="H3722" t="s">
        <v>25</v>
      </c>
    </row>
    <row r="3723" spans="2:8" x14ac:dyDescent="0.2">
      <c r="B3723" s="3">
        <v>44763</v>
      </c>
      <c r="G3723" s="2">
        <f t="shared" si="58"/>
        <v>0</v>
      </c>
      <c r="H3723" t="s">
        <v>9</v>
      </c>
    </row>
    <row r="3724" spans="2:8" x14ac:dyDescent="0.2">
      <c r="B3724" s="3">
        <v>44763</v>
      </c>
      <c r="G3724" s="2">
        <f t="shared" si="58"/>
        <v>0</v>
      </c>
      <c r="H3724" t="s">
        <v>32</v>
      </c>
    </row>
    <row r="3725" spans="2:8" x14ac:dyDescent="0.2">
      <c r="B3725" s="3">
        <v>44763</v>
      </c>
      <c r="G3725" s="2">
        <f t="shared" si="58"/>
        <v>0</v>
      </c>
      <c r="H3725" s="1"/>
    </row>
    <row r="3726" spans="2:8" x14ac:dyDescent="0.2">
      <c r="B3726" s="3">
        <v>44764</v>
      </c>
      <c r="D3726" s="28"/>
      <c r="G3726" s="2">
        <f t="shared" si="58"/>
        <v>0</v>
      </c>
      <c r="H3726" t="s">
        <v>14</v>
      </c>
    </row>
    <row r="3727" spans="2:8" x14ac:dyDescent="0.2">
      <c r="B3727" s="3">
        <v>44764</v>
      </c>
      <c r="G3727" s="2">
        <f t="shared" si="58"/>
        <v>0</v>
      </c>
      <c r="H3727" t="s">
        <v>27</v>
      </c>
    </row>
    <row r="3728" spans="2:8" x14ac:dyDescent="0.2">
      <c r="B3728" s="3">
        <v>44764</v>
      </c>
      <c r="G3728" s="2">
        <f t="shared" si="58"/>
        <v>0</v>
      </c>
      <c r="H3728" t="s">
        <v>13</v>
      </c>
    </row>
    <row r="3729" spans="2:8" x14ac:dyDescent="0.2">
      <c r="B3729" s="3">
        <v>44764</v>
      </c>
      <c r="G3729" s="2">
        <f t="shared" si="58"/>
        <v>0</v>
      </c>
      <c r="H3729" t="s">
        <v>30</v>
      </c>
    </row>
    <row r="3730" spans="2:8" x14ac:dyDescent="0.2">
      <c r="B3730" s="3">
        <v>44764</v>
      </c>
      <c r="G3730" s="2">
        <f t="shared" si="58"/>
        <v>0</v>
      </c>
      <c r="H3730" t="s">
        <v>35</v>
      </c>
    </row>
    <row r="3731" spans="2:8" x14ac:dyDescent="0.2">
      <c r="B3731" s="3">
        <v>44764</v>
      </c>
      <c r="G3731" s="2">
        <f t="shared" si="58"/>
        <v>0</v>
      </c>
      <c r="H3731" t="s">
        <v>25</v>
      </c>
    </row>
    <row r="3732" spans="2:8" x14ac:dyDescent="0.2">
      <c r="B3732" s="3">
        <v>44764</v>
      </c>
      <c r="G3732" s="2">
        <f t="shared" si="58"/>
        <v>0</v>
      </c>
      <c r="H3732" t="s">
        <v>9</v>
      </c>
    </row>
    <row r="3733" spans="2:8" x14ac:dyDescent="0.2">
      <c r="B3733" s="3">
        <v>44764</v>
      </c>
      <c r="G3733" s="2">
        <f t="shared" si="58"/>
        <v>0</v>
      </c>
      <c r="H3733" t="s">
        <v>32</v>
      </c>
    </row>
    <row r="3734" spans="2:8" x14ac:dyDescent="0.2">
      <c r="B3734" s="3">
        <v>44764</v>
      </c>
      <c r="G3734" s="2">
        <f t="shared" si="58"/>
        <v>0</v>
      </c>
      <c r="H3734" s="1"/>
    </row>
    <row r="3735" spans="2:8" x14ac:dyDescent="0.2">
      <c r="B3735" s="3">
        <v>44765</v>
      </c>
      <c r="D3735" s="28"/>
      <c r="G3735" s="2">
        <f t="shared" si="58"/>
        <v>0</v>
      </c>
      <c r="H3735" t="s">
        <v>14</v>
      </c>
    </row>
    <row r="3736" spans="2:8" x14ac:dyDescent="0.2">
      <c r="B3736" s="3">
        <v>44765</v>
      </c>
      <c r="G3736" s="2">
        <f t="shared" si="58"/>
        <v>0</v>
      </c>
      <c r="H3736" t="s">
        <v>27</v>
      </c>
    </row>
    <row r="3737" spans="2:8" x14ac:dyDescent="0.2">
      <c r="B3737" s="3">
        <v>44765</v>
      </c>
      <c r="G3737" s="2">
        <f t="shared" si="58"/>
        <v>0</v>
      </c>
      <c r="H3737" t="s">
        <v>13</v>
      </c>
    </row>
    <row r="3738" spans="2:8" x14ac:dyDescent="0.2">
      <c r="B3738" s="3">
        <v>44765</v>
      </c>
      <c r="G3738" s="2">
        <f t="shared" si="58"/>
        <v>0</v>
      </c>
      <c r="H3738" t="s">
        <v>30</v>
      </c>
    </row>
    <row r="3739" spans="2:8" x14ac:dyDescent="0.2">
      <c r="B3739" s="3">
        <v>44765</v>
      </c>
      <c r="G3739" s="2">
        <f t="shared" si="58"/>
        <v>0</v>
      </c>
      <c r="H3739" t="s">
        <v>35</v>
      </c>
    </row>
    <row r="3740" spans="2:8" x14ac:dyDescent="0.2">
      <c r="B3740" s="3">
        <v>44765</v>
      </c>
      <c r="G3740" s="2">
        <f t="shared" si="58"/>
        <v>0</v>
      </c>
      <c r="H3740" t="s">
        <v>25</v>
      </c>
    </row>
    <row r="3741" spans="2:8" x14ac:dyDescent="0.2">
      <c r="B3741" s="3">
        <v>44765</v>
      </c>
      <c r="G3741" s="2">
        <f t="shared" si="58"/>
        <v>0</v>
      </c>
      <c r="H3741" t="s">
        <v>9</v>
      </c>
    </row>
    <row r="3742" spans="2:8" x14ac:dyDescent="0.2">
      <c r="B3742" s="3">
        <v>44765</v>
      </c>
      <c r="G3742" s="2">
        <f t="shared" si="58"/>
        <v>0</v>
      </c>
      <c r="H3742" t="s">
        <v>32</v>
      </c>
    </row>
    <row r="3743" spans="2:8" x14ac:dyDescent="0.2">
      <c r="B3743" s="3">
        <v>44765</v>
      </c>
      <c r="G3743" s="2">
        <f t="shared" si="58"/>
        <v>0</v>
      </c>
      <c r="H3743" s="1"/>
    </row>
    <row r="3744" spans="2:8" x14ac:dyDescent="0.2">
      <c r="B3744" s="3">
        <v>44766</v>
      </c>
      <c r="D3744" s="28">
        <v>9000</v>
      </c>
      <c r="E3744" s="1">
        <v>9940</v>
      </c>
      <c r="G3744" s="2">
        <f t="shared" si="58"/>
        <v>9940</v>
      </c>
      <c r="H3744" t="s">
        <v>14</v>
      </c>
    </row>
    <row r="3745" spans="2:8" x14ac:dyDescent="0.2">
      <c r="B3745" s="3">
        <v>44766</v>
      </c>
      <c r="D3745" s="1">
        <v>6800</v>
      </c>
      <c r="E3745" s="1">
        <v>7600</v>
      </c>
      <c r="G3745" s="2">
        <f t="shared" si="58"/>
        <v>7600</v>
      </c>
      <c r="H3745" t="s">
        <v>27</v>
      </c>
    </row>
    <row r="3746" spans="2:8" x14ac:dyDescent="0.2">
      <c r="B3746" s="3">
        <v>44766</v>
      </c>
      <c r="G3746" s="2">
        <f t="shared" si="58"/>
        <v>0</v>
      </c>
      <c r="H3746" t="s">
        <v>13</v>
      </c>
    </row>
    <row r="3747" spans="2:8" x14ac:dyDescent="0.2">
      <c r="B3747" s="3">
        <v>44766</v>
      </c>
      <c r="G3747" s="2">
        <f t="shared" si="58"/>
        <v>0</v>
      </c>
      <c r="H3747" t="s">
        <v>30</v>
      </c>
    </row>
    <row r="3748" spans="2:8" x14ac:dyDescent="0.2">
      <c r="B3748" s="3">
        <v>44766</v>
      </c>
      <c r="D3748" s="1">
        <v>1145</v>
      </c>
      <c r="E3748" s="1">
        <v>1395</v>
      </c>
      <c r="G3748" s="2">
        <f t="shared" si="58"/>
        <v>1395</v>
      </c>
      <c r="H3748" t="s">
        <v>35</v>
      </c>
    </row>
    <row r="3749" spans="2:8" x14ac:dyDescent="0.2">
      <c r="B3749" s="3">
        <v>44766</v>
      </c>
      <c r="G3749" s="2">
        <f t="shared" si="58"/>
        <v>0</v>
      </c>
      <c r="H3749" t="s">
        <v>25</v>
      </c>
    </row>
    <row r="3750" spans="2:8" x14ac:dyDescent="0.2">
      <c r="B3750" s="3">
        <v>44766</v>
      </c>
      <c r="G3750" s="2">
        <f t="shared" si="58"/>
        <v>0</v>
      </c>
      <c r="H3750" t="s">
        <v>9</v>
      </c>
    </row>
    <row r="3751" spans="2:8" x14ac:dyDescent="0.2">
      <c r="B3751" s="3">
        <v>44766</v>
      </c>
      <c r="G3751" s="2">
        <f t="shared" si="58"/>
        <v>0</v>
      </c>
      <c r="H3751" t="s">
        <v>32</v>
      </c>
    </row>
    <row r="3752" spans="2:8" x14ac:dyDescent="0.2">
      <c r="B3752" s="3">
        <v>44766</v>
      </c>
      <c r="G3752" s="2">
        <f t="shared" si="58"/>
        <v>0</v>
      </c>
      <c r="H3752" s="1"/>
    </row>
    <row r="3753" spans="2:8" x14ac:dyDescent="0.2">
      <c r="B3753" s="3">
        <v>44767</v>
      </c>
      <c r="D3753" s="28"/>
      <c r="G3753" s="2">
        <f t="shared" si="58"/>
        <v>0</v>
      </c>
      <c r="H3753" t="s">
        <v>14</v>
      </c>
    </row>
    <row r="3754" spans="2:8" x14ac:dyDescent="0.2">
      <c r="B3754" s="3">
        <v>44767</v>
      </c>
      <c r="G3754" s="2">
        <f t="shared" si="58"/>
        <v>0</v>
      </c>
      <c r="H3754" t="s">
        <v>27</v>
      </c>
    </row>
    <row r="3755" spans="2:8" x14ac:dyDescent="0.2">
      <c r="B3755" s="3">
        <v>44767</v>
      </c>
      <c r="G3755" s="2">
        <f t="shared" si="58"/>
        <v>0</v>
      </c>
      <c r="H3755" t="s">
        <v>13</v>
      </c>
    </row>
    <row r="3756" spans="2:8" x14ac:dyDescent="0.2">
      <c r="B3756" s="3">
        <v>44767</v>
      </c>
      <c r="G3756" s="2">
        <f t="shared" si="58"/>
        <v>0</v>
      </c>
      <c r="H3756" t="s">
        <v>30</v>
      </c>
    </row>
    <row r="3757" spans="2:8" x14ac:dyDescent="0.2">
      <c r="B3757" s="3">
        <v>44767</v>
      </c>
      <c r="G3757" s="2">
        <f t="shared" si="58"/>
        <v>0</v>
      </c>
      <c r="H3757" t="s">
        <v>35</v>
      </c>
    </row>
    <row r="3758" spans="2:8" x14ac:dyDescent="0.2">
      <c r="B3758" s="3">
        <v>44767</v>
      </c>
      <c r="G3758" s="2">
        <f t="shared" si="58"/>
        <v>0</v>
      </c>
      <c r="H3758" t="s">
        <v>25</v>
      </c>
    </row>
    <row r="3759" spans="2:8" x14ac:dyDescent="0.2">
      <c r="B3759" s="3">
        <v>44767</v>
      </c>
      <c r="G3759" s="2">
        <f t="shared" si="58"/>
        <v>0</v>
      </c>
      <c r="H3759" t="s">
        <v>9</v>
      </c>
    </row>
    <row r="3760" spans="2:8" x14ac:dyDescent="0.2">
      <c r="B3760" s="3">
        <v>44767</v>
      </c>
      <c r="G3760" s="2">
        <f t="shared" si="58"/>
        <v>0</v>
      </c>
      <c r="H3760" t="s">
        <v>32</v>
      </c>
    </row>
    <row r="3761" spans="2:8" x14ac:dyDescent="0.2">
      <c r="B3761" s="3">
        <v>44767</v>
      </c>
      <c r="G3761" s="2">
        <f t="shared" si="58"/>
        <v>0</v>
      </c>
      <c r="H3761" s="1"/>
    </row>
    <row r="3762" spans="2:8" x14ac:dyDescent="0.2">
      <c r="B3762" s="3">
        <v>44768</v>
      </c>
      <c r="D3762" s="28"/>
      <c r="G3762" s="2">
        <f t="shared" si="58"/>
        <v>0</v>
      </c>
      <c r="H3762" t="s">
        <v>14</v>
      </c>
    </row>
    <row r="3763" spans="2:8" x14ac:dyDescent="0.2">
      <c r="B3763" s="3">
        <v>44768</v>
      </c>
      <c r="G3763" s="2">
        <f t="shared" si="58"/>
        <v>0</v>
      </c>
      <c r="H3763" t="s">
        <v>27</v>
      </c>
    </row>
    <row r="3764" spans="2:8" x14ac:dyDescent="0.2">
      <c r="B3764" s="3">
        <v>44768</v>
      </c>
      <c r="G3764" s="2">
        <f t="shared" si="58"/>
        <v>0</v>
      </c>
      <c r="H3764" t="s">
        <v>13</v>
      </c>
    </row>
    <row r="3765" spans="2:8" x14ac:dyDescent="0.2">
      <c r="B3765" s="3">
        <v>44768</v>
      </c>
      <c r="G3765" s="2">
        <f t="shared" si="58"/>
        <v>0</v>
      </c>
      <c r="H3765" t="s">
        <v>30</v>
      </c>
    </row>
    <row r="3766" spans="2:8" x14ac:dyDescent="0.2">
      <c r="B3766" s="3">
        <v>44768</v>
      </c>
      <c r="G3766" s="2">
        <f t="shared" si="58"/>
        <v>0</v>
      </c>
      <c r="H3766" t="s">
        <v>35</v>
      </c>
    </row>
    <row r="3767" spans="2:8" x14ac:dyDescent="0.2">
      <c r="B3767" s="3">
        <v>44768</v>
      </c>
      <c r="G3767" s="2">
        <f t="shared" si="58"/>
        <v>0</v>
      </c>
      <c r="H3767" t="s">
        <v>25</v>
      </c>
    </row>
    <row r="3768" spans="2:8" x14ac:dyDescent="0.2">
      <c r="B3768" s="3">
        <v>44768</v>
      </c>
      <c r="G3768" s="2">
        <f t="shared" si="58"/>
        <v>0</v>
      </c>
      <c r="H3768" t="s">
        <v>9</v>
      </c>
    </row>
    <row r="3769" spans="2:8" x14ac:dyDescent="0.2">
      <c r="B3769" s="3">
        <v>44768</v>
      </c>
      <c r="G3769" s="2">
        <f t="shared" si="58"/>
        <v>0</v>
      </c>
      <c r="H3769" t="s">
        <v>32</v>
      </c>
    </row>
    <row r="3770" spans="2:8" x14ac:dyDescent="0.2">
      <c r="B3770" s="3">
        <v>44768</v>
      </c>
      <c r="G3770" s="2">
        <f t="shared" si="58"/>
        <v>0</v>
      </c>
      <c r="H3770" s="1"/>
    </row>
    <row r="3771" spans="2:8" x14ac:dyDescent="0.2">
      <c r="B3771" s="3">
        <v>44769</v>
      </c>
      <c r="D3771" s="28">
        <v>2175</v>
      </c>
      <c r="E3771" s="1">
        <v>2420</v>
      </c>
      <c r="F3771" s="1">
        <v>7000</v>
      </c>
      <c r="G3771" s="2">
        <f t="shared" si="58"/>
        <v>-4580</v>
      </c>
      <c r="H3771" t="s">
        <v>14</v>
      </c>
    </row>
    <row r="3772" spans="2:8" x14ac:dyDescent="0.2">
      <c r="B3772" s="3">
        <v>44769</v>
      </c>
      <c r="G3772" s="2">
        <f t="shared" si="58"/>
        <v>0</v>
      </c>
      <c r="H3772" t="s">
        <v>27</v>
      </c>
    </row>
    <row r="3773" spans="2:8" x14ac:dyDescent="0.2">
      <c r="B3773" s="3">
        <v>44769</v>
      </c>
      <c r="D3773" s="1">
        <v>4676.5</v>
      </c>
      <c r="E3773" s="1">
        <v>5487.5</v>
      </c>
      <c r="G3773" s="2">
        <f t="shared" si="58"/>
        <v>5487.5</v>
      </c>
      <c r="H3773" t="s">
        <v>13</v>
      </c>
    </row>
    <row r="3774" spans="2:8" x14ac:dyDescent="0.2">
      <c r="B3774" s="3">
        <v>44769</v>
      </c>
      <c r="D3774" s="1">
        <v>275</v>
      </c>
      <c r="E3774" s="1">
        <v>356.25</v>
      </c>
      <c r="G3774" s="2">
        <f t="shared" si="58"/>
        <v>356.25</v>
      </c>
      <c r="H3774" t="s">
        <v>30</v>
      </c>
    </row>
    <row r="3775" spans="2:8" x14ac:dyDescent="0.2">
      <c r="B3775" s="3">
        <v>44769</v>
      </c>
      <c r="F3775" s="1">
        <v>1920</v>
      </c>
      <c r="G3775" s="2">
        <f t="shared" si="58"/>
        <v>-1920</v>
      </c>
      <c r="H3775" t="s">
        <v>35</v>
      </c>
    </row>
    <row r="3776" spans="2:8" x14ac:dyDescent="0.2">
      <c r="B3776" s="3">
        <v>44769</v>
      </c>
      <c r="G3776" s="2">
        <f t="shared" si="58"/>
        <v>0</v>
      </c>
      <c r="H3776" t="s">
        <v>25</v>
      </c>
    </row>
    <row r="3777" spans="2:8" x14ac:dyDescent="0.2">
      <c r="B3777" s="3">
        <v>44769</v>
      </c>
      <c r="G3777" s="2">
        <f t="shared" si="58"/>
        <v>0</v>
      </c>
      <c r="H3777" t="s">
        <v>9</v>
      </c>
    </row>
    <row r="3778" spans="2:8" x14ac:dyDescent="0.2">
      <c r="B3778" s="3">
        <v>44769</v>
      </c>
      <c r="G3778" s="2">
        <f t="shared" si="58"/>
        <v>0</v>
      </c>
      <c r="H3778" t="s">
        <v>32</v>
      </c>
    </row>
    <row r="3779" spans="2:8" x14ac:dyDescent="0.2">
      <c r="B3779" s="3">
        <v>44769</v>
      </c>
      <c r="G3779" s="2">
        <f t="shared" ref="G3779:G3842" si="59">E3779-F3779</f>
        <v>0</v>
      </c>
      <c r="H3779" s="1"/>
    </row>
    <row r="3780" spans="2:8" x14ac:dyDescent="0.2">
      <c r="B3780" s="3">
        <v>44770</v>
      </c>
      <c r="D3780" s="28">
        <v>17000</v>
      </c>
      <c r="E3780" s="1">
        <v>18500</v>
      </c>
      <c r="G3780" s="2">
        <f t="shared" si="59"/>
        <v>18500</v>
      </c>
      <c r="H3780" t="s">
        <v>14</v>
      </c>
    </row>
    <row r="3781" spans="2:8" x14ac:dyDescent="0.2">
      <c r="B3781" s="3">
        <v>44770</v>
      </c>
      <c r="F3781" s="1">
        <v>5000</v>
      </c>
      <c r="G3781" s="2">
        <f t="shared" si="59"/>
        <v>-5000</v>
      </c>
      <c r="H3781" t="s">
        <v>27</v>
      </c>
    </row>
    <row r="3782" spans="2:8" x14ac:dyDescent="0.2">
      <c r="B3782" s="3">
        <v>44770</v>
      </c>
      <c r="D3782" s="1">
        <v>270</v>
      </c>
      <c r="E3782" s="1">
        <v>350</v>
      </c>
      <c r="F3782" s="1">
        <v>3000</v>
      </c>
      <c r="G3782" s="2">
        <f t="shared" si="59"/>
        <v>-2650</v>
      </c>
      <c r="H3782" t="s">
        <v>13</v>
      </c>
    </row>
    <row r="3783" spans="2:8" x14ac:dyDescent="0.2">
      <c r="B3783" s="3">
        <v>44770</v>
      </c>
      <c r="G3783" s="2">
        <f t="shared" si="59"/>
        <v>0</v>
      </c>
      <c r="H3783" t="s">
        <v>30</v>
      </c>
    </row>
    <row r="3784" spans="2:8" x14ac:dyDescent="0.2">
      <c r="B3784" s="3">
        <v>44770</v>
      </c>
      <c r="G3784" s="2">
        <f t="shared" si="59"/>
        <v>0</v>
      </c>
      <c r="H3784" t="s">
        <v>35</v>
      </c>
    </row>
    <row r="3785" spans="2:8" x14ac:dyDescent="0.2">
      <c r="B3785" s="3">
        <v>44770</v>
      </c>
      <c r="F3785" s="1">
        <v>2000</v>
      </c>
      <c r="G3785" s="2">
        <f t="shared" si="59"/>
        <v>-2000</v>
      </c>
      <c r="H3785" t="s">
        <v>25</v>
      </c>
    </row>
    <row r="3786" spans="2:8" x14ac:dyDescent="0.2">
      <c r="B3786" s="3">
        <v>44770</v>
      </c>
      <c r="G3786" s="2">
        <f t="shared" si="59"/>
        <v>0</v>
      </c>
      <c r="H3786" t="s">
        <v>9</v>
      </c>
    </row>
    <row r="3787" spans="2:8" x14ac:dyDescent="0.2">
      <c r="B3787" s="3">
        <v>44770</v>
      </c>
      <c r="G3787" s="2">
        <f t="shared" si="59"/>
        <v>0</v>
      </c>
      <c r="H3787" t="s">
        <v>32</v>
      </c>
    </row>
    <row r="3788" spans="2:8" x14ac:dyDescent="0.2">
      <c r="B3788" s="3">
        <v>44770</v>
      </c>
      <c r="G3788" s="2">
        <f t="shared" si="59"/>
        <v>0</v>
      </c>
      <c r="H3788" s="1"/>
    </row>
    <row r="3789" spans="2:8" x14ac:dyDescent="0.2">
      <c r="B3789" s="3">
        <v>44771</v>
      </c>
      <c r="D3789" s="28"/>
      <c r="G3789" s="2">
        <f t="shared" si="59"/>
        <v>0</v>
      </c>
      <c r="H3789" t="s">
        <v>14</v>
      </c>
    </row>
    <row r="3790" spans="2:8" x14ac:dyDescent="0.2">
      <c r="B3790" s="3">
        <v>44771</v>
      </c>
      <c r="G3790" s="2">
        <f t="shared" si="59"/>
        <v>0</v>
      </c>
      <c r="H3790" t="s">
        <v>27</v>
      </c>
    </row>
    <row r="3791" spans="2:8" x14ac:dyDescent="0.2">
      <c r="B3791" s="3">
        <v>44771</v>
      </c>
      <c r="G3791" s="2">
        <f t="shared" si="59"/>
        <v>0</v>
      </c>
      <c r="H3791" t="s">
        <v>13</v>
      </c>
    </row>
    <row r="3792" spans="2:8" x14ac:dyDescent="0.2">
      <c r="B3792" s="3">
        <v>44771</v>
      </c>
      <c r="G3792" s="2">
        <f t="shared" si="59"/>
        <v>0</v>
      </c>
      <c r="H3792" t="s">
        <v>30</v>
      </c>
    </row>
    <row r="3793" spans="2:8" x14ac:dyDescent="0.2">
      <c r="B3793" s="3">
        <v>44771</v>
      </c>
      <c r="G3793" s="2">
        <f t="shared" si="59"/>
        <v>0</v>
      </c>
      <c r="H3793" t="s">
        <v>35</v>
      </c>
    </row>
    <row r="3794" spans="2:8" x14ac:dyDescent="0.2">
      <c r="B3794" s="3">
        <v>44771</v>
      </c>
      <c r="G3794" s="2">
        <f t="shared" si="59"/>
        <v>0</v>
      </c>
      <c r="H3794" t="s">
        <v>25</v>
      </c>
    </row>
    <row r="3795" spans="2:8" x14ac:dyDescent="0.2">
      <c r="B3795" s="3">
        <v>44771</v>
      </c>
      <c r="G3795" s="2">
        <f t="shared" si="59"/>
        <v>0</v>
      </c>
      <c r="H3795" t="s">
        <v>9</v>
      </c>
    </row>
    <row r="3796" spans="2:8" x14ac:dyDescent="0.2">
      <c r="B3796" s="3">
        <v>44771</v>
      </c>
      <c r="G3796" s="2">
        <f t="shared" si="59"/>
        <v>0</v>
      </c>
      <c r="H3796" t="s">
        <v>32</v>
      </c>
    </row>
    <row r="3797" spans="2:8" x14ac:dyDescent="0.2">
      <c r="B3797" s="3">
        <v>44771</v>
      </c>
      <c r="G3797" s="2">
        <f t="shared" si="59"/>
        <v>0</v>
      </c>
      <c r="H3797" s="1"/>
    </row>
    <row r="3798" spans="2:8" x14ac:dyDescent="0.2">
      <c r="B3798" s="3">
        <v>44772</v>
      </c>
      <c r="D3798" s="28"/>
      <c r="G3798" s="2">
        <f t="shared" si="59"/>
        <v>0</v>
      </c>
      <c r="H3798" t="s">
        <v>14</v>
      </c>
    </row>
    <row r="3799" spans="2:8" x14ac:dyDescent="0.2">
      <c r="B3799" s="3">
        <v>44772</v>
      </c>
      <c r="G3799" s="2">
        <f t="shared" si="59"/>
        <v>0</v>
      </c>
      <c r="H3799" t="s">
        <v>27</v>
      </c>
    </row>
    <row r="3800" spans="2:8" x14ac:dyDescent="0.2">
      <c r="B3800" s="3">
        <v>44772</v>
      </c>
      <c r="G3800" s="2">
        <f t="shared" si="59"/>
        <v>0</v>
      </c>
      <c r="H3800" t="s">
        <v>13</v>
      </c>
    </row>
    <row r="3801" spans="2:8" x14ac:dyDescent="0.2">
      <c r="B3801" s="3">
        <v>44772</v>
      </c>
      <c r="D3801" s="1">
        <v>10441.75</v>
      </c>
      <c r="E3801" s="1">
        <v>14180.46</v>
      </c>
      <c r="G3801" s="2">
        <f t="shared" si="59"/>
        <v>14180.46</v>
      </c>
      <c r="H3801" t="s">
        <v>30</v>
      </c>
    </row>
    <row r="3802" spans="2:8" x14ac:dyDescent="0.2">
      <c r="B3802" s="3">
        <v>44772</v>
      </c>
      <c r="G3802" s="2">
        <f t="shared" si="59"/>
        <v>0</v>
      </c>
      <c r="H3802" t="s">
        <v>35</v>
      </c>
    </row>
    <row r="3803" spans="2:8" x14ac:dyDescent="0.2">
      <c r="B3803" s="3">
        <v>44772</v>
      </c>
      <c r="G3803" s="2">
        <f t="shared" si="59"/>
        <v>0</v>
      </c>
      <c r="H3803" t="s">
        <v>25</v>
      </c>
    </row>
    <row r="3804" spans="2:8" x14ac:dyDescent="0.2">
      <c r="B3804" s="3">
        <v>44772</v>
      </c>
      <c r="G3804" s="2">
        <f t="shared" si="59"/>
        <v>0</v>
      </c>
      <c r="H3804" t="s">
        <v>9</v>
      </c>
    </row>
    <row r="3805" spans="2:8" x14ac:dyDescent="0.2">
      <c r="B3805" s="3">
        <v>44772</v>
      </c>
      <c r="G3805" s="2">
        <f t="shared" si="59"/>
        <v>0</v>
      </c>
      <c r="H3805" t="s">
        <v>32</v>
      </c>
    </row>
    <row r="3806" spans="2:8" x14ac:dyDescent="0.2">
      <c r="B3806" s="3">
        <v>44772</v>
      </c>
      <c r="G3806" s="2">
        <f t="shared" si="59"/>
        <v>0</v>
      </c>
      <c r="H3806" s="1"/>
    </row>
    <row r="3807" spans="2:8" x14ac:dyDescent="0.2">
      <c r="B3807" s="3">
        <v>44773</v>
      </c>
      <c r="D3807" s="28"/>
      <c r="G3807" s="2">
        <f t="shared" si="59"/>
        <v>0</v>
      </c>
      <c r="H3807" t="s">
        <v>14</v>
      </c>
    </row>
    <row r="3808" spans="2:8" x14ac:dyDescent="0.2">
      <c r="B3808" s="3">
        <v>44773</v>
      </c>
      <c r="G3808" s="2">
        <f t="shared" si="59"/>
        <v>0</v>
      </c>
      <c r="H3808" t="s">
        <v>27</v>
      </c>
    </row>
    <row r="3809" spans="2:8" x14ac:dyDescent="0.2">
      <c r="B3809" s="3">
        <v>44773</v>
      </c>
      <c r="F3809" s="1">
        <v>3000</v>
      </c>
      <c r="G3809" s="2">
        <f t="shared" si="59"/>
        <v>-3000</v>
      </c>
      <c r="H3809" t="s">
        <v>13</v>
      </c>
    </row>
    <row r="3810" spans="2:8" x14ac:dyDescent="0.2">
      <c r="B3810" s="3">
        <v>44773</v>
      </c>
      <c r="G3810" s="2">
        <f t="shared" si="59"/>
        <v>0</v>
      </c>
      <c r="H3810" t="s">
        <v>30</v>
      </c>
    </row>
    <row r="3811" spans="2:8" x14ac:dyDescent="0.2">
      <c r="B3811" s="3">
        <v>44773</v>
      </c>
      <c r="G3811" s="2">
        <f t="shared" si="59"/>
        <v>0</v>
      </c>
      <c r="H3811" t="s">
        <v>35</v>
      </c>
    </row>
    <row r="3812" spans="2:8" x14ac:dyDescent="0.2">
      <c r="B3812" s="3">
        <v>44773</v>
      </c>
      <c r="G3812" s="2">
        <f t="shared" si="59"/>
        <v>0</v>
      </c>
      <c r="H3812" t="s">
        <v>25</v>
      </c>
    </row>
    <row r="3813" spans="2:8" x14ac:dyDescent="0.2">
      <c r="B3813" s="3">
        <v>44773</v>
      </c>
      <c r="G3813" s="2">
        <f t="shared" si="59"/>
        <v>0</v>
      </c>
      <c r="H3813" t="s">
        <v>9</v>
      </c>
    </row>
    <row r="3814" spans="2:8" x14ac:dyDescent="0.2">
      <c r="B3814" s="3">
        <v>44773</v>
      </c>
      <c r="G3814" s="2">
        <f t="shared" si="59"/>
        <v>0</v>
      </c>
      <c r="H3814" t="s">
        <v>32</v>
      </c>
    </row>
    <row r="3815" spans="2:8" x14ac:dyDescent="0.2">
      <c r="B3815" s="3">
        <v>44773</v>
      </c>
      <c r="G3815" s="2">
        <f t="shared" si="59"/>
        <v>0</v>
      </c>
      <c r="H3815" s="1"/>
    </row>
    <row r="3816" spans="2:8" x14ac:dyDescent="0.2">
      <c r="B3816" s="3">
        <v>44774</v>
      </c>
      <c r="D3816" s="28"/>
      <c r="F3816" s="1">
        <v>5000</v>
      </c>
      <c r="G3816" s="2">
        <f t="shared" si="59"/>
        <v>-5000</v>
      </c>
      <c r="H3816" t="s">
        <v>14</v>
      </c>
    </row>
    <row r="3817" spans="2:8" x14ac:dyDescent="0.2">
      <c r="B3817" s="3">
        <v>44774</v>
      </c>
      <c r="G3817" s="2">
        <f t="shared" si="59"/>
        <v>0</v>
      </c>
      <c r="H3817" t="s">
        <v>27</v>
      </c>
    </row>
    <row r="3818" spans="2:8" x14ac:dyDescent="0.2">
      <c r="B3818" s="3">
        <v>44774</v>
      </c>
      <c r="G3818" s="2">
        <f t="shared" si="59"/>
        <v>0</v>
      </c>
      <c r="H3818" t="s">
        <v>13</v>
      </c>
    </row>
    <row r="3819" spans="2:8" x14ac:dyDescent="0.2">
      <c r="B3819" s="3">
        <v>44774</v>
      </c>
      <c r="D3819" s="1">
        <v>6721.5</v>
      </c>
      <c r="E3819" s="1">
        <v>8937.6</v>
      </c>
      <c r="G3819" s="2">
        <f t="shared" si="59"/>
        <v>8937.6</v>
      </c>
      <c r="H3819" t="s">
        <v>30</v>
      </c>
    </row>
    <row r="3820" spans="2:8" x14ac:dyDescent="0.2">
      <c r="B3820" s="3">
        <v>44774</v>
      </c>
      <c r="D3820" s="1">
        <v>770</v>
      </c>
      <c r="E3820" s="1">
        <v>920</v>
      </c>
      <c r="G3820" s="2">
        <f t="shared" si="59"/>
        <v>920</v>
      </c>
      <c r="H3820" t="s">
        <v>35</v>
      </c>
    </row>
    <row r="3821" spans="2:8" x14ac:dyDescent="0.2">
      <c r="B3821" s="3">
        <v>44774</v>
      </c>
      <c r="G3821" s="2">
        <f t="shared" si="59"/>
        <v>0</v>
      </c>
      <c r="H3821" t="s">
        <v>25</v>
      </c>
    </row>
    <row r="3822" spans="2:8" x14ac:dyDescent="0.2">
      <c r="B3822" s="3">
        <v>44774</v>
      </c>
      <c r="G3822" s="2">
        <f t="shared" si="59"/>
        <v>0</v>
      </c>
      <c r="H3822" t="s">
        <v>9</v>
      </c>
    </row>
    <row r="3823" spans="2:8" x14ac:dyDescent="0.2">
      <c r="B3823" s="3">
        <v>44774</v>
      </c>
      <c r="G3823" s="2">
        <f t="shared" si="59"/>
        <v>0</v>
      </c>
      <c r="H3823" t="s">
        <v>32</v>
      </c>
    </row>
    <row r="3824" spans="2:8" x14ac:dyDescent="0.2">
      <c r="B3824" s="3">
        <v>44774</v>
      </c>
      <c r="G3824" s="2">
        <f t="shared" si="59"/>
        <v>0</v>
      </c>
      <c r="H3824" s="1"/>
    </row>
    <row r="3825" spans="2:8" x14ac:dyDescent="0.2">
      <c r="B3825" s="3">
        <v>44775</v>
      </c>
      <c r="D3825" s="28"/>
      <c r="G3825" s="2">
        <f t="shared" si="59"/>
        <v>0</v>
      </c>
      <c r="H3825" t="s">
        <v>14</v>
      </c>
    </row>
    <row r="3826" spans="2:8" x14ac:dyDescent="0.2">
      <c r="B3826" s="3">
        <v>44775</v>
      </c>
      <c r="G3826" s="2">
        <f t="shared" si="59"/>
        <v>0</v>
      </c>
      <c r="H3826" t="s">
        <v>27</v>
      </c>
    </row>
    <row r="3827" spans="2:8" x14ac:dyDescent="0.2">
      <c r="B3827" s="3">
        <v>44775</v>
      </c>
      <c r="D3827" s="1">
        <v>2744</v>
      </c>
      <c r="E3827" s="1">
        <v>3194</v>
      </c>
      <c r="G3827" s="2">
        <f t="shared" si="59"/>
        <v>3194</v>
      </c>
      <c r="H3827" t="s">
        <v>13</v>
      </c>
    </row>
    <row r="3828" spans="2:8" x14ac:dyDescent="0.2">
      <c r="B3828" s="3">
        <v>44775</v>
      </c>
      <c r="D3828" s="1">
        <v>4120</v>
      </c>
      <c r="E3828" s="1">
        <v>5586</v>
      </c>
      <c r="G3828" s="2">
        <f t="shared" si="59"/>
        <v>5586</v>
      </c>
      <c r="H3828" t="s">
        <v>30</v>
      </c>
    </row>
    <row r="3829" spans="2:8" x14ac:dyDescent="0.2">
      <c r="B3829" s="3">
        <v>44775</v>
      </c>
      <c r="D3829" s="1">
        <v>365</v>
      </c>
      <c r="E3829" s="1">
        <v>415</v>
      </c>
      <c r="G3829" s="2">
        <f t="shared" si="59"/>
        <v>415</v>
      </c>
      <c r="H3829" t="s">
        <v>35</v>
      </c>
    </row>
    <row r="3830" spans="2:8" x14ac:dyDescent="0.2">
      <c r="B3830" s="3">
        <v>44775</v>
      </c>
      <c r="G3830" s="2">
        <f t="shared" si="59"/>
        <v>0</v>
      </c>
      <c r="H3830" t="s">
        <v>25</v>
      </c>
    </row>
    <row r="3831" spans="2:8" x14ac:dyDescent="0.2">
      <c r="B3831" s="3">
        <v>44775</v>
      </c>
      <c r="G3831" s="2">
        <f t="shared" si="59"/>
        <v>0</v>
      </c>
      <c r="H3831" t="s">
        <v>9</v>
      </c>
    </row>
    <row r="3832" spans="2:8" x14ac:dyDescent="0.2">
      <c r="B3832" s="3">
        <v>44775</v>
      </c>
      <c r="G3832" s="2">
        <f t="shared" si="59"/>
        <v>0</v>
      </c>
      <c r="H3832" t="s">
        <v>32</v>
      </c>
    </row>
    <row r="3833" spans="2:8" x14ac:dyDescent="0.2">
      <c r="B3833" s="3">
        <v>44775</v>
      </c>
      <c r="G3833" s="2">
        <f t="shared" si="59"/>
        <v>0</v>
      </c>
      <c r="H3833" s="1"/>
    </row>
    <row r="3834" spans="2:8" x14ac:dyDescent="0.2">
      <c r="B3834" s="3">
        <v>44776</v>
      </c>
      <c r="D3834" s="28"/>
      <c r="G3834" s="2">
        <f t="shared" si="59"/>
        <v>0</v>
      </c>
      <c r="H3834" t="s">
        <v>14</v>
      </c>
    </row>
    <row r="3835" spans="2:8" x14ac:dyDescent="0.2">
      <c r="B3835" s="3">
        <v>44776</v>
      </c>
      <c r="G3835" s="2">
        <f t="shared" si="59"/>
        <v>0</v>
      </c>
      <c r="H3835" t="s">
        <v>27</v>
      </c>
    </row>
    <row r="3836" spans="2:8" x14ac:dyDescent="0.2">
      <c r="B3836" s="3">
        <v>44776</v>
      </c>
      <c r="F3836" s="1">
        <v>3000</v>
      </c>
      <c r="G3836" s="2">
        <f t="shared" si="59"/>
        <v>-3000</v>
      </c>
      <c r="H3836" t="s">
        <v>13</v>
      </c>
    </row>
    <row r="3837" spans="2:8" x14ac:dyDescent="0.2">
      <c r="B3837" s="3">
        <v>44776</v>
      </c>
      <c r="G3837" s="2">
        <f t="shared" si="59"/>
        <v>0</v>
      </c>
      <c r="H3837" t="s">
        <v>30</v>
      </c>
    </row>
    <row r="3838" spans="2:8" x14ac:dyDescent="0.2">
      <c r="B3838" s="3">
        <v>44776</v>
      </c>
      <c r="G3838" s="2">
        <f t="shared" si="59"/>
        <v>0</v>
      </c>
      <c r="H3838" t="s">
        <v>35</v>
      </c>
    </row>
    <row r="3839" spans="2:8" x14ac:dyDescent="0.2">
      <c r="B3839" s="3">
        <v>44776</v>
      </c>
      <c r="G3839" s="2">
        <f t="shared" si="59"/>
        <v>0</v>
      </c>
      <c r="H3839" t="s">
        <v>25</v>
      </c>
    </row>
    <row r="3840" spans="2:8" x14ac:dyDescent="0.2">
      <c r="B3840" s="3">
        <v>44776</v>
      </c>
      <c r="G3840" s="2">
        <f t="shared" si="59"/>
        <v>0</v>
      </c>
      <c r="H3840" t="s">
        <v>9</v>
      </c>
    </row>
    <row r="3841" spans="2:8" x14ac:dyDescent="0.2">
      <c r="B3841" s="3">
        <v>44776</v>
      </c>
      <c r="G3841" s="2">
        <f t="shared" si="59"/>
        <v>0</v>
      </c>
      <c r="H3841" t="s">
        <v>32</v>
      </c>
    </row>
    <row r="3842" spans="2:8" x14ac:dyDescent="0.2">
      <c r="B3842" s="3">
        <v>44776</v>
      </c>
      <c r="F3842" s="1">
        <v>400</v>
      </c>
      <c r="G3842" s="2">
        <f t="shared" si="59"/>
        <v>-400</v>
      </c>
      <c r="H3842" s="1" t="s">
        <v>78</v>
      </c>
    </row>
    <row r="3843" spans="2:8" x14ac:dyDescent="0.2">
      <c r="B3843" s="3">
        <v>44777</v>
      </c>
      <c r="D3843" s="28"/>
      <c r="G3843" s="2">
        <f t="shared" ref="G3843:G3906" si="60">E3843-F3843</f>
        <v>0</v>
      </c>
      <c r="H3843" t="s">
        <v>14</v>
      </c>
    </row>
    <row r="3844" spans="2:8" x14ac:dyDescent="0.2">
      <c r="B3844" s="3">
        <v>44777</v>
      </c>
      <c r="G3844" s="2">
        <f t="shared" si="60"/>
        <v>0</v>
      </c>
      <c r="H3844" t="s">
        <v>27</v>
      </c>
    </row>
    <row r="3845" spans="2:8" x14ac:dyDescent="0.2">
      <c r="B3845" s="3">
        <v>44777</v>
      </c>
      <c r="G3845" s="2">
        <f t="shared" si="60"/>
        <v>0</v>
      </c>
      <c r="H3845" t="s">
        <v>13</v>
      </c>
    </row>
    <row r="3846" spans="2:8" x14ac:dyDescent="0.2">
      <c r="B3846" s="3">
        <v>44777</v>
      </c>
      <c r="G3846" s="2">
        <f t="shared" si="60"/>
        <v>0</v>
      </c>
      <c r="H3846" t="s">
        <v>30</v>
      </c>
    </row>
    <row r="3847" spans="2:8" x14ac:dyDescent="0.2">
      <c r="B3847" s="3">
        <v>44777</v>
      </c>
      <c r="G3847" s="2">
        <f t="shared" si="60"/>
        <v>0</v>
      </c>
      <c r="H3847" t="s">
        <v>35</v>
      </c>
    </row>
    <row r="3848" spans="2:8" x14ac:dyDescent="0.2">
      <c r="B3848" s="3">
        <v>44777</v>
      </c>
      <c r="G3848" s="2">
        <f t="shared" si="60"/>
        <v>0</v>
      </c>
      <c r="H3848" t="s">
        <v>25</v>
      </c>
    </row>
    <row r="3849" spans="2:8" x14ac:dyDescent="0.2">
      <c r="B3849" s="3">
        <v>44777</v>
      </c>
      <c r="G3849" s="2">
        <f t="shared" si="60"/>
        <v>0</v>
      </c>
      <c r="H3849" t="s">
        <v>9</v>
      </c>
    </row>
    <row r="3850" spans="2:8" x14ac:dyDescent="0.2">
      <c r="B3850" s="3">
        <v>44777</v>
      </c>
      <c r="G3850" s="2">
        <f t="shared" si="60"/>
        <v>0</v>
      </c>
      <c r="H3850" t="s">
        <v>32</v>
      </c>
    </row>
    <row r="3851" spans="2:8" x14ac:dyDescent="0.2">
      <c r="B3851" s="3">
        <v>44777</v>
      </c>
      <c r="G3851" s="2">
        <f t="shared" si="60"/>
        <v>0</v>
      </c>
      <c r="H3851" s="1"/>
    </row>
    <row r="3852" spans="2:8" x14ac:dyDescent="0.2">
      <c r="B3852" s="3">
        <v>44778</v>
      </c>
      <c r="D3852" s="28"/>
      <c r="F3852" s="1">
        <v>5000</v>
      </c>
      <c r="G3852" s="2">
        <f t="shared" si="60"/>
        <v>-5000</v>
      </c>
      <c r="H3852" t="s">
        <v>14</v>
      </c>
    </row>
    <row r="3853" spans="2:8" x14ac:dyDescent="0.2">
      <c r="B3853" s="3">
        <v>44778</v>
      </c>
      <c r="G3853" s="2">
        <f t="shared" si="60"/>
        <v>0</v>
      </c>
      <c r="H3853" t="s">
        <v>27</v>
      </c>
    </row>
    <row r="3854" spans="2:8" x14ac:dyDescent="0.2">
      <c r="B3854" s="3">
        <v>44778</v>
      </c>
      <c r="G3854" s="2">
        <f t="shared" si="60"/>
        <v>0</v>
      </c>
      <c r="H3854" t="s">
        <v>13</v>
      </c>
    </row>
    <row r="3855" spans="2:8" x14ac:dyDescent="0.2">
      <c r="B3855" s="3">
        <v>44778</v>
      </c>
      <c r="G3855" s="2">
        <f t="shared" si="60"/>
        <v>0</v>
      </c>
      <c r="H3855" t="s">
        <v>30</v>
      </c>
    </row>
    <row r="3856" spans="2:8" x14ac:dyDescent="0.2">
      <c r="B3856" s="3">
        <v>44778</v>
      </c>
      <c r="G3856" s="2">
        <f t="shared" si="60"/>
        <v>0</v>
      </c>
      <c r="H3856" t="s">
        <v>35</v>
      </c>
    </row>
    <row r="3857" spans="2:8" x14ac:dyDescent="0.2">
      <c r="B3857" s="3">
        <v>44778</v>
      </c>
      <c r="G3857" s="2">
        <f t="shared" si="60"/>
        <v>0</v>
      </c>
      <c r="H3857" t="s">
        <v>25</v>
      </c>
    </row>
    <row r="3858" spans="2:8" x14ac:dyDescent="0.2">
      <c r="B3858" s="3">
        <v>44778</v>
      </c>
      <c r="G3858" s="2">
        <f t="shared" si="60"/>
        <v>0</v>
      </c>
      <c r="H3858" t="s">
        <v>9</v>
      </c>
    </row>
    <row r="3859" spans="2:8" x14ac:dyDescent="0.2">
      <c r="B3859" s="3">
        <v>44778</v>
      </c>
      <c r="G3859" s="2">
        <f t="shared" si="60"/>
        <v>0</v>
      </c>
      <c r="H3859" t="s">
        <v>32</v>
      </c>
    </row>
    <row r="3860" spans="2:8" x14ac:dyDescent="0.2">
      <c r="B3860" s="3">
        <v>44778</v>
      </c>
      <c r="G3860" s="2">
        <f t="shared" si="60"/>
        <v>0</v>
      </c>
      <c r="H3860" s="1"/>
    </row>
    <row r="3861" spans="2:8" x14ac:dyDescent="0.2">
      <c r="B3861" s="3">
        <v>44779</v>
      </c>
      <c r="D3861" s="28"/>
      <c r="G3861" s="2">
        <f t="shared" si="60"/>
        <v>0</v>
      </c>
      <c r="H3861" t="s">
        <v>14</v>
      </c>
    </row>
    <row r="3862" spans="2:8" x14ac:dyDescent="0.2">
      <c r="B3862" s="3">
        <v>44779</v>
      </c>
      <c r="G3862" s="2">
        <f t="shared" si="60"/>
        <v>0</v>
      </c>
      <c r="H3862" t="s">
        <v>27</v>
      </c>
    </row>
    <row r="3863" spans="2:8" x14ac:dyDescent="0.2">
      <c r="B3863" s="3">
        <v>44779</v>
      </c>
      <c r="G3863" s="2">
        <f t="shared" si="60"/>
        <v>0</v>
      </c>
      <c r="H3863" t="s">
        <v>13</v>
      </c>
    </row>
    <row r="3864" spans="2:8" x14ac:dyDescent="0.2">
      <c r="B3864" s="3">
        <v>44779</v>
      </c>
      <c r="G3864" s="2">
        <f t="shared" si="60"/>
        <v>0</v>
      </c>
      <c r="H3864" t="s">
        <v>30</v>
      </c>
    </row>
    <row r="3865" spans="2:8" x14ac:dyDescent="0.2">
      <c r="B3865" s="3">
        <v>44779</v>
      </c>
      <c r="G3865" s="2">
        <f t="shared" si="60"/>
        <v>0</v>
      </c>
      <c r="H3865" t="s">
        <v>35</v>
      </c>
    </row>
    <row r="3866" spans="2:8" x14ac:dyDescent="0.2">
      <c r="B3866" s="3">
        <v>44779</v>
      </c>
      <c r="G3866" s="2">
        <f t="shared" si="60"/>
        <v>0</v>
      </c>
      <c r="H3866" t="s">
        <v>25</v>
      </c>
    </row>
    <row r="3867" spans="2:8" x14ac:dyDescent="0.2">
      <c r="B3867" s="3">
        <v>44779</v>
      </c>
      <c r="G3867" s="2">
        <f t="shared" si="60"/>
        <v>0</v>
      </c>
      <c r="H3867" t="s">
        <v>9</v>
      </c>
    </row>
    <row r="3868" spans="2:8" x14ac:dyDescent="0.2">
      <c r="B3868" s="3">
        <v>44779</v>
      </c>
      <c r="G3868" s="2">
        <f t="shared" si="60"/>
        <v>0</v>
      </c>
      <c r="H3868" t="s">
        <v>32</v>
      </c>
    </row>
    <row r="3869" spans="2:8" x14ac:dyDescent="0.2">
      <c r="B3869" s="3">
        <v>44779</v>
      </c>
      <c r="G3869" s="2">
        <f t="shared" si="60"/>
        <v>0</v>
      </c>
      <c r="H3869" s="1"/>
    </row>
    <row r="3870" spans="2:8" x14ac:dyDescent="0.2">
      <c r="B3870" s="3">
        <v>44780</v>
      </c>
      <c r="D3870" s="28">
        <f>7200+5975</f>
        <v>13175</v>
      </c>
      <c r="E3870" s="1">
        <v>14500</v>
      </c>
      <c r="G3870" s="2">
        <f t="shared" si="60"/>
        <v>14500</v>
      </c>
      <c r="H3870" t="s">
        <v>14</v>
      </c>
    </row>
    <row r="3871" spans="2:8" x14ac:dyDescent="0.2">
      <c r="B3871" s="3">
        <v>44780</v>
      </c>
      <c r="G3871" s="2">
        <f t="shared" si="60"/>
        <v>0</v>
      </c>
      <c r="H3871" t="s">
        <v>27</v>
      </c>
    </row>
    <row r="3872" spans="2:8" x14ac:dyDescent="0.2">
      <c r="B3872" s="3">
        <v>44780</v>
      </c>
      <c r="G3872" s="2">
        <f t="shared" si="60"/>
        <v>0</v>
      </c>
      <c r="H3872" t="s">
        <v>13</v>
      </c>
    </row>
    <row r="3873" spans="2:8" x14ac:dyDescent="0.2">
      <c r="B3873" s="3">
        <v>44780</v>
      </c>
      <c r="G3873" s="2">
        <f t="shared" si="60"/>
        <v>0</v>
      </c>
      <c r="H3873" t="s">
        <v>30</v>
      </c>
    </row>
    <row r="3874" spans="2:8" x14ac:dyDescent="0.2">
      <c r="B3874" s="3">
        <v>44780</v>
      </c>
      <c r="G3874" s="2">
        <f t="shared" si="60"/>
        <v>0</v>
      </c>
      <c r="H3874" t="s">
        <v>35</v>
      </c>
    </row>
    <row r="3875" spans="2:8" x14ac:dyDescent="0.2">
      <c r="B3875" s="3">
        <v>44780</v>
      </c>
      <c r="G3875" s="2">
        <f t="shared" si="60"/>
        <v>0</v>
      </c>
      <c r="H3875" t="s">
        <v>25</v>
      </c>
    </row>
    <row r="3876" spans="2:8" x14ac:dyDescent="0.2">
      <c r="B3876" s="3">
        <v>44780</v>
      </c>
      <c r="G3876" s="2">
        <f t="shared" si="60"/>
        <v>0</v>
      </c>
      <c r="H3876" t="s">
        <v>9</v>
      </c>
    </row>
    <row r="3877" spans="2:8" x14ac:dyDescent="0.2">
      <c r="B3877" s="3">
        <v>44780</v>
      </c>
      <c r="G3877" s="2">
        <f t="shared" si="60"/>
        <v>0</v>
      </c>
      <c r="H3877" t="s">
        <v>32</v>
      </c>
    </row>
    <row r="3878" spans="2:8" x14ac:dyDescent="0.2">
      <c r="B3878" s="3">
        <v>44780</v>
      </c>
      <c r="G3878" s="2">
        <f t="shared" si="60"/>
        <v>0</v>
      </c>
      <c r="H3878" s="1"/>
    </row>
    <row r="3879" spans="2:8" x14ac:dyDescent="0.2">
      <c r="B3879" s="3">
        <v>44781</v>
      </c>
      <c r="D3879" s="28"/>
      <c r="G3879" s="2">
        <f t="shared" si="60"/>
        <v>0</v>
      </c>
      <c r="H3879" t="s">
        <v>14</v>
      </c>
    </row>
    <row r="3880" spans="2:8" x14ac:dyDescent="0.2">
      <c r="B3880" s="3">
        <v>44781</v>
      </c>
      <c r="G3880" s="2">
        <f t="shared" si="60"/>
        <v>0</v>
      </c>
      <c r="H3880" t="s">
        <v>27</v>
      </c>
    </row>
    <row r="3881" spans="2:8" x14ac:dyDescent="0.2">
      <c r="B3881" s="3">
        <v>44781</v>
      </c>
      <c r="D3881" s="1">
        <v>4270</v>
      </c>
      <c r="E3881" s="1">
        <v>4855</v>
      </c>
      <c r="G3881" s="2">
        <f t="shared" si="60"/>
        <v>4855</v>
      </c>
      <c r="H3881" t="s">
        <v>13</v>
      </c>
    </row>
    <row r="3882" spans="2:8" x14ac:dyDescent="0.2">
      <c r="B3882" s="3">
        <v>44781</v>
      </c>
      <c r="G3882" s="2">
        <f t="shared" si="60"/>
        <v>0</v>
      </c>
      <c r="H3882" t="s">
        <v>30</v>
      </c>
    </row>
    <row r="3883" spans="2:8" x14ac:dyDescent="0.2">
      <c r="B3883" s="3">
        <v>44781</v>
      </c>
      <c r="D3883" s="1">
        <v>535</v>
      </c>
      <c r="E3883" s="1">
        <v>637.5</v>
      </c>
      <c r="G3883" s="2">
        <f t="shared" si="60"/>
        <v>637.5</v>
      </c>
      <c r="H3883" t="s">
        <v>35</v>
      </c>
    </row>
    <row r="3884" spans="2:8" x14ac:dyDescent="0.2">
      <c r="B3884" s="3">
        <v>44781</v>
      </c>
      <c r="G3884" s="2">
        <f t="shared" si="60"/>
        <v>0</v>
      </c>
      <c r="H3884" t="s">
        <v>25</v>
      </c>
    </row>
    <row r="3885" spans="2:8" x14ac:dyDescent="0.2">
      <c r="B3885" s="3">
        <v>44781</v>
      </c>
      <c r="G3885" s="2">
        <f t="shared" si="60"/>
        <v>0</v>
      </c>
      <c r="H3885" t="s">
        <v>9</v>
      </c>
    </row>
    <row r="3886" spans="2:8" x14ac:dyDescent="0.2">
      <c r="B3886" s="3">
        <v>44781</v>
      </c>
      <c r="G3886" s="2">
        <f t="shared" si="60"/>
        <v>0</v>
      </c>
      <c r="H3886" t="s">
        <v>32</v>
      </c>
    </row>
    <row r="3887" spans="2:8" x14ac:dyDescent="0.2">
      <c r="B3887" s="3">
        <v>44781</v>
      </c>
      <c r="D3887" s="1">
        <v>27010</v>
      </c>
      <c r="E3887" s="1">
        <v>28850</v>
      </c>
      <c r="G3887" s="2">
        <f t="shared" si="60"/>
        <v>28850</v>
      </c>
      <c r="H3887" s="1" t="s">
        <v>31</v>
      </c>
    </row>
    <row r="3888" spans="2:8" x14ac:dyDescent="0.2">
      <c r="B3888" s="3">
        <v>44782</v>
      </c>
      <c r="D3888" s="28"/>
      <c r="F3888" s="1">
        <v>7000</v>
      </c>
      <c r="G3888" s="2">
        <f t="shared" si="60"/>
        <v>-7000</v>
      </c>
      <c r="H3888" t="s">
        <v>14</v>
      </c>
    </row>
    <row r="3889" spans="2:8" x14ac:dyDescent="0.2">
      <c r="B3889" s="3">
        <v>44782</v>
      </c>
      <c r="D3889" s="1">
        <v>5217</v>
      </c>
      <c r="E3889" s="1">
        <v>6198</v>
      </c>
      <c r="F3889" s="1">
        <v>10000</v>
      </c>
      <c r="G3889" s="2">
        <f t="shared" si="60"/>
        <v>-3802</v>
      </c>
      <c r="H3889" t="s">
        <v>27</v>
      </c>
    </row>
    <row r="3890" spans="2:8" x14ac:dyDescent="0.2">
      <c r="B3890" s="3">
        <v>44782</v>
      </c>
      <c r="G3890" s="2">
        <f t="shared" si="60"/>
        <v>0</v>
      </c>
      <c r="H3890" t="s">
        <v>13</v>
      </c>
    </row>
    <row r="3891" spans="2:8" x14ac:dyDescent="0.2">
      <c r="B3891" s="3">
        <v>44782</v>
      </c>
      <c r="G3891" s="2">
        <f t="shared" si="60"/>
        <v>0</v>
      </c>
      <c r="H3891" t="s">
        <v>30</v>
      </c>
    </row>
    <row r="3892" spans="2:8" x14ac:dyDescent="0.2">
      <c r="B3892" s="3">
        <v>44782</v>
      </c>
      <c r="F3892" s="1">
        <v>1975</v>
      </c>
      <c r="G3892" s="2">
        <f t="shared" si="60"/>
        <v>-1975</v>
      </c>
      <c r="H3892" t="s">
        <v>35</v>
      </c>
    </row>
    <row r="3893" spans="2:8" x14ac:dyDescent="0.2">
      <c r="B3893" s="3">
        <v>44782</v>
      </c>
      <c r="G3893" s="2">
        <f t="shared" si="60"/>
        <v>0</v>
      </c>
      <c r="H3893" t="s">
        <v>25</v>
      </c>
    </row>
    <row r="3894" spans="2:8" x14ac:dyDescent="0.2">
      <c r="B3894" s="3">
        <v>44782</v>
      </c>
      <c r="G3894" s="2">
        <f t="shared" si="60"/>
        <v>0</v>
      </c>
      <c r="H3894" t="s">
        <v>9</v>
      </c>
    </row>
    <row r="3895" spans="2:8" x14ac:dyDescent="0.2">
      <c r="B3895" s="3">
        <v>44782</v>
      </c>
      <c r="G3895" s="2">
        <f t="shared" si="60"/>
        <v>0</v>
      </c>
      <c r="H3895" t="s">
        <v>32</v>
      </c>
    </row>
    <row r="3896" spans="2:8" x14ac:dyDescent="0.2">
      <c r="B3896" s="3">
        <v>44782</v>
      </c>
      <c r="F3896" s="1">
        <v>28000</v>
      </c>
      <c r="G3896" s="2">
        <f t="shared" si="60"/>
        <v>-28000</v>
      </c>
      <c r="H3896" s="1" t="s">
        <v>31</v>
      </c>
    </row>
    <row r="3897" spans="2:8" x14ac:dyDescent="0.2">
      <c r="B3897" s="3">
        <v>44783</v>
      </c>
      <c r="D3897" s="28"/>
      <c r="G3897" s="2">
        <f t="shared" si="60"/>
        <v>0</v>
      </c>
      <c r="H3897" t="s">
        <v>14</v>
      </c>
    </row>
    <row r="3898" spans="2:8" x14ac:dyDescent="0.2">
      <c r="B3898" s="3">
        <v>44783</v>
      </c>
      <c r="G3898" s="2">
        <f t="shared" si="60"/>
        <v>0</v>
      </c>
      <c r="H3898" t="s">
        <v>27</v>
      </c>
    </row>
    <row r="3899" spans="2:8" x14ac:dyDescent="0.2">
      <c r="B3899" s="3">
        <v>44783</v>
      </c>
      <c r="G3899" s="2">
        <f t="shared" si="60"/>
        <v>0</v>
      </c>
      <c r="H3899" t="s">
        <v>13</v>
      </c>
    </row>
    <row r="3900" spans="2:8" x14ac:dyDescent="0.2">
      <c r="B3900" s="3">
        <v>44783</v>
      </c>
      <c r="F3900" s="1">
        <v>9348.2999999999993</v>
      </c>
      <c r="G3900" s="2">
        <f t="shared" si="60"/>
        <v>-9348.2999999999993</v>
      </c>
      <c r="H3900" t="s">
        <v>30</v>
      </c>
    </row>
    <row r="3901" spans="2:8" x14ac:dyDescent="0.2">
      <c r="B3901" s="3">
        <v>44783</v>
      </c>
      <c r="G3901" s="2">
        <f t="shared" si="60"/>
        <v>0</v>
      </c>
      <c r="H3901" t="s">
        <v>35</v>
      </c>
    </row>
    <row r="3902" spans="2:8" x14ac:dyDescent="0.2">
      <c r="B3902" s="3">
        <v>44783</v>
      </c>
      <c r="G3902" s="2">
        <f t="shared" si="60"/>
        <v>0</v>
      </c>
      <c r="H3902" t="s">
        <v>25</v>
      </c>
    </row>
    <row r="3903" spans="2:8" x14ac:dyDescent="0.2">
      <c r="B3903" s="3">
        <v>44783</v>
      </c>
      <c r="G3903" s="2">
        <f t="shared" si="60"/>
        <v>0</v>
      </c>
      <c r="H3903" t="s">
        <v>9</v>
      </c>
    </row>
    <row r="3904" spans="2:8" x14ac:dyDescent="0.2">
      <c r="B3904" s="3">
        <v>44783</v>
      </c>
      <c r="G3904" s="2">
        <f t="shared" si="60"/>
        <v>0</v>
      </c>
      <c r="H3904" t="s">
        <v>32</v>
      </c>
    </row>
    <row r="3905" spans="2:8" x14ac:dyDescent="0.2">
      <c r="B3905" s="3">
        <v>44783</v>
      </c>
      <c r="G3905" s="2">
        <f t="shared" si="60"/>
        <v>0</v>
      </c>
      <c r="H3905" s="1"/>
    </row>
    <row r="3906" spans="2:8" x14ac:dyDescent="0.2">
      <c r="B3906" s="3">
        <v>44784</v>
      </c>
      <c r="D3906" s="28"/>
      <c r="F3906" s="1">
        <v>5000</v>
      </c>
      <c r="G3906" s="2">
        <f t="shared" si="60"/>
        <v>-5000</v>
      </c>
      <c r="H3906" t="s">
        <v>14</v>
      </c>
    </row>
    <row r="3907" spans="2:8" x14ac:dyDescent="0.2">
      <c r="B3907" s="3">
        <v>44784</v>
      </c>
      <c r="G3907" s="2">
        <f t="shared" ref="G3907:G3970" si="61">E3907-F3907</f>
        <v>0</v>
      </c>
      <c r="H3907" t="s">
        <v>27</v>
      </c>
    </row>
    <row r="3908" spans="2:8" x14ac:dyDescent="0.2">
      <c r="B3908" s="3">
        <v>44784</v>
      </c>
      <c r="F3908" s="1">
        <v>6000</v>
      </c>
      <c r="G3908" s="2">
        <f t="shared" si="61"/>
        <v>-6000</v>
      </c>
      <c r="H3908" t="s">
        <v>13</v>
      </c>
    </row>
    <row r="3909" spans="2:8" x14ac:dyDescent="0.2">
      <c r="B3909" s="3">
        <v>44784</v>
      </c>
      <c r="D3909" s="1">
        <v>6240</v>
      </c>
      <c r="E3909" s="1">
        <v>7934.4</v>
      </c>
      <c r="G3909" s="2">
        <f t="shared" si="61"/>
        <v>7934.4</v>
      </c>
      <c r="H3909" t="s">
        <v>30</v>
      </c>
    </row>
    <row r="3910" spans="2:8" x14ac:dyDescent="0.2">
      <c r="B3910" s="3">
        <v>44784</v>
      </c>
      <c r="G3910" s="2">
        <f t="shared" si="61"/>
        <v>0</v>
      </c>
      <c r="H3910" t="s">
        <v>35</v>
      </c>
    </row>
    <row r="3911" spans="2:8" x14ac:dyDescent="0.2">
      <c r="B3911" s="3">
        <v>44784</v>
      </c>
      <c r="G3911" s="2">
        <f t="shared" si="61"/>
        <v>0</v>
      </c>
      <c r="H3911" t="s">
        <v>25</v>
      </c>
    </row>
    <row r="3912" spans="2:8" x14ac:dyDescent="0.2">
      <c r="B3912" s="3">
        <v>44784</v>
      </c>
      <c r="G3912" s="2">
        <f t="shared" si="61"/>
        <v>0</v>
      </c>
      <c r="H3912" t="s">
        <v>9</v>
      </c>
    </row>
    <row r="3913" spans="2:8" x14ac:dyDescent="0.2">
      <c r="B3913" s="3">
        <v>44784</v>
      </c>
      <c r="G3913" s="2">
        <f t="shared" si="61"/>
        <v>0</v>
      </c>
      <c r="H3913" t="s">
        <v>32</v>
      </c>
    </row>
    <row r="3914" spans="2:8" x14ac:dyDescent="0.2">
      <c r="B3914" s="3">
        <v>44784</v>
      </c>
      <c r="G3914" s="2">
        <f t="shared" si="61"/>
        <v>0</v>
      </c>
      <c r="H3914" s="1"/>
    </row>
    <row r="3915" spans="2:8" x14ac:dyDescent="0.2">
      <c r="B3915" s="3">
        <v>44785</v>
      </c>
      <c r="D3915" s="28"/>
      <c r="G3915" s="2">
        <f t="shared" si="61"/>
        <v>0</v>
      </c>
      <c r="H3915" t="s">
        <v>14</v>
      </c>
    </row>
    <row r="3916" spans="2:8" x14ac:dyDescent="0.2">
      <c r="B3916" s="3">
        <v>44785</v>
      </c>
      <c r="G3916" s="2">
        <f t="shared" si="61"/>
        <v>0</v>
      </c>
      <c r="H3916" t="s">
        <v>27</v>
      </c>
    </row>
    <row r="3917" spans="2:8" x14ac:dyDescent="0.2">
      <c r="B3917" s="3">
        <v>44785</v>
      </c>
      <c r="G3917" s="2">
        <f t="shared" si="61"/>
        <v>0</v>
      </c>
      <c r="H3917" t="s">
        <v>13</v>
      </c>
    </row>
    <row r="3918" spans="2:8" x14ac:dyDescent="0.2">
      <c r="B3918" s="3">
        <v>44785</v>
      </c>
      <c r="G3918" s="2">
        <f t="shared" si="61"/>
        <v>0</v>
      </c>
      <c r="H3918" t="s">
        <v>30</v>
      </c>
    </row>
    <row r="3919" spans="2:8" x14ac:dyDescent="0.2">
      <c r="B3919" s="3">
        <v>44785</v>
      </c>
      <c r="G3919" s="2">
        <f t="shared" si="61"/>
        <v>0</v>
      </c>
      <c r="H3919" t="s">
        <v>35</v>
      </c>
    </row>
    <row r="3920" spans="2:8" x14ac:dyDescent="0.2">
      <c r="B3920" s="3">
        <v>44785</v>
      </c>
      <c r="G3920" s="2">
        <f t="shared" si="61"/>
        <v>0</v>
      </c>
      <c r="H3920" t="s">
        <v>25</v>
      </c>
    </row>
    <row r="3921" spans="2:8" x14ac:dyDescent="0.2">
      <c r="B3921" s="3">
        <v>44785</v>
      </c>
      <c r="G3921" s="2">
        <f t="shared" si="61"/>
        <v>0</v>
      </c>
      <c r="H3921" t="s">
        <v>9</v>
      </c>
    </row>
    <row r="3922" spans="2:8" x14ac:dyDescent="0.2">
      <c r="B3922" s="3">
        <v>44785</v>
      </c>
      <c r="G3922" s="2">
        <f t="shared" si="61"/>
        <v>0</v>
      </c>
      <c r="H3922" t="s">
        <v>32</v>
      </c>
    </row>
    <row r="3923" spans="2:8" x14ac:dyDescent="0.2">
      <c r="B3923" s="3">
        <v>44785</v>
      </c>
      <c r="G3923" s="2">
        <f t="shared" si="61"/>
        <v>0</v>
      </c>
      <c r="H3923" s="1"/>
    </row>
    <row r="3924" spans="2:8" x14ac:dyDescent="0.2">
      <c r="B3924" s="3">
        <v>44786</v>
      </c>
      <c r="D3924" s="28"/>
      <c r="G3924" s="2">
        <f t="shared" si="61"/>
        <v>0</v>
      </c>
      <c r="H3924" t="s">
        <v>14</v>
      </c>
    </row>
    <row r="3925" spans="2:8" x14ac:dyDescent="0.2">
      <c r="B3925" s="3">
        <v>44786</v>
      </c>
      <c r="G3925" s="2">
        <f t="shared" si="61"/>
        <v>0</v>
      </c>
      <c r="H3925" t="s">
        <v>27</v>
      </c>
    </row>
    <row r="3926" spans="2:8" x14ac:dyDescent="0.2">
      <c r="B3926" s="3">
        <v>44786</v>
      </c>
      <c r="G3926" s="2">
        <f t="shared" si="61"/>
        <v>0</v>
      </c>
      <c r="H3926" t="s">
        <v>13</v>
      </c>
    </row>
    <row r="3927" spans="2:8" x14ac:dyDescent="0.2">
      <c r="B3927" s="3">
        <v>44786</v>
      </c>
      <c r="G3927" s="2">
        <f t="shared" si="61"/>
        <v>0</v>
      </c>
      <c r="H3927" t="s">
        <v>30</v>
      </c>
    </row>
    <row r="3928" spans="2:8" x14ac:dyDescent="0.2">
      <c r="B3928" s="3">
        <v>44786</v>
      </c>
      <c r="G3928" s="2">
        <f t="shared" si="61"/>
        <v>0</v>
      </c>
      <c r="H3928" t="s">
        <v>35</v>
      </c>
    </row>
    <row r="3929" spans="2:8" x14ac:dyDescent="0.2">
      <c r="B3929" s="3">
        <v>44786</v>
      </c>
      <c r="G3929" s="2">
        <f t="shared" si="61"/>
        <v>0</v>
      </c>
      <c r="H3929" t="s">
        <v>25</v>
      </c>
    </row>
    <row r="3930" spans="2:8" x14ac:dyDescent="0.2">
      <c r="B3930" s="3">
        <v>44786</v>
      </c>
      <c r="G3930" s="2">
        <f t="shared" si="61"/>
        <v>0</v>
      </c>
      <c r="H3930" t="s">
        <v>9</v>
      </c>
    </row>
    <row r="3931" spans="2:8" x14ac:dyDescent="0.2">
      <c r="B3931" s="3">
        <v>44786</v>
      </c>
      <c r="G3931" s="2">
        <f t="shared" si="61"/>
        <v>0</v>
      </c>
      <c r="H3931" t="s">
        <v>32</v>
      </c>
    </row>
    <row r="3932" spans="2:8" x14ac:dyDescent="0.2">
      <c r="B3932" s="3">
        <v>44786</v>
      </c>
      <c r="G3932" s="2">
        <f t="shared" si="61"/>
        <v>0</v>
      </c>
      <c r="H3932" s="1"/>
    </row>
    <row r="3933" spans="2:8" x14ac:dyDescent="0.2">
      <c r="B3933" s="3">
        <v>44787</v>
      </c>
      <c r="D3933" s="28"/>
      <c r="F3933" s="1">
        <v>7000</v>
      </c>
      <c r="G3933" s="2">
        <f t="shared" si="61"/>
        <v>-7000</v>
      </c>
      <c r="H3933" t="s">
        <v>14</v>
      </c>
    </row>
    <row r="3934" spans="2:8" x14ac:dyDescent="0.2">
      <c r="B3934" s="3">
        <v>44787</v>
      </c>
      <c r="D3934" s="1">
        <v>3400</v>
      </c>
      <c r="E3934" s="1">
        <v>3800</v>
      </c>
      <c r="G3934" s="2">
        <f t="shared" si="61"/>
        <v>3800</v>
      </c>
      <c r="H3934" t="s">
        <v>27</v>
      </c>
    </row>
    <row r="3935" spans="2:8" x14ac:dyDescent="0.2">
      <c r="B3935" s="3">
        <v>44787</v>
      </c>
      <c r="D3935" s="1">
        <v>428</v>
      </c>
      <c r="E3935" s="1">
        <v>610</v>
      </c>
      <c r="G3935" s="2">
        <f t="shared" si="61"/>
        <v>610</v>
      </c>
      <c r="H3935" t="s">
        <v>13</v>
      </c>
    </row>
    <row r="3936" spans="2:8" x14ac:dyDescent="0.2">
      <c r="B3936" s="3">
        <v>44787</v>
      </c>
      <c r="G3936" s="2">
        <f t="shared" si="61"/>
        <v>0</v>
      </c>
      <c r="H3936" t="s">
        <v>30</v>
      </c>
    </row>
    <row r="3937" spans="2:8" x14ac:dyDescent="0.2">
      <c r="B3937" s="3">
        <v>44787</v>
      </c>
      <c r="D3937" s="1">
        <v>1062</v>
      </c>
      <c r="E3937" s="1">
        <v>1228.5</v>
      </c>
      <c r="G3937" s="2">
        <f t="shared" si="61"/>
        <v>1228.5</v>
      </c>
      <c r="H3937" t="s">
        <v>35</v>
      </c>
    </row>
    <row r="3938" spans="2:8" x14ac:dyDescent="0.2">
      <c r="B3938" s="3">
        <v>44787</v>
      </c>
      <c r="G3938" s="2">
        <f t="shared" si="61"/>
        <v>0</v>
      </c>
      <c r="H3938" t="s">
        <v>25</v>
      </c>
    </row>
    <row r="3939" spans="2:8" x14ac:dyDescent="0.2">
      <c r="B3939" s="3">
        <v>44787</v>
      </c>
      <c r="G3939" s="2">
        <f t="shared" si="61"/>
        <v>0</v>
      </c>
      <c r="H3939" t="s">
        <v>9</v>
      </c>
    </row>
    <row r="3940" spans="2:8" x14ac:dyDescent="0.2">
      <c r="B3940" s="3">
        <v>44787</v>
      </c>
      <c r="G3940" s="2">
        <f t="shared" si="61"/>
        <v>0</v>
      </c>
      <c r="H3940" t="s">
        <v>32</v>
      </c>
    </row>
    <row r="3941" spans="2:8" x14ac:dyDescent="0.2">
      <c r="B3941" s="3">
        <v>44787</v>
      </c>
      <c r="F3941" s="1">
        <v>2200</v>
      </c>
      <c r="G3941" s="2">
        <f t="shared" si="61"/>
        <v>-2200</v>
      </c>
      <c r="H3941" t="s">
        <v>39</v>
      </c>
    </row>
    <row r="3942" spans="2:8" x14ac:dyDescent="0.2">
      <c r="B3942" s="3">
        <v>44788</v>
      </c>
      <c r="D3942" s="28"/>
      <c r="G3942" s="2">
        <f t="shared" si="61"/>
        <v>0</v>
      </c>
      <c r="H3942" t="s">
        <v>14</v>
      </c>
    </row>
    <row r="3943" spans="2:8" x14ac:dyDescent="0.2">
      <c r="B3943" s="3">
        <v>44788</v>
      </c>
      <c r="G3943" s="2">
        <f t="shared" si="61"/>
        <v>0</v>
      </c>
      <c r="H3943" t="s">
        <v>27</v>
      </c>
    </row>
    <row r="3944" spans="2:8" x14ac:dyDescent="0.2">
      <c r="B3944" s="3">
        <v>44788</v>
      </c>
      <c r="D3944" s="1">
        <v>3070</v>
      </c>
      <c r="E3944" s="1">
        <v>3420</v>
      </c>
      <c r="G3944" s="2">
        <f t="shared" si="61"/>
        <v>3420</v>
      </c>
      <c r="H3944" t="s">
        <v>13</v>
      </c>
    </row>
    <row r="3945" spans="2:8" x14ac:dyDescent="0.2">
      <c r="B3945" s="3">
        <v>44788</v>
      </c>
      <c r="G3945" s="2">
        <f t="shared" si="61"/>
        <v>0</v>
      </c>
      <c r="H3945" t="s">
        <v>30</v>
      </c>
    </row>
    <row r="3946" spans="2:8" x14ac:dyDescent="0.2">
      <c r="B3946" s="3">
        <v>44788</v>
      </c>
      <c r="G3946" s="2">
        <f t="shared" si="61"/>
        <v>0</v>
      </c>
      <c r="H3946" t="s">
        <v>35</v>
      </c>
    </row>
    <row r="3947" spans="2:8" x14ac:dyDescent="0.2">
      <c r="B3947" s="3">
        <v>44788</v>
      </c>
      <c r="G3947" s="2">
        <f t="shared" si="61"/>
        <v>0</v>
      </c>
      <c r="H3947" t="s">
        <v>25</v>
      </c>
    </row>
    <row r="3948" spans="2:8" x14ac:dyDescent="0.2">
      <c r="B3948" s="3">
        <v>44788</v>
      </c>
      <c r="G3948" s="2">
        <f t="shared" si="61"/>
        <v>0</v>
      </c>
      <c r="H3948" t="s">
        <v>9</v>
      </c>
    </row>
    <row r="3949" spans="2:8" x14ac:dyDescent="0.2">
      <c r="B3949" s="3">
        <v>44788</v>
      </c>
      <c r="G3949" s="2">
        <f t="shared" si="61"/>
        <v>0</v>
      </c>
      <c r="H3949" t="s">
        <v>32</v>
      </c>
    </row>
    <row r="3950" spans="2:8" x14ac:dyDescent="0.2">
      <c r="B3950" s="3">
        <v>44788</v>
      </c>
      <c r="G3950" s="2">
        <f t="shared" si="61"/>
        <v>0</v>
      </c>
      <c r="H3950" s="1"/>
    </row>
    <row r="3951" spans="2:8" x14ac:dyDescent="0.2">
      <c r="B3951" s="3">
        <v>44789</v>
      </c>
      <c r="D3951" s="28"/>
      <c r="G3951" s="2">
        <f t="shared" si="61"/>
        <v>0</v>
      </c>
      <c r="H3951" t="s">
        <v>14</v>
      </c>
    </row>
    <row r="3952" spans="2:8" x14ac:dyDescent="0.2">
      <c r="B3952" s="3">
        <v>44789</v>
      </c>
      <c r="F3952" s="1">
        <v>8000</v>
      </c>
      <c r="G3952" s="2">
        <f t="shared" si="61"/>
        <v>-8000</v>
      </c>
      <c r="H3952" t="s">
        <v>27</v>
      </c>
    </row>
    <row r="3953" spans="2:8" x14ac:dyDescent="0.2">
      <c r="B3953" s="3">
        <v>44789</v>
      </c>
      <c r="G3953" s="2">
        <f t="shared" si="61"/>
        <v>0</v>
      </c>
      <c r="H3953" t="s">
        <v>13</v>
      </c>
    </row>
    <row r="3954" spans="2:8" x14ac:dyDescent="0.2">
      <c r="B3954" s="3">
        <v>44789</v>
      </c>
      <c r="F3954" s="1">
        <v>47500</v>
      </c>
      <c r="G3954" s="2">
        <f t="shared" si="61"/>
        <v>-47500</v>
      </c>
      <c r="H3954" t="s">
        <v>30</v>
      </c>
    </row>
    <row r="3955" spans="2:8" x14ac:dyDescent="0.2">
      <c r="B3955" s="3">
        <v>44789</v>
      </c>
      <c r="G3955" s="2">
        <f t="shared" si="61"/>
        <v>0</v>
      </c>
      <c r="H3955" t="s">
        <v>35</v>
      </c>
    </row>
    <row r="3956" spans="2:8" x14ac:dyDescent="0.2">
      <c r="B3956" s="3">
        <v>44789</v>
      </c>
      <c r="G3956" s="2">
        <f t="shared" si="61"/>
        <v>0</v>
      </c>
      <c r="H3956" t="s">
        <v>25</v>
      </c>
    </row>
    <row r="3957" spans="2:8" x14ac:dyDescent="0.2">
      <c r="B3957" s="3">
        <v>44789</v>
      </c>
      <c r="G3957" s="2">
        <f t="shared" si="61"/>
        <v>0</v>
      </c>
      <c r="H3957" t="s">
        <v>9</v>
      </c>
    </row>
    <row r="3958" spans="2:8" x14ac:dyDescent="0.2">
      <c r="B3958" s="3">
        <v>44789</v>
      </c>
      <c r="G3958" s="2">
        <f t="shared" si="61"/>
        <v>0</v>
      </c>
      <c r="H3958" t="s">
        <v>32</v>
      </c>
    </row>
    <row r="3959" spans="2:8" x14ac:dyDescent="0.2">
      <c r="B3959" s="3">
        <v>44789</v>
      </c>
      <c r="G3959" s="2">
        <f t="shared" si="61"/>
        <v>0</v>
      </c>
      <c r="H3959" s="1"/>
    </row>
    <row r="3960" spans="2:8" x14ac:dyDescent="0.2">
      <c r="B3960" s="3">
        <v>44790</v>
      </c>
      <c r="D3960" s="28"/>
      <c r="G3960" s="2">
        <f t="shared" si="61"/>
        <v>0</v>
      </c>
      <c r="H3960" t="s">
        <v>14</v>
      </c>
    </row>
    <row r="3961" spans="2:8" x14ac:dyDescent="0.2">
      <c r="B3961" s="3">
        <v>44790</v>
      </c>
      <c r="G3961" s="2">
        <f t="shared" si="61"/>
        <v>0</v>
      </c>
      <c r="H3961" t="s">
        <v>27</v>
      </c>
    </row>
    <row r="3962" spans="2:8" x14ac:dyDescent="0.2">
      <c r="B3962" s="3">
        <v>44790</v>
      </c>
      <c r="G3962" s="2">
        <f t="shared" si="61"/>
        <v>0</v>
      </c>
      <c r="H3962" t="s">
        <v>13</v>
      </c>
    </row>
    <row r="3963" spans="2:8" x14ac:dyDescent="0.2">
      <c r="B3963" s="3">
        <v>44790</v>
      </c>
      <c r="G3963" s="2">
        <f t="shared" si="61"/>
        <v>0</v>
      </c>
      <c r="H3963" t="s">
        <v>30</v>
      </c>
    </row>
    <row r="3964" spans="2:8" x14ac:dyDescent="0.2">
      <c r="B3964" s="3">
        <v>44790</v>
      </c>
      <c r="G3964" s="2">
        <f t="shared" si="61"/>
        <v>0</v>
      </c>
      <c r="H3964" t="s">
        <v>35</v>
      </c>
    </row>
    <row r="3965" spans="2:8" x14ac:dyDescent="0.2">
      <c r="B3965" s="3">
        <v>44790</v>
      </c>
      <c r="G3965" s="2">
        <f t="shared" si="61"/>
        <v>0</v>
      </c>
      <c r="H3965" t="s">
        <v>25</v>
      </c>
    </row>
    <row r="3966" spans="2:8" x14ac:dyDescent="0.2">
      <c r="B3966" s="3">
        <v>44790</v>
      </c>
      <c r="G3966" s="2">
        <f t="shared" si="61"/>
        <v>0</v>
      </c>
      <c r="H3966" t="s">
        <v>9</v>
      </c>
    </row>
    <row r="3967" spans="2:8" x14ac:dyDescent="0.2">
      <c r="B3967" s="3">
        <v>44790</v>
      </c>
      <c r="G3967" s="2">
        <f t="shared" si="61"/>
        <v>0</v>
      </c>
      <c r="H3967" t="s">
        <v>32</v>
      </c>
    </row>
    <row r="3968" spans="2:8" x14ac:dyDescent="0.2">
      <c r="B3968" s="3">
        <v>44790</v>
      </c>
      <c r="G3968" s="2">
        <f t="shared" si="61"/>
        <v>0</v>
      </c>
      <c r="H3968" s="1"/>
    </row>
    <row r="3969" spans="2:8" x14ac:dyDescent="0.2">
      <c r="B3969" s="3">
        <v>44791</v>
      </c>
      <c r="D3969" s="28">
        <f>2800+85</f>
        <v>2885</v>
      </c>
      <c r="E3969" s="1">
        <v>4050</v>
      </c>
      <c r="G3969" s="2">
        <f t="shared" si="61"/>
        <v>4050</v>
      </c>
      <c r="H3969" t="s">
        <v>14</v>
      </c>
    </row>
    <row r="3970" spans="2:8" x14ac:dyDescent="0.2">
      <c r="B3970" s="3">
        <v>44791</v>
      </c>
      <c r="D3970" s="1">
        <v>9571.25</v>
      </c>
      <c r="E3970" s="1">
        <v>11176.25</v>
      </c>
      <c r="G3970" s="2">
        <f t="shared" si="61"/>
        <v>11176.25</v>
      </c>
      <c r="H3970" t="s">
        <v>27</v>
      </c>
    </row>
    <row r="3971" spans="2:8" x14ac:dyDescent="0.2">
      <c r="B3971" s="3">
        <v>44791</v>
      </c>
      <c r="G3971" s="2">
        <f t="shared" ref="G3971:G4034" si="62">E3971-F3971</f>
        <v>0</v>
      </c>
      <c r="H3971" t="s">
        <v>13</v>
      </c>
    </row>
    <row r="3972" spans="2:8" x14ac:dyDescent="0.2">
      <c r="B3972" s="3">
        <v>44791</v>
      </c>
      <c r="G3972" s="2">
        <f t="shared" si="62"/>
        <v>0</v>
      </c>
      <c r="H3972" t="s">
        <v>30</v>
      </c>
    </row>
    <row r="3973" spans="2:8" x14ac:dyDescent="0.2">
      <c r="B3973" s="3">
        <v>44791</v>
      </c>
      <c r="D3973" s="1">
        <v>671</v>
      </c>
      <c r="E3973" s="1">
        <v>785</v>
      </c>
      <c r="G3973" s="2">
        <f t="shared" si="62"/>
        <v>785</v>
      </c>
      <c r="H3973" t="s">
        <v>35</v>
      </c>
    </row>
    <row r="3974" spans="2:8" x14ac:dyDescent="0.2">
      <c r="B3974" s="3">
        <v>44791</v>
      </c>
      <c r="G3974" s="2">
        <f t="shared" si="62"/>
        <v>0</v>
      </c>
      <c r="H3974" t="s">
        <v>25</v>
      </c>
    </row>
    <row r="3975" spans="2:8" x14ac:dyDescent="0.2">
      <c r="B3975" s="3">
        <v>44791</v>
      </c>
      <c r="G3975" s="2">
        <f t="shared" si="62"/>
        <v>0</v>
      </c>
      <c r="H3975" t="s">
        <v>9</v>
      </c>
    </row>
    <row r="3976" spans="2:8" x14ac:dyDescent="0.2">
      <c r="B3976" s="3">
        <v>44791</v>
      </c>
      <c r="G3976" s="2">
        <f t="shared" si="62"/>
        <v>0</v>
      </c>
      <c r="H3976" t="s">
        <v>32</v>
      </c>
    </row>
    <row r="3977" spans="2:8" x14ac:dyDescent="0.2">
      <c r="B3977" s="3">
        <v>44791</v>
      </c>
      <c r="G3977" s="2">
        <f t="shared" si="62"/>
        <v>0</v>
      </c>
      <c r="H3977" s="1"/>
    </row>
    <row r="3978" spans="2:8" x14ac:dyDescent="0.2">
      <c r="B3978" s="3">
        <v>44792</v>
      </c>
      <c r="D3978" s="28"/>
      <c r="G3978" s="2">
        <f t="shared" si="62"/>
        <v>0</v>
      </c>
      <c r="H3978" t="s">
        <v>14</v>
      </c>
    </row>
    <row r="3979" spans="2:8" x14ac:dyDescent="0.2">
      <c r="B3979" s="3">
        <v>44792</v>
      </c>
      <c r="G3979" s="2">
        <f t="shared" si="62"/>
        <v>0</v>
      </c>
      <c r="H3979" t="s">
        <v>27</v>
      </c>
    </row>
    <row r="3980" spans="2:8" x14ac:dyDescent="0.2">
      <c r="B3980" s="3">
        <v>44792</v>
      </c>
      <c r="G3980" s="2">
        <f t="shared" si="62"/>
        <v>0</v>
      </c>
      <c r="H3980" t="s">
        <v>13</v>
      </c>
    </row>
    <row r="3981" spans="2:8" x14ac:dyDescent="0.2">
      <c r="B3981" s="3">
        <v>44792</v>
      </c>
      <c r="G3981" s="2">
        <f t="shared" si="62"/>
        <v>0</v>
      </c>
      <c r="H3981" t="s">
        <v>30</v>
      </c>
    </row>
    <row r="3982" spans="2:8" x14ac:dyDescent="0.2">
      <c r="B3982" s="3">
        <v>44792</v>
      </c>
      <c r="G3982" s="2">
        <f t="shared" si="62"/>
        <v>0</v>
      </c>
      <c r="H3982" t="s">
        <v>35</v>
      </c>
    </row>
    <row r="3983" spans="2:8" x14ac:dyDescent="0.2">
      <c r="B3983" s="3">
        <v>44792</v>
      </c>
      <c r="G3983" s="2">
        <f t="shared" si="62"/>
        <v>0</v>
      </c>
      <c r="H3983" t="s">
        <v>25</v>
      </c>
    </row>
    <row r="3984" spans="2:8" x14ac:dyDescent="0.2">
      <c r="B3984" s="3">
        <v>44792</v>
      </c>
      <c r="G3984" s="2">
        <f t="shared" si="62"/>
        <v>0</v>
      </c>
      <c r="H3984" t="s">
        <v>9</v>
      </c>
    </row>
    <row r="3985" spans="2:8" x14ac:dyDescent="0.2">
      <c r="B3985" s="3">
        <v>44792</v>
      </c>
      <c r="G3985" s="2">
        <f t="shared" si="62"/>
        <v>0</v>
      </c>
      <c r="H3985" t="s">
        <v>32</v>
      </c>
    </row>
    <row r="3986" spans="2:8" x14ac:dyDescent="0.2">
      <c r="B3986" s="3">
        <v>44792</v>
      </c>
      <c r="G3986" s="2">
        <f t="shared" si="62"/>
        <v>0</v>
      </c>
      <c r="H3986" s="1"/>
    </row>
    <row r="3987" spans="2:8" x14ac:dyDescent="0.2">
      <c r="B3987" s="3">
        <v>44793</v>
      </c>
      <c r="D3987" s="28"/>
      <c r="G3987" s="2">
        <f t="shared" si="62"/>
        <v>0</v>
      </c>
      <c r="H3987" t="s">
        <v>14</v>
      </c>
    </row>
    <row r="3988" spans="2:8" x14ac:dyDescent="0.2">
      <c r="B3988" s="3">
        <v>44793</v>
      </c>
      <c r="D3988" s="1">
        <v>9300</v>
      </c>
      <c r="E3988" s="1">
        <v>10570</v>
      </c>
      <c r="G3988" s="2">
        <f t="shared" si="62"/>
        <v>10570</v>
      </c>
      <c r="H3988" t="s">
        <v>27</v>
      </c>
    </row>
    <row r="3989" spans="2:8" x14ac:dyDescent="0.2">
      <c r="B3989" s="3">
        <v>44793</v>
      </c>
      <c r="F3989" s="1">
        <v>3000</v>
      </c>
      <c r="G3989" s="2">
        <f t="shared" si="62"/>
        <v>-3000</v>
      </c>
      <c r="H3989" t="s">
        <v>13</v>
      </c>
    </row>
    <row r="3990" spans="2:8" x14ac:dyDescent="0.2">
      <c r="B3990" s="3">
        <v>44793</v>
      </c>
      <c r="G3990" s="2">
        <f t="shared" si="62"/>
        <v>0</v>
      </c>
      <c r="H3990" t="s">
        <v>30</v>
      </c>
    </row>
    <row r="3991" spans="2:8" x14ac:dyDescent="0.2">
      <c r="B3991" s="3">
        <v>44793</v>
      </c>
      <c r="G3991" s="2">
        <f t="shared" si="62"/>
        <v>0</v>
      </c>
      <c r="H3991" t="s">
        <v>35</v>
      </c>
    </row>
    <row r="3992" spans="2:8" x14ac:dyDescent="0.2">
      <c r="B3992" s="3">
        <v>44793</v>
      </c>
      <c r="G3992" s="2">
        <f t="shared" si="62"/>
        <v>0</v>
      </c>
      <c r="H3992" t="s">
        <v>25</v>
      </c>
    </row>
    <row r="3993" spans="2:8" x14ac:dyDescent="0.2">
      <c r="B3993" s="3">
        <v>44793</v>
      </c>
      <c r="G3993" s="2">
        <f t="shared" si="62"/>
        <v>0</v>
      </c>
      <c r="H3993" t="s">
        <v>9</v>
      </c>
    </row>
    <row r="3994" spans="2:8" x14ac:dyDescent="0.2">
      <c r="B3994" s="3">
        <v>44793</v>
      </c>
      <c r="G3994" s="2">
        <f t="shared" si="62"/>
        <v>0</v>
      </c>
      <c r="H3994" t="s">
        <v>32</v>
      </c>
    </row>
    <row r="3995" spans="2:8" x14ac:dyDescent="0.2">
      <c r="B3995" s="3">
        <v>44793</v>
      </c>
      <c r="D3995" s="1">
        <v>2450</v>
      </c>
      <c r="E3995" s="1">
        <v>2590</v>
      </c>
      <c r="F3995" s="1">
        <v>2590</v>
      </c>
      <c r="G3995" s="2">
        <f t="shared" si="62"/>
        <v>0</v>
      </c>
      <c r="H3995" s="1" t="s">
        <v>82</v>
      </c>
    </row>
    <row r="3996" spans="2:8" x14ac:dyDescent="0.2">
      <c r="B3996" s="3">
        <v>44794</v>
      </c>
      <c r="D3996" s="28"/>
      <c r="G3996" s="2">
        <f t="shared" si="62"/>
        <v>0</v>
      </c>
      <c r="H3996" t="s">
        <v>14</v>
      </c>
    </row>
    <row r="3997" spans="2:8" x14ac:dyDescent="0.2">
      <c r="B3997" s="3">
        <v>44794</v>
      </c>
      <c r="G3997" s="2">
        <f t="shared" si="62"/>
        <v>0</v>
      </c>
      <c r="H3997" t="s">
        <v>27</v>
      </c>
    </row>
    <row r="3998" spans="2:8" x14ac:dyDescent="0.2">
      <c r="B3998" s="3">
        <v>44794</v>
      </c>
      <c r="G3998" s="2">
        <f t="shared" si="62"/>
        <v>0</v>
      </c>
      <c r="H3998" t="s">
        <v>13</v>
      </c>
    </row>
    <row r="3999" spans="2:8" x14ac:dyDescent="0.2">
      <c r="B3999" s="3">
        <v>44794</v>
      </c>
      <c r="D3999" s="1">
        <v>16056.7</v>
      </c>
      <c r="E3999" s="1">
        <v>21018.18</v>
      </c>
      <c r="G3999" s="2">
        <f t="shared" si="62"/>
        <v>21018.18</v>
      </c>
      <c r="H3999" t="s">
        <v>30</v>
      </c>
    </row>
    <row r="4000" spans="2:8" x14ac:dyDescent="0.2">
      <c r="B4000" s="3">
        <v>44794</v>
      </c>
      <c r="G4000" s="2">
        <f t="shared" si="62"/>
        <v>0</v>
      </c>
      <c r="H4000" t="s">
        <v>35</v>
      </c>
    </row>
    <row r="4001" spans="2:8" x14ac:dyDescent="0.2">
      <c r="B4001" s="3">
        <v>44794</v>
      </c>
      <c r="G4001" s="2">
        <f t="shared" si="62"/>
        <v>0</v>
      </c>
      <c r="H4001" t="s">
        <v>25</v>
      </c>
    </row>
    <row r="4002" spans="2:8" x14ac:dyDescent="0.2">
      <c r="B4002" s="3">
        <v>44794</v>
      </c>
      <c r="G4002" s="2">
        <f t="shared" si="62"/>
        <v>0</v>
      </c>
      <c r="H4002" t="s">
        <v>9</v>
      </c>
    </row>
    <row r="4003" spans="2:8" x14ac:dyDescent="0.2">
      <c r="B4003" s="3">
        <v>44794</v>
      </c>
      <c r="G4003" s="2">
        <f t="shared" si="62"/>
        <v>0</v>
      </c>
      <c r="H4003" t="s">
        <v>32</v>
      </c>
    </row>
    <row r="4004" spans="2:8" x14ac:dyDescent="0.2">
      <c r="B4004" s="3">
        <v>44794</v>
      </c>
      <c r="G4004" s="2">
        <f t="shared" si="62"/>
        <v>0</v>
      </c>
      <c r="H4004" s="1"/>
    </row>
    <row r="4005" spans="2:8" x14ac:dyDescent="0.2">
      <c r="B4005" s="3">
        <v>44795</v>
      </c>
      <c r="D4005" s="28"/>
      <c r="F4005" s="1">
        <v>10000</v>
      </c>
      <c r="G4005" s="2">
        <f t="shared" si="62"/>
        <v>-10000</v>
      </c>
      <c r="H4005" t="s">
        <v>14</v>
      </c>
    </row>
    <row r="4006" spans="2:8" x14ac:dyDescent="0.2">
      <c r="B4006" s="3">
        <v>44795</v>
      </c>
      <c r="G4006" s="2">
        <f t="shared" si="62"/>
        <v>0</v>
      </c>
      <c r="H4006" t="s">
        <v>27</v>
      </c>
    </row>
    <row r="4007" spans="2:8" x14ac:dyDescent="0.2">
      <c r="B4007" s="3">
        <v>44795</v>
      </c>
      <c r="G4007" s="2">
        <f t="shared" si="62"/>
        <v>0</v>
      </c>
      <c r="H4007" t="s">
        <v>13</v>
      </c>
    </row>
    <row r="4008" spans="2:8" x14ac:dyDescent="0.2">
      <c r="B4008" s="3">
        <v>44795</v>
      </c>
      <c r="G4008" s="2">
        <f t="shared" si="62"/>
        <v>0</v>
      </c>
      <c r="H4008" t="s">
        <v>30</v>
      </c>
    </row>
    <row r="4009" spans="2:8" x14ac:dyDescent="0.2">
      <c r="B4009" s="3">
        <v>44795</v>
      </c>
      <c r="G4009" s="2">
        <f t="shared" si="62"/>
        <v>0</v>
      </c>
      <c r="H4009" t="s">
        <v>35</v>
      </c>
    </row>
    <row r="4010" spans="2:8" x14ac:dyDescent="0.2">
      <c r="B4010" s="3">
        <v>44795</v>
      </c>
      <c r="G4010" s="2">
        <f t="shared" si="62"/>
        <v>0</v>
      </c>
      <c r="H4010" t="s">
        <v>25</v>
      </c>
    </row>
    <row r="4011" spans="2:8" x14ac:dyDescent="0.2">
      <c r="B4011" s="3">
        <v>44795</v>
      </c>
      <c r="G4011" s="2">
        <f t="shared" si="62"/>
        <v>0</v>
      </c>
      <c r="H4011" t="s">
        <v>9</v>
      </c>
    </row>
    <row r="4012" spans="2:8" x14ac:dyDescent="0.2">
      <c r="B4012" s="3">
        <v>44795</v>
      </c>
      <c r="G4012" s="2">
        <f t="shared" si="62"/>
        <v>0</v>
      </c>
      <c r="H4012" t="s">
        <v>32</v>
      </c>
    </row>
    <row r="4013" spans="2:8" x14ac:dyDescent="0.2">
      <c r="B4013" s="3">
        <v>44795</v>
      </c>
      <c r="G4013" s="2">
        <f t="shared" si="62"/>
        <v>0</v>
      </c>
      <c r="H4013" s="1"/>
    </row>
    <row r="4014" spans="2:8" x14ac:dyDescent="0.2">
      <c r="B4014" s="3">
        <v>44796</v>
      </c>
      <c r="D4014" s="28"/>
      <c r="G4014" s="2">
        <f t="shared" si="62"/>
        <v>0</v>
      </c>
      <c r="H4014" t="s">
        <v>14</v>
      </c>
    </row>
    <row r="4015" spans="2:8" x14ac:dyDescent="0.2">
      <c r="B4015" s="3">
        <v>44796</v>
      </c>
      <c r="G4015" s="2">
        <f t="shared" si="62"/>
        <v>0</v>
      </c>
      <c r="H4015" t="s">
        <v>27</v>
      </c>
    </row>
    <row r="4016" spans="2:8" x14ac:dyDescent="0.2">
      <c r="B4016" s="3">
        <v>44796</v>
      </c>
      <c r="G4016" s="2">
        <f t="shared" si="62"/>
        <v>0</v>
      </c>
      <c r="H4016" t="s">
        <v>13</v>
      </c>
    </row>
    <row r="4017" spans="2:8" x14ac:dyDescent="0.2">
      <c r="B4017" s="3">
        <v>44796</v>
      </c>
      <c r="G4017" s="2">
        <f t="shared" si="62"/>
        <v>0</v>
      </c>
      <c r="H4017" t="s">
        <v>30</v>
      </c>
    </row>
    <row r="4018" spans="2:8" x14ac:dyDescent="0.2">
      <c r="B4018" s="3">
        <v>44796</v>
      </c>
      <c r="F4018" s="1">
        <v>2015</v>
      </c>
      <c r="G4018" s="2">
        <f t="shared" si="62"/>
        <v>-2015</v>
      </c>
      <c r="H4018" t="s">
        <v>35</v>
      </c>
    </row>
    <row r="4019" spans="2:8" x14ac:dyDescent="0.2">
      <c r="B4019" s="3">
        <v>44796</v>
      </c>
      <c r="G4019" s="2">
        <f t="shared" si="62"/>
        <v>0</v>
      </c>
      <c r="H4019" t="s">
        <v>25</v>
      </c>
    </row>
    <row r="4020" spans="2:8" x14ac:dyDescent="0.2">
      <c r="B4020" s="3">
        <v>44796</v>
      </c>
      <c r="G4020" s="2">
        <f t="shared" si="62"/>
        <v>0</v>
      </c>
      <c r="H4020" t="s">
        <v>9</v>
      </c>
    </row>
    <row r="4021" spans="2:8" x14ac:dyDescent="0.2">
      <c r="B4021" s="3">
        <v>44796</v>
      </c>
      <c r="G4021" s="2">
        <f t="shared" si="62"/>
        <v>0</v>
      </c>
      <c r="H4021" t="s">
        <v>32</v>
      </c>
    </row>
    <row r="4022" spans="2:8" x14ac:dyDescent="0.2">
      <c r="B4022" s="3">
        <v>44796</v>
      </c>
      <c r="G4022" s="2">
        <f t="shared" si="62"/>
        <v>0</v>
      </c>
      <c r="H4022" s="1"/>
    </row>
    <row r="4023" spans="2:8" x14ac:dyDescent="0.2">
      <c r="B4023" s="3">
        <v>44797</v>
      </c>
      <c r="D4023" s="28">
        <f>475+1650</f>
        <v>2125</v>
      </c>
      <c r="E4023" s="1">
        <v>2350</v>
      </c>
      <c r="G4023" s="2">
        <f t="shared" si="62"/>
        <v>2350</v>
      </c>
      <c r="H4023" t="s">
        <v>14</v>
      </c>
    </row>
    <row r="4024" spans="2:8" x14ac:dyDescent="0.2">
      <c r="B4024" s="3">
        <v>44797</v>
      </c>
      <c r="G4024" s="2">
        <f t="shared" si="62"/>
        <v>0</v>
      </c>
      <c r="H4024" t="s">
        <v>27</v>
      </c>
    </row>
    <row r="4025" spans="2:8" x14ac:dyDescent="0.2">
      <c r="B4025" s="3">
        <v>44797</v>
      </c>
      <c r="G4025" s="2">
        <f t="shared" si="62"/>
        <v>0</v>
      </c>
      <c r="H4025" t="s">
        <v>13</v>
      </c>
    </row>
    <row r="4026" spans="2:8" x14ac:dyDescent="0.2">
      <c r="B4026" s="3">
        <v>44797</v>
      </c>
      <c r="D4026" s="1">
        <v>5432</v>
      </c>
      <c r="E4026" s="1">
        <v>7271.49</v>
      </c>
      <c r="G4026" s="2">
        <f t="shared" si="62"/>
        <v>7271.49</v>
      </c>
      <c r="H4026" t="s">
        <v>30</v>
      </c>
    </row>
    <row r="4027" spans="2:8" x14ac:dyDescent="0.2">
      <c r="B4027" s="3">
        <v>44797</v>
      </c>
      <c r="G4027" s="2">
        <f t="shared" si="62"/>
        <v>0</v>
      </c>
      <c r="H4027" t="s">
        <v>35</v>
      </c>
    </row>
    <row r="4028" spans="2:8" x14ac:dyDescent="0.2">
      <c r="B4028" s="3">
        <v>44797</v>
      </c>
      <c r="G4028" s="2">
        <f t="shared" si="62"/>
        <v>0</v>
      </c>
      <c r="H4028" t="s">
        <v>25</v>
      </c>
    </row>
    <row r="4029" spans="2:8" x14ac:dyDescent="0.2">
      <c r="B4029" s="3">
        <v>44797</v>
      </c>
      <c r="G4029" s="2">
        <f t="shared" si="62"/>
        <v>0</v>
      </c>
      <c r="H4029" t="s">
        <v>9</v>
      </c>
    </row>
    <row r="4030" spans="2:8" x14ac:dyDescent="0.2">
      <c r="B4030" s="3">
        <v>44797</v>
      </c>
      <c r="G4030" s="2">
        <f t="shared" si="62"/>
        <v>0</v>
      </c>
      <c r="H4030" t="s">
        <v>32</v>
      </c>
    </row>
    <row r="4031" spans="2:8" x14ac:dyDescent="0.2">
      <c r="B4031" s="3">
        <v>44797</v>
      </c>
      <c r="D4031" s="1">
        <v>455</v>
      </c>
      <c r="E4031" s="1">
        <v>500</v>
      </c>
      <c r="G4031" s="2">
        <f t="shared" si="62"/>
        <v>500</v>
      </c>
      <c r="H4031" t="s">
        <v>39</v>
      </c>
    </row>
    <row r="4032" spans="2:8" x14ac:dyDescent="0.2">
      <c r="B4032" s="3">
        <v>44798</v>
      </c>
      <c r="D4032" s="28"/>
      <c r="G4032" s="2">
        <f t="shared" si="62"/>
        <v>0</v>
      </c>
      <c r="H4032" t="s">
        <v>14</v>
      </c>
    </row>
    <row r="4033" spans="2:8" x14ac:dyDescent="0.2">
      <c r="B4033" s="3">
        <v>44798</v>
      </c>
      <c r="F4033" s="1">
        <v>5000</v>
      </c>
      <c r="G4033" s="2">
        <f t="shared" si="62"/>
        <v>-5000</v>
      </c>
      <c r="H4033" t="s">
        <v>27</v>
      </c>
    </row>
    <row r="4034" spans="2:8" x14ac:dyDescent="0.2">
      <c r="B4034" s="3">
        <v>44798</v>
      </c>
      <c r="G4034" s="2">
        <f t="shared" si="62"/>
        <v>0</v>
      </c>
      <c r="H4034" t="s">
        <v>13</v>
      </c>
    </row>
    <row r="4035" spans="2:8" x14ac:dyDescent="0.2">
      <c r="B4035" s="3">
        <v>44798</v>
      </c>
      <c r="G4035" s="2">
        <f t="shared" ref="G4035:G4098" si="63">E4035-F4035</f>
        <v>0</v>
      </c>
      <c r="H4035" t="s">
        <v>30</v>
      </c>
    </row>
    <row r="4036" spans="2:8" x14ac:dyDescent="0.2">
      <c r="B4036" s="3">
        <v>44798</v>
      </c>
      <c r="G4036" s="2">
        <f t="shared" si="63"/>
        <v>0</v>
      </c>
      <c r="H4036" t="s">
        <v>35</v>
      </c>
    </row>
    <row r="4037" spans="2:8" x14ac:dyDescent="0.2">
      <c r="B4037" s="3">
        <v>44798</v>
      </c>
      <c r="D4037" s="1">
        <v>93.75</v>
      </c>
      <c r="E4037" s="1">
        <v>112.5</v>
      </c>
      <c r="F4037" s="1">
        <v>3000</v>
      </c>
      <c r="G4037" s="2">
        <f t="shared" si="63"/>
        <v>-2887.5</v>
      </c>
      <c r="H4037" t="s">
        <v>25</v>
      </c>
    </row>
    <row r="4038" spans="2:8" x14ac:dyDescent="0.2">
      <c r="B4038" s="3">
        <v>44798</v>
      </c>
      <c r="G4038" s="2">
        <f t="shared" si="63"/>
        <v>0</v>
      </c>
      <c r="H4038" t="s">
        <v>9</v>
      </c>
    </row>
    <row r="4039" spans="2:8" x14ac:dyDescent="0.2">
      <c r="B4039" s="3">
        <v>44798</v>
      </c>
      <c r="G4039" s="2">
        <f t="shared" si="63"/>
        <v>0</v>
      </c>
      <c r="H4039" t="s">
        <v>32</v>
      </c>
    </row>
    <row r="4040" spans="2:8" x14ac:dyDescent="0.2">
      <c r="B4040" s="3">
        <v>44798</v>
      </c>
      <c r="D4040" s="1">
        <v>2980</v>
      </c>
      <c r="E4040" s="1">
        <v>3180</v>
      </c>
      <c r="F4040" s="1">
        <v>3180</v>
      </c>
      <c r="G4040" s="2">
        <f t="shared" si="63"/>
        <v>0</v>
      </c>
      <c r="H4040" s="1" t="s">
        <v>82</v>
      </c>
    </row>
    <row r="4041" spans="2:8" x14ac:dyDescent="0.2">
      <c r="B4041" s="3">
        <v>44799</v>
      </c>
      <c r="D4041" s="28"/>
      <c r="G4041" s="2">
        <f t="shared" si="63"/>
        <v>0</v>
      </c>
      <c r="H4041" t="s">
        <v>14</v>
      </c>
    </row>
    <row r="4042" spans="2:8" x14ac:dyDescent="0.2">
      <c r="B4042" s="3">
        <v>44799</v>
      </c>
      <c r="G4042" s="2">
        <f t="shared" si="63"/>
        <v>0</v>
      </c>
      <c r="H4042" t="s">
        <v>27</v>
      </c>
    </row>
    <row r="4043" spans="2:8" x14ac:dyDescent="0.2">
      <c r="B4043" s="3">
        <v>44799</v>
      </c>
      <c r="G4043" s="2">
        <f t="shared" si="63"/>
        <v>0</v>
      </c>
      <c r="H4043" t="s">
        <v>13</v>
      </c>
    </row>
    <row r="4044" spans="2:8" x14ac:dyDescent="0.2">
      <c r="B4044" s="3">
        <v>44799</v>
      </c>
      <c r="G4044" s="2">
        <f t="shared" si="63"/>
        <v>0</v>
      </c>
      <c r="H4044" t="s">
        <v>30</v>
      </c>
    </row>
    <row r="4045" spans="2:8" x14ac:dyDescent="0.2">
      <c r="B4045" s="3">
        <v>44799</v>
      </c>
      <c r="D4045" s="1">
        <v>772</v>
      </c>
      <c r="E4045" s="1">
        <v>1260</v>
      </c>
      <c r="G4045" s="2">
        <f t="shared" si="63"/>
        <v>1260</v>
      </c>
      <c r="H4045" t="s">
        <v>35</v>
      </c>
    </row>
    <row r="4046" spans="2:8" x14ac:dyDescent="0.2">
      <c r="B4046" s="3">
        <v>44799</v>
      </c>
      <c r="G4046" s="2">
        <f t="shared" si="63"/>
        <v>0</v>
      </c>
      <c r="H4046" t="s">
        <v>25</v>
      </c>
    </row>
    <row r="4047" spans="2:8" x14ac:dyDescent="0.2">
      <c r="B4047" s="3">
        <v>44799</v>
      </c>
      <c r="G4047" s="2">
        <f t="shared" si="63"/>
        <v>0</v>
      </c>
      <c r="H4047" t="s">
        <v>9</v>
      </c>
    </row>
    <row r="4048" spans="2:8" x14ac:dyDescent="0.2">
      <c r="B4048" s="3">
        <v>44799</v>
      </c>
      <c r="G4048" s="2">
        <f t="shared" si="63"/>
        <v>0</v>
      </c>
      <c r="H4048" t="s">
        <v>32</v>
      </c>
    </row>
    <row r="4049" spans="2:8" x14ac:dyDescent="0.2">
      <c r="B4049" s="3">
        <v>44799</v>
      </c>
      <c r="G4049" s="2">
        <f t="shared" si="63"/>
        <v>0</v>
      </c>
      <c r="H4049" s="1"/>
    </row>
    <row r="4050" spans="2:8" x14ac:dyDescent="0.2">
      <c r="B4050" s="3">
        <v>44800</v>
      </c>
      <c r="D4050" s="28"/>
      <c r="G4050" s="2">
        <f t="shared" si="63"/>
        <v>0</v>
      </c>
      <c r="H4050" t="s">
        <v>14</v>
      </c>
    </row>
    <row r="4051" spans="2:8" x14ac:dyDescent="0.2">
      <c r="B4051" s="3">
        <v>44800</v>
      </c>
      <c r="G4051" s="2">
        <f t="shared" si="63"/>
        <v>0</v>
      </c>
      <c r="H4051" t="s">
        <v>27</v>
      </c>
    </row>
    <row r="4052" spans="2:8" x14ac:dyDescent="0.2">
      <c r="B4052" s="3">
        <v>44800</v>
      </c>
      <c r="G4052" s="2">
        <f t="shared" si="63"/>
        <v>0</v>
      </c>
      <c r="H4052" t="s">
        <v>13</v>
      </c>
    </row>
    <row r="4053" spans="2:8" x14ac:dyDescent="0.2">
      <c r="B4053" s="3">
        <v>44800</v>
      </c>
      <c r="G4053" s="2">
        <f t="shared" si="63"/>
        <v>0</v>
      </c>
      <c r="H4053" t="s">
        <v>30</v>
      </c>
    </row>
    <row r="4054" spans="2:8" x14ac:dyDescent="0.2">
      <c r="B4054" s="3">
        <v>44800</v>
      </c>
      <c r="G4054" s="2">
        <f t="shared" si="63"/>
        <v>0</v>
      </c>
      <c r="H4054" t="s">
        <v>35</v>
      </c>
    </row>
    <row r="4055" spans="2:8" x14ac:dyDescent="0.2">
      <c r="B4055" s="3">
        <v>44800</v>
      </c>
      <c r="G4055" s="2">
        <f t="shared" si="63"/>
        <v>0</v>
      </c>
      <c r="H4055" t="s">
        <v>25</v>
      </c>
    </row>
    <row r="4056" spans="2:8" x14ac:dyDescent="0.2">
      <c r="B4056" s="3">
        <v>44800</v>
      </c>
      <c r="G4056" s="2">
        <f t="shared" si="63"/>
        <v>0</v>
      </c>
      <c r="H4056" t="s">
        <v>9</v>
      </c>
    </row>
    <row r="4057" spans="2:8" x14ac:dyDescent="0.2">
      <c r="B4057" s="3">
        <v>44800</v>
      </c>
      <c r="G4057" s="2">
        <f t="shared" si="63"/>
        <v>0</v>
      </c>
      <c r="H4057" t="s">
        <v>32</v>
      </c>
    </row>
    <row r="4058" spans="2:8" x14ac:dyDescent="0.2">
      <c r="B4058" s="3">
        <v>44800</v>
      </c>
      <c r="G4058" s="2">
        <f t="shared" si="63"/>
        <v>0</v>
      </c>
      <c r="H4058" s="1"/>
    </row>
    <row r="4059" spans="2:8" x14ac:dyDescent="0.2">
      <c r="B4059" s="3">
        <v>44801</v>
      </c>
      <c r="D4059" s="28">
        <f>2640+2640+3520+325+1800+2550+91+315+2150</f>
        <v>16031</v>
      </c>
      <c r="E4059" s="1">
        <v>18160.099999999999</v>
      </c>
      <c r="G4059" s="2">
        <f t="shared" si="63"/>
        <v>18160.099999999999</v>
      </c>
      <c r="H4059" t="s">
        <v>14</v>
      </c>
    </row>
    <row r="4060" spans="2:8" x14ac:dyDescent="0.2">
      <c r="B4060" s="3">
        <v>44801</v>
      </c>
      <c r="G4060" s="2">
        <f t="shared" si="63"/>
        <v>0</v>
      </c>
      <c r="H4060" t="s">
        <v>27</v>
      </c>
    </row>
    <row r="4061" spans="2:8" x14ac:dyDescent="0.2">
      <c r="B4061" s="3">
        <v>44801</v>
      </c>
      <c r="G4061" s="2">
        <f t="shared" si="63"/>
        <v>0</v>
      </c>
      <c r="H4061" t="s">
        <v>13</v>
      </c>
    </row>
    <row r="4062" spans="2:8" x14ac:dyDescent="0.2">
      <c r="B4062" s="3">
        <v>44801</v>
      </c>
      <c r="G4062" s="2">
        <f t="shared" si="63"/>
        <v>0</v>
      </c>
      <c r="H4062" t="s">
        <v>30</v>
      </c>
    </row>
    <row r="4063" spans="2:8" x14ac:dyDescent="0.2">
      <c r="B4063" s="3">
        <v>44801</v>
      </c>
      <c r="G4063" s="2">
        <f t="shared" si="63"/>
        <v>0</v>
      </c>
      <c r="H4063" t="s">
        <v>35</v>
      </c>
    </row>
    <row r="4064" spans="2:8" x14ac:dyDescent="0.2">
      <c r="B4064" s="3">
        <v>44801</v>
      </c>
      <c r="G4064" s="2">
        <f t="shared" si="63"/>
        <v>0</v>
      </c>
      <c r="H4064" t="s">
        <v>25</v>
      </c>
    </row>
    <row r="4065" spans="2:8" x14ac:dyDescent="0.2">
      <c r="B4065" s="3">
        <v>44801</v>
      </c>
      <c r="G4065" s="2">
        <f t="shared" si="63"/>
        <v>0</v>
      </c>
      <c r="H4065" t="s">
        <v>9</v>
      </c>
    </row>
    <row r="4066" spans="2:8" x14ac:dyDescent="0.2">
      <c r="B4066" s="3">
        <v>44801</v>
      </c>
      <c r="G4066" s="2">
        <f t="shared" si="63"/>
        <v>0</v>
      </c>
      <c r="H4066" t="s">
        <v>32</v>
      </c>
    </row>
    <row r="4067" spans="2:8" x14ac:dyDescent="0.2">
      <c r="B4067" s="3">
        <v>44801</v>
      </c>
      <c r="G4067" s="2">
        <f t="shared" si="63"/>
        <v>0</v>
      </c>
      <c r="H4067" s="1"/>
    </row>
    <row r="4068" spans="2:8" x14ac:dyDescent="0.2">
      <c r="B4068" s="3">
        <v>44802</v>
      </c>
      <c r="D4068" s="28"/>
      <c r="G4068" s="2">
        <f t="shared" si="63"/>
        <v>0</v>
      </c>
      <c r="H4068" t="s">
        <v>14</v>
      </c>
    </row>
    <row r="4069" spans="2:8" x14ac:dyDescent="0.2">
      <c r="B4069" s="3">
        <v>44802</v>
      </c>
      <c r="G4069" s="2">
        <f t="shared" si="63"/>
        <v>0</v>
      </c>
      <c r="H4069" t="s">
        <v>27</v>
      </c>
    </row>
    <row r="4070" spans="2:8" x14ac:dyDescent="0.2">
      <c r="B4070" s="3">
        <v>44802</v>
      </c>
      <c r="G4070" s="2">
        <f t="shared" si="63"/>
        <v>0</v>
      </c>
      <c r="H4070" t="s">
        <v>13</v>
      </c>
    </row>
    <row r="4071" spans="2:8" x14ac:dyDescent="0.2">
      <c r="B4071" s="3">
        <v>44802</v>
      </c>
      <c r="G4071" s="2">
        <f t="shared" si="63"/>
        <v>0</v>
      </c>
      <c r="H4071" t="s">
        <v>30</v>
      </c>
    </row>
    <row r="4072" spans="2:8" x14ac:dyDescent="0.2">
      <c r="B4072" s="3">
        <v>44802</v>
      </c>
      <c r="F4072" s="1">
        <v>1260</v>
      </c>
      <c r="G4072" s="2">
        <f t="shared" si="63"/>
        <v>-1260</v>
      </c>
      <c r="H4072" t="s">
        <v>35</v>
      </c>
    </row>
    <row r="4073" spans="2:8" x14ac:dyDescent="0.2">
      <c r="B4073" s="3">
        <v>44802</v>
      </c>
      <c r="G4073" s="2">
        <f t="shared" si="63"/>
        <v>0</v>
      </c>
      <c r="H4073" t="s">
        <v>25</v>
      </c>
    </row>
    <row r="4074" spans="2:8" x14ac:dyDescent="0.2">
      <c r="B4074" s="3">
        <v>44802</v>
      </c>
      <c r="G4074" s="2">
        <f t="shared" si="63"/>
        <v>0</v>
      </c>
      <c r="H4074" t="s">
        <v>9</v>
      </c>
    </row>
    <row r="4075" spans="2:8" x14ac:dyDescent="0.2">
      <c r="B4075" s="3">
        <v>44802</v>
      </c>
      <c r="G4075" s="2">
        <f t="shared" si="63"/>
        <v>0</v>
      </c>
      <c r="H4075" t="s">
        <v>32</v>
      </c>
    </row>
    <row r="4076" spans="2:8" x14ac:dyDescent="0.2">
      <c r="B4076" s="3">
        <v>44802</v>
      </c>
      <c r="G4076" s="2">
        <f t="shared" si="63"/>
        <v>0</v>
      </c>
      <c r="H4076" s="1"/>
    </row>
    <row r="4077" spans="2:8" x14ac:dyDescent="0.2">
      <c r="B4077" s="3">
        <v>44803</v>
      </c>
      <c r="D4077" s="28"/>
      <c r="G4077" s="2">
        <f t="shared" si="63"/>
        <v>0</v>
      </c>
      <c r="H4077" t="s">
        <v>14</v>
      </c>
    </row>
    <row r="4078" spans="2:8" x14ac:dyDescent="0.2">
      <c r="B4078" s="3">
        <v>44803</v>
      </c>
      <c r="G4078" s="2">
        <f t="shared" si="63"/>
        <v>0</v>
      </c>
      <c r="H4078" t="s">
        <v>27</v>
      </c>
    </row>
    <row r="4079" spans="2:8" x14ac:dyDescent="0.2">
      <c r="B4079" s="3">
        <v>44803</v>
      </c>
      <c r="G4079" s="2">
        <f t="shared" si="63"/>
        <v>0</v>
      </c>
      <c r="H4079" t="s">
        <v>13</v>
      </c>
    </row>
    <row r="4080" spans="2:8" x14ac:dyDescent="0.2">
      <c r="B4080" s="3">
        <v>44803</v>
      </c>
      <c r="G4080" s="2">
        <f t="shared" si="63"/>
        <v>0</v>
      </c>
      <c r="H4080" t="s">
        <v>30</v>
      </c>
    </row>
    <row r="4081" spans="2:8" x14ac:dyDescent="0.2">
      <c r="B4081" s="3">
        <v>44803</v>
      </c>
      <c r="G4081" s="2">
        <f t="shared" si="63"/>
        <v>0</v>
      </c>
      <c r="H4081" t="s">
        <v>35</v>
      </c>
    </row>
    <row r="4082" spans="2:8" x14ac:dyDescent="0.2">
      <c r="B4082" s="3">
        <v>44803</v>
      </c>
      <c r="G4082" s="2">
        <f t="shared" si="63"/>
        <v>0</v>
      </c>
      <c r="H4082" t="s">
        <v>25</v>
      </c>
    </row>
    <row r="4083" spans="2:8" x14ac:dyDescent="0.2">
      <c r="B4083" s="3">
        <v>44803</v>
      </c>
      <c r="G4083" s="2">
        <f t="shared" si="63"/>
        <v>0</v>
      </c>
      <c r="H4083" t="s">
        <v>9</v>
      </c>
    </row>
    <row r="4084" spans="2:8" x14ac:dyDescent="0.2">
      <c r="B4084" s="3">
        <v>44803</v>
      </c>
      <c r="G4084" s="2">
        <f t="shared" si="63"/>
        <v>0</v>
      </c>
      <c r="H4084" t="s">
        <v>32</v>
      </c>
    </row>
    <row r="4085" spans="2:8" x14ac:dyDescent="0.2">
      <c r="B4085" s="3">
        <v>44803</v>
      </c>
      <c r="D4085" s="1">
        <v>120</v>
      </c>
      <c r="E4085" s="1">
        <v>124.5</v>
      </c>
      <c r="G4085" s="2">
        <f t="shared" si="63"/>
        <v>124.5</v>
      </c>
      <c r="H4085" s="1" t="s">
        <v>48</v>
      </c>
    </row>
    <row r="4086" spans="2:8" x14ac:dyDescent="0.2">
      <c r="B4086" s="3">
        <v>44804</v>
      </c>
      <c r="D4086" s="28">
        <f>1180+1160+1200+680</f>
        <v>4220</v>
      </c>
      <c r="E4086" s="1">
        <v>4648</v>
      </c>
      <c r="F4086" s="1">
        <v>7000</v>
      </c>
      <c r="G4086" s="2">
        <f t="shared" si="63"/>
        <v>-2352</v>
      </c>
      <c r="H4086" t="s">
        <v>14</v>
      </c>
    </row>
    <row r="4087" spans="2:8" x14ac:dyDescent="0.2">
      <c r="B4087" s="3">
        <v>44804</v>
      </c>
      <c r="G4087" s="2">
        <f t="shared" si="63"/>
        <v>0</v>
      </c>
      <c r="H4087" t="s">
        <v>27</v>
      </c>
    </row>
    <row r="4088" spans="2:8" x14ac:dyDescent="0.2">
      <c r="B4088" s="3">
        <v>44804</v>
      </c>
      <c r="G4088" s="2">
        <f t="shared" si="63"/>
        <v>0</v>
      </c>
      <c r="H4088" t="s">
        <v>13</v>
      </c>
    </row>
    <row r="4089" spans="2:8" x14ac:dyDescent="0.2">
      <c r="B4089" s="3">
        <v>44804</v>
      </c>
      <c r="D4089" s="1">
        <v>2298</v>
      </c>
      <c r="E4089" s="1">
        <v>3180.6</v>
      </c>
      <c r="G4089" s="2">
        <f t="shared" si="63"/>
        <v>3180.6</v>
      </c>
      <c r="H4089" t="s">
        <v>30</v>
      </c>
    </row>
    <row r="4090" spans="2:8" x14ac:dyDescent="0.2">
      <c r="B4090" s="3">
        <v>44804</v>
      </c>
      <c r="G4090" s="2">
        <f t="shared" si="63"/>
        <v>0</v>
      </c>
      <c r="H4090" t="s">
        <v>35</v>
      </c>
    </row>
    <row r="4091" spans="2:8" x14ac:dyDescent="0.2">
      <c r="B4091" s="3">
        <v>44804</v>
      </c>
      <c r="G4091" s="2">
        <f t="shared" si="63"/>
        <v>0</v>
      </c>
      <c r="H4091" t="s">
        <v>25</v>
      </c>
    </row>
    <row r="4092" spans="2:8" x14ac:dyDescent="0.2">
      <c r="B4092" s="3">
        <v>44804</v>
      </c>
      <c r="G4092" s="2">
        <f t="shared" si="63"/>
        <v>0</v>
      </c>
      <c r="H4092" t="s">
        <v>9</v>
      </c>
    </row>
    <row r="4093" spans="2:8" x14ac:dyDescent="0.2">
      <c r="B4093" s="3">
        <v>44804</v>
      </c>
      <c r="G4093" s="2">
        <f t="shared" si="63"/>
        <v>0</v>
      </c>
      <c r="H4093" t="s">
        <v>32</v>
      </c>
    </row>
    <row r="4094" spans="2:8" x14ac:dyDescent="0.2">
      <c r="B4094" s="3">
        <v>44804</v>
      </c>
      <c r="G4094" s="2">
        <f t="shared" si="63"/>
        <v>0</v>
      </c>
      <c r="H4094" s="1"/>
    </row>
    <row r="4095" spans="2:8" x14ac:dyDescent="0.2">
      <c r="B4095" s="3">
        <v>44805</v>
      </c>
      <c r="D4095" s="28"/>
      <c r="G4095" s="2">
        <f t="shared" si="63"/>
        <v>0</v>
      </c>
      <c r="H4095" t="s">
        <v>14</v>
      </c>
    </row>
    <row r="4096" spans="2:8" x14ac:dyDescent="0.2">
      <c r="B4096" s="3">
        <v>44805</v>
      </c>
      <c r="G4096" s="2">
        <f t="shared" si="63"/>
        <v>0</v>
      </c>
      <c r="H4096" t="s">
        <v>27</v>
      </c>
    </row>
    <row r="4097" spans="2:8" x14ac:dyDescent="0.2">
      <c r="B4097" s="3">
        <v>44805</v>
      </c>
      <c r="G4097" s="2">
        <f t="shared" si="63"/>
        <v>0</v>
      </c>
      <c r="H4097" t="s">
        <v>13</v>
      </c>
    </row>
    <row r="4098" spans="2:8" x14ac:dyDescent="0.2">
      <c r="B4098" s="3">
        <v>44805</v>
      </c>
      <c r="G4098" s="2">
        <f t="shared" si="63"/>
        <v>0</v>
      </c>
      <c r="H4098" t="s">
        <v>30</v>
      </c>
    </row>
    <row r="4099" spans="2:8" x14ac:dyDescent="0.2">
      <c r="B4099" s="3">
        <v>44805</v>
      </c>
      <c r="G4099" s="2">
        <f t="shared" ref="G4099:G4162" si="64">E4099-F4099</f>
        <v>0</v>
      </c>
      <c r="H4099" t="s">
        <v>35</v>
      </c>
    </row>
    <row r="4100" spans="2:8" x14ac:dyDescent="0.2">
      <c r="B4100" s="3">
        <v>44805</v>
      </c>
      <c r="G4100" s="2">
        <f t="shared" si="64"/>
        <v>0</v>
      </c>
      <c r="H4100" t="s">
        <v>25</v>
      </c>
    </row>
    <row r="4101" spans="2:8" x14ac:dyDescent="0.2">
      <c r="B4101" s="3">
        <v>44805</v>
      </c>
      <c r="G4101" s="2">
        <f t="shared" si="64"/>
        <v>0</v>
      </c>
      <c r="H4101" t="s">
        <v>9</v>
      </c>
    </row>
    <row r="4102" spans="2:8" x14ac:dyDescent="0.2">
      <c r="B4102" s="3">
        <v>44805</v>
      </c>
      <c r="D4102" s="1">
        <v>1170</v>
      </c>
      <c r="E4102" s="1">
        <v>1355</v>
      </c>
      <c r="F4102" s="1">
        <v>1355</v>
      </c>
      <c r="G4102" s="2">
        <f t="shared" si="64"/>
        <v>0</v>
      </c>
      <c r="H4102" t="s">
        <v>32</v>
      </c>
    </row>
    <row r="4103" spans="2:8" x14ac:dyDescent="0.2">
      <c r="B4103" s="3">
        <v>44805</v>
      </c>
      <c r="G4103" s="2">
        <f t="shared" si="64"/>
        <v>0</v>
      </c>
      <c r="H4103" s="1"/>
    </row>
    <row r="4104" spans="2:8" x14ac:dyDescent="0.2">
      <c r="B4104" s="3">
        <v>44806</v>
      </c>
      <c r="D4104" s="28"/>
      <c r="G4104" s="2">
        <f t="shared" si="64"/>
        <v>0</v>
      </c>
      <c r="H4104" t="s">
        <v>14</v>
      </c>
    </row>
    <row r="4105" spans="2:8" x14ac:dyDescent="0.2">
      <c r="B4105" s="3">
        <v>44806</v>
      </c>
      <c r="G4105" s="2">
        <f t="shared" si="64"/>
        <v>0</v>
      </c>
      <c r="H4105" t="s">
        <v>27</v>
      </c>
    </row>
    <row r="4106" spans="2:8" x14ac:dyDescent="0.2">
      <c r="B4106" s="3">
        <v>44806</v>
      </c>
      <c r="G4106" s="2">
        <f t="shared" si="64"/>
        <v>0</v>
      </c>
      <c r="H4106" t="s">
        <v>13</v>
      </c>
    </row>
    <row r="4107" spans="2:8" x14ac:dyDescent="0.2">
      <c r="B4107" s="3">
        <v>44806</v>
      </c>
      <c r="G4107" s="2">
        <f t="shared" si="64"/>
        <v>0</v>
      </c>
      <c r="H4107" t="s">
        <v>30</v>
      </c>
    </row>
    <row r="4108" spans="2:8" x14ac:dyDescent="0.2">
      <c r="B4108" s="3">
        <v>44806</v>
      </c>
      <c r="G4108" s="2">
        <f t="shared" si="64"/>
        <v>0</v>
      </c>
      <c r="H4108" t="s">
        <v>35</v>
      </c>
    </row>
    <row r="4109" spans="2:8" x14ac:dyDescent="0.2">
      <c r="B4109" s="3">
        <v>44806</v>
      </c>
      <c r="G4109" s="2">
        <f t="shared" si="64"/>
        <v>0</v>
      </c>
      <c r="H4109" t="s">
        <v>25</v>
      </c>
    </row>
    <row r="4110" spans="2:8" x14ac:dyDescent="0.2">
      <c r="B4110" s="3">
        <v>44806</v>
      </c>
      <c r="G4110" s="2">
        <f t="shared" si="64"/>
        <v>0</v>
      </c>
      <c r="H4110" t="s">
        <v>9</v>
      </c>
    </row>
    <row r="4111" spans="2:8" x14ac:dyDescent="0.2">
      <c r="B4111" s="3">
        <v>44806</v>
      </c>
      <c r="G4111" s="2">
        <f t="shared" si="64"/>
        <v>0</v>
      </c>
      <c r="H4111" t="s">
        <v>32</v>
      </c>
    </row>
    <row r="4112" spans="2:8" x14ac:dyDescent="0.2">
      <c r="B4112" s="3">
        <v>44806</v>
      </c>
      <c r="G4112" s="2">
        <f t="shared" si="64"/>
        <v>0</v>
      </c>
      <c r="H4112" s="1"/>
    </row>
    <row r="4113" spans="2:8" x14ac:dyDescent="0.2">
      <c r="B4113" s="3">
        <v>44807</v>
      </c>
      <c r="D4113" s="28"/>
      <c r="G4113" s="2">
        <f t="shared" si="64"/>
        <v>0</v>
      </c>
      <c r="H4113" t="s">
        <v>14</v>
      </c>
    </row>
    <row r="4114" spans="2:8" x14ac:dyDescent="0.2">
      <c r="B4114" s="3">
        <v>44807</v>
      </c>
      <c r="G4114" s="2">
        <f t="shared" si="64"/>
        <v>0</v>
      </c>
      <c r="H4114" t="s">
        <v>27</v>
      </c>
    </row>
    <row r="4115" spans="2:8" x14ac:dyDescent="0.2">
      <c r="B4115" s="3">
        <v>44807</v>
      </c>
      <c r="G4115" s="2">
        <f t="shared" si="64"/>
        <v>0</v>
      </c>
      <c r="H4115" t="s">
        <v>13</v>
      </c>
    </row>
    <row r="4116" spans="2:8" x14ac:dyDescent="0.2">
      <c r="B4116" s="3">
        <v>44807</v>
      </c>
      <c r="G4116" s="2">
        <f t="shared" si="64"/>
        <v>0</v>
      </c>
      <c r="H4116" t="s">
        <v>30</v>
      </c>
    </row>
    <row r="4117" spans="2:8" x14ac:dyDescent="0.2">
      <c r="B4117" s="3">
        <v>44807</v>
      </c>
      <c r="G4117" s="2">
        <f t="shared" si="64"/>
        <v>0</v>
      </c>
      <c r="H4117" t="s">
        <v>35</v>
      </c>
    </row>
    <row r="4118" spans="2:8" x14ac:dyDescent="0.2">
      <c r="B4118" s="3">
        <v>44807</v>
      </c>
      <c r="G4118" s="2">
        <f t="shared" si="64"/>
        <v>0</v>
      </c>
      <c r="H4118" t="s">
        <v>25</v>
      </c>
    </row>
    <row r="4119" spans="2:8" x14ac:dyDescent="0.2">
      <c r="B4119" s="3">
        <v>44807</v>
      </c>
      <c r="G4119" s="2">
        <f t="shared" si="64"/>
        <v>0</v>
      </c>
      <c r="H4119" t="s">
        <v>9</v>
      </c>
    </row>
    <row r="4120" spans="2:8" x14ac:dyDescent="0.2">
      <c r="B4120" s="3">
        <v>44807</v>
      </c>
      <c r="G4120" s="2">
        <f t="shared" si="64"/>
        <v>0</v>
      </c>
      <c r="H4120" t="s">
        <v>32</v>
      </c>
    </row>
    <row r="4121" spans="2:8" x14ac:dyDescent="0.2">
      <c r="B4121" s="3">
        <v>44807</v>
      </c>
      <c r="G4121" s="2">
        <f t="shared" si="64"/>
        <v>0</v>
      </c>
      <c r="H4121" s="1"/>
    </row>
    <row r="4122" spans="2:8" x14ac:dyDescent="0.2">
      <c r="B4122" s="3">
        <v>44808</v>
      </c>
      <c r="D4122" s="28"/>
      <c r="F4122" s="1">
        <v>5000</v>
      </c>
      <c r="G4122" s="2">
        <f t="shared" si="64"/>
        <v>-5000</v>
      </c>
      <c r="H4122" t="s">
        <v>14</v>
      </c>
    </row>
    <row r="4123" spans="2:8" x14ac:dyDescent="0.2">
      <c r="B4123" s="3">
        <v>44808</v>
      </c>
      <c r="G4123" s="2">
        <f t="shared" si="64"/>
        <v>0</v>
      </c>
      <c r="H4123" t="s">
        <v>27</v>
      </c>
    </row>
    <row r="4124" spans="2:8" x14ac:dyDescent="0.2">
      <c r="B4124" s="3">
        <v>44808</v>
      </c>
      <c r="F4124" s="1">
        <v>3000</v>
      </c>
      <c r="G4124" s="2">
        <f t="shared" si="64"/>
        <v>-3000</v>
      </c>
      <c r="H4124" t="s">
        <v>13</v>
      </c>
    </row>
    <row r="4125" spans="2:8" x14ac:dyDescent="0.2">
      <c r="B4125" s="3">
        <v>44808</v>
      </c>
      <c r="G4125" s="2">
        <f t="shared" si="64"/>
        <v>0</v>
      </c>
      <c r="H4125" t="s">
        <v>30</v>
      </c>
    </row>
    <row r="4126" spans="2:8" x14ac:dyDescent="0.2">
      <c r="B4126" s="3">
        <v>44808</v>
      </c>
      <c r="D4126" s="1">
        <v>896</v>
      </c>
      <c r="E4126" s="1">
        <v>1067.5</v>
      </c>
      <c r="G4126" s="2">
        <f t="shared" si="64"/>
        <v>1067.5</v>
      </c>
      <c r="H4126" t="s">
        <v>35</v>
      </c>
    </row>
    <row r="4127" spans="2:8" x14ac:dyDescent="0.2">
      <c r="B4127" s="3">
        <v>44808</v>
      </c>
      <c r="G4127" s="2">
        <f t="shared" si="64"/>
        <v>0</v>
      </c>
      <c r="H4127" t="s">
        <v>25</v>
      </c>
    </row>
    <row r="4128" spans="2:8" x14ac:dyDescent="0.2">
      <c r="B4128" s="3">
        <v>44808</v>
      </c>
      <c r="G4128" s="2">
        <f t="shared" si="64"/>
        <v>0</v>
      </c>
      <c r="H4128" t="s">
        <v>9</v>
      </c>
    </row>
    <row r="4129" spans="2:8" x14ac:dyDescent="0.2">
      <c r="B4129" s="3">
        <v>44808</v>
      </c>
      <c r="G4129" s="2">
        <f t="shared" si="64"/>
        <v>0</v>
      </c>
      <c r="H4129" t="s">
        <v>32</v>
      </c>
    </row>
    <row r="4130" spans="2:8" x14ac:dyDescent="0.2">
      <c r="B4130" s="3">
        <v>44808</v>
      </c>
      <c r="G4130" s="2">
        <f t="shared" si="64"/>
        <v>0</v>
      </c>
      <c r="H4130" s="1"/>
    </row>
    <row r="4131" spans="2:8" x14ac:dyDescent="0.2">
      <c r="B4131" s="3">
        <v>44809</v>
      </c>
      <c r="D4131" s="28">
        <f>145*8</f>
        <v>1160</v>
      </c>
      <c r="E4131" s="1">
        <v>1256</v>
      </c>
      <c r="G4131" s="2">
        <f t="shared" si="64"/>
        <v>1256</v>
      </c>
      <c r="H4131" t="s">
        <v>14</v>
      </c>
    </row>
    <row r="4132" spans="2:8" x14ac:dyDescent="0.2">
      <c r="B4132" s="3">
        <v>44809</v>
      </c>
      <c r="D4132" s="1">
        <v>6260</v>
      </c>
      <c r="E4132" s="1">
        <v>7020</v>
      </c>
      <c r="F4132" s="1">
        <v>5000</v>
      </c>
      <c r="G4132" s="2">
        <f t="shared" si="64"/>
        <v>2020</v>
      </c>
      <c r="H4132" t="s">
        <v>27</v>
      </c>
    </row>
    <row r="4133" spans="2:8" x14ac:dyDescent="0.2">
      <c r="B4133" s="3">
        <v>44809</v>
      </c>
      <c r="G4133" s="2">
        <f t="shared" si="64"/>
        <v>0</v>
      </c>
      <c r="H4133" t="s">
        <v>13</v>
      </c>
    </row>
    <row r="4134" spans="2:8" x14ac:dyDescent="0.2">
      <c r="B4134" s="3">
        <v>44809</v>
      </c>
      <c r="G4134" s="2">
        <f t="shared" si="64"/>
        <v>0</v>
      </c>
      <c r="H4134" t="s">
        <v>30</v>
      </c>
    </row>
    <row r="4135" spans="2:8" x14ac:dyDescent="0.2">
      <c r="B4135" s="3">
        <v>44809</v>
      </c>
      <c r="F4135" s="1">
        <v>1070</v>
      </c>
      <c r="G4135" s="2">
        <f t="shared" si="64"/>
        <v>-1070</v>
      </c>
      <c r="H4135" t="s">
        <v>35</v>
      </c>
    </row>
    <row r="4136" spans="2:8" x14ac:dyDescent="0.2">
      <c r="B4136" s="3">
        <v>44809</v>
      </c>
      <c r="G4136" s="2">
        <f t="shared" si="64"/>
        <v>0</v>
      </c>
      <c r="H4136" t="s">
        <v>25</v>
      </c>
    </row>
    <row r="4137" spans="2:8" x14ac:dyDescent="0.2">
      <c r="B4137" s="3">
        <v>44809</v>
      </c>
      <c r="G4137" s="2">
        <f t="shared" si="64"/>
        <v>0</v>
      </c>
      <c r="H4137" t="s">
        <v>9</v>
      </c>
    </row>
    <row r="4138" spans="2:8" x14ac:dyDescent="0.2">
      <c r="B4138" s="3">
        <v>44809</v>
      </c>
      <c r="G4138" s="2">
        <f t="shared" si="64"/>
        <v>0</v>
      </c>
      <c r="H4138" t="s">
        <v>32</v>
      </c>
    </row>
    <row r="4139" spans="2:8" x14ac:dyDescent="0.2">
      <c r="B4139" s="3">
        <v>44809</v>
      </c>
      <c r="D4139" s="1">
        <v>715</v>
      </c>
      <c r="E4139" s="1">
        <v>758</v>
      </c>
      <c r="G4139" s="2">
        <f t="shared" si="64"/>
        <v>758</v>
      </c>
      <c r="H4139" s="1" t="s">
        <v>48</v>
      </c>
    </row>
    <row r="4140" spans="2:8" x14ac:dyDescent="0.2">
      <c r="B4140" s="3">
        <v>44810</v>
      </c>
      <c r="D4140" s="28"/>
      <c r="G4140" s="2">
        <f t="shared" si="64"/>
        <v>0</v>
      </c>
      <c r="H4140" t="s">
        <v>14</v>
      </c>
    </row>
    <row r="4141" spans="2:8" x14ac:dyDescent="0.2">
      <c r="B4141" s="3">
        <v>44810</v>
      </c>
      <c r="D4141" s="1">
        <v>18087.5</v>
      </c>
      <c r="E4141" s="1">
        <v>20627.5</v>
      </c>
      <c r="F4141" s="1">
        <v>950</v>
      </c>
      <c r="G4141" s="2">
        <f t="shared" si="64"/>
        <v>19677.5</v>
      </c>
      <c r="H4141" t="s">
        <v>27</v>
      </c>
    </row>
    <row r="4142" spans="2:8" x14ac:dyDescent="0.2">
      <c r="B4142" s="3">
        <v>44810</v>
      </c>
      <c r="G4142" s="2">
        <f t="shared" si="64"/>
        <v>0</v>
      </c>
      <c r="H4142" t="s">
        <v>13</v>
      </c>
    </row>
    <row r="4143" spans="2:8" x14ac:dyDescent="0.2">
      <c r="B4143" s="3">
        <v>44810</v>
      </c>
      <c r="G4143" s="2">
        <f t="shared" si="64"/>
        <v>0</v>
      </c>
      <c r="H4143" t="s">
        <v>30</v>
      </c>
    </row>
    <row r="4144" spans="2:8" x14ac:dyDescent="0.2">
      <c r="B4144" s="3">
        <v>44810</v>
      </c>
      <c r="G4144" s="2">
        <f t="shared" si="64"/>
        <v>0</v>
      </c>
      <c r="H4144" t="s">
        <v>35</v>
      </c>
    </row>
    <row r="4145" spans="2:8" x14ac:dyDescent="0.2">
      <c r="B4145" s="3">
        <v>44810</v>
      </c>
      <c r="G4145" s="2">
        <f t="shared" si="64"/>
        <v>0</v>
      </c>
      <c r="H4145" t="s">
        <v>25</v>
      </c>
    </row>
    <row r="4146" spans="2:8" x14ac:dyDescent="0.2">
      <c r="B4146" s="3">
        <v>44810</v>
      </c>
      <c r="G4146" s="2">
        <f t="shared" si="64"/>
        <v>0</v>
      </c>
      <c r="H4146" t="s">
        <v>9</v>
      </c>
    </row>
    <row r="4147" spans="2:8" x14ac:dyDescent="0.2">
      <c r="B4147" s="3">
        <v>44810</v>
      </c>
      <c r="G4147" s="2">
        <f t="shared" si="64"/>
        <v>0</v>
      </c>
      <c r="H4147" t="s">
        <v>32</v>
      </c>
    </row>
    <row r="4148" spans="2:8" x14ac:dyDescent="0.2">
      <c r="B4148" s="3">
        <v>44810</v>
      </c>
      <c r="G4148" s="2">
        <f t="shared" si="64"/>
        <v>0</v>
      </c>
      <c r="H4148" s="1"/>
    </row>
    <row r="4149" spans="2:8" x14ac:dyDescent="0.2">
      <c r="B4149" s="3">
        <v>44811</v>
      </c>
      <c r="D4149" s="28"/>
      <c r="F4149" s="1">
        <v>7000</v>
      </c>
      <c r="G4149" s="2">
        <f t="shared" si="64"/>
        <v>-7000</v>
      </c>
      <c r="H4149" t="s">
        <v>14</v>
      </c>
    </row>
    <row r="4150" spans="2:8" x14ac:dyDescent="0.2">
      <c r="B4150" s="3">
        <v>44811</v>
      </c>
      <c r="G4150" s="2">
        <f t="shared" si="64"/>
        <v>0</v>
      </c>
      <c r="H4150" t="s">
        <v>27</v>
      </c>
    </row>
    <row r="4151" spans="2:8" x14ac:dyDescent="0.2">
      <c r="B4151" s="3">
        <v>44811</v>
      </c>
      <c r="G4151" s="2">
        <f t="shared" si="64"/>
        <v>0</v>
      </c>
      <c r="H4151" t="s">
        <v>13</v>
      </c>
    </row>
    <row r="4152" spans="2:8" x14ac:dyDescent="0.2">
      <c r="B4152" s="3">
        <v>44811</v>
      </c>
      <c r="G4152" s="2">
        <f t="shared" si="64"/>
        <v>0</v>
      </c>
      <c r="H4152" t="s">
        <v>30</v>
      </c>
    </row>
    <row r="4153" spans="2:8" x14ac:dyDescent="0.2">
      <c r="B4153" s="3">
        <v>44811</v>
      </c>
      <c r="G4153" s="2">
        <f t="shared" si="64"/>
        <v>0</v>
      </c>
      <c r="H4153" t="s">
        <v>35</v>
      </c>
    </row>
    <row r="4154" spans="2:8" x14ac:dyDescent="0.2">
      <c r="B4154" s="3">
        <v>44811</v>
      </c>
      <c r="G4154" s="2">
        <f t="shared" si="64"/>
        <v>0</v>
      </c>
      <c r="H4154" t="s">
        <v>25</v>
      </c>
    </row>
    <row r="4155" spans="2:8" x14ac:dyDescent="0.2">
      <c r="B4155" s="3">
        <v>44811</v>
      </c>
      <c r="G4155" s="2">
        <f t="shared" si="64"/>
        <v>0</v>
      </c>
      <c r="H4155" t="s">
        <v>9</v>
      </c>
    </row>
    <row r="4156" spans="2:8" x14ac:dyDescent="0.2">
      <c r="B4156" s="3">
        <v>44811</v>
      </c>
      <c r="G4156" s="2">
        <f t="shared" si="64"/>
        <v>0</v>
      </c>
      <c r="H4156" t="s">
        <v>32</v>
      </c>
    </row>
    <row r="4157" spans="2:8" x14ac:dyDescent="0.2">
      <c r="B4157" s="3">
        <v>44811</v>
      </c>
      <c r="G4157" s="2">
        <f t="shared" si="64"/>
        <v>0</v>
      </c>
      <c r="H4157" s="1"/>
    </row>
    <row r="4158" spans="2:8" x14ac:dyDescent="0.2">
      <c r="B4158" s="3">
        <v>44812</v>
      </c>
      <c r="D4158" s="28">
        <f>7.9*120</f>
        <v>948</v>
      </c>
      <c r="E4158" s="1">
        <v>1050</v>
      </c>
      <c r="F4158" s="32">
        <f>5*250</f>
        <v>1250</v>
      </c>
      <c r="G4158" s="2">
        <f t="shared" si="64"/>
        <v>-200</v>
      </c>
      <c r="H4158" t="s">
        <v>14</v>
      </c>
    </row>
    <row r="4159" spans="2:8" x14ac:dyDescent="0.2">
      <c r="B4159" s="3">
        <v>44812</v>
      </c>
      <c r="D4159" s="1">
        <v>380</v>
      </c>
      <c r="E4159" s="1">
        <v>700</v>
      </c>
      <c r="F4159" s="1">
        <v>10000</v>
      </c>
      <c r="G4159" s="2">
        <f t="shared" si="64"/>
        <v>-9300</v>
      </c>
      <c r="H4159" t="s">
        <v>27</v>
      </c>
    </row>
    <row r="4160" spans="2:8" x14ac:dyDescent="0.2">
      <c r="B4160" s="3">
        <v>44812</v>
      </c>
      <c r="G4160" s="2">
        <f t="shared" si="64"/>
        <v>0</v>
      </c>
      <c r="H4160" t="s">
        <v>13</v>
      </c>
    </row>
    <row r="4161" spans="2:8" x14ac:dyDescent="0.2">
      <c r="B4161" s="3">
        <v>44812</v>
      </c>
      <c r="D4161" s="1">
        <v>9280.4</v>
      </c>
      <c r="E4161" s="1">
        <v>12489.84</v>
      </c>
      <c r="G4161" s="2">
        <f t="shared" si="64"/>
        <v>12489.84</v>
      </c>
      <c r="H4161" t="s">
        <v>30</v>
      </c>
    </row>
    <row r="4162" spans="2:8" x14ac:dyDescent="0.2">
      <c r="B4162" s="3">
        <v>44812</v>
      </c>
      <c r="G4162" s="2">
        <f t="shared" si="64"/>
        <v>0</v>
      </c>
      <c r="H4162" t="s">
        <v>35</v>
      </c>
    </row>
    <row r="4163" spans="2:8" x14ac:dyDescent="0.2">
      <c r="B4163" s="3">
        <v>44812</v>
      </c>
      <c r="F4163" s="1">
        <v>2000</v>
      </c>
      <c r="G4163" s="2">
        <f t="shared" ref="G4163:G4226" si="65">E4163-F4163</f>
        <v>-2000</v>
      </c>
      <c r="H4163" t="s">
        <v>25</v>
      </c>
    </row>
    <row r="4164" spans="2:8" x14ac:dyDescent="0.2">
      <c r="B4164" s="3">
        <v>44812</v>
      </c>
      <c r="G4164" s="2">
        <f t="shared" si="65"/>
        <v>0</v>
      </c>
      <c r="H4164" t="s">
        <v>9</v>
      </c>
    </row>
    <row r="4165" spans="2:8" x14ac:dyDescent="0.2">
      <c r="B4165" s="3">
        <v>44812</v>
      </c>
      <c r="G4165" s="2">
        <f t="shared" si="65"/>
        <v>0</v>
      </c>
      <c r="H4165" t="s">
        <v>32</v>
      </c>
    </row>
    <row r="4166" spans="2:8" x14ac:dyDescent="0.2">
      <c r="B4166" s="3">
        <v>44812</v>
      </c>
      <c r="G4166" s="2">
        <f t="shared" si="65"/>
        <v>0</v>
      </c>
      <c r="H4166" s="1"/>
    </row>
    <row r="4167" spans="2:8" x14ac:dyDescent="0.2">
      <c r="B4167" s="3">
        <v>44813</v>
      </c>
      <c r="D4167" s="28">
        <f>67*200</f>
        <v>13400</v>
      </c>
      <c r="E4167" s="1">
        <v>14500</v>
      </c>
      <c r="F4167" s="32">
        <f>19*200</f>
        <v>3800</v>
      </c>
      <c r="G4167" s="2">
        <f t="shared" si="65"/>
        <v>10700</v>
      </c>
      <c r="H4167" t="s">
        <v>14</v>
      </c>
    </row>
    <row r="4168" spans="2:8" x14ac:dyDescent="0.2">
      <c r="B4168" s="3">
        <v>44813</v>
      </c>
      <c r="D4168" s="1">
        <v>1000</v>
      </c>
      <c r="E4168" s="1">
        <v>1200</v>
      </c>
      <c r="G4168" s="2">
        <f t="shared" si="65"/>
        <v>1200</v>
      </c>
      <c r="H4168" t="s">
        <v>27</v>
      </c>
    </row>
    <row r="4169" spans="2:8" x14ac:dyDescent="0.2">
      <c r="B4169" s="3">
        <v>44813</v>
      </c>
      <c r="G4169" s="2">
        <f t="shared" si="65"/>
        <v>0</v>
      </c>
      <c r="H4169" t="s">
        <v>13</v>
      </c>
    </row>
    <row r="4170" spans="2:8" x14ac:dyDescent="0.2">
      <c r="B4170" s="3">
        <v>44813</v>
      </c>
      <c r="G4170" s="2">
        <f t="shared" si="65"/>
        <v>0</v>
      </c>
      <c r="H4170" t="s">
        <v>30</v>
      </c>
    </row>
    <row r="4171" spans="2:8" x14ac:dyDescent="0.2">
      <c r="B4171" s="3">
        <v>44813</v>
      </c>
      <c r="G4171" s="2">
        <f t="shared" si="65"/>
        <v>0</v>
      </c>
      <c r="H4171" t="s">
        <v>35</v>
      </c>
    </row>
    <row r="4172" spans="2:8" x14ac:dyDescent="0.2">
      <c r="B4172" s="3">
        <v>44813</v>
      </c>
      <c r="G4172" s="2">
        <f t="shared" si="65"/>
        <v>0</v>
      </c>
      <c r="H4172" t="s">
        <v>25</v>
      </c>
    </row>
    <row r="4173" spans="2:8" x14ac:dyDescent="0.2">
      <c r="B4173" s="3">
        <v>44813</v>
      </c>
      <c r="G4173" s="2">
        <f t="shared" si="65"/>
        <v>0</v>
      </c>
      <c r="H4173" t="s">
        <v>9</v>
      </c>
    </row>
    <row r="4174" spans="2:8" x14ac:dyDescent="0.2">
      <c r="B4174" s="3">
        <v>44813</v>
      </c>
      <c r="G4174" s="2">
        <f t="shared" si="65"/>
        <v>0</v>
      </c>
      <c r="H4174" t="s">
        <v>32</v>
      </c>
    </row>
    <row r="4175" spans="2:8" x14ac:dyDescent="0.2">
      <c r="B4175" s="3">
        <v>44813</v>
      </c>
      <c r="G4175" s="2">
        <f t="shared" si="65"/>
        <v>0</v>
      </c>
      <c r="H4175" s="1"/>
    </row>
    <row r="4176" spans="2:8" x14ac:dyDescent="0.2">
      <c r="B4176" s="3">
        <v>44814</v>
      </c>
      <c r="D4176" s="28">
        <f>8640+1487.5+1487.5+1400+1487.5+535.5</f>
        <v>15038</v>
      </c>
      <c r="E4176" s="1">
        <v>17565</v>
      </c>
      <c r="F4176" s="1">
        <v>5000</v>
      </c>
      <c r="G4176" s="2">
        <f t="shared" si="65"/>
        <v>12565</v>
      </c>
      <c r="H4176" t="s">
        <v>14</v>
      </c>
    </row>
    <row r="4177" spans="2:8" x14ac:dyDescent="0.2">
      <c r="B4177" s="3">
        <v>44814</v>
      </c>
      <c r="G4177" s="2">
        <f t="shared" si="65"/>
        <v>0</v>
      </c>
      <c r="H4177" t="s">
        <v>27</v>
      </c>
    </row>
    <row r="4178" spans="2:8" x14ac:dyDescent="0.2">
      <c r="B4178" s="3">
        <v>44814</v>
      </c>
      <c r="G4178" s="2">
        <f t="shared" si="65"/>
        <v>0</v>
      </c>
      <c r="H4178" t="s">
        <v>13</v>
      </c>
    </row>
    <row r="4179" spans="2:8" x14ac:dyDescent="0.2">
      <c r="B4179" s="3">
        <v>44814</v>
      </c>
      <c r="G4179" s="2">
        <f t="shared" si="65"/>
        <v>0</v>
      </c>
      <c r="H4179" t="s">
        <v>30</v>
      </c>
    </row>
    <row r="4180" spans="2:8" x14ac:dyDescent="0.2">
      <c r="B4180" s="3">
        <v>44814</v>
      </c>
      <c r="D4180" s="1">
        <v>780</v>
      </c>
      <c r="E4180" s="1">
        <v>920</v>
      </c>
      <c r="F4180" s="1">
        <v>920</v>
      </c>
      <c r="G4180" s="2">
        <f t="shared" si="65"/>
        <v>0</v>
      </c>
      <c r="H4180" t="s">
        <v>35</v>
      </c>
    </row>
    <row r="4181" spans="2:8" x14ac:dyDescent="0.2">
      <c r="B4181" s="3">
        <v>44814</v>
      </c>
      <c r="G4181" s="2">
        <f t="shared" si="65"/>
        <v>0</v>
      </c>
      <c r="H4181" t="s">
        <v>25</v>
      </c>
    </row>
    <row r="4182" spans="2:8" x14ac:dyDescent="0.2">
      <c r="B4182" s="3">
        <v>44814</v>
      </c>
      <c r="G4182" s="2">
        <f t="shared" si="65"/>
        <v>0</v>
      </c>
      <c r="H4182" t="s">
        <v>9</v>
      </c>
    </row>
    <row r="4183" spans="2:8" x14ac:dyDescent="0.2">
      <c r="B4183" s="3">
        <v>44814</v>
      </c>
      <c r="G4183" s="2">
        <f t="shared" si="65"/>
        <v>0</v>
      </c>
      <c r="H4183" t="s">
        <v>32</v>
      </c>
    </row>
    <row r="4184" spans="2:8" x14ac:dyDescent="0.2">
      <c r="B4184" s="3">
        <v>44814</v>
      </c>
      <c r="G4184" s="2">
        <f t="shared" si="65"/>
        <v>0</v>
      </c>
      <c r="H4184" s="1"/>
    </row>
    <row r="4185" spans="2:8" x14ac:dyDescent="0.2">
      <c r="B4185" s="3">
        <v>44815</v>
      </c>
      <c r="D4185" s="28">
        <v>13800</v>
      </c>
      <c r="E4185" s="1">
        <v>14500</v>
      </c>
      <c r="F4185" s="1">
        <v>10000</v>
      </c>
      <c r="G4185" s="2">
        <f t="shared" si="65"/>
        <v>4500</v>
      </c>
      <c r="H4185" t="s">
        <v>14</v>
      </c>
    </row>
    <row r="4186" spans="2:8" x14ac:dyDescent="0.2">
      <c r="B4186" s="3">
        <v>44815</v>
      </c>
      <c r="G4186" s="2">
        <f t="shared" si="65"/>
        <v>0</v>
      </c>
      <c r="H4186" t="s">
        <v>27</v>
      </c>
    </row>
    <row r="4187" spans="2:8" x14ac:dyDescent="0.2">
      <c r="B4187" s="3">
        <v>44815</v>
      </c>
      <c r="G4187" s="2">
        <f t="shared" si="65"/>
        <v>0</v>
      </c>
      <c r="H4187" t="s">
        <v>13</v>
      </c>
    </row>
    <row r="4188" spans="2:8" x14ac:dyDescent="0.2">
      <c r="B4188" s="3">
        <v>44815</v>
      </c>
      <c r="G4188" s="2">
        <f t="shared" si="65"/>
        <v>0</v>
      </c>
      <c r="H4188" t="s">
        <v>30</v>
      </c>
    </row>
    <row r="4189" spans="2:8" x14ac:dyDescent="0.2">
      <c r="B4189" s="3">
        <v>44815</v>
      </c>
      <c r="G4189" s="2">
        <f t="shared" si="65"/>
        <v>0</v>
      </c>
      <c r="H4189" t="s">
        <v>35</v>
      </c>
    </row>
    <row r="4190" spans="2:8" x14ac:dyDescent="0.2">
      <c r="B4190" s="3">
        <v>44815</v>
      </c>
      <c r="G4190" s="2">
        <f t="shared" si="65"/>
        <v>0</v>
      </c>
      <c r="H4190" t="s">
        <v>25</v>
      </c>
    </row>
    <row r="4191" spans="2:8" x14ac:dyDescent="0.2">
      <c r="B4191" s="3">
        <v>44815</v>
      </c>
      <c r="G4191" s="2">
        <f t="shared" si="65"/>
        <v>0</v>
      </c>
      <c r="H4191" t="s">
        <v>9</v>
      </c>
    </row>
    <row r="4192" spans="2:8" x14ac:dyDescent="0.2">
      <c r="B4192" s="3">
        <v>44815</v>
      </c>
      <c r="G4192" s="2">
        <f t="shared" si="65"/>
        <v>0</v>
      </c>
      <c r="H4192" t="s">
        <v>32</v>
      </c>
    </row>
    <row r="4193" spans="2:8" x14ac:dyDescent="0.2">
      <c r="B4193" s="3">
        <v>44815</v>
      </c>
      <c r="G4193" s="2">
        <f t="shared" si="65"/>
        <v>0</v>
      </c>
      <c r="H4193" s="1"/>
    </row>
    <row r="4194" spans="2:8" x14ac:dyDescent="0.2">
      <c r="B4194" s="3">
        <v>44816</v>
      </c>
      <c r="D4194" s="28"/>
      <c r="G4194" s="2">
        <f t="shared" si="65"/>
        <v>0</v>
      </c>
      <c r="H4194" t="s">
        <v>14</v>
      </c>
    </row>
    <row r="4195" spans="2:8" x14ac:dyDescent="0.2">
      <c r="B4195" s="3">
        <v>44816</v>
      </c>
      <c r="G4195" s="2">
        <f t="shared" si="65"/>
        <v>0</v>
      </c>
      <c r="H4195" t="s">
        <v>27</v>
      </c>
    </row>
    <row r="4196" spans="2:8" x14ac:dyDescent="0.2">
      <c r="B4196" s="3">
        <v>44816</v>
      </c>
      <c r="G4196" s="2">
        <f t="shared" si="65"/>
        <v>0</v>
      </c>
      <c r="H4196" t="s">
        <v>13</v>
      </c>
    </row>
    <row r="4197" spans="2:8" x14ac:dyDescent="0.2">
      <c r="B4197" s="3">
        <v>44816</v>
      </c>
      <c r="D4197" s="1">
        <v>4818</v>
      </c>
      <c r="E4197" s="1">
        <v>6234.66</v>
      </c>
      <c r="G4197" s="2">
        <f t="shared" si="65"/>
        <v>6234.66</v>
      </c>
      <c r="H4197" t="s">
        <v>30</v>
      </c>
    </row>
    <row r="4198" spans="2:8" x14ac:dyDescent="0.2">
      <c r="B4198" s="3">
        <v>44816</v>
      </c>
      <c r="G4198" s="2">
        <f t="shared" si="65"/>
        <v>0</v>
      </c>
      <c r="H4198" t="s">
        <v>35</v>
      </c>
    </row>
    <row r="4199" spans="2:8" x14ac:dyDescent="0.2">
      <c r="B4199" s="3">
        <v>44816</v>
      </c>
      <c r="G4199" s="2">
        <f t="shared" si="65"/>
        <v>0</v>
      </c>
      <c r="H4199" t="s">
        <v>25</v>
      </c>
    </row>
    <row r="4200" spans="2:8" x14ac:dyDescent="0.2">
      <c r="B4200" s="3">
        <v>44816</v>
      </c>
      <c r="G4200" s="2">
        <f t="shared" si="65"/>
        <v>0</v>
      </c>
      <c r="H4200" t="s">
        <v>9</v>
      </c>
    </row>
    <row r="4201" spans="2:8" x14ac:dyDescent="0.2">
      <c r="B4201" s="3">
        <v>44816</v>
      </c>
      <c r="G4201" s="2">
        <f t="shared" si="65"/>
        <v>0</v>
      </c>
      <c r="H4201" t="s">
        <v>32</v>
      </c>
    </row>
    <row r="4202" spans="2:8" x14ac:dyDescent="0.2">
      <c r="B4202" s="3">
        <v>44816</v>
      </c>
      <c r="G4202" s="2">
        <f t="shared" si="65"/>
        <v>0</v>
      </c>
      <c r="H4202" s="1"/>
    </row>
    <row r="4203" spans="2:8" x14ac:dyDescent="0.2">
      <c r="B4203" s="3">
        <v>44817</v>
      </c>
      <c r="D4203" s="28">
        <f>24.5*400</f>
        <v>9800</v>
      </c>
      <c r="E4203" s="1">
        <v>10800</v>
      </c>
      <c r="G4203" s="2">
        <f t="shared" si="65"/>
        <v>10800</v>
      </c>
      <c r="H4203" t="s">
        <v>14</v>
      </c>
    </row>
    <row r="4204" spans="2:8" x14ac:dyDescent="0.2">
      <c r="B4204" s="3">
        <v>44817</v>
      </c>
      <c r="G4204" s="2">
        <f t="shared" si="65"/>
        <v>0</v>
      </c>
      <c r="H4204" t="s">
        <v>27</v>
      </c>
    </row>
    <row r="4205" spans="2:8" x14ac:dyDescent="0.2">
      <c r="B4205" s="3">
        <v>44817</v>
      </c>
      <c r="G4205" s="2">
        <f t="shared" si="65"/>
        <v>0</v>
      </c>
      <c r="H4205" t="s">
        <v>13</v>
      </c>
    </row>
    <row r="4206" spans="2:8" x14ac:dyDescent="0.2">
      <c r="B4206" s="3">
        <v>44817</v>
      </c>
      <c r="G4206" s="2">
        <f t="shared" si="65"/>
        <v>0</v>
      </c>
      <c r="H4206" t="s">
        <v>30</v>
      </c>
    </row>
    <row r="4207" spans="2:8" x14ac:dyDescent="0.2">
      <c r="B4207" s="3">
        <v>44817</v>
      </c>
      <c r="G4207" s="2">
        <f t="shared" si="65"/>
        <v>0</v>
      </c>
      <c r="H4207" t="s">
        <v>35</v>
      </c>
    </row>
    <row r="4208" spans="2:8" x14ac:dyDescent="0.2">
      <c r="B4208" s="3">
        <v>44817</v>
      </c>
      <c r="G4208" s="2">
        <f t="shared" si="65"/>
        <v>0</v>
      </c>
      <c r="H4208" t="s">
        <v>25</v>
      </c>
    </row>
    <row r="4209" spans="2:8" x14ac:dyDescent="0.2">
      <c r="B4209" s="3">
        <v>44817</v>
      </c>
      <c r="G4209" s="2">
        <f t="shared" si="65"/>
        <v>0</v>
      </c>
      <c r="H4209" t="s">
        <v>9</v>
      </c>
    </row>
    <row r="4210" spans="2:8" x14ac:dyDescent="0.2">
      <c r="B4210" s="3">
        <v>44817</v>
      </c>
      <c r="G4210" s="2">
        <f t="shared" si="65"/>
        <v>0</v>
      </c>
      <c r="H4210" t="s">
        <v>32</v>
      </c>
    </row>
    <row r="4211" spans="2:8" x14ac:dyDescent="0.2">
      <c r="B4211" s="3">
        <v>44817</v>
      </c>
      <c r="G4211" s="2">
        <f t="shared" si="65"/>
        <v>0</v>
      </c>
      <c r="H4211" s="1"/>
    </row>
    <row r="4212" spans="2:8" x14ac:dyDescent="0.2">
      <c r="B4212" s="3">
        <v>44818</v>
      </c>
      <c r="D4212" s="28"/>
      <c r="G4212" s="2">
        <f t="shared" si="65"/>
        <v>0</v>
      </c>
      <c r="H4212" t="s">
        <v>14</v>
      </c>
    </row>
    <row r="4213" spans="2:8" x14ac:dyDescent="0.2">
      <c r="B4213" s="3">
        <v>44818</v>
      </c>
      <c r="F4213" s="1">
        <v>10000</v>
      </c>
      <c r="G4213" s="2">
        <f t="shared" si="65"/>
        <v>-10000</v>
      </c>
      <c r="H4213" t="s">
        <v>27</v>
      </c>
    </row>
    <row r="4214" spans="2:8" x14ac:dyDescent="0.2">
      <c r="B4214" s="3">
        <v>44818</v>
      </c>
      <c r="G4214" s="2">
        <f t="shared" si="65"/>
        <v>0</v>
      </c>
      <c r="H4214" t="s">
        <v>13</v>
      </c>
    </row>
    <row r="4215" spans="2:8" x14ac:dyDescent="0.2">
      <c r="B4215" s="3">
        <v>44818</v>
      </c>
      <c r="D4215" s="1">
        <v>4036</v>
      </c>
      <c r="E4215" s="1">
        <v>5712.54</v>
      </c>
      <c r="G4215" s="2">
        <f t="shared" si="65"/>
        <v>5712.54</v>
      </c>
      <c r="H4215" t="s">
        <v>30</v>
      </c>
    </row>
    <row r="4216" spans="2:8" x14ac:dyDescent="0.2">
      <c r="B4216" s="3">
        <v>44818</v>
      </c>
      <c r="G4216" s="2">
        <f t="shared" si="65"/>
        <v>0</v>
      </c>
      <c r="H4216" t="s">
        <v>35</v>
      </c>
    </row>
    <row r="4217" spans="2:8" x14ac:dyDescent="0.2">
      <c r="B4217" s="3">
        <v>44818</v>
      </c>
      <c r="G4217" s="2">
        <f t="shared" si="65"/>
        <v>0</v>
      </c>
      <c r="H4217" t="s">
        <v>25</v>
      </c>
    </row>
    <row r="4218" spans="2:8" x14ac:dyDescent="0.2">
      <c r="B4218" s="3">
        <v>44818</v>
      </c>
      <c r="G4218" s="2">
        <f t="shared" si="65"/>
        <v>0</v>
      </c>
      <c r="H4218" t="s">
        <v>9</v>
      </c>
    </row>
    <row r="4219" spans="2:8" x14ac:dyDescent="0.2">
      <c r="B4219" s="3">
        <v>44818</v>
      </c>
      <c r="G4219" s="2">
        <f t="shared" si="65"/>
        <v>0</v>
      </c>
      <c r="H4219" t="s">
        <v>32</v>
      </c>
    </row>
    <row r="4220" spans="2:8" x14ac:dyDescent="0.2">
      <c r="B4220" s="3">
        <v>44818</v>
      </c>
      <c r="G4220" s="2">
        <f t="shared" si="65"/>
        <v>0</v>
      </c>
      <c r="H4220" s="1"/>
    </row>
    <row r="4221" spans="2:8" x14ac:dyDescent="0.2">
      <c r="B4221" s="3">
        <v>44819</v>
      </c>
      <c r="D4221" s="28"/>
      <c r="G4221" s="2">
        <f t="shared" si="65"/>
        <v>0</v>
      </c>
      <c r="H4221" t="s">
        <v>14</v>
      </c>
    </row>
    <row r="4222" spans="2:8" x14ac:dyDescent="0.2">
      <c r="B4222" s="3">
        <v>44819</v>
      </c>
      <c r="G4222" s="2">
        <f t="shared" si="65"/>
        <v>0</v>
      </c>
      <c r="H4222" t="s">
        <v>27</v>
      </c>
    </row>
    <row r="4223" spans="2:8" x14ac:dyDescent="0.2">
      <c r="B4223" s="3">
        <v>44819</v>
      </c>
      <c r="G4223" s="2">
        <f t="shared" si="65"/>
        <v>0</v>
      </c>
      <c r="H4223" t="s">
        <v>13</v>
      </c>
    </row>
    <row r="4224" spans="2:8" x14ac:dyDescent="0.2">
      <c r="B4224" s="3">
        <v>44819</v>
      </c>
      <c r="G4224" s="2">
        <f t="shared" si="65"/>
        <v>0</v>
      </c>
      <c r="H4224" t="s">
        <v>30</v>
      </c>
    </row>
    <row r="4225" spans="2:8" x14ac:dyDescent="0.2">
      <c r="B4225" s="3">
        <v>44819</v>
      </c>
      <c r="D4225" s="1">
        <v>725</v>
      </c>
      <c r="E4225" s="1">
        <v>895</v>
      </c>
      <c r="G4225" s="2">
        <f t="shared" si="65"/>
        <v>895</v>
      </c>
      <c r="H4225" t="s">
        <v>35</v>
      </c>
    </row>
    <row r="4226" spans="2:8" x14ac:dyDescent="0.2">
      <c r="B4226" s="3">
        <v>44819</v>
      </c>
      <c r="G4226" s="2">
        <f t="shared" si="65"/>
        <v>0</v>
      </c>
      <c r="H4226" t="s">
        <v>25</v>
      </c>
    </row>
    <row r="4227" spans="2:8" x14ac:dyDescent="0.2">
      <c r="B4227" s="3">
        <v>44819</v>
      </c>
      <c r="G4227" s="2">
        <f t="shared" ref="G4227:G4290" si="66">E4227-F4227</f>
        <v>0</v>
      </c>
      <c r="H4227" t="s">
        <v>9</v>
      </c>
    </row>
    <row r="4228" spans="2:8" x14ac:dyDescent="0.2">
      <c r="B4228" s="3">
        <v>44819</v>
      </c>
      <c r="G4228" s="2">
        <f t="shared" si="66"/>
        <v>0</v>
      </c>
      <c r="H4228" t="s">
        <v>32</v>
      </c>
    </row>
    <row r="4229" spans="2:8" x14ac:dyDescent="0.2">
      <c r="B4229" s="3">
        <v>44819</v>
      </c>
      <c r="G4229" s="2">
        <f t="shared" si="66"/>
        <v>0</v>
      </c>
      <c r="H4229" s="1"/>
    </row>
    <row r="4230" spans="2:8" x14ac:dyDescent="0.2">
      <c r="B4230" s="3">
        <v>44820</v>
      </c>
      <c r="D4230" s="28"/>
      <c r="G4230" s="2">
        <f t="shared" si="66"/>
        <v>0</v>
      </c>
      <c r="H4230" t="s">
        <v>14</v>
      </c>
    </row>
    <row r="4231" spans="2:8" x14ac:dyDescent="0.2">
      <c r="B4231" s="3">
        <v>44820</v>
      </c>
      <c r="G4231" s="2">
        <f t="shared" si="66"/>
        <v>0</v>
      </c>
      <c r="H4231" t="s">
        <v>27</v>
      </c>
    </row>
    <row r="4232" spans="2:8" x14ac:dyDescent="0.2">
      <c r="B4232" s="3">
        <v>44820</v>
      </c>
      <c r="G4232" s="2">
        <f t="shared" si="66"/>
        <v>0</v>
      </c>
      <c r="H4232" t="s">
        <v>13</v>
      </c>
    </row>
    <row r="4233" spans="2:8" x14ac:dyDescent="0.2">
      <c r="B4233" s="3">
        <v>44820</v>
      </c>
      <c r="G4233" s="2">
        <f t="shared" si="66"/>
        <v>0</v>
      </c>
      <c r="H4233" t="s">
        <v>30</v>
      </c>
    </row>
    <row r="4234" spans="2:8" x14ac:dyDescent="0.2">
      <c r="B4234" s="3">
        <v>44820</v>
      </c>
      <c r="G4234" s="2">
        <f t="shared" si="66"/>
        <v>0</v>
      </c>
      <c r="H4234" t="s">
        <v>35</v>
      </c>
    </row>
    <row r="4235" spans="2:8" x14ac:dyDescent="0.2">
      <c r="B4235" s="3">
        <v>44820</v>
      </c>
      <c r="G4235" s="2">
        <f t="shared" si="66"/>
        <v>0</v>
      </c>
      <c r="H4235" t="s">
        <v>25</v>
      </c>
    </row>
    <row r="4236" spans="2:8" x14ac:dyDescent="0.2">
      <c r="B4236" s="3">
        <v>44820</v>
      </c>
      <c r="G4236" s="2">
        <f t="shared" si="66"/>
        <v>0</v>
      </c>
      <c r="H4236" t="s">
        <v>9</v>
      </c>
    </row>
    <row r="4237" spans="2:8" x14ac:dyDescent="0.2">
      <c r="B4237" s="3">
        <v>44820</v>
      </c>
      <c r="G4237" s="2">
        <f t="shared" si="66"/>
        <v>0</v>
      </c>
      <c r="H4237" t="s">
        <v>32</v>
      </c>
    </row>
    <row r="4238" spans="2:8" x14ac:dyDescent="0.2">
      <c r="B4238" s="3">
        <v>44820</v>
      </c>
      <c r="G4238" s="2">
        <f t="shared" si="66"/>
        <v>0</v>
      </c>
      <c r="H4238" s="1"/>
    </row>
    <row r="4239" spans="2:8" x14ac:dyDescent="0.2">
      <c r="B4239" s="3">
        <v>44821</v>
      </c>
      <c r="D4239" s="28"/>
      <c r="F4239" s="1">
        <v>5000</v>
      </c>
      <c r="G4239" s="2">
        <f t="shared" si="66"/>
        <v>-5000</v>
      </c>
      <c r="H4239" t="s">
        <v>14</v>
      </c>
    </row>
    <row r="4240" spans="2:8" x14ac:dyDescent="0.2">
      <c r="B4240" s="3">
        <v>44821</v>
      </c>
      <c r="G4240" s="2">
        <f t="shared" si="66"/>
        <v>0</v>
      </c>
      <c r="H4240" t="s">
        <v>27</v>
      </c>
    </row>
    <row r="4241" spans="2:8" x14ac:dyDescent="0.2">
      <c r="B4241" s="3">
        <v>44821</v>
      </c>
      <c r="G4241" s="2">
        <f t="shared" si="66"/>
        <v>0</v>
      </c>
      <c r="H4241" t="s">
        <v>13</v>
      </c>
    </row>
    <row r="4242" spans="2:8" x14ac:dyDescent="0.2">
      <c r="B4242" s="3">
        <v>44821</v>
      </c>
      <c r="G4242" s="2">
        <f t="shared" si="66"/>
        <v>0</v>
      </c>
      <c r="H4242" t="s">
        <v>30</v>
      </c>
    </row>
    <row r="4243" spans="2:8" x14ac:dyDescent="0.2">
      <c r="B4243" s="3">
        <v>44821</v>
      </c>
      <c r="G4243" s="2">
        <f t="shared" si="66"/>
        <v>0</v>
      </c>
      <c r="H4243" t="s">
        <v>35</v>
      </c>
    </row>
    <row r="4244" spans="2:8" x14ac:dyDescent="0.2">
      <c r="B4244" s="3">
        <v>44821</v>
      </c>
      <c r="G4244" s="2">
        <f t="shared" si="66"/>
        <v>0</v>
      </c>
      <c r="H4244" t="s">
        <v>25</v>
      </c>
    </row>
    <row r="4245" spans="2:8" x14ac:dyDescent="0.2">
      <c r="B4245" s="3">
        <v>44821</v>
      </c>
      <c r="G4245" s="2">
        <f t="shared" si="66"/>
        <v>0</v>
      </c>
      <c r="H4245" t="s">
        <v>9</v>
      </c>
    </row>
    <row r="4246" spans="2:8" x14ac:dyDescent="0.2">
      <c r="B4246" s="3">
        <v>44821</v>
      </c>
      <c r="G4246" s="2">
        <f t="shared" si="66"/>
        <v>0</v>
      </c>
      <c r="H4246" t="s">
        <v>32</v>
      </c>
    </row>
    <row r="4247" spans="2:8" x14ac:dyDescent="0.2">
      <c r="B4247" s="3">
        <v>44821</v>
      </c>
      <c r="G4247" s="2">
        <f t="shared" si="66"/>
        <v>0</v>
      </c>
      <c r="H4247" s="1"/>
    </row>
    <row r="4248" spans="2:8" x14ac:dyDescent="0.2">
      <c r="B4248" s="3">
        <v>44822</v>
      </c>
      <c r="D4248" s="28">
        <f>1812.5+2450</f>
        <v>4262.5</v>
      </c>
      <c r="E4248" s="1">
        <v>5250</v>
      </c>
      <c r="F4248" s="1">
        <v>7000</v>
      </c>
      <c r="G4248" s="2">
        <f t="shared" si="66"/>
        <v>-1750</v>
      </c>
      <c r="H4248" t="s">
        <v>14</v>
      </c>
    </row>
    <row r="4249" spans="2:8" x14ac:dyDescent="0.2">
      <c r="B4249" s="3">
        <v>44822</v>
      </c>
      <c r="G4249" s="2">
        <f t="shared" si="66"/>
        <v>0</v>
      </c>
      <c r="H4249" t="s">
        <v>27</v>
      </c>
    </row>
    <row r="4250" spans="2:8" x14ac:dyDescent="0.2">
      <c r="B4250" s="3">
        <v>44822</v>
      </c>
      <c r="G4250" s="2">
        <f t="shared" si="66"/>
        <v>0</v>
      </c>
      <c r="H4250" t="s">
        <v>13</v>
      </c>
    </row>
    <row r="4251" spans="2:8" x14ac:dyDescent="0.2">
      <c r="B4251" s="3">
        <v>44822</v>
      </c>
      <c r="F4251" s="1">
        <v>67774</v>
      </c>
      <c r="G4251" s="2">
        <f t="shared" si="66"/>
        <v>-67774</v>
      </c>
      <c r="H4251" t="s">
        <v>30</v>
      </c>
    </row>
    <row r="4252" spans="2:8" x14ac:dyDescent="0.2">
      <c r="B4252" s="3">
        <v>44822</v>
      </c>
      <c r="D4252" s="1">
        <v>472.5</v>
      </c>
      <c r="E4252" s="1">
        <v>570</v>
      </c>
      <c r="F4252" s="1">
        <v>1465</v>
      </c>
      <c r="G4252" s="2">
        <f t="shared" si="66"/>
        <v>-895</v>
      </c>
      <c r="H4252" t="s">
        <v>35</v>
      </c>
    </row>
    <row r="4253" spans="2:8" x14ac:dyDescent="0.2">
      <c r="B4253" s="3">
        <v>44822</v>
      </c>
      <c r="F4253" s="1">
        <v>2000</v>
      </c>
      <c r="G4253" s="2">
        <f t="shared" si="66"/>
        <v>-2000</v>
      </c>
      <c r="H4253" t="s">
        <v>25</v>
      </c>
    </row>
    <row r="4254" spans="2:8" x14ac:dyDescent="0.2">
      <c r="B4254" s="3">
        <v>44822</v>
      </c>
      <c r="G4254" s="2">
        <f t="shared" si="66"/>
        <v>0</v>
      </c>
      <c r="H4254" t="s">
        <v>9</v>
      </c>
    </row>
    <row r="4255" spans="2:8" x14ac:dyDescent="0.2">
      <c r="B4255" s="3">
        <v>44822</v>
      </c>
      <c r="G4255" s="2">
        <f t="shared" si="66"/>
        <v>0</v>
      </c>
      <c r="H4255" t="s">
        <v>32</v>
      </c>
    </row>
    <row r="4256" spans="2:8" x14ac:dyDescent="0.2">
      <c r="B4256" s="3">
        <v>44822</v>
      </c>
      <c r="D4256" s="1">
        <v>120</v>
      </c>
      <c r="E4256" s="1">
        <v>124.5</v>
      </c>
      <c r="G4256" s="2">
        <f t="shared" si="66"/>
        <v>124.5</v>
      </c>
      <c r="H4256" s="1" t="s">
        <v>48</v>
      </c>
    </row>
    <row r="4257" spans="2:8" x14ac:dyDescent="0.2">
      <c r="B4257" s="3">
        <v>44823</v>
      </c>
      <c r="D4257" s="28"/>
      <c r="G4257" s="2">
        <f t="shared" si="66"/>
        <v>0</v>
      </c>
      <c r="H4257" t="s">
        <v>14</v>
      </c>
    </row>
    <row r="4258" spans="2:8" x14ac:dyDescent="0.2">
      <c r="B4258" s="3">
        <v>44823</v>
      </c>
      <c r="G4258" s="2">
        <f t="shared" si="66"/>
        <v>0</v>
      </c>
      <c r="H4258" t="s">
        <v>27</v>
      </c>
    </row>
    <row r="4259" spans="2:8" x14ac:dyDescent="0.2">
      <c r="B4259" s="3">
        <v>44823</v>
      </c>
      <c r="G4259" s="2">
        <f t="shared" si="66"/>
        <v>0</v>
      </c>
      <c r="H4259" t="s">
        <v>13</v>
      </c>
    </row>
    <row r="4260" spans="2:8" x14ac:dyDescent="0.2">
      <c r="B4260" s="3">
        <v>44823</v>
      </c>
      <c r="F4260" s="1">
        <v>2215.1999999999998</v>
      </c>
      <c r="G4260" s="2">
        <f t="shared" si="66"/>
        <v>-2215.1999999999998</v>
      </c>
      <c r="H4260" t="s">
        <v>30</v>
      </c>
    </row>
    <row r="4261" spans="2:8" x14ac:dyDescent="0.2">
      <c r="B4261" s="3">
        <v>44823</v>
      </c>
      <c r="G4261" s="2">
        <f t="shared" si="66"/>
        <v>0</v>
      </c>
      <c r="H4261" t="s">
        <v>35</v>
      </c>
    </row>
    <row r="4262" spans="2:8" x14ac:dyDescent="0.2">
      <c r="B4262" s="3">
        <v>44823</v>
      </c>
      <c r="G4262" s="2">
        <f t="shared" si="66"/>
        <v>0</v>
      </c>
      <c r="H4262" t="s">
        <v>25</v>
      </c>
    </row>
    <row r="4263" spans="2:8" x14ac:dyDescent="0.2">
      <c r="B4263" s="3">
        <v>44823</v>
      </c>
      <c r="G4263" s="2">
        <f t="shared" si="66"/>
        <v>0</v>
      </c>
      <c r="H4263" t="s">
        <v>9</v>
      </c>
    </row>
    <row r="4264" spans="2:8" x14ac:dyDescent="0.2">
      <c r="B4264" s="3">
        <v>44823</v>
      </c>
      <c r="G4264" s="2">
        <f t="shared" si="66"/>
        <v>0</v>
      </c>
      <c r="H4264" t="s">
        <v>32</v>
      </c>
    </row>
    <row r="4265" spans="2:8" x14ac:dyDescent="0.2">
      <c r="B4265" s="3">
        <v>44823</v>
      </c>
      <c r="G4265" s="2">
        <f t="shared" si="66"/>
        <v>0</v>
      </c>
      <c r="H4265" s="1"/>
    </row>
    <row r="4266" spans="2:8" x14ac:dyDescent="0.2">
      <c r="B4266" s="3">
        <v>44824</v>
      </c>
      <c r="D4266" s="28"/>
      <c r="G4266" s="2">
        <f t="shared" si="66"/>
        <v>0</v>
      </c>
      <c r="H4266" t="s">
        <v>14</v>
      </c>
    </row>
    <row r="4267" spans="2:8" x14ac:dyDescent="0.2">
      <c r="B4267" s="3">
        <v>44824</v>
      </c>
      <c r="G4267" s="2">
        <f t="shared" si="66"/>
        <v>0</v>
      </c>
      <c r="H4267" t="s">
        <v>27</v>
      </c>
    </row>
    <row r="4268" spans="2:8" x14ac:dyDescent="0.2">
      <c r="B4268" s="3">
        <v>44824</v>
      </c>
      <c r="G4268" s="2">
        <f t="shared" si="66"/>
        <v>0</v>
      </c>
      <c r="H4268" t="s">
        <v>13</v>
      </c>
    </row>
    <row r="4269" spans="2:8" x14ac:dyDescent="0.2">
      <c r="B4269" s="3">
        <v>44824</v>
      </c>
      <c r="G4269" s="2">
        <f t="shared" si="66"/>
        <v>0</v>
      </c>
      <c r="H4269" t="s">
        <v>30</v>
      </c>
    </row>
    <row r="4270" spans="2:8" x14ac:dyDescent="0.2">
      <c r="B4270" s="3">
        <v>44824</v>
      </c>
      <c r="G4270" s="2">
        <f t="shared" si="66"/>
        <v>0</v>
      </c>
      <c r="H4270" t="s">
        <v>35</v>
      </c>
    </row>
    <row r="4271" spans="2:8" x14ac:dyDescent="0.2">
      <c r="B4271" s="3">
        <v>44824</v>
      </c>
      <c r="G4271" s="2">
        <f t="shared" si="66"/>
        <v>0</v>
      </c>
      <c r="H4271" t="s">
        <v>25</v>
      </c>
    </row>
    <row r="4272" spans="2:8" x14ac:dyDescent="0.2">
      <c r="B4272" s="3">
        <v>44824</v>
      </c>
      <c r="G4272" s="2">
        <f t="shared" si="66"/>
        <v>0</v>
      </c>
      <c r="H4272" t="s">
        <v>9</v>
      </c>
    </row>
    <row r="4273" spans="2:8" x14ac:dyDescent="0.2">
      <c r="B4273" s="3">
        <v>44824</v>
      </c>
      <c r="G4273" s="2">
        <f t="shared" si="66"/>
        <v>0</v>
      </c>
      <c r="H4273" t="s">
        <v>32</v>
      </c>
    </row>
    <row r="4274" spans="2:8" x14ac:dyDescent="0.2">
      <c r="B4274" s="3">
        <v>44824</v>
      </c>
      <c r="G4274" s="2">
        <f t="shared" si="66"/>
        <v>0</v>
      </c>
      <c r="H4274" s="1"/>
    </row>
    <row r="4275" spans="2:8" x14ac:dyDescent="0.2">
      <c r="B4275" s="3">
        <v>44825</v>
      </c>
      <c r="D4275" s="28">
        <v>800</v>
      </c>
      <c r="E4275" s="1">
        <v>900</v>
      </c>
      <c r="F4275" s="1">
        <v>7000</v>
      </c>
      <c r="G4275" s="2">
        <f t="shared" si="66"/>
        <v>-6100</v>
      </c>
      <c r="H4275" t="s">
        <v>14</v>
      </c>
    </row>
    <row r="4276" spans="2:8" x14ac:dyDescent="0.2">
      <c r="B4276" s="3">
        <v>44825</v>
      </c>
      <c r="G4276" s="2">
        <f t="shared" si="66"/>
        <v>0</v>
      </c>
      <c r="H4276" t="s">
        <v>27</v>
      </c>
    </row>
    <row r="4277" spans="2:8" x14ac:dyDescent="0.2">
      <c r="B4277" s="3">
        <v>44825</v>
      </c>
      <c r="G4277" s="2">
        <f t="shared" si="66"/>
        <v>0</v>
      </c>
      <c r="H4277" t="s">
        <v>13</v>
      </c>
    </row>
    <row r="4278" spans="2:8" x14ac:dyDescent="0.2">
      <c r="B4278" s="3">
        <v>44825</v>
      </c>
      <c r="G4278" s="2">
        <f t="shared" si="66"/>
        <v>0</v>
      </c>
      <c r="H4278" t="s">
        <v>30</v>
      </c>
    </row>
    <row r="4279" spans="2:8" x14ac:dyDescent="0.2">
      <c r="B4279" s="3">
        <v>44825</v>
      </c>
      <c r="D4279" s="1">
        <v>895</v>
      </c>
      <c r="E4279" s="1">
        <v>1067.5</v>
      </c>
      <c r="G4279" s="2">
        <f t="shared" si="66"/>
        <v>1067.5</v>
      </c>
      <c r="H4279" t="s">
        <v>35</v>
      </c>
    </row>
    <row r="4280" spans="2:8" x14ac:dyDescent="0.2">
      <c r="B4280" s="3">
        <v>44825</v>
      </c>
      <c r="G4280" s="2">
        <f t="shared" si="66"/>
        <v>0</v>
      </c>
      <c r="H4280" t="s">
        <v>25</v>
      </c>
    </row>
    <row r="4281" spans="2:8" x14ac:dyDescent="0.2">
      <c r="B4281" s="3">
        <v>44825</v>
      </c>
      <c r="D4281" s="1">
        <v>1650</v>
      </c>
      <c r="E4281" s="1">
        <v>2250</v>
      </c>
      <c r="G4281" s="2">
        <f t="shared" si="66"/>
        <v>2250</v>
      </c>
      <c r="H4281" t="s">
        <v>9</v>
      </c>
    </row>
    <row r="4282" spans="2:8" x14ac:dyDescent="0.2">
      <c r="B4282" s="3">
        <v>44825</v>
      </c>
      <c r="G4282" s="2">
        <f t="shared" si="66"/>
        <v>0</v>
      </c>
      <c r="H4282" t="s">
        <v>32</v>
      </c>
    </row>
    <row r="4283" spans="2:8" x14ac:dyDescent="0.2">
      <c r="B4283" s="3">
        <v>44825</v>
      </c>
      <c r="G4283" s="2">
        <f t="shared" si="66"/>
        <v>0</v>
      </c>
      <c r="H4283" s="1"/>
    </row>
    <row r="4284" spans="2:8" x14ac:dyDescent="0.2">
      <c r="B4284" s="3">
        <v>44826</v>
      </c>
      <c r="D4284" s="28"/>
      <c r="G4284" s="2">
        <f t="shared" si="66"/>
        <v>0</v>
      </c>
      <c r="H4284" t="s">
        <v>14</v>
      </c>
    </row>
    <row r="4285" spans="2:8" x14ac:dyDescent="0.2">
      <c r="B4285" s="3">
        <v>44826</v>
      </c>
      <c r="D4285" s="1">
        <v>10694.4</v>
      </c>
      <c r="E4285" s="1">
        <v>12034</v>
      </c>
      <c r="F4285" s="1">
        <v>10000</v>
      </c>
      <c r="G4285" s="2">
        <f t="shared" si="66"/>
        <v>2034</v>
      </c>
      <c r="H4285" t="s">
        <v>27</v>
      </c>
    </row>
    <row r="4286" spans="2:8" x14ac:dyDescent="0.2">
      <c r="B4286" s="3">
        <v>44826</v>
      </c>
      <c r="G4286" s="2">
        <f t="shared" si="66"/>
        <v>0</v>
      </c>
      <c r="H4286" t="s">
        <v>13</v>
      </c>
    </row>
    <row r="4287" spans="2:8" x14ac:dyDescent="0.2">
      <c r="B4287" s="3">
        <v>44826</v>
      </c>
      <c r="D4287" s="1">
        <v>16881</v>
      </c>
      <c r="E4287" s="1">
        <v>22363.95</v>
      </c>
      <c r="G4287" s="2">
        <f t="shared" si="66"/>
        <v>22363.95</v>
      </c>
      <c r="H4287" t="s">
        <v>30</v>
      </c>
    </row>
    <row r="4288" spans="2:8" x14ac:dyDescent="0.2">
      <c r="B4288" s="3">
        <v>44826</v>
      </c>
      <c r="G4288" s="2">
        <f t="shared" si="66"/>
        <v>0</v>
      </c>
      <c r="H4288" t="s">
        <v>35</v>
      </c>
    </row>
    <row r="4289" spans="2:8" x14ac:dyDescent="0.2">
      <c r="B4289" s="3">
        <v>44826</v>
      </c>
      <c r="G4289" s="2">
        <f t="shared" si="66"/>
        <v>0</v>
      </c>
      <c r="H4289" t="s">
        <v>25</v>
      </c>
    </row>
    <row r="4290" spans="2:8" x14ac:dyDescent="0.2">
      <c r="B4290" s="3">
        <v>44826</v>
      </c>
      <c r="G4290" s="2">
        <f t="shared" si="66"/>
        <v>0</v>
      </c>
      <c r="H4290" t="s">
        <v>9</v>
      </c>
    </row>
    <row r="4291" spans="2:8" x14ac:dyDescent="0.2">
      <c r="B4291" s="3">
        <v>44826</v>
      </c>
      <c r="G4291" s="2">
        <f t="shared" ref="G4291:G4354" si="67">E4291-F4291</f>
        <v>0</v>
      </c>
      <c r="H4291" t="s">
        <v>32</v>
      </c>
    </row>
    <row r="4292" spans="2:8" x14ac:dyDescent="0.2">
      <c r="B4292" s="3">
        <v>44826</v>
      </c>
      <c r="G4292" s="2">
        <f t="shared" si="67"/>
        <v>0</v>
      </c>
      <c r="H4292" s="1"/>
    </row>
    <row r="4293" spans="2:8" x14ac:dyDescent="0.2">
      <c r="B4293" s="3">
        <v>44827</v>
      </c>
      <c r="D4293" s="28"/>
      <c r="G4293" s="2">
        <f t="shared" si="67"/>
        <v>0</v>
      </c>
      <c r="H4293" t="s">
        <v>14</v>
      </c>
    </row>
    <row r="4294" spans="2:8" x14ac:dyDescent="0.2">
      <c r="B4294" s="3">
        <v>44827</v>
      </c>
      <c r="G4294" s="2">
        <f t="shared" si="67"/>
        <v>0</v>
      </c>
      <c r="H4294" t="s">
        <v>27</v>
      </c>
    </row>
    <row r="4295" spans="2:8" x14ac:dyDescent="0.2">
      <c r="B4295" s="3">
        <v>44827</v>
      </c>
      <c r="G4295" s="2">
        <f t="shared" si="67"/>
        <v>0</v>
      </c>
      <c r="H4295" t="s">
        <v>13</v>
      </c>
    </row>
    <row r="4296" spans="2:8" x14ac:dyDescent="0.2">
      <c r="B4296" s="3">
        <v>44827</v>
      </c>
      <c r="G4296" s="2">
        <f t="shared" si="67"/>
        <v>0</v>
      </c>
      <c r="H4296" t="s">
        <v>30</v>
      </c>
    </row>
    <row r="4297" spans="2:8" x14ac:dyDescent="0.2">
      <c r="B4297" s="3">
        <v>44827</v>
      </c>
      <c r="G4297" s="2">
        <f t="shared" si="67"/>
        <v>0</v>
      </c>
      <c r="H4297" t="s">
        <v>35</v>
      </c>
    </row>
    <row r="4298" spans="2:8" x14ac:dyDescent="0.2">
      <c r="B4298" s="3">
        <v>44827</v>
      </c>
      <c r="G4298" s="2">
        <f t="shared" si="67"/>
        <v>0</v>
      </c>
      <c r="H4298" t="s">
        <v>25</v>
      </c>
    </row>
    <row r="4299" spans="2:8" x14ac:dyDescent="0.2">
      <c r="B4299" s="3">
        <v>44827</v>
      </c>
      <c r="G4299" s="2">
        <f t="shared" si="67"/>
        <v>0</v>
      </c>
      <c r="H4299" t="s">
        <v>9</v>
      </c>
    </row>
    <row r="4300" spans="2:8" x14ac:dyDescent="0.2">
      <c r="B4300" s="3">
        <v>44827</v>
      </c>
      <c r="G4300" s="2">
        <f t="shared" si="67"/>
        <v>0</v>
      </c>
      <c r="H4300" t="s">
        <v>32</v>
      </c>
    </row>
    <row r="4301" spans="2:8" x14ac:dyDescent="0.2">
      <c r="B4301" s="3">
        <v>44827</v>
      </c>
      <c r="G4301" s="2">
        <f t="shared" si="67"/>
        <v>0</v>
      </c>
      <c r="H4301" s="1"/>
    </row>
    <row r="4302" spans="2:8" x14ac:dyDescent="0.2">
      <c r="B4302" s="3">
        <v>44828</v>
      </c>
      <c r="D4302" s="28"/>
      <c r="G4302" s="2">
        <f t="shared" si="67"/>
        <v>0</v>
      </c>
      <c r="H4302" t="s">
        <v>14</v>
      </c>
    </row>
    <row r="4303" spans="2:8" x14ac:dyDescent="0.2">
      <c r="B4303" s="3">
        <v>44828</v>
      </c>
      <c r="G4303" s="2">
        <f t="shared" si="67"/>
        <v>0</v>
      </c>
      <c r="H4303" t="s">
        <v>27</v>
      </c>
    </row>
    <row r="4304" spans="2:8" x14ac:dyDescent="0.2">
      <c r="B4304" s="3">
        <v>44828</v>
      </c>
      <c r="D4304" s="1">
        <v>3040.5</v>
      </c>
      <c r="E4304" s="1">
        <v>3582.5</v>
      </c>
      <c r="G4304" s="2">
        <f t="shared" si="67"/>
        <v>3582.5</v>
      </c>
      <c r="H4304" t="s">
        <v>13</v>
      </c>
    </row>
    <row r="4305" spans="2:8" x14ac:dyDescent="0.2">
      <c r="B4305" s="3">
        <v>44828</v>
      </c>
      <c r="G4305" s="2">
        <f t="shared" si="67"/>
        <v>0</v>
      </c>
      <c r="H4305" t="s">
        <v>30</v>
      </c>
    </row>
    <row r="4306" spans="2:8" x14ac:dyDescent="0.2">
      <c r="B4306" s="3">
        <v>44828</v>
      </c>
      <c r="G4306" s="2">
        <f t="shared" si="67"/>
        <v>0</v>
      </c>
      <c r="H4306" t="s">
        <v>35</v>
      </c>
    </row>
    <row r="4307" spans="2:8" x14ac:dyDescent="0.2">
      <c r="B4307" s="3">
        <v>44828</v>
      </c>
      <c r="G4307" s="2">
        <f t="shared" si="67"/>
        <v>0</v>
      </c>
      <c r="H4307" t="s">
        <v>25</v>
      </c>
    </row>
    <row r="4308" spans="2:8" x14ac:dyDescent="0.2">
      <c r="B4308" s="3">
        <v>44828</v>
      </c>
      <c r="G4308" s="2">
        <f t="shared" si="67"/>
        <v>0</v>
      </c>
      <c r="H4308" t="s">
        <v>9</v>
      </c>
    </row>
    <row r="4309" spans="2:8" x14ac:dyDescent="0.2">
      <c r="B4309" s="3">
        <v>44828</v>
      </c>
      <c r="G4309" s="2">
        <f t="shared" si="67"/>
        <v>0</v>
      </c>
      <c r="H4309" t="s">
        <v>32</v>
      </c>
    </row>
    <row r="4310" spans="2:8" x14ac:dyDescent="0.2">
      <c r="B4310" s="3">
        <v>44828</v>
      </c>
      <c r="G4310" s="2">
        <f t="shared" si="67"/>
        <v>0</v>
      </c>
      <c r="H4310" s="1"/>
    </row>
    <row r="4311" spans="2:8" x14ac:dyDescent="0.2">
      <c r="B4311" s="3">
        <v>44829</v>
      </c>
      <c r="D4311" s="28"/>
      <c r="G4311" s="2">
        <f t="shared" si="67"/>
        <v>0</v>
      </c>
      <c r="H4311" t="s">
        <v>14</v>
      </c>
    </row>
    <row r="4312" spans="2:8" x14ac:dyDescent="0.2">
      <c r="B4312" s="3">
        <v>44829</v>
      </c>
      <c r="D4312" s="1">
        <v>3090</v>
      </c>
      <c r="E4312" s="1">
        <v>3550</v>
      </c>
      <c r="G4312" s="2">
        <f t="shared" si="67"/>
        <v>3550</v>
      </c>
      <c r="H4312" t="s">
        <v>27</v>
      </c>
    </row>
    <row r="4313" spans="2:8" x14ac:dyDescent="0.2">
      <c r="B4313" s="3">
        <v>44829</v>
      </c>
      <c r="G4313" s="2">
        <f t="shared" si="67"/>
        <v>0</v>
      </c>
      <c r="H4313" t="s">
        <v>13</v>
      </c>
    </row>
    <row r="4314" spans="2:8" x14ac:dyDescent="0.2">
      <c r="B4314" s="3">
        <v>44829</v>
      </c>
      <c r="D4314" s="1">
        <v>1740</v>
      </c>
      <c r="E4314" s="1">
        <v>2371.1999999999998</v>
      </c>
      <c r="G4314" s="2">
        <f t="shared" si="67"/>
        <v>2371.1999999999998</v>
      </c>
      <c r="H4314" t="s">
        <v>30</v>
      </c>
    </row>
    <row r="4315" spans="2:8" x14ac:dyDescent="0.2">
      <c r="B4315" s="3">
        <v>44829</v>
      </c>
      <c r="D4315" s="1">
        <v>1152</v>
      </c>
      <c r="E4315" s="1">
        <v>1342.5</v>
      </c>
      <c r="G4315" s="2">
        <f t="shared" si="67"/>
        <v>1342.5</v>
      </c>
      <c r="H4315" t="s">
        <v>35</v>
      </c>
    </row>
    <row r="4316" spans="2:8" x14ac:dyDescent="0.2">
      <c r="B4316" s="3">
        <v>44829</v>
      </c>
      <c r="G4316" s="2">
        <f t="shared" si="67"/>
        <v>0</v>
      </c>
      <c r="H4316" t="s">
        <v>25</v>
      </c>
    </row>
    <row r="4317" spans="2:8" x14ac:dyDescent="0.2">
      <c r="B4317" s="3">
        <v>44829</v>
      </c>
      <c r="G4317" s="2">
        <f t="shared" si="67"/>
        <v>0</v>
      </c>
      <c r="H4317" t="s">
        <v>9</v>
      </c>
    </row>
    <row r="4318" spans="2:8" x14ac:dyDescent="0.2">
      <c r="B4318" s="3">
        <v>44829</v>
      </c>
      <c r="G4318" s="2">
        <f t="shared" si="67"/>
        <v>0</v>
      </c>
      <c r="H4318" t="s">
        <v>32</v>
      </c>
    </row>
    <row r="4319" spans="2:8" x14ac:dyDescent="0.2">
      <c r="B4319" s="3">
        <v>44829</v>
      </c>
      <c r="G4319" s="2">
        <f t="shared" si="67"/>
        <v>0</v>
      </c>
      <c r="H4319" s="1"/>
    </row>
    <row r="4320" spans="2:8" x14ac:dyDescent="0.2">
      <c r="B4320" s="3">
        <v>44830</v>
      </c>
      <c r="D4320" s="28"/>
      <c r="G4320" s="2">
        <f t="shared" si="67"/>
        <v>0</v>
      </c>
      <c r="H4320" t="s">
        <v>14</v>
      </c>
    </row>
    <row r="4321" spans="2:8" x14ac:dyDescent="0.2">
      <c r="B4321" s="3">
        <v>44830</v>
      </c>
      <c r="G4321" s="2">
        <f t="shared" si="67"/>
        <v>0</v>
      </c>
      <c r="H4321" t="s">
        <v>27</v>
      </c>
    </row>
    <row r="4322" spans="2:8" x14ac:dyDescent="0.2">
      <c r="B4322" s="3">
        <v>44830</v>
      </c>
      <c r="G4322" s="2">
        <f t="shared" si="67"/>
        <v>0</v>
      </c>
      <c r="H4322" t="s">
        <v>13</v>
      </c>
    </row>
    <row r="4323" spans="2:8" x14ac:dyDescent="0.2">
      <c r="B4323" s="3">
        <v>44830</v>
      </c>
      <c r="G4323" s="2">
        <f t="shared" si="67"/>
        <v>0</v>
      </c>
      <c r="H4323" t="s">
        <v>30</v>
      </c>
    </row>
    <row r="4324" spans="2:8" x14ac:dyDescent="0.2">
      <c r="B4324" s="3">
        <v>44830</v>
      </c>
      <c r="G4324" s="2">
        <f t="shared" si="67"/>
        <v>0</v>
      </c>
      <c r="H4324" t="s">
        <v>35</v>
      </c>
    </row>
    <row r="4325" spans="2:8" x14ac:dyDescent="0.2">
      <c r="B4325" s="3">
        <v>44830</v>
      </c>
      <c r="G4325" s="2">
        <f t="shared" si="67"/>
        <v>0</v>
      </c>
      <c r="H4325" t="s">
        <v>25</v>
      </c>
    </row>
    <row r="4326" spans="2:8" x14ac:dyDescent="0.2">
      <c r="B4326" s="3">
        <v>44830</v>
      </c>
      <c r="G4326" s="2">
        <f t="shared" si="67"/>
        <v>0</v>
      </c>
      <c r="H4326" t="s">
        <v>9</v>
      </c>
    </row>
    <row r="4327" spans="2:8" x14ac:dyDescent="0.2">
      <c r="B4327" s="3">
        <v>44830</v>
      </c>
      <c r="G4327" s="2">
        <f t="shared" si="67"/>
        <v>0</v>
      </c>
      <c r="H4327" t="s">
        <v>32</v>
      </c>
    </row>
    <row r="4328" spans="2:8" x14ac:dyDescent="0.2">
      <c r="B4328" s="3">
        <v>44830</v>
      </c>
      <c r="G4328" s="2">
        <f t="shared" si="67"/>
        <v>0</v>
      </c>
      <c r="H4328" s="1"/>
    </row>
    <row r="4329" spans="2:8" x14ac:dyDescent="0.2">
      <c r="B4329" s="3">
        <v>44831</v>
      </c>
      <c r="D4329" s="28"/>
      <c r="G4329" s="2">
        <f t="shared" si="67"/>
        <v>0</v>
      </c>
      <c r="H4329" t="s">
        <v>14</v>
      </c>
    </row>
    <row r="4330" spans="2:8" x14ac:dyDescent="0.2">
      <c r="B4330" s="3">
        <v>44831</v>
      </c>
      <c r="G4330" s="2">
        <f t="shared" si="67"/>
        <v>0</v>
      </c>
      <c r="H4330" t="s">
        <v>27</v>
      </c>
    </row>
    <row r="4331" spans="2:8" x14ac:dyDescent="0.2">
      <c r="B4331" s="3">
        <v>44831</v>
      </c>
      <c r="F4331" s="1">
        <v>6000</v>
      </c>
      <c r="G4331" s="2">
        <f t="shared" si="67"/>
        <v>-6000</v>
      </c>
      <c r="H4331" t="s">
        <v>13</v>
      </c>
    </row>
    <row r="4332" spans="2:8" x14ac:dyDescent="0.2">
      <c r="B4332" s="3">
        <v>44831</v>
      </c>
      <c r="G4332" s="2">
        <f t="shared" si="67"/>
        <v>0</v>
      </c>
      <c r="H4332" t="s">
        <v>30</v>
      </c>
    </row>
    <row r="4333" spans="2:8" x14ac:dyDescent="0.2">
      <c r="B4333" s="3">
        <v>44831</v>
      </c>
      <c r="G4333" s="2">
        <f t="shared" si="67"/>
        <v>0</v>
      </c>
      <c r="H4333" t="s">
        <v>35</v>
      </c>
    </row>
    <row r="4334" spans="2:8" x14ac:dyDescent="0.2">
      <c r="B4334" s="3">
        <v>44831</v>
      </c>
      <c r="G4334" s="2">
        <f t="shared" si="67"/>
        <v>0</v>
      </c>
      <c r="H4334" t="s">
        <v>25</v>
      </c>
    </row>
    <row r="4335" spans="2:8" x14ac:dyDescent="0.2">
      <c r="B4335" s="3">
        <v>44831</v>
      </c>
      <c r="G4335" s="2">
        <f t="shared" si="67"/>
        <v>0</v>
      </c>
      <c r="H4335" t="s">
        <v>9</v>
      </c>
    </row>
    <row r="4336" spans="2:8" x14ac:dyDescent="0.2">
      <c r="B4336" s="3">
        <v>44831</v>
      </c>
      <c r="G4336" s="2">
        <f t="shared" si="67"/>
        <v>0</v>
      </c>
      <c r="H4336" t="s">
        <v>32</v>
      </c>
    </row>
    <row r="4337" spans="2:8" x14ac:dyDescent="0.2">
      <c r="B4337" s="3">
        <v>44831</v>
      </c>
      <c r="G4337" s="2">
        <f t="shared" si="67"/>
        <v>0</v>
      </c>
      <c r="H4337" s="1"/>
    </row>
    <row r="4338" spans="2:8" x14ac:dyDescent="0.2">
      <c r="B4338" s="3">
        <v>44832</v>
      </c>
      <c r="D4338" s="28"/>
      <c r="F4338" s="1">
        <v>7000</v>
      </c>
      <c r="G4338" s="2">
        <f t="shared" si="67"/>
        <v>-7000</v>
      </c>
      <c r="H4338" t="s">
        <v>14</v>
      </c>
    </row>
    <row r="4339" spans="2:8" x14ac:dyDescent="0.2">
      <c r="B4339" s="3">
        <v>44832</v>
      </c>
      <c r="G4339" s="2">
        <f t="shared" si="67"/>
        <v>0</v>
      </c>
      <c r="H4339" t="s">
        <v>27</v>
      </c>
    </row>
    <row r="4340" spans="2:8" x14ac:dyDescent="0.2">
      <c r="B4340" s="3">
        <v>44832</v>
      </c>
      <c r="G4340" s="2">
        <f t="shared" si="67"/>
        <v>0</v>
      </c>
      <c r="H4340" t="s">
        <v>13</v>
      </c>
    </row>
    <row r="4341" spans="2:8" x14ac:dyDescent="0.2">
      <c r="B4341" s="3">
        <v>44832</v>
      </c>
      <c r="D4341" s="1">
        <v>7969</v>
      </c>
      <c r="E4341" s="1">
        <v>10254.299999999999</v>
      </c>
      <c r="G4341" s="2">
        <f t="shared" si="67"/>
        <v>10254.299999999999</v>
      </c>
      <c r="H4341" t="s">
        <v>30</v>
      </c>
    </row>
    <row r="4342" spans="2:8" x14ac:dyDescent="0.2">
      <c r="B4342" s="3">
        <v>44832</v>
      </c>
      <c r="F4342" s="1">
        <v>2270</v>
      </c>
      <c r="G4342" s="2">
        <f t="shared" si="67"/>
        <v>-2270</v>
      </c>
      <c r="H4342" t="s">
        <v>35</v>
      </c>
    </row>
    <row r="4343" spans="2:8" x14ac:dyDescent="0.2">
      <c r="B4343" s="3">
        <v>44832</v>
      </c>
      <c r="G4343" s="2">
        <f t="shared" si="67"/>
        <v>0</v>
      </c>
      <c r="H4343" t="s">
        <v>25</v>
      </c>
    </row>
    <row r="4344" spans="2:8" x14ac:dyDescent="0.2">
      <c r="B4344" s="3">
        <v>44832</v>
      </c>
      <c r="F4344" s="1">
        <v>2250</v>
      </c>
      <c r="G4344" s="2">
        <f t="shared" si="67"/>
        <v>-2250</v>
      </c>
      <c r="H4344" t="s">
        <v>9</v>
      </c>
    </row>
    <row r="4345" spans="2:8" x14ac:dyDescent="0.2">
      <c r="B4345" s="3">
        <v>44832</v>
      </c>
      <c r="G4345" s="2">
        <f t="shared" si="67"/>
        <v>0</v>
      </c>
      <c r="H4345" t="s">
        <v>32</v>
      </c>
    </row>
    <row r="4346" spans="2:8" x14ac:dyDescent="0.2">
      <c r="B4346" s="3">
        <v>44832</v>
      </c>
      <c r="G4346" s="2">
        <f t="shared" si="67"/>
        <v>0</v>
      </c>
      <c r="H4346" s="1"/>
    </row>
    <row r="4347" spans="2:8" x14ac:dyDescent="0.2">
      <c r="B4347" s="3">
        <v>44833</v>
      </c>
      <c r="D4347" s="28">
        <f>3600+105+975</f>
        <v>4680</v>
      </c>
      <c r="E4347" s="1">
        <v>5095</v>
      </c>
      <c r="G4347" s="2">
        <f t="shared" si="67"/>
        <v>5095</v>
      </c>
      <c r="H4347" t="s">
        <v>14</v>
      </c>
    </row>
    <row r="4348" spans="2:8" x14ac:dyDescent="0.2">
      <c r="B4348" s="3">
        <v>44833</v>
      </c>
      <c r="D4348" s="1">
        <v>1400</v>
      </c>
      <c r="E4348" s="1">
        <v>1575</v>
      </c>
      <c r="G4348" s="2">
        <f t="shared" si="67"/>
        <v>1575</v>
      </c>
      <c r="H4348" t="s">
        <v>27</v>
      </c>
    </row>
    <row r="4349" spans="2:8" x14ac:dyDescent="0.2">
      <c r="B4349" s="3">
        <v>44833</v>
      </c>
      <c r="G4349" s="2">
        <f t="shared" si="67"/>
        <v>0</v>
      </c>
      <c r="H4349" t="s">
        <v>13</v>
      </c>
    </row>
    <row r="4350" spans="2:8" x14ac:dyDescent="0.2">
      <c r="B4350" s="3">
        <v>44833</v>
      </c>
      <c r="G4350" s="2">
        <f t="shared" si="67"/>
        <v>0</v>
      </c>
      <c r="H4350" t="s">
        <v>30</v>
      </c>
    </row>
    <row r="4351" spans="2:8" x14ac:dyDescent="0.2">
      <c r="B4351" s="3">
        <v>44833</v>
      </c>
      <c r="G4351" s="2">
        <f t="shared" si="67"/>
        <v>0</v>
      </c>
      <c r="H4351" t="s">
        <v>35</v>
      </c>
    </row>
    <row r="4352" spans="2:8" x14ac:dyDescent="0.2">
      <c r="B4352" s="3">
        <v>44833</v>
      </c>
      <c r="G4352" s="2">
        <f t="shared" si="67"/>
        <v>0</v>
      </c>
      <c r="H4352" t="s">
        <v>25</v>
      </c>
    </row>
    <row r="4353" spans="2:8" x14ac:dyDescent="0.2">
      <c r="B4353" s="3">
        <v>44833</v>
      </c>
      <c r="G4353" s="2">
        <f t="shared" si="67"/>
        <v>0</v>
      </c>
      <c r="H4353" t="s">
        <v>9</v>
      </c>
    </row>
    <row r="4354" spans="2:8" x14ac:dyDescent="0.2">
      <c r="B4354" s="3">
        <v>44833</v>
      </c>
      <c r="G4354" s="2">
        <f t="shared" si="67"/>
        <v>0</v>
      </c>
      <c r="H4354" t="s">
        <v>32</v>
      </c>
    </row>
    <row r="4355" spans="2:8" x14ac:dyDescent="0.2">
      <c r="B4355" s="3">
        <v>44833</v>
      </c>
      <c r="D4355" s="1">
        <v>1130</v>
      </c>
      <c r="E4355" s="1">
        <v>1200</v>
      </c>
      <c r="F4355" s="1">
        <v>1200</v>
      </c>
      <c r="G4355" s="2">
        <f t="shared" ref="G4355:G4418" si="68">E4355-F4355</f>
        <v>0</v>
      </c>
      <c r="H4355" t="s">
        <v>39</v>
      </c>
    </row>
    <row r="4356" spans="2:8" x14ac:dyDescent="0.2">
      <c r="B4356" s="3">
        <v>44834</v>
      </c>
      <c r="D4356" s="28"/>
      <c r="G4356" s="2">
        <f t="shared" si="68"/>
        <v>0</v>
      </c>
      <c r="H4356" t="s">
        <v>14</v>
      </c>
    </row>
    <row r="4357" spans="2:8" x14ac:dyDescent="0.2">
      <c r="B4357" s="3">
        <v>44834</v>
      </c>
      <c r="G4357" s="2">
        <f t="shared" si="68"/>
        <v>0</v>
      </c>
      <c r="H4357" t="s">
        <v>27</v>
      </c>
    </row>
    <row r="4358" spans="2:8" x14ac:dyDescent="0.2">
      <c r="B4358" s="3">
        <v>44834</v>
      </c>
      <c r="G4358" s="2">
        <f t="shared" si="68"/>
        <v>0</v>
      </c>
      <c r="H4358" t="s">
        <v>13</v>
      </c>
    </row>
    <row r="4359" spans="2:8" x14ac:dyDescent="0.2">
      <c r="B4359" s="3">
        <v>44834</v>
      </c>
      <c r="G4359" s="2">
        <f t="shared" si="68"/>
        <v>0</v>
      </c>
      <c r="H4359" t="s">
        <v>30</v>
      </c>
    </row>
    <row r="4360" spans="2:8" x14ac:dyDescent="0.2">
      <c r="B4360" s="3">
        <v>44834</v>
      </c>
      <c r="G4360" s="2">
        <f t="shared" si="68"/>
        <v>0</v>
      </c>
      <c r="H4360" t="s">
        <v>35</v>
      </c>
    </row>
    <row r="4361" spans="2:8" x14ac:dyDescent="0.2">
      <c r="B4361" s="3">
        <v>44834</v>
      </c>
      <c r="G4361" s="2">
        <f t="shared" si="68"/>
        <v>0</v>
      </c>
      <c r="H4361" t="s">
        <v>25</v>
      </c>
    </row>
    <row r="4362" spans="2:8" x14ac:dyDescent="0.2">
      <c r="B4362" s="3">
        <v>44834</v>
      </c>
      <c r="G4362" s="2">
        <f t="shared" si="68"/>
        <v>0</v>
      </c>
      <c r="H4362" t="s">
        <v>9</v>
      </c>
    </row>
    <row r="4363" spans="2:8" x14ac:dyDescent="0.2">
      <c r="B4363" s="3">
        <v>44834</v>
      </c>
      <c r="G4363" s="2">
        <f t="shared" si="68"/>
        <v>0</v>
      </c>
      <c r="H4363" t="s">
        <v>32</v>
      </c>
    </row>
    <row r="4364" spans="2:8" x14ac:dyDescent="0.2">
      <c r="B4364" s="3">
        <v>44834</v>
      </c>
      <c r="G4364" s="2">
        <f t="shared" si="68"/>
        <v>0</v>
      </c>
      <c r="H4364" s="1"/>
    </row>
    <row r="4365" spans="2:8" x14ac:dyDescent="0.2">
      <c r="B4365" s="3">
        <v>44835</v>
      </c>
      <c r="D4365" s="28"/>
      <c r="G4365" s="2">
        <f t="shared" si="68"/>
        <v>0</v>
      </c>
      <c r="H4365" t="s">
        <v>14</v>
      </c>
    </row>
    <row r="4366" spans="2:8" x14ac:dyDescent="0.2">
      <c r="B4366" s="3">
        <v>44835</v>
      </c>
      <c r="G4366" s="2">
        <f t="shared" si="68"/>
        <v>0</v>
      </c>
      <c r="H4366" t="s">
        <v>27</v>
      </c>
    </row>
    <row r="4367" spans="2:8" x14ac:dyDescent="0.2">
      <c r="B4367" s="3">
        <v>44835</v>
      </c>
      <c r="D4367" s="1">
        <v>7597.5</v>
      </c>
      <c r="E4367" s="1">
        <v>8735</v>
      </c>
      <c r="F4367" s="1">
        <v>3000</v>
      </c>
      <c r="G4367" s="2">
        <f t="shared" si="68"/>
        <v>5735</v>
      </c>
      <c r="H4367" t="s">
        <v>13</v>
      </c>
    </row>
    <row r="4368" spans="2:8" x14ac:dyDescent="0.2">
      <c r="B4368" s="3">
        <v>44835</v>
      </c>
      <c r="G4368" s="2">
        <f t="shared" si="68"/>
        <v>0</v>
      </c>
      <c r="H4368" t="s">
        <v>30</v>
      </c>
    </row>
    <row r="4369" spans="2:8" x14ac:dyDescent="0.2">
      <c r="B4369" s="3">
        <v>44835</v>
      </c>
      <c r="G4369" s="2">
        <f t="shared" si="68"/>
        <v>0</v>
      </c>
      <c r="H4369" t="s">
        <v>35</v>
      </c>
    </row>
    <row r="4370" spans="2:8" x14ac:dyDescent="0.2">
      <c r="B4370" s="3">
        <v>44835</v>
      </c>
      <c r="G4370" s="2">
        <f t="shared" si="68"/>
        <v>0</v>
      </c>
      <c r="H4370" t="s">
        <v>25</v>
      </c>
    </row>
    <row r="4371" spans="2:8" x14ac:dyDescent="0.2">
      <c r="B4371" s="3">
        <v>44835</v>
      </c>
      <c r="G4371" s="2">
        <f t="shared" si="68"/>
        <v>0</v>
      </c>
      <c r="H4371" t="s">
        <v>9</v>
      </c>
    </row>
    <row r="4372" spans="2:8" x14ac:dyDescent="0.2">
      <c r="B4372" s="3">
        <v>44835</v>
      </c>
      <c r="G4372" s="2">
        <f t="shared" si="68"/>
        <v>0</v>
      </c>
      <c r="H4372" t="s">
        <v>32</v>
      </c>
    </row>
    <row r="4373" spans="2:8" x14ac:dyDescent="0.2">
      <c r="B4373" s="3">
        <v>44835</v>
      </c>
      <c r="G4373" s="2">
        <f t="shared" si="68"/>
        <v>0</v>
      </c>
      <c r="H4373" s="1"/>
    </row>
    <row r="4374" spans="2:8" x14ac:dyDescent="0.2">
      <c r="B4374" s="3">
        <v>44836</v>
      </c>
      <c r="D4374" s="28"/>
      <c r="G4374" s="2">
        <f t="shared" si="68"/>
        <v>0</v>
      </c>
      <c r="H4374" t="s">
        <v>14</v>
      </c>
    </row>
    <row r="4375" spans="2:8" x14ac:dyDescent="0.2">
      <c r="B4375" s="3">
        <v>44836</v>
      </c>
      <c r="G4375" s="2">
        <f t="shared" si="68"/>
        <v>0</v>
      </c>
      <c r="H4375" t="s">
        <v>27</v>
      </c>
    </row>
    <row r="4376" spans="2:8" x14ac:dyDescent="0.2">
      <c r="B4376" s="3">
        <v>44836</v>
      </c>
      <c r="G4376" s="2">
        <f t="shared" si="68"/>
        <v>0</v>
      </c>
      <c r="H4376" t="s">
        <v>13</v>
      </c>
    </row>
    <row r="4377" spans="2:8" x14ac:dyDescent="0.2">
      <c r="B4377" s="3">
        <v>44836</v>
      </c>
      <c r="G4377" s="2">
        <f t="shared" si="68"/>
        <v>0</v>
      </c>
      <c r="H4377" t="s">
        <v>30</v>
      </c>
    </row>
    <row r="4378" spans="2:8" x14ac:dyDescent="0.2">
      <c r="B4378" s="3">
        <v>44836</v>
      </c>
      <c r="G4378" s="2">
        <f t="shared" si="68"/>
        <v>0</v>
      </c>
      <c r="H4378" t="s">
        <v>35</v>
      </c>
    </row>
    <row r="4379" spans="2:8" x14ac:dyDescent="0.2">
      <c r="B4379" s="3">
        <v>44836</v>
      </c>
      <c r="G4379" s="2">
        <f t="shared" si="68"/>
        <v>0</v>
      </c>
      <c r="H4379" t="s">
        <v>25</v>
      </c>
    </row>
    <row r="4380" spans="2:8" x14ac:dyDescent="0.2">
      <c r="B4380" s="3">
        <v>44836</v>
      </c>
      <c r="G4380" s="2">
        <f t="shared" si="68"/>
        <v>0</v>
      </c>
      <c r="H4380" t="s">
        <v>9</v>
      </c>
    </row>
    <row r="4381" spans="2:8" x14ac:dyDescent="0.2">
      <c r="B4381" s="3">
        <v>44836</v>
      </c>
      <c r="G4381" s="2">
        <f t="shared" si="68"/>
        <v>0</v>
      </c>
      <c r="H4381" t="s">
        <v>32</v>
      </c>
    </row>
    <row r="4382" spans="2:8" x14ac:dyDescent="0.2">
      <c r="B4382" s="3">
        <v>44836</v>
      </c>
      <c r="G4382" s="2">
        <f t="shared" si="68"/>
        <v>0</v>
      </c>
      <c r="H4382" s="1"/>
    </row>
    <row r="4383" spans="2:8" x14ac:dyDescent="0.2">
      <c r="B4383" s="3">
        <v>44837</v>
      </c>
      <c r="D4383" s="28"/>
      <c r="G4383" s="2">
        <f t="shared" si="68"/>
        <v>0</v>
      </c>
      <c r="H4383" t="s">
        <v>14</v>
      </c>
    </row>
    <row r="4384" spans="2:8" x14ac:dyDescent="0.2">
      <c r="B4384" s="3">
        <v>44837</v>
      </c>
      <c r="G4384" s="2">
        <f t="shared" si="68"/>
        <v>0</v>
      </c>
      <c r="H4384" t="s">
        <v>27</v>
      </c>
    </row>
    <row r="4385" spans="2:8" x14ac:dyDescent="0.2">
      <c r="B4385" s="3">
        <v>44837</v>
      </c>
      <c r="D4385" s="1">
        <v>969.5</v>
      </c>
      <c r="E4385" s="1">
        <v>1068</v>
      </c>
      <c r="F4385" s="1">
        <v>3000</v>
      </c>
      <c r="G4385" s="2">
        <f t="shared" si="68"/>
        <v>-1932</v>
      </c>
      <c r="H4385" t="s">
        <v>13</v>
      </c>
    </row>
    <row r="4386" spans="2:8" x14ac:dyDescent="0.2">
      <c r="B4386" s="3">
        <v>44837</v>
      </c>
      <c r="G4386" s="2">
        <f t="shared" si="68"/>
        <v>0</v>
      </c>
      <c r="H4386" t="s">
        <v>30</v>
      </c>
    </row>
    <row r="4387" spans="2:8" x14ac:dyDescent="0.2">
      <c r="B4387" s="3">
        <v>44837</v>
      </c>
      <c r="D4387" s="1">
        <v>901</v>
      </c>
      <c r="E4387" s="1">
        <v>1075</v>
      </c>
      <c r="F4387" s="1">
        <v>1070</v>
      </c>
      <c r="G4387" s="2">
        <f t="shared" si="68"/>
        <v>5</v>
      </c>
      <c r="H4387" t="s">
        <v>35</v>
      </c>
    </row>
    <row r="4388" spans="2:8" x14ac:dyDescent="0.2">
      <c r="B4388" s="3">
        <v>44837</v>
      </c>
      <c r="G4388" s="2">
        <f t="shared" si="68"/>
        <v>0</v>
      </c>
      <c r="H4388" t="s">
        <v>25</v>
      </c>
    </row>
    <row r="4389" spans="2:8" x14ac:dyDescent="0.2">
      <c r="B4389" s="3">
        <v>44837</v>
      </c>
      <c r="G4389" s="2">
        <f t="shared" si="68"/>
        <v>0</v>
      </c>
      <c r="H4389" t="s">
        <v>9</v>
      </c>
    </row>
    <row r="4390" spans="2:8" x14ac:dyDescent="0.2">
      <c r="B4390" s="3">
        <v>44837</v>
      </c>
      <c r="G4390" s="2">
        <f t="shared" si="68"/>
        <v>0</v>
      </c>
      <c r="H4390" t="s">
        <v>32</v>
      </c>
    </row>
    <row r="4391" spans="2:8" x14ac:dyDescent="0.2">
      <c r="B4391" s="3">
        <v>44837</v>
      </c>
      <c r="D4391" s="1">
        <v>2480</v>
      </c>
      <c r="E4391" s="1">
        <v>2720</v>
      </c>
      <c r="F4391" s="1">
        <v>2720</v>
      </c>
      <c r="G4391" s="2">
        <f t="shared" si="68"/>
        <v>0</v>
      </c>
      <c r="H4391" s="1" t="s">
        <v>39</v>
      </c>
    </row>
    <row r="4392" spans="2:8" x14ac:dyDescent="0.2">
      <c r="B4392" s="3">
        <v>44838</v>
      </c>
      <c r="D4392" s="28">
        <f>3150+240</f>
        <v>3390</v>
      </c>
      <c r="E4392" s="1">
        <v>3785</v>
      </c>
      <c r="G4392" s="2">
        <f t="shared" si="68"/>
        <v>3785</v>
      </c>
      <c r="H4392" t="s">
        <v>14</v>
      </c>
    </row>
    <row r="4393" spans="2:8" x14ac:dyDescent="0.2">
      <c r="B4393" s="3">
        <v>44838</v>
      </c>
      <c r="G4393" s="2">
        <f t="shared" si="68"/>
        <v>0</v>
      </c>
      <c r="H4393" t="s">
        <v>27</v>
      </c>
    </row>
    <row r="4394" spans="2:8" x14ac:dyDescent="0.2">
      <c r="B4394" s="3">
        <v>44838</v>
      </c>
      <c r="G4394" s="2">
        <f t="shared" si="68"/>
        <v>0</v>
      </c>
      <c r="H4394" t="s">
        <v>13</v>
      </c>
    </row>
    <row r="4395" spans="2:8" x14ac:dyDescent="0.2">
      <c r="B4395" s="3">
        <v>44838</v>
      </c>
      <c r="G4395" s="2">
        <f t="shared" si="68"/>
        <v>0</v>
      </c>
      <c r="H4395" t="s">
        <v>30</v>
      </c>
    </row>
    <row r="4396" spans="2:8" x14ac:dyDescent="0.2">
      <c r="B4396" s="3">
        <v>44838</v>
      </c>
      <c r="G4396" s="2">
        <f t="shared" si="68"/>
        <v>0</v>
      </c>
      <c r="H4396" t="s">
        <v>35</v>
      </c>
    </row>
    <row r="4397" spans="2:8" x14ac:dyDescent="0.2">
      <c r="B4397" s="3">
        <v>44838</v>
      </c>
      <c r="G4397" s="2">
        <f t="shared" si="68"/>
        <v>0</v>
      </c>
      <c r="H4397" t="s">
        <v>25</v>
      </c>
    </row>
    <row r="4398" spans="2:8" x14ac:dyDescent="0.2">
      <c r="B4398" s="3">
        <v>44838</v>
      </c>
      <c r="G4398" s="2">
        <f t="shared" si="68"/>
        <v>0</v>
      </c>
      <c r="H4398" t="s">
        <v>9</v>
      </c>
    </row>
    <row r="4399" spans="2:8" x14ac:dyDescent="0.2">
      <c r="B4399" s="3">
        <v>44838</v>
      </c>
      <c r="G4399" s="2">
        <f t="shared" si="68"/>
        <v>0</v>
      </c>
      <c r="H4399" t="s">
        <v>32</v>
      </c>
    </row>
    <row r="4400" spans="2:8" x14ac:dyDescent="0.2">
      <c r="B4400" s="3">
        <v>44838</v>
      </c>
      <c r="G4400" s="2">
        <f t="shared" si="68"/>
        <v>0</v>
      </c>
      <c r="H4400" s="1"/>
    </row>
    <row r="4401" spans="2:8" x14ac:dyDescent="0.2">
      <c r="B4401" s="3">
        <v>44839</v>
      </c>
      <c r="D4401" s="28"/>
      <c r="F4401" s="1">
        <v>7000</v>
      </c>
      <c r="G4401" s="2">
        <f t="shared" si="68"/>
        <v>-7000</v>
      </c>
      <c r="H4401" t="s">
        <v>14</v>
      </c>
    </row>
    <row r="4402" spans="2:8" x14ac:dyDescent="0.2">
      <c r="B4402" s="3">
        <v>44839</v>
      </c>
      <c r="G4402" s="2">
        <f t="shared" si="68"/>
        <v>0</v>
      </c>
      <c r="H4402" t="s">
        <v>27</v>
      </c>
    </row>
    <row r="4403" spans="2:8" x14ac:dyDescent="0.2">
      <c r="B4403" s="3">
        <v>44839</v>
      </c>
      <c r="G4403" s="2">
        <f t="shared" si="68"/>
        <v>0</v>
      </c>
      <c r="H4403" t="s">
        <v>13</v>
      </c>
    </row>
    <row r="4404" spans="2:8" x14ac:dyDescent="0.2">
      <c r="B4404" s="3">
        <v>44839</v>
      </c>
      <c r="G4404" s="2">
        <f t="shared" si="68"/>
        <v>0</v>
      </c>
      <c r="H4404" t="s">
        <v>30</v>
      </c>
    </row>
    <row r="4405" spans="2:8" x14ac:dyDescent="0.2">
      <c r="B4405" s="3">
        <v>44839</v>
      </c>
      <c r="G4405" s="2">
        <f t="shared" si="68"/>
        <v>0</v>
      </c>
      <c r="H4405" t="s">
        <v>35</v>
      </c>
    </row>
    <row r="4406" spans="2:8" x14ac:dyDescent="0.2">
      <c r="B4406" s="3">
        <v>44839</v>
      </c>
      <c r="G4406" s="2">
        <f t="shared" si="68"/>
        <v>0</v>
      </c>
      <c r="H4406" t="s">
        <v>25</v>
      </c>
    </row>
    <row r="4407" spans="2:8" x14ac:dyDescent="0.2">
      <c r="B4407" s="3">
        <v>44839</v>
      </c>
      <c r="G4407" s="2">
        <f t="shared" si="68"/>
        <v>0</v>
      </c>
      <c r="H4407" t="s">
        <v>9</v>
      </c>
    </row>
    <row r="4408" spans="2:8" x14ac:dyDescent="0.2">
      <c r="B4408" s="3">
        <v>44839</v>
      </c>
      <c r="G4408" s="2">
        <f t="shared" si="68"/>
        <v>0</v>
      </c>
      <c r="H4408" t="s">
        <v>32</v>
      </c>
    </row>
    <row r="4409" spans="2:8" x14ac:dyDescent="0.2">
      <c r="B4409" s="3">
        <v>44839</v>
      </c>
      <c r="G4409" s="2">
        <f t="shared" si="68"/>
        <v>0</v>
      </c>
      <c r="H4409" s="1"/>
    </row>
    <row r="4410" spans="2:8" x14ac:dyDescent="0.2">
      <c r="B4410" s="3">
        <v>44840</v>
      </c>
      <c r="D4410" s="28"/>
      <c r="G4410" s="2">
        <f t="shared" si="68"/>
        <v>0</v>
      </c>
      <c r="H4410" t="s">
        <v>14</v>
      </c>
    </row>
    <row r="4411" spans="2:8" x14ac:dyDescent="0.2">
      <c r="B4411" s="3">
        <v>44840</v>
      </c>
      <c r="G4411" s="2">
        <f t="shared" si="68"/>
        <v>0</v>
      </c>
      <c r="H4411" t="s">
        <v>27</v>
      </c>
    </row>
    <row r="4412" spans="2:8" x14ac:dyDescent="0.2">
      <c r="B4412" s="3">
        <v>44840</v>
      </c>
      <c r="G4412" s="2">
        <f t="shared" si="68"/>
        <v>0</v>
      </c>
      <c r="H4412" t="s">
        <v>13</v>
      </c>
    </row>
    <row r="4413" spans="2:8" x14ac:dyDescent="0.2">
      <c r="B4413" s="3">
        <v>44840</v>
      </c>
      <c r="G4413" s="2">
        <f t="shared" si="68"/>
        <v>0</v>
      </c>
      <c r="H4413" t="s">
        <v>30</v>
      </c>
    </row>
    <row r="4414" spans="2:8" x14ac:dyDescent="0.2">
      <c r="B4414" s="3">
        <v>44840</v>
      </c>
      <c r="G4414" s="2">
        <f t="shared" si="68"/>
        <v>0</v>
      </c>
      <c r="H4414" t="s">
        <v>35</v>
      </c>
    </row>
    <row r="4415" spans="2:8" x14ac:dyDescent="0.2">
      <c r="B4415" s="3">
        <v>44840</v>
      </c>
      <c r="G4415" s="2">
        <f t="shared" si="68"/>
        <v>0</v>
      </c>
      <c r="H4415" t="s">
        <v>25</v>
      </c>
    </row>
    <row r="4416" spans="2:8" x14ac:dyDescent="0.2">
      <c r="B4416" s="3">
        <v>44840</v>
      </c>
      <c r="G4416" s="2">
        <f t="shared" si="68"/>
        <v>0</v>
      </c>
      <c r="H4416" t="s">
        <v>9</v>
      </c>
    </row>
    <row r="4417" spans="2:8" x14ac:dyDescent="0.2">
      <c r="B4417" s="3">
        <v>44840</v>
      </c>
      <c r="G4417" s="2">
        <f t="shared" si="68"/>
        <v>0</v>
      </c>
      <c r="H4417" t="s">
        <v>32</v>
      </c>
    </row>
    <row r="4418" spans="2:8" x14ac:dyDescent="0.2">
      <c r="B4418" s="3">
        <v>44840</v>
      </c>
      <c r="G4418" s="2">
        <f t="shared" si="68"/>
        <v>0</v>
      </c>
      <c r="H4418" s="1"/>
    </row>
    <row r="4419" spans="2:8" x14ac:dyDescent="0.2">
      <c r="B4419" s="3">
        <v>44841</v>
      </c>
      <c r="D4419" s="28"/>
      <c r="G4419" s="2">
        <f t="shared" ref="G4419:G4482" si="69">E4419-F4419</f>
        <v>0</v>
      </c>
      <c r="H4419" t="s">
        <v>14</v>
      </c>
    </row>
    <row r="4420" spans="2:8" x14ac:dyDescent="0.2">
      <c r="B4420" s="3">
        <v>44841</v>
      </c>
      <c r="G4420" s="2">
        <f t="shared" si="69"/>
        <v>0</v>
      </c>
      <c r="H4420" t="s">
        <v>27</v>
      </c>
    </row>
    <row r="4421" spans="2:8" x14ac:dyDescent="0.2">
      <c r="B4421" s="3">
        <v>44841</v>
      </c>
      <c r="G4421" s="2">
        <f t="shared" si="69"/>
        <v>0</v>
      </c>
      <c r="H4421" t="s">
        <v>13</v>
      </c>
    </row>
    <row r="4422" spans="2:8" x14ac:dyDescent="0.2">
      <c r="B4422" s="3">
        <v>44841</v>
      </c>
      <c r="G4422" s="2">
        <f t="shared" si="69"/>
        <v>0</v>
      </c>
      <c r="H4422" t="s">
        <v>30</v>
      </c>
    </row>
    <row r="4423" spans="2:8" x14ac:dyDescent="0.2">
      <c r="B4423" s="3">
        <v>44841</v>
      </c>
      <c r="G4423" s="2">
        <f t="shared" si="69"/>
        <v>0</v>
      </c>
      <c r="H4423" t="s">
        <v>35</v>
      </c>
    </row>
    <row r="4424" spans="2:8" x14ac:dyDescent="0.2">
      <c r="B4424" s="3">
        <v>44841</v>
      </c>
      <c r="G4424" s="2">
        <f t="shared" si="69"/>
        <v>0</v>
      </c>
      <c r="H4424" t="s">
        <v>25</v>
      </c>
    </row>
    <row r="4425" spans="2:8" x14ac:dyDescent="0.2">
      <c r="B4425" s="3">
        <v>44841</v>
      </c>
      <c r="G4425" s="2">
        <f t="shared" si="69"/>
        <v>0</v>
      </c>
      <c r="H4425" t="s">
        <v>9</v>
      </c>
    </row>
    <row r="4426" spans="2:8" x14ac:dyDescent="0.2">
      <c r="B4426" s="3">
        <v>44841</v>
      </c>
      <c r="G4426" s="2">
        <f t="shared" si="69"/>
        <v>0</v>
      </c>
      <c r="H4426" t="s">
        <v>32</v>
      </c>
    </row>
    <row r="4427" spans="2:8" x14ac:dyDescent="0.2">
      <c r="B4427" s="3">
        <v>44841</v>
      </c>
      <c r="G4427" s="2">
        <f t="shared" si="69"/>
        <v>0</v>
      </c>
      <c r="H4427" s="1"/>
    </row>
    <row r="4428" spans="2:8" x14ac:dyDescent="0.2">
      <c r="B4428" s="3">
        <v>44842</v>
      </c>
      <c r="D4428" s="28"/>
      <c r="G4428" s="2">
        <f t="shared" si="69"/>
        <v>0</v>
      </c>
      <c r="H4428" t="s">
        <v>14</v>
      </c>
    </row>
    <row r="4429" spans="2:8" x14ac:dyDescent="0.2">
      <c r="B4429" s="3">
        <v>44842</v>
      </c>
      <c r="F4429" s="1">
        <v>5000</v>
      </c>
      <c r="G4429" s="2">
        <f t="shared" si="69"/>
        <v>-5000</v>
      </c>
      <c r="H4429" t="s">
        <v>27</v>
      </c>
    </row>
    <row r="4430" spans="2:8" x14ac:dyDescent="0.2">
      <c r="B4430" s="3">
        <v>44842</v>
      </c>
      <c r="G4430" s="2">
        <f t="shared" si="69"/>
        <v>0</v>
      </c>
      <c r="H4430" t="s">
        <v>13</v>
      </c>
    </row>
    <row r="4431" spans="2:8" x14ac:dyDescent="0.2">
      <c r="B4431" s="3">
        <v>44842</v>
      </c>
      <c r="G4431" s="2">
        <f t="shared" si="69"/>
        <v>0</v>
      </c>
      <c r="H4431" t="s">
        <v>30</v>
      </c>
    </row>
    <row r="4432" spans="2:8" x14ac:dyDescent="0.2">
      <c r="B4432" s="3">
        <v>44842</v>
      </c>
      <c r="G4432" s="2">
        <f t="shared" si="69"/>
        <v>0</v>
      </c>
      <c r="H4432" t="s">
        <v>35</v>
      </c>
    </row>
    <row r="4433" spans="2:8" x14ac:dyDescent="0.2">
      <c r="B4433" s="3">
        <v>44842</v>
      </c>
      <c r="G4433" s="2">
        <f t="shared" si="69"/>
        <v>0</v>
      </c>
      <c r="H4433" t="s">
        <v>25</v>
      </c>
    </row>
    <row r="4434" spans="2:8" x14ac:dyDescent="0.2">
      <c r="B4434" s="3">
        <v>44842</v>
      </c>
      <c r="G4434" s="2">
        <f t="shared" si="69"/>
        <v>0</v>
      </c>
      <c r="H4434" t="s">
        <v>9</v>
      </c>
    </row>
    <row r="4435" spans="2:8" x14ac:dyDescent="0.2">
      <c r="B4435" s="3">
        <v>44842</v>
      </c>
      <c r="G4435" s="2">
        <f t="shared" si="69"/>
        <v>0</v>
      </c>
      <c r="H4435" t="s">
        <v>32</v>
      </c>
    </row>
    <row r="4436" spans="2:8" x14ac:dyDescent="0.2">
      <c r="B4436" s="3">
        <v>44842</v>
      </c>
      <c r="G4436" s="2">
        <f t="shared" si="69"/>
        <v>0</v>
      </c>
      <c r="H4436" s="1"/>
    </row>
    <row r="4437" spans="2:8" x14ac:dyDescent="0.2">
      <c r="B4437" s="3">
        <v>44843</v>
      </c>
      <c r="D4437" s="28"/>
      <c r="G4437" s="2">
        <f t="shared" si="69"/>
        <v>0</v>
      </c>
      <c r="H4437" t="s">
        <v>14</v>
      </c>
    </row>
    <row r="4438" spans="2:8" x14ac:dyDescent="0.2">
      <c r="B4438" s="3">
        <v>44843</v>
      </c>
      <c r="G4438" s="2">
        <f t="shared" si="69"/>
        <v>0</v>
      </c>
      <c r="H4438" t="s">
        <v>27</v>
      </c>
    </row>
    <row r="4439" spans="2:8" x14ac:dyDescent="0.2">
      <c r="B4439" s="3">
        <v>44843</v>
      </c>
      <c r="D4439" s="1">
        <v>4123</v>
      </c>
      <c r="E4439" s="1">
        <v>4580</v>
      </c>
      <c r="F4439" s="1">
        <v>6000</v>
      </c>
      <c r="G4439" s="2">
        <f t="shared" si="69"/>
        <v>-1420</v>
      </c>
      <c r="H4439" t="s">
        <v>13</v>
      </c>
    </row>
    <row r="4440" spans="2:8" x14ac:dyDescent="0.2">
      <c r="B4440" s="3">
        <v>44843</v>
      </c>
      <c r="D4440" s="1">
        <v>4265</v>
      </c>
      <c r="E4440" s="1">
        <v>5403.6</v>
      </c>
      <c r="G4440" s="2">
        <f t="shared" si="69"/>
        <v>5403.6</v>
      </c>
      <c r="H4440" t="s">
        <v>30</v>
      </c>
    </row>
    <row r="4441" spans="2:8" x14ac:dyDescent="0.2">
      <c r="B4441" s="3">
        <v>44843</v>
      </c>
      <c r="D4441" s="1">
        <v>908</v>
      </c>
      <c r="E4441" s="1">
        <v>1087.5</v>
      </c>
      <c r="G4441" s="2">
        <f t="shared" si="69"/>
        <v>1087.5</v>
      </c>
      <c r="H4441" t="s">
        <v>35</v>
      </c>
    </row>
    <row r="4442" spans="2:8" x14ac:dyDescent="0.2">
      <c r="B4442" s="3">
        <v>44843</v>
      </c>
      <c r="G4442" s="2">
        <f t="shared" si="69"/>
        <v>0</v>
      </c>
      <c r="H4442" t="s">
        <v>25</v>
      </c>
    </row>
    <row r="4443" spans="2:8" x14ac:dyDescent="0.2">
      <c r="B4443" s="3">
        <v>44843</v>
      </c>
      <c r="G4443" s="2">
        <f t="shared" si="69"/>
        <v>0</v>
      </c>
      <c r="H4443" t="s">
        <v>9</v>
      </c>
    </row>
    <row r="4444" spans="2:8" x14ac:dyDescent="0.2">
      <c r="B4444" s="3">
        <v>44843</v>
      </c>
      <c r="G4444" s="2">
        <f t="shared" si="69"/>
        <v>0</v>
      </c>
      <c r="H4444" t="s">
        <v>32</v>
      </c>
    </row>
    <row r="4445" spans="2:8" x14ac:dyDescent="0.2">
      <c r="B4445" s="3">
        <v>44843</v>
      </c>
      <c r="G4445" s="2">
        <f t="shared" si="69"/>
        <v>0</v>
      </c>
      <c r="H4445" s="1"/>
    </row>
    <row r="4446" spans="2:8" x14ac:dyDescent="0.2">
      <c r="B4446" s="3">
        <v>44844</v>
      </c>
      <c r="D4446" s="28"/>
      <c r="F4446" s="1">
        <v>5000</v>
      </c>
      <c r="G4446" s="2">
        <f t="shared" si="69"/>
        <v>-5000</v>
      </c>
      <c r="H4446" t="s">
        <v>14</v>
      </c>
    </row>
    <row r="4447" spans="2:8" x14ac:dyDescent="0.2">
      <c r="B4447" s="3">
        <v>44844</v>
      </c>
      <c r="G4447" s="2">
        <f t="shared" si="69"/>
        <v>0</v>
      </c>
      <c r="H4447" t="s">
        <v>27</v>
      </c>
    </row>
    <row r="4448" spans="2:8" x14ac:dyDescent="0.2">
      <c r="B4448" s="3">
        <v>44844</v>
      </c>
      <c r="G4448" s="2">
        <f t="shared" si="69"/>
        <v>0</v>
      </c>
      <c r="H4448" t="s">
        <v>13</v>
      </c>
    </row>
    <row r="4449" spans="2:8" x14ac:dyDescent="0.2">
      <c r="B4449" s="3">
        <v>44844</v>
      </c>
      <c r="G4449" s="2">
        <f t="shared" si="69"/>
        <v>0</v>
      </c>
      <c r="H4449" t="s">
        <v>30</v>
      </c>
    </row>
    <row r="4450" spans="2:8" x14ac:dyDescent="0.2">
      <c r="B4450" s="3">
        <v>44844</v>
      </c>
      <c r="G4450" s="2">
        <f t="shared" si="69"/>
        <v>0</v>
      </c>
      <c r="H4450" t="s">
        <v>35</v>
      </c>
    </row>
    <row r="4451" spans="2:8" x14ac:dyDescent="0.2">
      <c r="B4451" s="3">
        <v>44844</v>
      </c>
      <c r="G4451" s="2">
        <f t="shared" si="69"/>
        <v>0</v>
      </c>
      <c r="H4451" t="s">
        <v>25</v>
      </c>
    </row>
    <row r="4452" spans="2:8" x14ac:dyDescent="0.2">
      <c r="B4452" s="3">
        <v>44844</v>
      </c>
      <c r="G4452" s="2">
        <f t="shared" si="69"/>
        <v>0</v>
      </c>
      <c r="H4452" t="s">
        <v>9</v>
      </c>
    </row>
    <row r="4453" spans="2:8" x14ac:dyDescent="0.2">
      <c r="B4453" s="3">
        <v>44844</v>
      </c>
      <c r="G4453" s="2">
        <f t="shared" si="69"/>
        <v>0</v>
      </c>
      <c r="H4453" t="s">
        <v>32</v>
      </c>
    </row>
    <row r="4454" spans="2:8" x14ac:dyDescent="0.2">
      <c r="B4454" s="3">
        <v>44844</v>
      </c>
      <c r="D4454" s="1">
        <v>3500</v>
      </c>
      <c r="E4454" s="1">
        <v>3600</v>
      </c>
      <c r="F4454" s="1">
        <v>3600</v>
      </c>
      <c r="G4454" s="2">
        <f t="shared" si="69"/>
        <v>0</v>
      </c>
      <c r="H4454" t="s">
        <v>39</v>
      </c>
    </row>
    <row r="4455" spans="2:8" x14ac:dyDescent="0.2">
      <c r="B4455" s="3">
        <v>44845</v>
      </c>
      <c r="D4455" s="28">
        <f>3600</f>
        <v>3600</v>
      </c>
      <c r="E4455" s="1">
        <v>3900</v>
      </c>
      <c r="G4455" s="2">
        <f t="shared" si="69"/>
        <v>3900</v>
      </c>
      <c r="H4455" t="s">
        <v>14</v>
      </c>
    </row>
    <row r="4456" spans="2:8" x14ac:dyDescent="0.2">
      <c r="B4456" s="3">
        <v>44845</v>
      </c>
      <c r="G4456" s="2">
        <f t="shared" si="69"/>
        <v>0</v>
      </c>
      <c r="H4456" t="s">
        <v>27</v>
      </c>
    </row>
    <row r="4457" spans="2:8" x14ac:dyDescent="0.2">
      <c r="B4457" s="3">
        <v>44845</v>
      </c>
      <c r="D4457" s="1">
        <v>4694</v>
      </c>
      <c r="E4457" s="1">
        <v>5380</v>
      </c>
      <c r="G4457" s="2">
        <f t="shared" si="69"/>
        <v>5380</v>
      </c>
      <c r="H4457" t="s">
        <v>13</v>
      </c>
    </row>
    <row r="4458" spans="2:8" x14ac:dyDescent="0.2">
      <c r="B4458" s="3">
        <v>44845</v>
      </c>
      <c r="G4458" s="2">
        <f t="shared" si="69"/>
        <v>0</v>
      </c>
      <c r="H4458" t="s">
        <v>30</v>
      </c>
    </row>
    <row r="4459" spans="2:8" x14ac:dyDescent="0.2">
      <c r="B4459" s="3">
        <v>44845</v>
      </c>
      <c r="G4459" s="2">
        <f t="shared" si="69"/>
        <v>0</v>
      </c>
      <c r="H4459" t="s">
        <v>35</v>
      </c>
    </row>
    <row r="4460" spans="2:8" x14ac:dyDescent="0.2">
      <c r="B4460" s="3">
        <v>44845</v>
      </c>
      <c r="G4460" s="2">
        <f t="shared" si="69"/>
        <v>0</v>
      </c>
      <c r="H4460" t="s">
        <v>25</v>
      </c>
    </row>
    <row r="4461" spans="2:8" x14ac:dyDescent="0.2">
      <c r="B4461" s="3">
        <v>44845</v>
      </c>
      <c r="G4461" s="2">
        <f t="shared" si="69"/>
        <v>0</v>
      </c>
      <c r="H4461" t="s">
        <v>9</v>
      </c>
    </row>
    <row r="4462" spans="2:8" x14ac:dyDescent="0.2">
      <c r="B4462" s="3">
        <v>44845</v>
      </c>
      <c r="D4462" s="1">
        <v>1140</v>
      </c>
      <c r="E4462" s="1">
        <v>1260</v>
      </c>
      <c r="G4462" s="2">
        <f t="shared" si="69"/>
        <v>1260</v>
      </c>
      <c r="H4462" t="s">
        <v>32</v>
      </c>
    </row>
    <row r="4463" spans="2:8" x14ac:dyDescent="0.2">
      <c r="B4463" s="3">
        <v>44845</v>
      </c>
      <c r="D4463" s="1">
        <v>241</v>
      </c>
      <c r="E4463" s="1">
        <v>252</v>
      </c>
      <c r="F4463" s="1">
        <v>252</v>
      </c>
      <c r="G4463" s="2">
        <f t="shared" si="69"/>
        <v>0</v>
      </c>
      <c r="H4463" s="1"/>
    </row>
    <row r="4464" spans="2:8" x14ac:dyDescent="0.2">
      <c r="B4464" s="3">
        <v>44846</v>
      </c>
      <c r="D4464" s="28"/>
      <c r="G4464" s="2">
        <f t="shared" si="69"/>
        <v>0</v>
      </c>
      <c r="H4464" t="s">
        <v>14</v>
      </c>
    </row>
    <row r="4465" spans="2:8" x14ac:dyDescent="0.2">
      <c r="B4465" s="3">
        <v>44846</v>
      </c>
      <c r="G4465" s="2">
        <f t="shared" si="69"/>
        <v>0</v>
      </c>
      <c r="H4465" t="s">
        <v>27</v>
      </c>
    </row>
    <row r="4466" spans="2:8" x14ac:dyDescent="0.2">
      <c r="B4466" s="3">
        <v>44846</v>
      </c>
      <c r="G4466" s="2">
        <f t="shared" si="69"/>
        <v>0</v>
      </c>
      <c r="H4466" t="s">
        <v>13</v>
      </c>
    </row>
    <row r="4467" spans="2:8" x14ac:dyDescent="0.2">
      <c r="B4467" s="3">
        <v>44846</v>
      </c>
      <c r="G4467" s="2">
        <f t="shared" si="69"/>
        <v>0</v>
      </c>
      <c r="H4467" t="s">
        <v>30</v>
      </c>
    </row>
    <row r="4468" spans="2:8" x14ac:dyDescent="0.2">
      <c r="B4468" s="3">
        <v>44846</v>
      </c>
      <c r="G4468" s="2">
        <f t="shared" si="69"/>
        <v>0</v>
      </c>
      <c r="H4468" t="s">
        <v>35</v>
      </c>
    </row>
    <row r="4469" spans="2:8" x14ac:dyDescent="0.2">
      <c r="B4469" s="3">
        <v>44846</v>
      </c>
      <c r="G4469" s="2">
        <f t="shared" si="69"/>
        <v>0</v>
      </c>
      <c r="H4469" t="s">
        <v>25</v>
      </c>
    </row>
    <row r="4470" spans="2:8" x14ac:dyDescent="0.2">
      <c r="B4470" s="3">
        <v>44846</v>
      </c>
      <c r="G4470" s="2">
        <f t="shared" si="69"/>
        <v>0</v>
      </c>
      <c r="H4470" t="s">
        <v>9</v>
      </c>
    </row>
    <row r="4471" spans="2:8" x14ac:dyDescent="0.2">
      <c r="B4471" s="3">
        <v>44846</v>
      </c>
      <c r="G4471" s="2">
        <f t="shared" si="69"/>
        <v>0</v>
      </c>
      <c r="H4471" t="s">
        <v>32</v>
      </c>
    </row>
    <row r="4472" spans="2:8" x14ac:dyDescent="0.2">
      <c r="B4472" s="3">
        <v>44846</v>
      </c>
      <c r="G4472" s="2">
        <f t="shared" si="69"/>
        <v>0</v>
      </c>
      <c r="H4472" s="1"/>
    </row>
    <row r="4473" spans="2:8" x14ac:dyDescent="0.2">
      <c r="B4473" s="3">
        <v>44847</v>
      </c>
      <c r="D4473" s="28"/>
      <c r="G4473" s="2">
        <f t="shared" si="69"/>
        <v>0</v>
      </c>
      <c r="H4473" t="s">
        <v>14</v>
      </c>
    </row>
    <row r="4474" spans="2:8" x14ac:dyDescent="0.2">
      <c r="B4474" s="3">
        <v>44847</v>
      </c>
      <c r="G4474" s="2">
        <f t="shared" si="69"/>
        <v>0</v>
      </c>
      <c r="H4474" t="s">
        <v>27</v>
      </c>
    </row>
    <row r="4475" spans="2:8" x14ac:dyDescent="0.2">
      <c r="B4475" s="3">
        <v>44847</v>
      </c>
      <c r="F4475" s="1">
        <v>8000</v>
      </c>
      <c r="G4475" s="2">
        <f t="shared" si="69"/>
        <v>-8000</v>
      </c>
      <c r="H4475" t="s">
        <v>13</v>
      </c>
    </row>
    <row r="4476" spans="2:8" x14ac:dyDescent="0.2">
      <c r="B4476" s="3">
        <v>44847</v>
      </c>
      <c r="G4476" s="2">
        <f t="shared" si="69"/>
        <v>0</v>
      </c>
      <c r="H4476" t="s">
        <v>30</v>
      </c>
    </row>
    <row r="4477" spans="2:8" x14ac:dyDescent="0.2">
      <c r="B4477" s="3">
        <v>44847</v>
      </c>
      <c r="D4477" s="1">
        <v>232</v>
      </c>
      <c r="E4477" s="1">
        <v>280</v>
      </c>
      <c r="G4477" s="2">
        <f t="shared" si="69"/>
        <v>280</v>
      </c>
      <c r="H4477" t="s">
        <v>35</v>
      </c>
    </row>
    <row r="4478" spans="2:8" x14ac:dyDescent="0.2">
      <c r="B4478" s="3">
        <v>44847</v>
      </c>
      <c r="G4478" s="2">
        <f t="shared" si="69"/>
        <v>0</v>
      </c>
      <c r="H4478" t="s">
        <v>25</v>
      </c>
    </row>
    <row r="4479" spans="2:8" x14ac:dyDescent="0.2">
      <c r="B4479" s="3">
        <v>44847</v>
      </c>
      <c r="G4479" s="2">
        <f t="shared" si="69"/>
        <v>0</v>
      </c>
      <c r="H4479" t="s">
        <v>9</v>
      </c>
    </row>
    <row r="4480" spans="2:8" x14ac:dyDescent="0.2">
      <c r="B4480" s="3">
        <v>44847</v>
      </c>
      <c r="F4480" s="1">
        <v>1260</v>
      </c>
      <c r="G4480" s="2">
        <f t="shared" si="69"/>
        <v>-1260</v>
      </c>
      <c r="H4480" t="s">
        <v>32</v>
      </c>
    </row>
    <row r="4481" spans="2:8" x14ac:dyDescent="0.2">
      <c r="B4481" s="3">
        <v>44847</v>
      </c>
      <c r="G4481" s="2">
        <f t="shared" si="69"/>
        <v>0</v>
      </c>
      <c r="H4481" s="1"/>
    </row>
    <row r="4482" spans="2:8" x14ac:dyDescent="0.2">
      <c r="B4482" s="3">
        <v>44848</v>
      </c>
      <c r="D4482" s="28"/>
      <c r="G4482" s="2">
        <f t="shared" si="69"/>
        <v>0</v>
      </c>
      <c r="H4482" t="s">
        <v>14</v>
      </c>
    </row>
    <row r="4483" spans="2:8" x14ac:dyDescent="0.2">
      <c r="B4483" s="3">
        <v>44848</v>
      </c>
      <c r="G4483" s="2">
        <f t="shared" ref="G4483:G4546" si="70">E4483-F4483</f>
        <v>0</v>
      </c>
      <c r="H4483" t="s">
        <v>27</v>
      </c>
    </row>
    <row r="4484" spans="2:8" x14ac:dyDescent="0.2">
      <c r="B4484" s="3">
        <v>44848</v>
      </c>
      <c r="G4484" s="2">
        <f t="shared" si="70"/>
        <v>0</v>
      </c>
      <c r="H4484" t="s">
        <v>13</v>
      </c>
    </row>
    <row r="4485" spans="2:8" x14ac:dyDescent="0.2">
      <c r="B4485" s="3">
        <v>44848</v>
      </c>
      <c r="G4485" s="2">
        <f t="shared" si="70"/>
        <v>0</v>
      </c>
      <c r="H4485" t="s">
        <v>30</v>
      </c>
    </row>
    <row r="4486" spans="2:8" x14ac:dyDescent="0.2">
      <c r="B4486" s="3">
        <v>44848</v>
      </c>
      <c r="G4486" s="2">
        <f t="shared" si="70"/>
        <v>0</v>
      </c>
      <c r="H4486" t="s">
        <v>35</v>
      </c>
    </row>
    <row r="4487" spans="2:8" x14ac:dyDescent="0.2">
      <c r="B4487" s="3">
        <v>44848</v>
      </c>
      <c r="G4487" s="2">
        <f t="shared" si="70"/>
        <v>0</v>
      </c>
      <c r="H4487" t="s">
        <v>25</v>
      </c>
    </row>
    <row r="4488" spans="2:8" x14ac:dyDescent="0.2">
      <c r="B4488" s="3">
        <v>44848</v>
      </c>
      <c r="G4488" s="2">
        <f t="shared" si="70"/>
        <v>0</v>
      </c>
      <c r="H4488" t="s">
        <v>9</v>
      </c>
    </row>
    <row r="4489" spans="2:8" x14ac:dyDescent="0.2">
      <c r="B4489" s="3">
        <v>44848</v>
      </c>
      <c r="G4489" s="2">
        <f t="shared" si="70"/>
        <v>0</v>
      </c>
      <c r="H4489" t="s">
        <v>32</v>
      </c>
    </row>
    <row r="4490" spans="2:8" x14ac:dyDescent="0.2">
      <c r="B4490" s="3">
        <v>44848</v>
      </c>
      <c r="G4490" s="2">
        <f t="shared" si="70"/>
        <v>0</v>
      </c>
      <c r="H4490" s="1"/>
    </row>
    <row r="4491" spans="2:8" x14ac:dyDescent="0.2">
      <c r="B4491" s="3">
        <v>44849</v>
      </c>
      <c r="D4491" s="28"/>
      <c r="F4491" s="1">
        <v>7000</v>
      </c>
      <c r="G4491" s="2">
        <f t="shared" si="70"/>
        <v>-7000</v>
      </c>
      <c r="H4491" t="s">
        <v>14</v>
      </c>
    </row>
    <row r="4492" spans="2:8" x14ac:dyDescent="0.2">
      <c r="B4492" s="3">
        <v>44849</v>
      </c>
      <c r="F4492" s="1">
        <v>5000</v>
      </c>
      <c r="G4492" s="2">
        <f t="shared" si="70"/>
        <v>-5000</v>
      </c>
      <c r="H4492" t="s">
        <v>27</v>
      </c>
    </row>
    <row r="4493" spans="2:8" x14ac:dyDescent="0.2">
      <c r="B4493" s="3">
        <v>44849</v>
      </c>
      <c r="G4493" s="2">
        <f t="shared" si="70"/>
        <v>0</v>
      </c>
      <c r="H4493" t="s">
        <v>13</v>
      </c>
    </row>
    <row r="4494" spans="2:8" x14ac:dyDescent="0.2">
      <c r="B4494" s="3">
        <v>44849</v>
      </c>
      <c r="G4494" s="2">
        <f t="shared" si="70"/>
        <v>0</v>
      </c>
      <c r="H4494" t="s">
        <v>30</v>
      </c>
    </row>
    <row r="4495" spans="2:8" x14ac:dyDescent="0.2">
      <c r="B4495" s="3">
        <v>44849</v>
      </c>
      <c r="D4495" s="1">
        <v>150.75</v>
      </c>
      <c r="E4495" s="1">
        <v>170</v>
      </c>
      <c r="F4495" s="1">
        <v>1370</v>
      </c>
      <c r="G4495" s="2">
        <f t="shared" si="70"/>
        <v>-1200</v>
      </c>
      <c r="H4495" t="s">
        <v>35</v>
      </c>
    </row>
    <row r="4496" spans="2:8" x14ac:dyDescent="0.2">
      <c r="B4496" s="3">
        <v>44849</v>
      </c>
      <c r="G4496" s="2">
        <f t="shared" si="70"/>
        <v>0</v>
      </c>
      <c r="H4496" t="s">
        <v>25</v>
      </c>
    </row>
    <row r="4497" spans="2:8" x14ac:dyDescent="0.2">
      <c r="B4497" s="3">
        <v>44849</v>
      </c>
      <c r="G4497" s="2">
        <f t="shared" si="70"/>
        <v>0</v>
      </c>
      <c r="H4497" t="s">
        <v>9</v>
      </c>
    </row>
    <row r="4498" spans="2:8" x14ac:dyDescent="0.2">
      <c r="B4498" s="3">
        <v>44849</v>
      </c>
      <c r="G4498" s="2">
        <f t="shared" si="70"/>
        <v>0</v>
      </c>
      <c r="H4498" t="s">
        <v>32</v>
      </c>
    </row>
    <row r="4499" spans="2:8" x14ac:dyDescent="0.2">
      <c r="B4499" s="3">
        <v>44849</v>
      </c>
      <c r="F4499" s="1">
        <v>16500</v>
      </c>
      <c r="G4499" s="2">
        <f t="shared" si="70"/>
        <v>-16500</v>
      </c>
      <c r="H4499" s="1" t="s">
        <v>2</v>
      </c>
    </row>
    <row r="4500" spans="2:8" x14ac:dyDescent="0.2">
      <c r="B4500" s="3">
        <v>44850</v>
      </c>
      <c r="D4500" s="28"/>
      <c r="G4500" s="2">
        <f t="shared" si="70"/>
        <v>0</v>
      </c>
      <c r="H4500" t="s">
        <v>14</v>
      </c>
    </row>
    <row r="4501" spans="2:8" x14ac:dyDescent="0.2">
      <c r="B4501" s="3">
        <v>44850</v>
      </c>
      <c r="F4501" s="1">
        <v>800</v>
      </c>
      <c r="G4501" s="2">
        <f t="shared" si="70"/>
        <v>-800</v>
      </c>
      <c r="H4501" t="s">
        <v>27</v>
      </c>
    </row>
    <row r="4502" spans="2:8" x14ac:dyDescent="0.2">
      <c r="B4502" s="3">
        <v>44850</v>
      </c>
      <c r="G4502" s="2">
        <f t="shared" si="70"/>
        <v>0</v>
      </c>
      <c r="H4502" t="s">
        <v>13</v>
      </c>
    </row>
    <row r="4503" spans="2:8" x14ac:dyDescent="0.2">
      <c r="B4503" s="3">
        <v>44850</v>
      </c>
      <c r="G4503" s="2">
        <f t="shared" si="70"/>
        <v>0</v>
      </c>
      <c r="H4503" t="s">
        <v>30</v>
      </c>
    </row>
    <row r="4504" spans="2:8" x14ac:dyDescent="0.2">
      <c r="B4504" s="3">
        <v>44850</v>
      </c>
      <c r="G4504" s="2">
        <f t="shared" si="70"/>
        <v>0</v>
      </c>
      <c r="H4504" t="s">
        <v>35</v>
      </c>
    </row>
    <row r="4505" spans="2:8" x14ac:dyDescent="0.2">
      <c r="B4505" s="3">
        <v>44850</v>
      </c>
      <c r="G4505" s="2">
        <f t="shared" si="70"/>
        <v>0</v>
      </c>
      <c r="H4505" t="s">
        <v>25</v>
      </c>
    </row>
    <row r="4506" spans="2:8" x14ac:dyDescent="0.2">
      <c r="B4506" s="3">
        <v>44850</v>
      </c>
      <c r="G4506" s="2">
        <f t="shared" si="70"/>
        <v>0</v>
      </c>
      <c r="H4506" t="s">
        <v>9</v>
      </c>
    </row>
    <row r="4507" spans="2:8" x14ac:dyDescent="0.2">
      <c r="B4507" s="3">
        <v>44850</v>
      </c>
      <c r="G4507" s="2">
        <f t="shared" si="70"/>
        <v>0</v>
      </c>
      <c r="H4507" t="s">
        <v>32</v>
      </c>
    </row>
    <row r="4508" spans="2:8" x14ac:dyDescent="0.2">
      <c r="B4508" s="3">
        <v>44850</v>
      </c>
      <c r="G4508" s="2">
        <f t="shared" si="70"/>
        <v>0</v>
      </c>
      <c r="H4508" s="1"/>
    </row>
    <row r="4509" spans="2:8" x14ac:dyDescent="0.2">
      <c r="B4509" s="3">
        <v>44851</v>
      </c>
      <c r="D4509" s="28">
        <f>6128+850+960+240</f>
        <v>8178</v>
      </c>
      <c r="E4509" s="1">
        <v>9115</v>
      </c>
      <c r="G4509" s="2">
        <f t="shared" si="70"/>
        <v>9115</v>
      </c>
      <c r="H4509" t="s">
        <v>14</v>
      </c>
    </row>
    <row r="4510" spans="2:8" x14ac:dyDescent="0.2">
      <c r="B4510" s="3">
        <v>44851</v>
      </c>
      <c r="D4510" s="1">
        <v>850</v>
      </c>
      <c r="E4510" s="1">
        <v>950</v>
      </c>
      <c r="G4510" s="2">
        <f t="shared" si="70"/>
        <v>950</v>
      </c>
      <c r="H4510" t="s">
        <v>27</v>
      </c>
    </row>
    <row r="4511" spans="2:8" x14ac:dyDescent="0.2">
      <c r="B4511" s="3">
        <v>44851</v>
      </c>
      <c r="D4511" s="1">
        <v>4735</v>
      </c>
      <c r="E4511" s="1">
        <v>5325</v>
      </c>
      <c r="G4511" s="2">
        <f t="shared" si="70"/>
        <v>5325</v>
      </c>
      <c r="H4511" t="s">
        <v>13</v>
      </c>
    </row>
    <row r="4512" spans="2:8" x14ac:dyDescent="0.2">
      <c r="B4512" s="3">
        <v>44851</v>
      </c>
      <c r="G4512" s="2">
        <f t="shared" si="70"/>
        <v>0</v>
      </c>
      <c r="H4512" t="s">
        <v>30</v>
      </c>
    </row>
    <row r="4513" spans="2:8" x14ac:dyDescent="0.2">
      <c r="B4513" s="3">
        <v>44851</v>
      </c>
      <c r="D4513" s="1">
        <v>525.75</v>
      </c>
      <c r="E4513" s="1">
        <v>622.5</v>
      </c>
      <c r="G4513" s="2">
        <f t="shared" si="70"/>
        <v>622.5</v>
      </c>
      <c r="H4513" t="s">
        <v>35</v>
      </c>
    </row>
    <row r="4514" spans="2:8" x14ac:dyDescent="0.2">
      <c r="B4514" s="3">
        <v>44851</v>
      </c>
      <c r="F4514" s="1">
        <v>8210</v>
      </c>
      <c r="G4514" s="2">
        <f t="shared" si="70"/>
        <v>-8210</v>
      </c>
      <c r="H4514" t="s">
        <v>25</v>
      </c>
    </row>
    <row r="4515" spans="2:8" x14ac:dyDescent="0.2">
      <c r="B4515" s="3">
        <v>44851</v>
      </c>
      <c r="G4515" s="2">
        <f t="shared" si="70"/>
        <v>0</v>
      </c>
      <c r="H4515" t="s">
        <v>9</v>
      </c>
    </row>
    <row r="4516" spans="2:8" x14ac:dyDescent="0.2">
      <c r="B4516" s="3">
        <v>44851</v>
      </c>
      <c r="G4516" s="2">
        <f t="shared" si="70"/>
        <v>0</v>
      </c>
      <c r="H4516" t="s">
        <v>32</v>
      </c>
    </row>
    <row r="4517" spans="2:8" x14ac:dyDescent="0.2">
      <c r="B4517" s="3">
        <v>44851</v>
      </c>
      <c r="G4517" s="2">
        <f t="shared" si="70"/>
        <v>0</v>
      </c>
      <c r="H4517" s="1"/>
    </row>
    <row r="4518" spans="2:8" x14ac:dyDescent="0.2">
      <c r="B4518" s="3">
        <v>44852</v>
      </c>
      <c r="D4518" s="28"/>
      <c r="G4518" s="2">
        <f t="shared" si="70"/>
        <v>0</v>
      </c>
      <c r="H4518" t="s">
        <v>14</v>
      </c>
    </row>
    <row r="4519" spans="2:8" x14ac:dyDescent="0.2">
      <c r="B4519" s="3">
        <v>44852</v>
      </c>
      <c r="G4519" s="2">
        <f t="shared" si="70"/>
        <v>0</v>
      </c>
      <c r="H4519" t="s">
        <v>27</v>
      </c>
    </row>
    <row r="4520" spans="2:8" x14ac:dyDescent="0.2">
      <c r="B4520" s="3">
        <v>44852</v>
      </c>
      <c r="G4520" s="2">
        <f t="shared" si="70"/>
        <v>0</v>
      </c>
      <c r="H4520" t="s">
        <v>13</v>
      </c>
    </row>
    <row r="4521" spans="2:8" x14ac:dyDescent="0.2">
      <c r="B4521" s="3">
        <v>44852</v>
      </c>
      <c r="G4521" s="2">
        <f t="shared" si="70"/>
        <v>0</v>
      </c>
      <c r="H4521" t="s">
        <v>30</v>
      </c>
    </row>
    <row r="4522" spans="2:8" x14ac:dyDescent="0.2">
      <c r="B4522" s="3">
        <v>44852</v>
      </c>
      <c r="G4522" s="2">
        <f t="shared" si="70"/>
        <v>0</v>
      </c>
      <c r="H4522" t="s">
        <v>35</v>
      </c>
    </row>
    <row r="4523" spans="2:8" x14ac:dyDescent="0.2">
      <c r="B4523" s="3">
        <v>44852</v>
      </c>
      <c r="F4523" s="1">
        <v>2000</v>
      </c>
      <c r="G4523" s="2">
        <f t="shared" si="70"/>
        <v>-2000</v>
      </c>
      <c r="H4523" t="s">
        <v>25</v>
      </c>
    </row>
    <row r="4524" spans="2:8" x14ac:dyDescent="0.2">
      <c r="B4524" s="3">
        <v>44852</v>
      </c>
      <c r="G4524" s="2">
        <f t="shared" si="70"/>
        <v>0</v>
      </c>
      <c r="H4524" t="s">
        <v>9</v>
      </c>
    </row>
    <row r="4525" spans="2:8" x14ac:dyDescent="0.2">
      <c r="B4525" s="3">
        <v>44852</v>
      </c>
      <c r="G4525" s="2">
        <f t="shared" si="70"/>
        <v>0</v>
      </c>
      <c r="H4525" t="s">
        <v>32</v>
      </c>
    </row>
    <row r="4526" spans="2:8" x14ac:dyDescent="0.2">
      <c r="B4526" s="3">
        <v>44852</v>
      </c>
      <c r="G4526" s="2">
        <f t="shared" si="70"/>
        <v>0</v>
      </c>
      <c r="H4526" s="1"/>
    </row>
    <row r="4527" spans="2:8" x14ac:dyDescent="0.2">
      <c r="B4527" s="3">
        <v>44853</v>
      </c>
      <c r="D4527" s="28"/>
      <c r="F4527" s="1">
        <v>7000</v>
      </c>
      <c r="G4527" s="2">
        <f t="shared" si="70"/>
        <v>-7000</v>
      </c>
      <c r="H4527" t="s">
        <v>14</v>
      </c>
    </row>
    <row r="4528" spans="2:8" x14ac:dyDescent="0.2">
      <c r="B4528" s="3">
        <v>44853</v>
      </c>
      <c r="G4528" s="2">
        <f t="shared" si="70"/>
        <v>0</v>
      </c>
      <c r="H4528" t="s">
        <v>27</v>
      </c>
    </row>
    <row r="4529" spans="2:8" x14ac:dyDescent="0.2">
      <c r="B4529" s="3">
        <v>44853</v>
      </c>
      <c r="D4529" s="1">
        <v>4595</v>
      </c>
      <c r="E4529" s="1">
        <v>5144.5</v>
      </c>
      <c r="F4529" s="1">
        <v>3000</v>
      </c>
      <c r="G4529" s="2">
        <f t="shared" si="70"/>
        <v>2144.5</v>
      </c>
      <c r="H4529" t="s">
        <v>13</v>
      </c>
    </row>
    <row r="4530" spans="2:8" x14ac:dyDescent="0.2">
      <c r="B4530" s="3">
        <v>44853</v>
      </c>
      <c r="D4530" s="1">
        <v>6118.5</v>
      </c>
      <c r="E4530" s="1">
        <v>7847.76</v>
      </c>
      <c r="G4530" s="2">
        <f t="shared" si="70"/>
        <v>7847.76</v>
      </c>
      <c r="H4530" t="s">
        <v>30</v>
      </c>
    </row>
    <row r="4531" spans="2:8" x14ac:dyDescent="0.2">
      <c r="B4531" s="3">
        <v>44853</v>
      </c>
      <c r="G4531" s="2">
        <f t="shared" si="70"/>
        <v>0</v>
      </c>
      <c r="H4531" t="s">
        <v>35</v>
      </c>
    </row>
    <row r="4532" spans="2:8" x14ac:dyDescent="0.2">
      <c r="B4532" s="3">
        <v>44853</v>
      </c>
      <c r="G4532" s="2">
        <f t="shared" si="70"/>
        <v>0</v>
      </c>
      <c r="H4532" t="s">
        <v>25</v>
      </c>
    </row>
    <row r="4533" spans="2:8" x14ac:dyDescent="0.2">
      <c r="B4533" s="3">
        <v>44853</v>
      </c>
      <c r="G4533" s="2">
        <f t="shared" si="70"/>
        <v>0</v>
      </c>
      <c r="H4533" t="s">
        <v>9</v>
      </c>
    </row>
    <row r="4534" spans="2:8" x14ac:dyDescent="0.2">
      <c r="B4534" s="3">
        <v>44853</v>
      </c>
      <c r="G4534" s="2">
        <f t="shared" si="70"/>
        <v>0</v>
      </c>
      <c r="H4534" t="s">
        <v>32</v>
      </c>
    </row>
    <row r="4535" spans="2:8" x14ac:dyDescent="0.2">
      <c r="B4535" s="3">
        <v>44853</v>
      </c>
      <c r="G4535" s="2">
        <f t="shared" si="70"/>
        <v>0</v>
      </c>
      <c r="H4535" s="1"/>
    </row>
    <row r="4536" spans="2:8" x14ac:dyDescent="0.2">
      <c r="B4536" s="3">
        <v>44854</v>
      </c>
      <c r="D4536" s="28"/>
      <c r="G4536" s="2">
        <f t="shared" si="70"/>
        <v>0</v>
      </c>
      <c r="H4536" t="s">
        <v>14</v>
      </c>
    </row>
    <row r="4537" spans="2:8" x14ac:dyDescent="0.2">
      <c r="B4537" s="3">
        <v>44854</v>
      </c>
      <c r="F4537" s="1">
        <v>7000</v>
      </c>
      <c r="G4537" s="2">
        <f t="shared" si="70"/>
        <v>-7000</v>
      </c>
      <c r="H4537" t="s">
        <v>27</v>
      </c>
    </row>
    <row r="4538" spans="2:8" x14ac:dyDescent="0.2">
      <c r="B4538" s="3">
        <v>44854</v>
      </c>
      <c r="F4538" s="1">
        <v>3000</v>
      </c>
      <c r="G4538" s="2">
        <f t="shared" si="70"/>
        <v>-3000</v>
      </c>
      <c r="H4538" t="s">
        <v>13</v>
      </c>
    </row>
    <row r="4539" spans="2:8" x14ac:dyDescent="0.2">
      <c r="B4539" s="3">
        <v>44854</v>
      </c>
      <c r="F4539" s="1">
        <v>52953</v>
      </c>
      <c r="G4539" s="2">
        <f t="shared" si="70"/>
        <v>-52953</v>
      </c>
      <c r="H4539" t="s">
        <v>30</v>
      </c>
    </row>
    <row r="4540" spans="2:8" x14ac:dyDescent="0.2">
      <c r="B4540" s="3">
        <v>44854</v>
      </c>
      <c r="G4540" s="2">
        <f t="shared" si="70"/>
        <v>0</v>
      </c>
      <c r="H4540" t="s">
        <v>35</v>
      </c>
    </row>
    <row r="4541" spans="2:8" x14ac:dyDescent="0.2">
      <c r="B4541" s="3">
        <v>44854</v>
      </c>
      <c r="G4541" s="2">
        <f t="shared" si="70"/>
        <v>0</v>
      </c>
      <c r="H4541" t="s">
        <v>25</v>
      </c>
    </row>
    <row r="4542" spans="2:8" x14ac:dyDescent="0.2">
      <c r="B4542" s="3">
        <v>44854</v>
      </c>
      <c r="G4542" s="2">
        <f t="shared" si="70"/>
        <v>0</v>
      </c>
      <c r="H4542" t="s">
        <v>9</v>
      </c>
    </row>
    <row r="4543" spans="2:8" x14ac:dyDescent="0.2">
      <c r="B4543" s="3">
        <v>44854</v>
      </c>
      <c r="G4543" s="2">
        <f t="shared" si="70"/>
        <v>0</v>
      </c>
      <c r="H4543" t="s">
        <v>32</v>
      </c>
    </row>
    <row r="4544" spans="2:8" x14ac:dyDescent="0.2">
      <c r="B4544" s="3">
        <v>44854</v>
      </c>
      <c r="D4544" s="1">
        <v>3300</v>
      </c>
      <c r="E4544" s="1">
        <v>3800</v>
      </c>
      <c r="F4544" s="1">
        <v>3800</v>
      </c>
      <c r="G4544" s="2">
        <f t="shared" si="70"/>
        <v>0</v>
      </c>
      <c r="H4544" s="1" t="s">
        <v>39</v>
      </c>
    </row>
    <row r="4545" spans="2:8" x14ac:dyDescent="0.2">
      <c r="B4545" s="3">
        <v>44855</v>
      </c>
      <c r="D4545" s="28"/>
      <c r="G4545" s="2">
        <f t="shared" si="70"/>
        <v>0</v>
      </c>
      <c r="H4545" t="s">
        <v>14</v>
      </c>
    </row>
    <row r="4546" spans="2:8" x14ac:dyDescent="0.2">
      <c r="B4546" s="3">
        <v>44855</v>
      </c>
      <c r="G4546" s="2">
        <f t="shared" si="70"/>
        <v>0</v>
      </c>
      <c r="H4546" t="s">
        <v>27</v>
      </c>
    </row>
    <row r="4547" spans="2:8" x14ac:dyDescent="0.2">
      <c r="B4547" s="3">
        <v>44855</v>
      </c>
      <c r="G4547" s="2">
        <f t="shared" ref="G4547:G4610" si="71">E4547-F4547</f>
        <v>0</v>
      </c>
      <c r="H4547" t="s">
        <v>13</v>
      </c>
    </row>
    <row r="4548" spans="2:8" x14ac:dyDescent="0.2">
      <c r="B4548" s="3">
        <v>44855</v>
      </c>
      <c r="F4548" s="1">
        <v>529.53</v>
      </c>
      <c r="G4548" s="2">
        <f t="shared" si="71"/>
        <v>-529.53</v>
      </c>
      <c r="H4548" t="s">
        <v>30</v>
      </c>
    </row>
    <row r="4549" spans="2:8" x14ac:dyDescent="0.2">
      <c r="B4549" s="3">
        <v>44855</v>
      </c>
      <c r="G4549" s="2">
        <f t="shared" si="71"/>
        <v>0</v>
      </c>
      <c r="H4549" t="s">
        <v>35</v>
      </c>
    </row>
    <row r="4550" spans="2:8" x14ac:dyDescent="0.2">
      <c r="B4550" s="3">
        <v>44855</v>
      </c>
      <c r="G4550" s="2">
        <f t="shared" si="71"/>
        <v>0</v>
      </c>
      <c r="H4550" t="s">
        <v>25</v>
      </c>
    </row>
    <row r="4551" spans="2:8" x14ac:dyDescent="0.2">
      <c r="B4551" s="3">
        <v>44855</v>
      </c>
      <c r="G4551" s="2">
        <f t="shared" si="71"/>
        <v>0</v>
      </c>
      <c r="H4551" t="s">
        <v>9</v>
      </c>
    </row>
    <row r="4552" spans="2:8" x14ac:dyDescent="0.2">
      <c r="B4552" s="3">
        <v>44855</v>
      </c>
      <c r="G4552" s="2">
        <f t="shared" si="71"/>
        <v>0</v>
      </c>
      <c r="H4552" t="s">
        <v>32</v>
      </c>
    </row>
    <row r="4553" spans="2:8" x14ac:dyDescent="0.2">
      <c r="B4553" s="3">
        <v>44855</v>
      </c>
      <c r="G4553" s="2">
        <f t="shared" si="71"/>
        <v>0</v>
      </c>
      <c r="H4553" s="1"/>
    </row>
    <row r="4554" spans="2:8" x14ac:dyDescent="0.2">
      <c r="B4554" s="3">
        <v>44856</v>
      </c>
      <c r="D4554" s="28"/>
      <c r="G4554" s="2">
        <f t="shared" si="71"/>
        <v>0</v>
      </c>
      <c r="H4554" t="s">
        <v>14</v>
      </c>
    </row>
    <row r="4555" spans="2:8" x14ac:dyDescent="0.2">
      <c r="B4555" s="3">
        <v>44856</v>
      </c>
      <c r="G4555" s="2">
        <f t="shared" si="71"/>
        <v>0</v>
      </c>
      <c r="H4555" t="s">
        <v>27</v>
      </c>
    </row>
    <row r="4556" spans="2:8" x14ac:dyDescent="0.2">
      <c r="B4556" s="3">
        <v>44856</v>
      </c>
      <c r="G4556" s="2">
        <f t="shared" si="71"/>
        <v>0</v>
      </c>
      <c r="H4556" t="s">
        <v>13</v>
      </c>
    </row>
    <row r="4557" spans="2:8" x14ac:dyDescent="0.2">
      <c r="B4557" s="3">
        <v>44856</v>
      </c>
      <c r="G4557" s="2">
        <f t="shared" si="71"/>
        <v>0</v>
      </c>
      <c r="H4557" t="s">
        <v>30</v>
      </c>
    </row>
    <row r="4558" spans="2:8" x14ac:dyDescent="0.2">
      <c r="B4558" s="3">
        <v>44856</v>
      </c>
      <c r="D4558" s="1">
        <v>863</v>
      </c>
      <c r="E4558" s="1">
        <v>1050</v>
      </c>
      <c r="G4558" s="2">
        <f t="shared" si="71"/>
        <v>1050</v>
      </c>
      <c r="H4558" t="s">
        <v>35</v>
      </c>
    </row>
    <row r="4559" spans="2:8" x14ac:dyDescent="0.2">
      <c r="B4559" s="3">
        <v>44856</v>
      </c>
      <c r="G4559" s="2">
        <f t="shared" si="71"/>
        <v>0</v>
      </c>
      <c r="H4559" t="s">
        <v>25</v>
      </c>
    </row>
    <row r="4560" spans="2:8" x14ac:dyDescent="0.2">
      <c r="B4560" s="3">
        <v>44856</v>
      </c>
      <c r="G4560" s="2">
        <f t="shared" si="71"/>
        <v>0</v>
      </c>
      <c r="H4560" t="s">
        <v>9</v>
      </c>
    </row>
    <row r="4561" spans="2:8" x14ac:dyDescent="0.2">
      <c r="B4561" s="3">
        <v>44856</v>
      </c>
      <c r="G4561" s="2">
        <f t="shared" si="71"/>
        <v>0</v>
      </c>
      <c r="H4561" t="s">
        <v>32</v>
      </c>
    </row>
    <row r="4562" spans="2:8" x14ac:dyDescent="0.2">
      <c r="B4562" s="3">
        <v>44856</v>
      </c>
      <c r="G4562" s="2">
        <f t="shared" si="71"/>
        <v>0</v>
      </c>
      <c r="H4562" s="1"/>
    </row>
    <row r="4563" spans="2:8" x14ac:dyDescent="0.2">
      <c r="B4563" s="3">
        <v>44857</v>
      </c>
      <c r="D4563" s="28"/>
      <c r="F4563" s="1">
        <v>7000</v>
      </c>
      <c r="G4563" s="2">
        <f t="shared" si="71"/>
        <v>-7000</v>
      </c>
      <c r="H4563" t="s">
        <v>14</v>
      </c>
    </row>
    <row r="4564" spans="2:8" x14ac:dyDescent="0.2">
      <c r="B4564" s="3">
        <v>44857</v>
      </c>
      <c r="D4564" s="1">
        <v>15116</v>
      </c>
      <c r="E4564" s="1">
        <v>17044</v>
      </c>
      <c r="G4564" s="2">
        <f t="shared" si="71"/>
        <v>17044</v>
      </c>
      <c r="H4564" t="s">
        <v>27</v>
      </c>
    </row>
    <row r="4565" spans="2:8" x14ac:dyDescent="0.2">
      <c r="B4565" s="3">
        <v>44857</v>
      </c>
      <c r="G4565" s="2">
        <f t="shared" si="71"/>
        <v>0</v>
      </c>
      <c r="H4565" t="s">
        <v>13</v>
      </c>
    </row>
    <row r="4566" spans="2:8" x14ac:dyDescent="0.2">
      <c r="B4566" s="3">
        <v>44857</v>
      </c>
      <c r="D4566" s="1">
        <v>3675</v>
      </c>
      <c r="E4566" s="1">
        <v>4788</v>
      </c>
      <c r="G4566" s="2">
        <f t="shared" si="71"/>
        <v>4788</v>
      </c>
      <c r="H4566" t="s">
        <v>30</v>
      </c>
    </row>
    <row r="4567" spans="2:8" x14ac:dyDescent="0.2">
      <c r="B4567" s="3">
        <v>44857</v>
      </c>
      <c r="G4567" s="2">
        <f t="shared" si="71"/>
        <v>0</v>
      </c>
      <c r="H4567" t="s">
        <v>35</v>
      </c>
    </row>
    <row r="4568" spans="2:8" x14ac:dyDescent="0.2">
      <c r="B4568" s="3">
        <v>44857</v>
      </c>
      <c r="G4568" s="2">
        <f t="shared" si="71"/>
        <v>0</v>
      </c>
      <c r="H4568" t="s">
        <v>25</v>
      </c>
    </row>
    <row r="4569" spans="2:8" x14ac:dyDescent="0.2">
      <c r="B4569" s="3">
        <v>44857</v>
      </c>
      <c r="G4569" s="2">
        <f t="shared" si="71"/>
        <v>0</v>
      </c>
      <c r="H4569" t="s">
        <v>9</v>
      </c>
    </row>
    <row r="4570" spans="2:8" x14ac:dyDescent="0.2">
      <c r="B4570" s="3">
        <v>44857</v>
      </c>
      <c r="G4570" s="2">
        <f t="shared" si="71"/>
        <v>0</v>
      </c>
      <c r="H4570" t="s">
        <v>32</v>
      </c>
    </row>
    <row r="4571" spans="2:8" x14ac:dyDescent="0.2">
      <c r="B4571" s="3">
        <v>44857</v>
      </c>
      <c r="G4571" s="2">
        <f t="shared" si="71"/>
        <v>0</v>
      </c>
      <c r="H4571" s="1"/>
    </row>
    <row r="4572" spans="2:8" x14ac:dyDescent="0.2">
      <c r="B4572" s="3">
        <v>44858</v>
      </c>
      <c r="D4572" s="28"/>
      <c r="G4572" s="2">
        <f t="shared" si="71"/>
        <v>0</v>
      </c>
      <c r="H4572" t="s">
        <v>14</v>
      </c>
    </row>
    <row r="4573" spans="2:8" x14ac:dyDescent="0.2">
      <c r="B4573" s="3">
        <v>44858</v>
      </c>
      <c r="D4573" s="1">
        <v>3325</v>
      </c>
      <c r="E4573" s="1">
        <v>3985</v>
      </c>
      <c r="G4573" s="2">
        <f t="shared" si="71"/>
        <v>3985</v>
      </c>
      <c r="H4573" t="s">
        <v>27</v>
      </c>
    </row>
    <row r="4574" spans="2:8" x14ac:dyDescent="0.2">
      <c r="B4574" s="3">
        <v>44858</v>
      </c>
      <c r="F4574" s="1">
        <v>3000</v>
      </c>
      <c r="G4574" s="2">
        <f t="shared" si="71"/>
        <v>-3000</v>
      </c>
      <c r="H4574" t="s">
        <v>13</v>
      </c>
    </row>
    <row r="4575" spans="2:8" x14ac:dyDescent="0.2">
      <c r="B4575" s="3">
        <v>44858</v>
      </c>
      <c r="G4575" s="2">
        <f t="shared" si="71"/>
        <v>0</v>
      </c>
      <c r="H4575" t="s">
        <v>30</v>
      </c>
    </row>
    <row r="4576" spans="2:8" x14ac:dyDescent="0.2">
      <c r="B4576" s="3">
        <v>44858</v>
      </c>
      <c r="G4576" s="2">
        <f t="shared" si="71"/>
        <v>0</v>
      </c>
      <c r="H4576" t="s">
        <v>35</v>
      </c>
    </row>
    <row r="4577" spans="2:8" x14ac:dyDescent="0.2">
      <c r="B4577" s="3">
        <v>44858</v>
      </c>
      <c r="G4577" s="2">
        <f t="shared" si="71"/>
        <v>0</v>
      </c>
      <c r="H4577" t="s">
        <v>25</v>
      </c>
    </row>
    <row r="4578" spans="2:8" x14ac:dyDescent="0.2">
      <c r="B4578" s="3">
        <v>44858</v>
      </c>
      <c r="G4578" s="2">
        <f t="shared" si="71"/>
        <v>0</v>
      </c>
      <c r="H4578" t="s">
        <v>9</v>
      </c>
    </row>
    <row r="4579" spans="2:8" x14ac:dyDescent="0.2">
      <c r="B4579" s="3">
        <v>44858</v>
      </c>
      <c r="G4579" s="2">
        <f t="shared" si="71"/>
        <v>0</v>
      </c>
      <c r="H4579" t="s">
        <v>32</v>
      </c>
    </row>
    <row r="4580" spans="2:8" x14ac:dyDescent="0.2">
      <c r="B4580" s="3">
        <v>44858</v>
      </c>
      <c r="G4580" s="2">
        <f t="shared" si="71"/>
        <v>0</v>
      </c>
      <c r="H4580" s="1"/>
    </row>
    <row r="4581" spans="2:8" x14ac:dyDescent="0.2">
      <c r="B4581" s="3">
        <v>44859</v>
      </c>
      <c r="D4581" s="28"/>
      <c r="G4581" s="2">
        <f t="shared" si="71"/>
        <v>0</v>
      </c>
      <c r="H4581" t="s">
        <v>14</v>
      </c>
    </row>
    <row r="4582" spans="2:8" x14ac:dyDescent="0.2">
      <c r="B4582" s="3">
        <v>44859</v>
      </c>
      <c r="G4582" s="2">
        <f t="shared" si="71"/>
        <v>0</v>
      </c>
      <c r="H4582" t="s">
        <v>27</v>
      </c>
    </row>
    <row r="4583" spans="2:8" x14ac:dyDescent="0.2">
      <c r="B4583" s="3">
        <v>44859</v>
      </c>
      <c r="G4583" s="2">
        <f t="shared" si="71"/>
        <v>0</v>
      </c>
      <c r="H4583" t="s">
        <v>13</v>
      </c>
    </row>
    <row r="4584" spans="2:8" x14ac:dyDescent="0.2">
      <c r="B4584" s="3">
        <v>44859</v>
      </c>
      <c r="G4584" s="2">
        <f t="shared" si="71"/>
        <v>0</v>
      </c>
      <c r="H4584" t="s">
        <v>30</v>
      </c>
    </row>
    <row r="4585" spans="2:8" x14ac:dyDescent="0.2">
      <c r="B4585" s="3">
        <v>44859</v>
      </c>
      <c r="G4585" s="2">
        <f t="shared" si="71"/>
        <v>0</v>
      </c>
      <c r="H4585" t="s">
        <v>35</v>
      </c>
    </row>
    <row r="4586" spans="2:8" x14ac:dyDescent="0.2">
      <c r="B4586" s="3">
        <v>44859</v>
      </c>
      <c r="G4586" s="2">
        <f t="shared" si="71"/>
        <v>0</v>
      </c>
      <c r="H4586" t="s">
        <v>25</v>
      </c>
    </row>
    <row r="4587" spans="2:8" x14ac:dyDescent="0.2">
      <c r="B4587" s="3">
        <v>44859</v>
      </c>
      <c r="G4587" s="2">
        <f t="shared" si="71"/>
        <v>0</v>
      </c>
      <c r="H4587" t="s">
        <v>9</v>
      </c>
    </row>
    <row r="4588" spans="2:8" x14ac:dyDescent="0.2">
      <c r="B4588" s="3">
        <v>44859</v>
      </c>
      <c r="G4588" s="2">
        <f t="shared" si="71"/>
        <v>0</v>
      </c>
      <c r="H4588" t="s">
        <v>32</v>
      </c>
    </row>
    <row r="4589" spans="2:8" x14ac:dyDescent="0.2">
      <c r="B4589" s="3">
        <v>44859</v>
      </c>
      <c r="G4589" s="2">
        <f t="shared" si="71"/>
        <v>0</v>
      </c>
      <c r="H4589" s="1"/>
    </row>
    <row r="4590" spans="2:8" x14ac:dyDescent="0.2">
      <c r="B4590" s="3">
        <v>44860</v>
      </c>
      <c r="D4590" s="28">
        <f>50*212.5</f>
        <v>10625</v>
      </c>
      <c r="E4590" s="1">
        <v>12000</v>
      </c>
      <c r="G4590" s="2">
        <f t="shared" si="71"/>
        <v>12000</v>
      </c>
      <c r="H4590" t="s">
        <v>14</v>
      </c>
    </row>
    <row r="4591" spans="2:8" x14ac:dyDescent="0.2">
      <c r="B4591" s="3">
        <v>44860</v>
      </c>
      <c r="G4591" s="2">
        <f t="shared" si="71"/>
        <v>0</v>
      </c>
      <c r="H4591" t="s">
        <v>27</v>
      </c>
    </row>
    <row r="4592" spans="2:8" x14ac:dyDescent="0.2">
      <c r="B4592" s="3">
        <v>44860</v>
      </c>
      <c r="G4592" s="2">
        <f t="shared" si="71"/>
        <v>0</v>
      </c>
      <c r="H4592" t="s">
        <v>13</v>
      </c>
    </row>
    <row r="4593" spans="2:8" x14ac:dyDescent="0.2">
      <c r="B4593" s="3">
        <v>44860</v>
      </c>
      <c r="D4593" s="1">
        <v>4375</v>
      </c>
      <c r="E4593" s="1">
        <v>7113.6</v>
      </c>
      <c r="G4593" s="2">
        <f t="shared" si="71"/>
        <v>7113.6</v>
      </c>
      <c r="H4593" t="s">
        <v>30</v>
      </c>
    </row>
    <row r="4594" spans="2:8" x14ac:dyDescent="0.2">
      <c r="B4594" s="3">
        <v>44860</v>
      </c>
      <c r="G4594" s="2">
        <f t="shared" si="71"/>
        <v>0</v>
      </c>
      <c r="H4594" t="s">
        <v>35</v>
      </c>
    </row>
    <row r="4595" spans="2:8" x14ac:dyDescent="0.2">
      <c r="B4595" s="3">
        <v>44860</v>
      </c>
      <c r="G4595" s="2">
        <f t="shared" si="71"/>
        <v>0</v>
      </c>
      <c r="H4595" t="s">
        <v>25</v>
      </c>
    </row>
    <row r="4596" spans="2:8" x14ac:dyDescent="0.2">
      <c r="B4596" s="3">
        <v>44860</v>
      </c>
      <c r="G4596" s="2">
        <f t="shared" si="71"/>
        <v>0</v>
      </c>
      <c r="H4596" t="s">
        <v>9</v>
      </c>
    </row>
    <row r="4597" spans="2:8" x14ac:dyDescent="0.2">
      <c r="B4597" s="3">
        <v>44860</v>
      </c>
      <c r="G4597" s="2">
        <f t="shared" si="71"/>
        <v>0</v>
      </c>
      <c r="H4597" t="s">
        <v>32</v>
      </c>
    </row>
    <row r="4598" spans="2:8" x14ac:dyDescent="0.2">
      <c r="B4598" s="3">
        <v>44860</v>
      </c>
      <c r="G4598" s="2">
        <f t="shared" si="71"/>
        <v>0</v>
      </c>
      <c r="H4598" s="1"/>
    </row>
    <row r="4599" spans="2:8" x14ac:dyDescent="0.2">
      <c r="B4599" s="3">
        <v>44861</v>
      </c>
      <c r="D4599" s="28">
        <v>1080</v>
      </c>
      <c r="E4599" s="1">
        <v>1110</v>
      </c>
      <c r="G4599" s="2">
        <f t="shared" si="71"/>
        <v>1110</v>
      </c>
      <c r="H4599" t="s">
        <v>14</v>
      </c>
    </row>
    <row r="4600" spans="2:8" x14ac:dyDescent="0.2">
      <c r="B4600" s="3">
        <v>44861</v>
      </c>
      <c r="D4600" s="1">
        <v>325</v>
      </c>
      <c r="E4600" s="1">
        <v>450</v>
      </c>
      <c r="G4600" s="2">
        <f t="shared" si="71"/>
        <v>450</v>
      </c>
      <c r="H4600" t="s">
        <v>27</v>
      </c>
    </row>
    <row r="4601" spans="2:8" x14ac:dyDescent="0.2">
      <c r="B4601" s="3">
        <v>44861</v>
      </c>
      <c r="G4601" s="2">
        <f t="shared" si="71"/>
        <v>0</v>
      </c>
      <c r="H4601" t="s">
        <v>13</v>
      </c>
    </row>
    <row r="4602" spans="2:8" x14ac:dyDescent="0.2">
      <c r="B4602" s="3">
        <v>44861</v>
      </c>
      <c r="D4602" s="1">
        <v>595.5</v>
      </c>
      <c r="E4602" s="1">
        <v>752.4</v>
      </c>
      <c r="G4602" s="2">
        <f t="shared" si="71"/>
        <v>752.4</v>
      </c>
      <c r="H4602" t="s">
        <v>30</v>
      </c>
    </row>
    <row r="4603" spans="2:8" x14ac:dyDescent="0.2">
      <c r="B4603" s="3">
        <v>44861</v>
      </c>
      <c r="G4603" s="2">
        <f t="shared" si="71"/>
        <v>0</v>
      </c>
      <c r="H4603" t="s">
        <v>35</v>
      </c>
    </row>
    <row r="4604" spans="2:8" x14ac:dyDescent="0.2">
      <c r="B4604" s="3">
        <v>44861</v>
      </c>
      <c r="G4604" s="2">
        <f t="shared" si="71"/>
        <v>0</v>
      </c>
      <c r="H4604" t="s">
        <v>25</v>
      </c>
    </row>
    <row r="4605" spans="2:8" x14ac:dyDescent="0.2">
      <c r="B4605" s="3">
        <v>44861</v>
      </c>
      <c r="G4605" s="2">
        <f t="shared" si="71"/>
        <v>0</v>
      </c>
      <c r="H4605" t="s">
        <v>9</v>
      </c>
    </row>
    <row r="4606" spans="2:8" x14ac:dyDescent="0.2">
      <c r="B4606" s="3">
        <v>44861</v>
      </c>
      <c r="G4606" s="2">
        <f t="shared" si="71"/>
        <v>0</v>
      </c>
      <c r="H4606" t="s">
        <v>32</v>
      </c>
    </row>
    <row r="4607" spans="2:8" x14ac:dyDescent="0.2">
      <c r="B4607" s="3">
        <v>44861</v>
      </c>
      <c r="G4607" s="2">
        <f t="shared" si="71"/>
        <v>0</v>
      </c>
      <c r="H4607" s="1"/>
    </row>
    <row r="4608" spans="2:8" x14ac:dyDescent="0.2">
      <c r="B4608" s="3">
        <v>44862</v>
      </c>
      <c r="D4608" s="28"/>
      <c r="G4608" s="2">
        <f t="shared" si="71"/>
        <v>0</v>
      </c>
      <c r="H4608" t="s">
        <v>14</v>
      </c>
    </row>
    <row r="4609" spans="2:8" x14ac:dyDescent="0.2">
      <c r="B4609" s="3">
        <v>44862</v>
      </c>
      <c r="G4609" s="2">
        <f t="shared" si="71"/>
        <v>0</v>
      </c>
      <c r="H4609" t="s">
        <v>27</v>
      </c>
    </row>
    <row r="4610" spans="2:8" x14ac:dyDescent="0.2">
      <c r="B4610" s="3">
        <v>44862</v>
      </c>
      <c r="G4610" s="2">
        <f t="shared" si="71"/>
        <v>0</v>
      </c>
      <c r="H4610" t="s">
        <v>13</v>
      </c>
    </row>
    <row r="4611" spans="2:8" x14ac:dyDescent="0.2">
      <c r="B4611" s="3">
        <v>44862</v>
      </c>
      <c r="G4611" s="2">
        <f t="shared" ref="G4611:G4674" si="72">E4611-F4611</f>
        <v>0</v>
      </c>
      <c r="H4611" t="s">
        <v>30</v>
      </c>
    </row>
    <row r="4612" spans="2:8" x14ac:dyDescent="0.2">
      <c r="B4612" s="3">
        <v>44862</v>
      </c>
      <c r="G4612" s="2">
        <f t="shared" si="72"/>
        <v>0</v>
      </c>
      <c r="H4612" t="s">
        <v>35</v>
      </c>
    </row>
    <row r="4613" spans="2:8" x14ac:dyDescent="0.2">
      <c r="B4613" s="3">
        <v>44862</v>
      </c>
      <c r="G4613" s="2">
        <f t="shared" si="72"/>
        <v>0</v>
      </c>
      <c r="H4613" t="s">
        <v>25</v>
      </c>
    </row>
    <row r="4614" spans="2:8" x14ac:dyDescent="0.2">
      <c r="B4614" s="3">
        <v>44862</v>
      </c>
      <c r="G4614" s="2">
        <f t="shared" si="72"/>
        <v>0</v>
      </c>
      <c r="H4614" t="s">
        <v>9</v>
      </c>
    </row>
    <row r="4615" spans="2:8" x14ac:dyDescent="0.2">
      <c r="B4615" s="3">
        <v>44862</v>
      </c>
      <c r="G4615" s="2">
        <f t="shared" si="72"/>
        <v>0</v>
      </c>
      <c r="H4615" t="s">
        <v>32</v>
      </c>
    </row>
    <row r="4616" spans="2:8" x14ac:dyDescent="0.2">
      <c r="B4616" s="3">
        <v>44862</v>
      </c>
      <c r="D4616" s="1">
        <v>420</v>
      </c>
      <c r="E4616" s="1">
        <v>420</v>
      </c>
      <c r="F4616" s="1">
        <v>420</v>
      </c>
      <c r="G4616" s="2">
        <f t="shared" si="72"/>
        <v>0</v>
      </c>
      <c r="H4616" t="s">
        <v>39</v>
      </c>
    </row>
    <row r="4617" spans="2:8" x14ac:dyDescent="0.2">
      <c r="B4617" s="3">
        <v>44863</v>
      </c>
      <c r="D4617" s="28"/>
      <c r="F4617" s="1">
        <v>5000</v>
      </c>
      <c r="G4617" s="2">
        <f t="shared" si="72"/>
        <v>-5000</v>
      </c>
      <c r="H4617" t="s">
        <v>14</v>
      </c>
    </row>
    <row r="4618" spans="2:8" x14ac:dyDescent="0.2">
      <c r="B4618" s="3">
        <v>44863</v>
      </c>
      <c r="G4618" s="2">
        <f t="shared" si="72"/>
        <v>0</v>
      </c>
      <c r="H4618" t="s">
        <v>27</v>
      </c>
    </row>
    <row r="4619" spans="2:8" x14ac:dyDescent="0.2">
      <c r="B4619" s="3">
        <v>44863</v>
      </c>
      <c r="G4619" s="2">
        <f t="shared" si="72"/>
        <v>0</v>
      </c>
      <c r="H4619" t="s">
        <v>13</v>
      </c>
    </row>
    <row r="4620" spans="2:8" x14ac:dyDescent="0.2">
      <c r="B4620" s="3">
        <v>44863</v>
      </c>
      <c r="G4620" s="2">
        <f t="shared" si="72"/>
        <v>0</v>
      </c>
      <c r="H4620" t="s">
        <v>30</v>
      </c>
    </row>
    <row r="4621" spans="2:8" x14ac:dyDescent="0.2">
      <c r="B4621" s="3">
        <v>44863</v>
      </c>
      <c r="D4621" s="1">
        <v>864</v>
      </c>
      <c r="E4621" s="1">
        <v>1050</v>
      </c>
      <c r="G4621" s="2">
        <f t="shared" si="72"/>
        <v>1050</v>
      </c>
      <c r="H4621" t="s">
        <v>35</v>
      </c>
    </row>
    <row r="4622" spans="2:8" x14ac:dyDescent="0.2">
      <c r="B4622" s="3">
        <v>44863</v>
      </c>
      <c r="G4622" s="2">
        <f t="shared" si="72"/>
        <v>0</v>
      </c>
      <c r="H4622" t="s">
        <v>25</v>
      </c>
    </row>
    <row r="4623" spans="2:8" x14ac:dyDescent="0.2">
      <c r="B4623" s="3">
        <v>44863</v>
      </c>
      <c r="G4623" s="2">
        <f t="shared" si="72"/>
        <v>0</v>
      </c>
      <c r="H4623" t="s">
        <v>9</v>
      </c>
    </row>
    <row r="4624" spans="2:8" x14ac:dyDescent="0.2">
      <c r="B4624" s="3">
        <v>44863</v>
      </c>
      <c r="G4624" s="2">
        <f t="shared" si="72"/>
        <v>0</v>
      </c>
      <c r="H4624" t="s">
        <v>32</v>
      </c>
    </row>
    <row r="4625" spans="2:8" x14ac:dyDescent="0.2">
      <c r="B4625" s="3">
        <v>44863</v>
      </c>
      <c r="G4625" s="2">
        <f t="shared" si="72"/>
        <v>0</v>
      </c>
      <c r="H4625" s="1"/>
    </row>
    <row r="4626" spans="2:8" x14ac:dyDescent="0.2">
      <c r="B4626" s="3">
        <v>44864</v>
      </c>
      <c r="D4626" s="28"/>
      <c r="G4626" s="2">
        <f t="shared" si="72"/>
        <v>0</v>
      </c>
      <c r="H4626" t="s">
        <v>14</v>
      </c>
    </row>
    <row r="4627" spans="2:8" x14ac:dyDescent="0.2">
      <c r="B4627" s="3">
        <v>44864</v>
      </c>
      <c r="F4627" s="1">
        <v>5000</v>
      </c>
      <c r="G4627" s="2">
        <f t="shared" si="72"/>
        <v>-5000</v>
      </c>
      <c r="H4627" t="s">
        <v>27</v>
      </c>
    </row>
    <row r="4628" spans="2:8" x14ac:dyDescent="0.2">
      <c r="B4628" s="3">
        <v>44864</v>
      </c>
      <c r="G4628" s="2">
        <f t="shared" si="72"/>
        <v>0</v>
      </c>
      <c r="H4628" t="s">
        <v>13</v>
      </c>
    </row>
    <row r="4629" spans="2:8" x14ac:dyDescent="0.2">
      <c r="B4629" s="3">
        <v>44864</v>
      </c>
      <c r="G4629" s="2">
        <f t="shared" si="72"/>
        <v>0</v>
      </c>
      <c r="H4629" t="s">
        <v>30</v>
      </c>
    </row>
    <row r="4630" spans="2:8" x14ac:dyDescent="0.2">
      <c r="B4630" s="3">
        <v>44864</v>
      </c>
      <c r="G4630" s="2">
        <f t="shared" si="72"/>
        <v>0</v>
      </c>
      <c r="H4630" t="s">
        <v>35</v>
      </c>
    </row>
    <row r="4631" spans="2:8" x14ac:dyDescent="0.2">
      <c r="B4631" s="3">
        <v>44864</v>
      </c>
      <c r="G4631" s="2">
        <f t="shared" si="72"/>
        <v>0</v>
      </c>
      <c r="H4631" t="s">
        <v>25</v>
      </c>
    </row>
    <row r="4632" spans="2:8" x14ac:dyDescent="0.2">
      <c r="B4632" s="3">
        <v>44864</v>
      </c>
      <c r="G4632" s="2">
        <f t="shared" si="72"/>
        <v>0</v>
      </c>
      <c r="H4632" t="s">
        <v>9</v>
      </c>
    </row>
    <row r="4633" spans="2:8" x14ac:dyDescent="0.2">
      <c r="B4633" s="3">
        <v>44864</v>
      </c>
      <c r="G4633" s="2">
        <f t="shared" si="72"/>
        <v>0</v>
      </c>
      <c r="H4633" t="s">
        <v>32</v>
      </c>
    </row>
    <row r="4634" spans="2:8" x14ac:dyDescent="0.2">
      <c r="B4634" s="3">
        <v>44864</v>
      </c>
      <c r="G4634" s="2">
        <f t="shared" si="72"/>
        <v>0</v>
      </c>
      <c r="H4634" s="1"/>
    </row>
    <row r="4635" spans="2:8" x14ac:dyDescent="0.2">
      <c r="B4635" s="3">
        <v>44865</v>
      </c>
      <c r="D4635" s="28"/>
      <c r="G4635" s="2">
        <f t="shared" si="72"/>
        <v>0</v>
      </c>
      <c r="H4635" t="s">
        <v>14</v>
      </c>
    </row>
    <row r="4636" spans="2:8" x14ac:dyDescent="0.2">
      <c r="B4636" s="3">
        <v>44865</v>
      </c>
      <c r="G4636" s="2">
        <f t="shared" si="72"/>
        <v>0</v>
      </c>
      <c r="H4636" t="s">
        <v>27</v>
      </c>
    </row>
    <row r="4637" spans="2:8" x14ac:dyDescent="0.2">
      <c r="B4637" s="3">
        <v>44865</v>
      </c>
      <c r="D4637" s="1">
        <v>3354</v>
      </c>
      <c r="E4637" s="1">
        <v>4022</v>
      </c>
      <c r="G4637" s="2">
        <f t="shared" si="72"/>
        <v>4022</v>
      </c>
      <c r="H4637" t="s">
        <v>13</v>
      </c>
    </row>
    <row r="4638" spans="2:8" x14ac:dyDescent="0.2">
      <c r="B4638" s="3">
        <v>44865</v>
      </c>
      <c r="G4638" s="2">
        <f t="shared" si="72"/>
        <v>0</v>
      </c>
      <c r="H4638" t="s">
        <v>30</v>
      </c>
    </row>
    <row r="4639" spans="2:8" x14ac:dyDescent="0.2">
      <c r="B4639" s="3">
        <v>44865</v>
      </c>
      <c r="G4639" s="2">
        <f t="shared" si="72"/>
        <v>0</v>
      </c>
      <c r="H4639" t="s">
        <v>35</v>
      </c>
    </row>
    <row r="4640" spans="2:8" x14ac:dyDescent="0.2">
      <c r="B4640" s="3">
        <v>44865</v>
      </c>
      <c r="G4640" s="2">
        <f t="shared" si="72"/>
        <v>0</v>
      </c>
      <c r="H4640" t="s">
        <v>25</v>
      </c>
    </row>
    <row r="4641" spans="2:8" x14ac:dyDescent="0.2">
      <c r="B4641" s="3">
        <v>44865</v>
      </c>
      <c r="G4641" s="2">
        <f t="shared" si="72"/>
        <v>0</v>
      </c>
      <c r="H4641" t="s">
        <v>9</v>
      </c>
    </row>
    <row r="4642" spans="2:8" x14ac:dyDescent="0.2">
      <c r="B4642" s="3">
        <v>44865</v>
      </c>
      <c r="G4642" s="2">
        <f t="shared" si="72"/>
        <v>0</v>
      </c>
      <c r="H4642" t="s">
        <v>32</v>
      </c>
    </row>
    <row r="4643" spans="2:8" x14ac:dyDescent="0.2">
      <c r="B4643" s="3">
        <v>44865</v>
      </c>
      <c r="G4643" s="2">
        <f t="shared" si="72"/>
        <v>0</v>
      </c>
      <c r="H4643" s="1"/>
    </row>
    <row r="4644" spans="2:8" x14ac:dyDescent="0.2">
      <c r="B4644" s="3">
        <v>44866</v>
      </c>
      <c r="D4644" s="28"/>
      <c r="F4644" s="1">
        <v>35000</v>
      </c>
      <c r="G4644" s="2">
        <f t="shared" si="72"/>
        <v>-35000</v>
      </c>
      <c r="H4644" t="s">
        <v>14</v>
      </c>
    </row>
    <row r="4645" spans="2:8" x14ac:dyDescent="0.2">
      <c r="B4645" s="3">
        <v>44866</v>
      </c>
      <c r="G4645" s="2">
        <f t="shared" si="72"/>
        <v>0</v>
      </c>
      <c r="H4645" t="s">
        <v>27</v>
      </c>
    </row>
    <row r="4646" spans="2:8" x14ac:dyDescent="0.2">
      <c r="B4646" s="3">
        <v>44866</v>
      </c>
      <c r="G4646" s="2">
        <f t="shared" si="72"/>
        <v>0</v>
      </c>
      <c r="H4646" t="s">
        <v>13</v>
      </c>
    </row>
    <row r="4647" spans="2:8" x14ac:dyDescent="0.2">
      <c r="B4647" s="3">
        <v>44866</v>
      </c>
      <c r="G4647" s="2">
        <f t="shared" si="72"/>
        <v>0</v>
      </c>
      <c r="H4647" t="s">
        <v>30</v>
      </c>
    </row>
    <row r="4648" spans="2:8" x14ac:dyDescent="0.2">
      <c r="B4648" s="3">
        <v>44866</v>
      </c>
      <c r="G4648" s="2">
        <f t="shared" si="72"/>
        <v>0</v>
      </c>
      <c r="H4648" t="s">
        <v>35</v>
      </c>
    </row>
    <row r="4649" spans="2:8" x14ac:dyDescent="0.2">
      <c r="B4649" s="3">
        <v>44866</v>
      </c>
      <c r="G4649" s="2">
        <f t="shared" si="72"/>
        <v>0</v>
      </c>
      <c r="H4649" t="s">
        <v>25</v>
      </c>
    </row>
    <row r="4650" spans="2:8" x14ac:dyDescent="0.2">
      <c r="B4650" s="3">
        <v>44866</v>
      </c>
      <c r="G4650" s="2">
        <f t="shared" si="72"/>
        <v>0</v>
      </c>
      <c r="H4650" t="s">
        <v>9</v>
      </c>
    </row>
    <row r="4651" spans="2:8" x14ac:dyDescent="0.2">
      <c r="B4651" s="3">
        <v>44866</v>
      </c>
      <c r="G4651" s="2">
        <f t="shared" si="72"/>
        <v>0</v>
      </c>
      <c r="H4651" t="s">
        <v>32</v>
      </c>
    </row>
    <row r="4652" spans="2:8" x14ac:dyDescent="0.2">
      <c r="B4652" s="3">
        <v>44866</v>
      </c>
      <c r="G4652" s="2">
        <f t="shared" si="72"/>
        <v>0</v>
      </c>
      <c r="H4652" s="1"/>
    </row>
    <row r="4653" spans="2:8" x14ac:dyDescent="0.2">
      <c r="B4653" s="3">
        <v>44867</v>
      </c>
      <c r="D4653" s="28"/>
      <c r="G4653" s="2">
        <f t="shared" si="72"/>
        <v>0</v>
      </c>
      <c r="H4653" t="s">
        <v>14</v>
      </c>
    </row>
    <row r="4654" spans="2:8" x14ac:dyDescent="0.2">
      <c r="B4654" s="3">
        <v>44867</v>
      </c>
      <c r="G4654" s="2">
        <f t="shared" si="72"/>
        <v>0</v>
      </c>
      <c r="H4654" t="s">
        <v>27</v>
      </c>
    </row>
    <row r="4655" spans="2:8" x14ac:dyDescent="0.2">
      <c r="B4655" s="3">
        <v>44867</v>
      </c>
      <c r="G4655" s="2">
        <f t="shared" si="72"/>
        <v>0</v>
      </c>
      <c r="H4655" t="s">
        <v>13</v>
      </c>
    </row>
    <row r="4656" spans="2:8" x14ac:dyDescent="0.2">
      <c r="B4656" s="3">
        <v>44867</v>
      </c>
      <c r="G4656" s="2">
        <f t="shared" si="72"/>
        <v>0</v>
      </c>
      <c r="H4656" t="s">
        <v>30</v>
      </c>
    </row>
    <row r="4657" spans="2:8" x14ac:dyDescent="0.2">
      <c r="B4657" s="3">
        <v>44867</v>
      </c>
      <c r="G4657" s="2">
        <f t="shared" si="72"/>
        <v>0</v>
      </c>
      <c r="H4657" t="s">
        <v>35</v>
      </c>
    </row>
    <row r="4658" spans="2:8" x14ac:dyDescent="0.2">
      <c r="B4658" s="3">
        <v>44867</v>
      </c>
      <c r="G4658" s="2">
        <f t="shared" si="72"/>
        <v>0</v>
      </c>
      <c r="H4658" t="s">
        <v>25</v>
      </c>
    </row>
    <row r="4659" spans="2:8" x14ac:dyDescent="0.2">
      <c r="B4659" s="3">
        <v>44867</v>
      </c>
      <c r="G4659" s="2">
        <f t="shared" si="72"/>
        <v>0</v>
      </c>
      <c r="H4659" t="s">
        <v>9</v>
      </c>
    </row>
    <row r="4660" spans="2:8" x14ac:dyDescent="0.2">
      <c r="B4660" s="3">
        <v>44867</v>
      </c>
      <c r="G4660" s="2">
        <f t="shared" si="72"/>
        <v>0</v>
      </c>
      <c r="H4660" t="s">
        <v>32</v>
      </c>
    </row>
    <row r="4661" spans="2:8" x14ac:dyDescent="0.2">
      <c r="B4661" s="3">
        <v>44867</v>
      </c>
      <c r="G4661" s="2">
        <f t="shared" si="72"/>
        <v>0</v>
      </c>
      <c r="H4661" s="1"/>
    </row>
    <row r="4662" spans="2:8" x14ac:dyDescent="0.2">
      <c r="B4662" s="3">
        <v>44868</v>
      </c>
      <c r="D4662" s="28"/>
      <c r="G4662" s="2">
        <f t="shared" si="72"/>
        <v>0</v>
      </c>
      <c r="H4662" t="s">
        <v>14</v>
      </c>
    </row>
    <row r="4663" spans="2:8" x14ac:dyDescent="0.2">
      <c r="B4663" s="3">
        <v>44868</v>
      </c>
      <c r="D4663" s="1">
        <v>360</v>
      </c>
      <c r="E4663" s="1">
        <v>420</v>
      </c>
      <c r="G4663" s="2">
        <f t="shared" si="72"/>
        <v>420</v>
      </c>
      <c r="H4663" t="s">
        <v>27</v>
      </c>
    </row>
    <row r="4664" spans="2:8" x14ac:dyDescent="0.2">
      <c r="B4664" s="3">
        <v>44868</v>
      </c>
      <c r="D4664" s="1">
        <v>1717.5</v>
      </c>
      <c r="E4664" s="1">
        <v>1930</v>
      </c>
      <c r="F4664" s="1">
        <v>3000</v>
      </c>
      <c r="G4664" s="2">
        <f t="shared" si="72"/>
        <v>-1070</v>
      </c>
      <c r="H4664" t="s">
        <v>13</v>
      </c>
    </row>
    <row r="4665" spans="2:8" x14ac:dyDescent="0.2">
      <c r="B4665" s="3">
        <v>44868</v>
      </c>
      <c r="D4665" s="1">
        <v>4980</v>
      </c>
      <c r="E4665" s="1">
        <v>8640</v>
      </c>
      <c r="G4665" s="2">
        <f t="shared" si="72"/>
        <v>8640</v>
      </c>
      <c r="H4665" t="s">
        <v>30</v>
      </c>
    </row>
    <row r="4666" spans="2:8" x14ac:dyDescent="0.2">
      <c r="B4666" s="3">
        <v>44868</v>
      </c>
      <c r="G4666" s="2">
        <f t="shared" si="72"/>
        <v>0</v>
      </c>
      <c r="H4666" t="s">
        <v>35</v>
      </c>
    </row>
    <row r="4667" spans="2:8" x14ac:dyDescent="0.2">
      <c r="B4667" s="3">
        <v>44868</v>
      </c>
      <c r="G4667" s="2">
        <f t="shared" si="72"/>
        <v>0</v>
      </c>
      <c r="H4667" t="s">
        <v>25</v>
      </c>
    </row>
    <row r="4668" spans="2:8" x14ac:dyDescent="0.2">
      <c r="B4668" s="3">
        <v>44868</v>
      </c>
      <c r="G4668" s="2">
        <f t="shared" si="72"/>
        <v>0</v>
      </c>
      <c r="H4668" t="s">
        <v>9</v>
      </c>
    </row>
    <row r="4669" spans="2:8" x14ac:dyDescent="0.2">
      <c r="B4669" s="3">
        <v>44868</v>
      </c>
      <c r="G4669" s="2">
        <f t="shared" si="72"/>
        <v>0</v>
      </c>
      <c r="H4669" t="s">
        <v>32</v>
      </c>
    </row>
    <row r="4670" spans="2:8" x14ac:dyDescent="0.2">
      <c r="B4670" s="3">
        <v>44868</v>
      </c>
      <c r="D4670" s="1">
        <v>250</v>
      </c>
      <c r="E4670" s="1">
        <v>300</v>
      </c>
      <c r="G4670" s="2">
        <f t="shared" si="72"/>
        <v>300</v>
      </c>
      <c r="H4670" t="s">
        <v>39</v>
      </c>
    </row>
    <row r="4671" spans="2:8" x14ac:dyDescent="0.2">
      <c r="B4671" s="3">
        <v>44869</v>
      </c>
      <c r="D4671" s="28"/>
      <c r="G4671" s="2">
        <f t="shared" si="72"/>
        <v>0</v>
      </c>
      <c r="H4671" t="s">
        <v>14</v>
      </c>
    </row>
    <row r="4672" spans="2:8" x14ac:dyDescent="0.2">
      <c r="B4672" s="3">
        <v>44869</v>
      </c>
      <c r="G4672" s="2">
        <f t="shared" si="72"/>
        <v>0</v>
      </c>
      <c r="H4672" t="s">
        <v>27</v>
      </c>
    </row>
    <row r="4673" spans="2:8" x14ac:dyDescent="0.2">
      <c r="B4673" s="3">
        <v>44869</v>
      </c>
      <c r="G4673" s="2">
        <f t="shared" si="72"/>
        <v>0</v>
      </c>
      <c r="H4673" t="s">
        <v>13</v>
      </c>
    </row>
    <row r="4674" spans="2:8" x14ac:dyDescent="0.2">
      <c r="B4674" s="3">
        <v>44869</v>
      </c>
      <c r="G4674" s="2">
        <f t="shared" si="72"/>
        <v>0</v>
      </c>
      <c r="H4674" t="s">
        <v>30</v>
      </c>
    </row>
    <row r="4675" spans="2:8" x14ac:dyDescent="0.2">
      <c r="B4675" s="3">
        <v>44869</v>
      </c>
      <c r="G4675" s="2">
        <f t="shared" ref="G4675:G4738" si="73">E4675-F4675</f>
        <v>0</v>
      </c>
      <c r="H4675" t="s">
        <v>35</v>
      </c>
    </row>
    <row r="4676" spans="2:8" x14ac:dyDescent="0.2">
      <c r="B4676" s="3">
        <v>44869</v>
      </c>
      <c r="G4676" s="2">
        <f t="shared" si="73"/>
        <v>0</v>
      </c>
      <c r="H4676" t="s">
        <v>25</v>
      </c>
    </row>
    <row r="4677" spans="2:8" x14ac:dyDescent="0.2">
      <c r="B4677" s="3">
        <v>44869</v>
      </c>
      <c r="G4677" s="2">
        <f t="shared" si="73"/>
        <v>0</v>
      </c>
      <c r="H4677" t="s">
        <v>9</v>
      </c>
    </row>
    <row r="4678" spans="2:8" x14ac:dyDescent="0.2">
      <c r="B4678" s="3">
        <v>44869</v>
      </c>
      <c r="G4678" s="2">
        <f t="shared" si="73"/>
        <v>0</v>
      </c>
      <c r="H4678" t="s">
        <v>32</v>
      </c>
    </row>
    <row r="4679" spans="2:8" x14ac:dyDescent="0.2">
      <c r="B4679" s="3">
        <v>44869</v>
      </c>
      <c r="G4679" s="2">
        <f t="shared" si="73"/>
        <v>0</v>
      </c>
      <c r="H4679" s="1"/>
    </row>
    <row r="4680" spans="2:8" x14ac:dyDescent="0.2">
      <c r="B4680" s="3">
        <v>44870</v>
      </c>
      <c r="D4680" s="28"/>
      <c r="G4680" s="2">
        <f t="shared" si="73"/>
        <v>0</v>
      </c>
      <c r="H4680" t="s">
        <v>14</v>
      </c>
    </row>
    <row r="4681" spans="2:8" x14ac:dyDescent="0.2">
      <c r="B4681" s="3">
        <v>44870</v>
      </c>
      <c r="G4681" s="2">
        <f t="shared" si="73"/>
        <v>0</v>
      </c>
      <c r="H4681" t="s">
        <v>27</v>
      </c>
    </row>
    <row r="4682" spans="2:8" x14ac:dyDescent="0.2">
      <c r="B4682" s="3">
        <v>44870</v>
      </c>
      <c r="G4682" s="2">
        <f t="shared" si="73"/>
        <v>0</v>
      </c>
      <c r="H4682" t="s">
        <v>13</v>
      </c>
    </row>
    <row r="4683" spans="2:8" x14ac:dyDescent="0.2">
      <c r="B4683" s="3">
        <v>44870</v>
      </c>
      <c r="G4683" s="2">
        <f t="shared" si="73"/>
        <v>0</v>
      </c>
      <c r="H4683" t="s">
        <v>30</v>
      </c>
    </row>
    <row r="4684" spans="2:8" x14ac:dyDescent="0.2">
      <c r="B4684" s="3">
        <v>44870</v>
      </c>
      <c r="F4684" s="1">
        <v>1000</v>
      </c>
      <c r="G4684" s="2">
        <f t="shared" si="73"/>
        <v>-1000</v>
      </c>
      <c r="H4684" t="s">
        <v>35</v>
      </c>
    </row>
    <row r="4685" spans="2:8" x14ac:dyDescent="0.2">
      <c r="B4685" s="3">
        <v>44870</v>
      </c>
      <c r="G4685" s="2">
        <f t="shared" si="73"/>
        <v>0</v>
      </c>
      <c r="H4685" t="s">
        <v>25</v>
      </c>
    </row>
    <row r="4686" spans="2:8" x14ac:dyDescent="0.2">
      <c r="B4686" s="3">
        <v>44870</v>
      </c>
      <c r="G4686" s="2">
        <f t="shared" si="73"/>
        <v>0</v>
      </c>
      <c r="H4686" t="s">
        <v>9</v>
      </c>
    </row>
    <row r="4687" spans="2:8" x14ac:dyDescent="0.2">
      <c r="B4687" s="3">
        <v>44870</v>
      </c>
      <c r="G4687" s="2">
        <f t="shared" si="73"/>
        <v>0</v>
      </c>
      <c r="H4687" t="s">
        <v>32</v>
      </c>
    </row>
    <row r="4688" spans="2:8" x14ac:dyDescent="0.2">
      <c r="B4688" s="3">
        <v>44870</v>
      </c>
      <c r="G4688" s="2">
        <f t="shared" si="73"/>
        <v>0</v>
      </c>
      <c r="H4688" s="1"/>
    </row>
    <row r="4689" spans="2:8" x14ac:dyDescent="0.2">
      <c r="B4689" s="3">
        <v>44871</v>
      </c>
      <c r="D4689" s="28"/>
      <c r="G4689" s="2">
        <f t="shared" si="73"/>
        <v>0</v>
      </c>
      <c r="H4689" t="s">
        <v>14</v>
      </c>
    </row>
    <row r="4690" spans="2:8" x14ac:dyDescent="0.2">
      <c r="B4690" s="3">
        <v>44871</v>
      </c>
      <c r="G4690" s="2">
        <f t="shared" si="73"/>
        <v>0</v>
      </c>
      <c r="H4690" t="s">
        <v>27</v>
      </c>
    </row>
    <row r="4691" spans="2:8" x14ac:dyDescent="0.2">
      <c r="B4691" s="3">
        <v>44871</v>
      </c>
      <c r="G4691" s="2">
        <f t="shared" si="73"/>
        <v>0</v>
      </c>
      <c r="H4691" t="s">
        <v>13</v>
      </c>
    </row>
    <row r="4692" spans="2:8" x14ac:dyDescent="0.2">
      <c r="B4692" s="3">
        <v>44871</v>
      </c>
      <c r="G4692" s="2">
        <f t="shared" si="73"/>
        <v>0</v>
      </c>
      <c r="H4692" t="s">
        <v>30</v>
      </c>
    </row>
    <row r="4693" spans="2:8" x14ac:dyDescent="0.2">
      <c r="B4693" s="3">
        <v>44871</v>
      </c>
      <c r="G4693" s="2">
        <f t="shared" si="73"/>
        <v>0</v>
      </c>
      <c r="H4693" t="s">
        <v>35</v>
      </c>
    </row>
    <row r="4694" spans="2:8" x14ac:dyDescent="0.2">
      <c r="B4694" s="3">
        <v>44871</v>
      </c>
      <c r="G4694" s="2">
        <f t="shared" si="73"/>
        <v>0</v>
      </c>
      <c r="H4694" t="s">
        <v>25</v>
      </c>
    </row>
    <row r="4695" spans="2:8" x14ac:dyDescent="0.2">
      <c r="B4695" s="3">
        <v>44871</v>
      </c>
      <c r="D4695" s="1">
        <v>15550</v>
      </c>
      <c r="E4695" s="1">
        <v>18500</v>
      </c>
      <c r="G4695" s="2">
        <f t="shared" si="73"/>
        <v>18500</v>
      </c>
      <c r="H4695" t="s">
        <v>9</v>
      </c>
    </row>
    <row r="4696" spans="2:8" x14ac:dyDescent="0.2">
      <c r="B4696" s="3">
        <v>44871</v>
      </c>
      <c r="G4696" s="2">
        <f t="shared" si="73"/>
        <v>0</v>
      </c>
      <c r="H4696" t="s">
        <v>32</v>
      </c>
    </row>
    <row r="4697" spans="2:8" x14ac:dyDescent="0.2">
      <c r="B4697" s="3">
        <v>44871</v>
      </c>
      <c r="G4697" s="2">
        <f t="shared" si="73"/>
        <v>0</v>
      </c>
      <c r="H4697" s="1"/>
    </row>
    <row r="4698" spans="2:8" x14ac:dyDescent="0.2">
      <c r="B4698" s="3">
        <v>44872</v>
      </c>
      <c r="D4698" s="28"/>
      <c r="G4698" s="2">
        <f t="shared" si="73"/>
        <v>0</v>
      </c>
      <c r="H4698" t="s">
        <v>14</v>
      </c>
    </row>
    <row r="4699" spans="2:8" x14ac:dyDescent="0.2">
      <c r="B4699" s="3">
        <v>44872</v>
      </c>
      <c r="G4699" s="2">
        <f t="shared" si="73"/>
        <v>0</v>
      </c>
      <c r="H4699" t="s">
        <v>27</v>
      </c>
    </row>
    <row r="4700" spans="2:8" x14ac:dyDescent="0.2">
      <c r="B4700" s="3">
        <v>44872</v>
      </c>
      <c r="G4700" s="2">
        <f t="shared" si="73"/>
        <v>0</v>
      </c>
      <c r="H4700" t="s">
        <v>13</v>
      </c>
    </row>
    <row r="4701" spans="2:8" x14ac:dyDescent="0.2">
      <c r="B4701" s="3">
        <v>44872</v>
      </c>
      <c r="G4701" s="2">
        <f t="shared" si="73"/>
        <v>0</v>
      </c>
      <c r="H4701" t="s">
        <v>30</v>
      </c>
    </row>
    <row r="4702" spans="2:8" x14ac:dyDescent="0.2">
      <c r="B4702" s="3">
        <v>44872</v>
      </c>
      <c r="G4702" s="2">
        <f t="shared" si="73"/>
        <v>0</v>
      </c>
      <c r="H4702" t="s">
        <v>35</v>
      </c>
    </row>
    <row r="4703" spans="2:8" x14ac:dyDescent="0.2">
      <c r="B4703" s="3">
        <v>44872</v>
      </c>
      <c r="G4703" s="2">
        <f t="shared" si="73"/>
        <v>0</v>
      </c>
      <c r="H4703" t="s">
        <v>25</v>
      </c>
    </row>
    <row r="4704" spans="2:8" x14ac:dyDescent="0.2">
      <c r="B4704" s="3">
        <v>44872</v>
      </c>
      <c r="G4704" s="2">
        <f t="shared" si="73"/>
        <v>0</v>
      </c>
      <c r="H4704" t="s">
        <v>9</v>
      </c>
    </row>
    <row r="4705" spans="2:8" x14ac:dyDescent="0.2">
      <c r="B4705" s="3">
        <v>44872</v>
      </c>
      <c r="G4705" s="2">
        <f t="shared" si="73"/>
        <v>0</v>
      </c>
      <c r="H4705" t="s">
        <v>32</v>
      </c>
    </row>
    <row r="4706" spans="2:8" x14ac:dyDescent="0.2">
      <c r="B4706" s="3">
        <v>44872</v>
      </c>
      <c r="G4706" s="2">
        <f t="shared" si="73"/>
        <v>0</v>
      </c>
      <c r="H4706" s="1"/>
    </row>
    <row r="4707" spans="2:8" x14ac:dyDescent="0.2">
      <c r="B4707" s="3">
        <v>44873</v>
      </c>
      <c r="D4707" s="28">
        <f>5040+9450+16500+4500+13920</f>
        <v>49410</v>
      </c>
      <c r="E4707" s="1">
        <f>5400+10350+18500+4875+15360</f>
        <v>54485</v>
      </c>
      <c r="G4707" s="2">
        <f t="shared" si="73"/>
        <v>54485</v>
      </c>
      <c r="H4707" t="s">
        <v>14</v>
      </c>
    </row>
    <row r="4708" spans="2:8" x14ac:dyDescent="0.2">
      <c r="B4708" s="3">
        <v>44873</v>
      </c>
      <c r="F4708" s="1">
        <v>5000</v>
      </c>
      <c r="G4708" s="2">
        <f t="shared" si="73"/>
        <v>-5000</v>
      </c>
      <c r="H4708" t="s">
        <v>27</v>
      </c>
    </row>
    <row r="4709" spans="2:8" x14ac:dyDescent="0.2">
      <c r="B4709" s="3">
        <v>44873</v>
      </c>
      <c r="G4709" s="2">
        <f t="shared" si="73"/>
        <v>0</v>
      </c>
      <c r="H4709" t="s">
        <v>13</v>
      </c>
    </row>
    <row r="4710" spans="2:8" x14ac:dyDescent="0.2">
      <c r="B4710" s="3">
        <v>44873</v>
      </c>
      <c r="G4710" s="2">
        <f t="shared" si="73"/>
        <v>0</v>
      </c>
      <c r="H4710" t="s">
        <v>30</v>
      </c>
    </row>
    <row r="4711" spans="2:8" x14ac:dyDescent="0.2">
      <c r="B4711" s="3">
        <v>44873</v>
      </c>
      <c r="D4711" s="1">
        <v>546</v>
      </c>
      <c r="E4711" s="1">
        <v>660</v>
      </c>
      <c r="G4711" s="2">
        <f t="shared" si="73"/>
        <v>660</v>
      </c>
      <c r="H4711" t="s">
        <v>35</v>
      </c>
    </row>
    <row r="4712" spans="2:8" x14ac:dyDescent="0.2">
      <c r="B4712" s="3">
        <v>44873</v>
      </c>
      <c r="G4712" s="2">
        <f t="shared" si="73"/>
        <v>0</v>
      </c>
      <c r="H4712" t="s">
        <v>25</v>
      </c>
    </row>
    <row r="4713" spans="2:8" x14ac:dyDescent="0.2">
      <c r="B4713" s="3">
        <v>44873</v>
      </c>
      <c r="G4713" s="2">
        <f t="shared" si="73"/>
        <v>0</v>
      </c>
      <c r="H4713" t="s">
        <v>9</v>
      </c>
    </row>
    <row r="4714" spans="2:8" x14ac:dyDescent="0.2">
      <c r="B4714" s="3">
        <v>44873</v>
      </c>
      <c r="G4714" s="2">
        <f t="shared" si="73"/>
        <v>0</v>
      </c>
      <c r="H4714" t="s">
        <v>32</v>
      </c>
    </row>
    <row r="4715" spans="2:8" x14ac:dyDescent="0.2">
      <c r="B4715" s="3">
        <v>44873</v>
      </c>
      <c r="G4715" s="2">
        <f t="shared" si="73"/>
        <v>0</v>
      </c>
      <c r="H4715" s="1"/>
    </row>
    <row r="4716" spans="2:8" x14ac:dyDescent="0.2">
      <c r="B4716" s="3">
        <v>44874</v>
      </c>
      <c r="D4716" s="28"/>
      <c r="F4716" s="32">
        <v>4875</v>
      </c>
      <c r="G4716" s="2">
        <f t="shared" si="73"/>
        <v>-4875</v>
      </c>
      <c r="H4716" t="s">
        <v>14</v>
      </c>
    </row>
    <row r="4717" spans="2:8" x14ac:dyDescent="0.2">
      <c r="B4717" s="3">
        <v>44874</v>
      </c>
      <c r="G4717" s="2">
        <f t="shared" si="73"/>
        <v>0</v>
      </c>
      <c r="H4717" t="s">
        <v>27</v>
      </c>
    </row>
    <row r="4718" spans="2:8" x14ac:dyDescent="0.2">
      <c r="B4718" s="3">
        <v>44874</v>
      </c>
      <c r="G4718" s="2">
        <f t="shared" si="73"/>
        <v>0</v>
      </c>
      <c r="H4718" t="s">
        <v>13</v>
      </c>
    </row>
    <row r="4719" spans="2:8" x14ac:dyDescent="0.2">
      <c r="B4719" s="3">
        <v>44874</v>
      </c>
      <c r="G4719" s="2">
        <f t="shared" si="73"/>
        <v>0</v>
      </c>
      <c r="H4719" t="s">
        <v>30</v>
      </c>
    </row>
    <row r="4720" spans="2:8" x14ac:dyDescent="0.2">
      <c r="B4720" s="3">
        <v>44874</v>
      </c>
      <c r="G4720" s="2">
        <f t="shared" si="73"/>
        <v>0</v>
      </c>
      <c r="H4720" t="s">
        <v>35</v>
      </c>
    </row>
    <row r="4721" spans="2:8" x14ac:dyDescent="0.2">
      <c r="B4721" s="3">
        <v>44874</v>
      </c>
      <c r="G4721" s="2">
        <f t="shared" si="73"/>
        <v>0</v>
      </c>
      <c r="H4721" t="s">
        <v>25</v>
      </c>
    </row>
    <row r="4722" spans="2:8" x14ac:dyDescent="0.2">
      <c r="B4722" s="3">
        <v>44874</v>
      </c>
      <c r="G4722" s="2">
        <f t="shared" si="73"/>
        <v>0</v>
      </c>
      <c r="H4722" t="s">
        <v>9</v>
      </c>
    </row>
    <row r="4723" spans="2:8" x14ac:dyDescent="0.2">
      <c r="B4723" s="3">
        <v>44874</v>
      </c>
      <c r="G4723" s="2">
        <f t="shared" si="73"/>
        <v>0</v>
      </c>
      <c r="H4723" t="s">
        <v>32</v>
      </c>
    </row>
    <row r="4724" spans="2:8" x14ac:dyDescent="0.2">
      <c r="B4724" s="3">
        <v>44874</v>
      </c>
      <c r="D4724" s="1">
        <v>8872.5</v>
      </c>
      <c r="E4724" s="1">
        <v>9215</v>
      </c>
      <c r="F4724" s="1">
        <v>9215</v>
      </c>
      <c r="G4724" s="2">
        <f t="shared" si="73"/>
        <v>0</v>
      </c>
      <c r="H4724" t="s">
        <v>39</v>
      </c>
    </row>
    <row r="4725" spans="2:8" x14ac:dyDescent="0.2">
      <c r="B4725" s="3">
        <v>44875</v>
      </c>
      <c r="D4725" s="28"/>
      <c r="G4725" s="2">
        <f t="shared" si="73"/>
        <v>0</v>
      </c>
      <c r="H4725" t="s">
        <v>14</v>
      </c>
    </row>
    <row r="4726" spans="2:8" x14ac:dyDescent="0.2">
      <c r="B4726" s="3">
        <v>44875</v>
      </c>
      <c r="F4726" s="1">
        <v>5000</v>
      </c>
      <c r="G4726" s="2">
        <f t="shared" si="73"/>
        <v>-5000</v>
      </c>
      <c r="H4726" t="s">
        <v>27</v>
      </c>
    </row>
    <row r="4727" spans="2:8" x14ac:dyDescent="0.2">
      <c r="B4727" s="3">
        <v>44875</v>
      </c>
      <c r="D4727" s="1">
        <v>2130</v>
      </c>
      <c r="E4727" s="1">
        <v>2400</v>
      </c>
      <c r="G4727" s="2">
        <f t="shared" si="73"/>
        <v>2400</v>
      </c>
      <c r="H4727" t="s">
        <v>13</v>
      </c>
    </row>
    <row r="4728" spans="2:8" x14ac:dyDescent="0.2">
      <c r="B4728" s="3">
        <v>44875</v>
      </c>
      <c r="G4728" s="2">
        <f t="shared" si="73"/>
        <v>0</v>
      </c>
      <c r="H4728" t="s">
        <v>30</v>
      </c>
    </row>
    <row r="4729" spans="2:8" x14ac:dyDescent="0.2">
      <c r="B4729" s="3">
        <v>44875</v>
      </c>
      <c r="G4729" s="2">
        <f t="shared" si="73"/>
        <v>0</v>
      </c>
      <c r="H4729" t="s">
        <v>35</v>
      </c>
    </row>
    <row r="4730" spans="2:8" x14ac:dyDescent="0.2">
      <c r="B4730" s="3">
        <v>44875</v>
      </c>
      <c r="G4730" s="2">
        <f t="shared" si="73"/>
        <v>0</v>
      </c>
      <c r="H4730" t="s">
        <v>25</v>
      </c>
    </row>
    <row r="4731" spans="2:8" x14ac:dyDescent="0.2">
      <c r="B4731" s="3">
        <v>44875</v>
      </c>
      <c r="G4731" s="2">
        <f t="shared" si="73"/>
        <v>0</v>
      </c>
      <c r="H4731" t="s">
        <v>9</v>
      </c>
    </row>
    <row r="4732" spans="2:8" x14ac:dyDescent="0.2">
      <c r="B4732" s="3">
        <v>44875</v>
      </c>
      <c r="G4732" s="2">
        <f t="shared" si="73"/>
        <v>0</v>
      </c>
      <c r="H4732" t="s">
        <v>32</v>
      </c>
    </row>
    <row r="4733" spans="2:8" x14ac:dyDescent="0.2">
      <c r="B4733" s="3">
        <v>44875</v>
      </c>
      <c r="G4733" s="2">
        <f t="shared" si="73"/>
        <v>0</v>
      </c>
      <c r="H4733" s="1"/>
    </row>
    <row r="4734" spans="2:8" x14ac:dyDescent="0.2">
      <c r="B4734" s="3">
        <v>44876</v>
      </c>
      <c r="D4734" s="28"/>
      <c r="G4734" s="2">
        <f t="shared" si="73"/>
        <v>0</v>
      </c>
      <c r="H4734" t="s">
        <v>14</v>
      </c>
    </row>
    <row r="4735" spans="2:8" x14ac:dyDescent="0.2">
      <c r="B4735" s="3">
        <v>44876</v>
      </c>
      <c r="G4735" s="2">
        <f t="shared" si="73"/>
        <v>0</v>
      </c>
      <c r="H4735" t="s">
        <v>27</v>
      </c>
    </row>
    <row r="4736" spans="2:8" x14ac:dyDescent="0.2">
      <c r="B4736" s="3">
        <v>44876</v>
      </c>
      <c r="G4736" s="2">
        <f t="shared" si="73"/>
        <v>0</v>
      </c>
      <c r="H4736" t="s">
        <v>13</v>
      </c>
    </row>
    <row r="4737" spans="2:8" x14ac:dyDescent="0.2">
      <c r="B4737" s="3">
        <v>44876</v>
      </c>
      <c r="G4737" s="2">
        <f t="shared" si="73"/>
        <v>0</v>
      </c>
      <c r="H4737" t="s">
        <v>30</v>
      </c>
    </row>
    <row r="4738" spans="2:8" x14ac:dyDescent="0.2">
      <c r="B4738" s="3">
        <v>44876</v>
      </c>
      <c r="G4738" s="2">
        <f t="shared" si="73"/>
        <v>0</v>
      </c>
      <c r="H4738" t="s">
        <v>35</v>
      </c>
    </row>
    <row r="4739" spans="2:8" x14ac:dyDescent="0.2">
      <c r="B4739" s="3">
        <v>44876</v>
      </c>
      <c r="G4739" s="2">
        <f t="shared" ref="G4739:G4802" si="74">E4739-F4739</f>
        <v>0</v>
      </c>
      <c r="H4739" t="s">
        <v>25</v>
      </c>
    </row>
    <row r="4740" spans="2:8" x14ac:dyDescent="0.2">
      <c r="B4740" s="3">
        <v>44876</v>
      </c>
      <c r="G4740" s="2">
        <f t="shared" si="74"/>
        <v>0</v>
      </c>
      <c r="H4740" t="s">
        <v>9</v>
      </c>
    </row>
    <row r="4741" spans="2:8" x14ac:dyDescent="0.2">
      <c r="B4741" s="3">
        <v>44876</v>
      </c>
      <c r="G4741" s="2">
        <f t="shared" si="74"/>
        <v>0</v>
      </c>
      <c r="H4741" t="s">
        <v>32</v>
      </c>
    </row>
    <row r="4742" spans="2:8" x14ac:dyDescent="0.2">
      <c r="B4742" s="3">
        <v>44876</v>
      </c>
      <c r="G4742" s="2">
        <f t="shared" si="74"/>
        <v>0</v>
      </c>
      <c r="H4742" s="1"/>
    </row>
    <row r="4743" spans="2:8" x14ac:dyDescent="0.2">
      <c r="B4743" s="3">
        <v>44877</v>
      </c>
      <c r="D4743" s="28"/>
      <c r="G4743" s="2">
        <f t="shared" si="74"/>
        <v>0</v>
      </c>
      <c r="H4743" t="s">
        <v>14</v>
      </c>
    </row>
    <row r="4744" spans="2:8" x14ac:dyDescent="0.2">
      <c r="B4744" s="3">
        <v>44877</v>
      </c>
      <c r="G4744" s="2">
        <f t="shared" si="74"/>
        <v>0</v>
      </c>
      <c r="H4744" t="s">
        <v>27</v>
      </c>
    </row>
    <row r="4745" spans="2:8" x14ac:dyDescent="0.2">
      <c r="B4745" s="3">
        <v>44877</v>
      </c>
      <c r="G4745" s="2">
        <f t="shared" si="74"/>
        <v>0</v>
      </c>
      <c r="H4745" t="s">
        <v>13</v>
      </c>
    </row>
    <row r="4746" spans="2:8" x14ac:dyDescent="0.2">
      <c r="B4746" s="3">
        <v>44877</v>
      </c>
      <c r="G4746" s="2">
        <f t="shared" si="74"/>
        <v>0</v>
      </c>
      <c r="H4746" t="s">
        <v>30</v>
      </c>
    </row>
    <row r="4747" spans="2:8" x14ac:dyDescent="0.2">
      <c r="B4747" s="3">
        <v>44877</v>
      </c>
      <c r="G4747" s="2">
        <f t="shared" si="74"/>
        <v>0</v>
      </c>
      <c r="H4747" t="s">
        <v>35</v>
      </c>
    </row>
    <row r="4748" spans="2:8" x14ac:dyDescent="0.2">
      <c r="B4748" s="3">
        <v>44877</v>
      </c>
      <c r="G4748" s="2">
        <f t="shared" si="74"/>
        <v>0</v>
      </c>
      <c r="H4748" t="s">
        <v>25</v>
      </c>
    </row>
    <row r="4749" spans="2:8" x14ac:dyDescent="0.2">
      <c r="B4749" s="3">
        <v>44877</v>
      </c>
      <c r="G4749" s="2">
        <f t="shared" si="74"/>
        <v>0</v>
      </c>
      <c r="H4749" t="s">
        <v>9</v>
      </c>
    </row>
    <row r="4750" spans="2:8" x14ac:dyDescent="0.2">
      <c r="B4750" s="3">
        <v>44877</v>
      </c>
      <c r="G4750" s="2">
        <f t="shared" si="74"/>
        <v>0</v>
      </c>
      <c r="H4750" t="s">
        <v>32</v>
      </c>
    </row>
    <row r="4751" spans="2:8" x14ac:dyDescent="0.2">
      <c r="B4751" s="3">
        <v>44877</v>
      </c>
      <c r="G4751" s="2">
        <f t="shared" si="74"/>
        <v>0</v>
      </c>
      <c r="H4751" s="1"/>
    </row>
    <row r="4752" spans="2:8" x14ac:dyDescent="0.2">
      <c r="B4752" s="3">
        <v>44878</v>
      </c>
      <c r="D4752" s="28"/>
      <c r="G4752" s="2">
        <f t="shared" si="74"/>
        <v>0</v>
      </c>
      <c r="H4752" t="s">
        <v>14</v>
      </c>
    </row>
    <row r="4753" spans="2:8" x14ac:dyDescent="0.2">
      <c r="B4753" s="3">
        <v>44878</v>
      </c>
      <c r="D4753" s="1">
        <v>2170</v>
      </c>
      <c r="E4753" s="1">
        <v>2670</v>
      </c>
      <c r="G4753" s="2">
        <f t="shared" si="74"/>
        <v>2670</v>
      </c>
      <c r="H4753" t="s">
        <v>27</v>
      </c>
    </row>
    <row r="4754" spans="2:8" x14ac:dyDescent="0.2">
      <c r="B4754" s="3">
        <v>44878</v>
      </c>
      <c r="F4754" s="1">
        <v>3000</v>
      </c>
      <c r="G4754" s="2">
        <f t="shared" si="74"/>
        <v>-3000</v>
      </c>
      <c r="H4754" t="s">
        <v>13</v>
      </c>
    </row>
    <row r="4755" spans="2:8" x14ac:dyDescent="0.2">
      <c r="B4755" s="3">
        <v>44878</v>
      </c>
      <c r="D4755" s="1">
        <v>1440</v>
      </c>
      <c r="E4755" s="1">
        <v>1700</v>
      </c>
      <c r="G4755" s="2">
        <f t="shared" si="74"/>
        <v>1700</v>
      </c>
      <c r="H4755" t="s">
        <v>30</v>
      </c>
    </row>
    <row r="4756" spans="2:8" x14ac:dyDescent="0.2">
      <c r="B4756" s="3">
        <v>44878</v>
      </c>
      <c r="D4756" s="1">
        <v>779</v>
      </c>
      <c r="E4756" s="1">
        <v>976.25</v>
      </c>
      <c r="G4756" s="2">
        <f t="shared" si="74"/>
        <v>976.25</v>
      </c>
      <c r="H4756" t="s">
        <v>35</v>
      </c>
    </row>
    <row r="4757" spans="2:8" x14ac:dyDescent="0.2">
      <c r="B4757" s="3">
        <v>44878</v>
      </c>
      <c r="G4757" s="2">
        <f t="shared" si="74"/>
        <v>0</v>
      </c>
      <c r="H4757" t="s">
        <v>25</v>
      </c>
    </row>
    <row r="4758" spans="2:8" x14ac:dyDescent="0.2">
      <c r="B4758" s="3">
        <v>44878</v>
      </c>
      <c r="G4758" s="2">
        <f t="shared" si="74"/>
        <v>0</v>
      </c>
      <c r="H4758" t="s">
        <v>9</v>
      </c>
    </row>
    <row r="4759" spans="2:8" x14ac:dyDescent="0.2">
      <c r="B4759" s="3">
        <v>44878</v>
      </c>
      <c r="G4759" s="2">
        <f t="shared" si="74"/>
        <v>0</v>
      </c>
      <c r="H4759" t="s">
        <v>32</v>
      </c>
    </row>
    <row r="4760" spans="2:8" x14ac:dyDescent="0.2">
      <c r="B4760" s="3">
        <v>44878</v>
      </c>
      <c r="D4760" s="1">
        <v>1091.75</v>
      </c>
      <c r="E4760" s="1">
        <v>1347.5</v>
      </c>
      <c r="G4760" s="2">
        <f t="shared" si="74"/>
        <v>1347.5</v>
      </c>
      <c r="H4760" s="1" t="s">
        <v>48</v>
      </c>
    </row>
    <row r="4761" spans="2:8" x14ac:dyDescent="0.2">
      <c r="B4761" s="3">
        <v>44879</v>
      </c>
      <c r="D4761" s="28"/>
      <c r="G4761" s="2">
        <f t="shared" si="74"/>
        <v>0</v>
      </c>
      <c r="H4761" t="s">
        <v>14</v>
      </c>
    </row>
    <row r="4762" spans="2:8" x14ac:dyDescent="0.2">
      <c r="B4762" s="3">
        <v>44879</v>
      </c>
      <c r="G4762" s="2">
        <f t="shared" si="74"/>
        <v>0</v>
      </c>
      <c r="H4762" t="s">
        <v>27</v>
      </c>
    </row>
    <row r="4763" spans="2:8" x14ac:dyDescent="0.2">
      <c r="B4763" s="3">
        <v>44879</v>
      </c>
      <c r="G4763" s="2">
        <f t="shared" si="74"/>
        <v>0</v>
      </c>
      <c r="H4763" t="s">
        <v>13</v>
      </c>
    </row>
    <row r="4764" spans="2:8" x14ac:dyDescent="0.2">
      <c r="B4764" s="3">
        <v>44879</v>
      </c>
      <c r="G4764" s="2">
        <f t="shared" si="74"/>
        <v>0</v>
      </c>
      <c r="H4764" t="s">
        <v>30</v>
      </c>
    </row>
    <row r="4765" spans="2:8" x14ac:dyDescent="0.2">
      <c r="B4765" s="3">
        <v>44879</v>
      </c>
      <c r="G4765" s="2">
        <f t="shared" si="74"/>
        <v>0</v>
      </c>
      <c r="H4765" t="s">
        <v>35</v>
      </c>
    </row>
    <row r="4766" spans="2:8" x14ac:dyDescent="0.2">
      <c r="B4766" s="3">
        <v>44879</v>
      </c>
      <c r="G4766" s="2">
        <f t="shared" si="74"/>
        <v>0</v>
      </c>
      <c r="H4766" t="s">
        <v>25</v>
      </c>
    </row>
    <row r="4767" spans="2:8" x14ac:dyDescent="0.2">
      <c r="B4767" s="3">
        <v>44879</v>
      </c>
      <c r="G4767" s="2">
        <f t="shared" si="74"/>
        <v>0</v>
      </c>
      <c r="H4767" t="s">
        <v>9</v>
      </c>
    </row>
    <row r="4768" spans="2:8" x14ac:dyDescent="0.2">
      <c r="B4768" s="3">
        <v>44879</v>
      </c>
      <c r="G4768" s="2">
        <f t="shared" si="74"/>
        <v>0</v>
      </c>
      <c r="H4768" t="s">
        <v>32</v>
      </c>
    </row>
    <row r="4769" spans="2:8" x14ac:dyDescent="0.2">
      <c r="B4769" s="3">
        <v>44879</v>
      </c>
      <c r="G4769" s="2">
        <f t="shared" si="74"/>
        <v>0</v>
      </c>
      <c r="H4769" s="1"/>
    </row>
    <row r="4770" spans="2:8" x14ac:dyDescent="0.2">
      <c r="B4770" s="3">
        <v>44880</v>
      </c>
      <c r="D4770" s="28"/>
      <c r="G4770" s="2">
        <f t="shared" si="74"/>
        <v>0</v>
      </c>
      <c r="H4770" t="s">
        <v>14</v>
      </c>
    </row>
    <row r="4771" spans="2:8" x14ac:dyDescent="0.2">
      <c r="B4771" s="3">
        <v>44880</v>
      </c>
      <c r="D4771" s="1">
        <v>2720</v>
      </c>
      <c r="E4771" s="1">
        <v>3180</v>
      </c>
      <c r="G4771" s="2">
        <f t="shared" si="74"/>
        <v>3180</v>
      </c>
      <c r="H4771" t="s">
        <v>27</v>
      </c>
    </row>
    <row r="4772" spans="2:8" x14ac:dyDescent="0.2">
      <c r="B4772" s="3">
        <v>44880</v>
      </c>
      <c r="G4772" s="2">
        <f t="shared" si="74"/>
        <v>0</v>
      </c>
      <c r="H4772" t="s">
        <v>13</v>
      </c>
    </row>
    <row r="4773" spans="2:8" x14ac:dyDescent="0.2">
      <c r="B4773" s="3">
        <v>44880</v>
      </c>
      <c r="D4773" s="1">
        <v>5440</v>
      </c>
      <c r="E4773" s="1">
        <v>6800</v>
      </c>
      <c r="G4773" s="2">
        <f t="shared" si="74"/>
        <v>6800</v>
      </c>
      <c r="H4773" t="s">
        <v>30</v>
      </c>
    </row>
    <row r="4774" spans="2:8" x14ac:dyDescent="0.2">
      <c r="B4774" s="3">
        <v>44880</v>
      </c>
      <c r="F4774" s="1">
        <v>1760</v>
      </c>
      <c r="G4774" s="2">
        <f t="shared" si="74"/>
        <v>-1760</v>
      </c>
      <c r="H4774" t="s">
        <v>35</v>
      </c>
    </row>
    <row r="4775" spans="2:8" x14ac:dyDescent="0.2">
      <c r="B4775" s="3">
        <v>44880</v>
      </c>
      <c r="D4775" s="1">
        <v>520</v>
      </c>
      <c r="E4775" s="1">
        <v>560</v>
      </c>
      <c r="F4775" s="1">
        <v>560</v>
      </c>
      <c r="G4775" s="2">
        <f t="shared" si="74"/>
        <v>0</v>
      </c>
      <c r="H4775" t="s">
        <v>25</v>
      </c>
    </row>
    <row r="4776" spans="2:8" x14ac:dyDescent="0.2">
      <c r="B4776" s="3">
        <v>44880</v>
      </c>
      <c r="G4776" s="2">
        <f t="shared" si="74"/>
        <v>0</v>
      </c>
      <c r="H4776" t="s">
        <v>9</v>
      </c>
    </row>
    <row r="4777" spans="2:8" x14ac:dyDescent="0.2">
      <c r="B4777" s="3">
        <v>44880</v>
      </c>
      <c r="G4777" s="2">
        <f t="shared" si="74"/>
        <v>0</v>
      </c>
      <c r="H4777" t="s">
        <v>32</v>
      </c>
    </row>
    <row r="4778" spans="2:8" x14ac:dyDescent="0.2">
      <c r="B4778" s="3">
        <v>44880</v>
      </c>
      <c r="G4778" s="2">
        <f t="shared" si="74"/>
        <v>0</v>
      </c>
      <c r="H4778" s="1"/>
    </row>
    <row r="4779" spans="2:8" x14ac:dyDescent="0.2">
      <c r="B4779" s="3">
        <v>44881</v>
      </c>
      <c r="D4779" s="28"/>
      <c r="G4779" s="2">
        <f t="shared" si="74"/>
        <v>0</v>
      </c>
      <c r="H4779" t="s">
        <v>14</v>
      </c>
    </row>
    <row r="4780" spans="2:8" x14ac:dyDescent="0.2">
      <c r="B4780" s="3">
        <v>44881</v>
      </c>
      <c r="G4780" s="2">
        <f t="shared" si="74"/>
        <v>0</v>
      </c>
      <c r="H4780" t="s">
        <v>27</v>
      </c>
    </row>
    <row r="4781" spans="2:8" x14ac:dyDescent="0.2">
      <c r="B4781" s="3">
        <v>44881</v>
      </c>
      <c r="F4781" s="1">
        <v>3000</v>
      </c>
      <c r="G4781" s="2">
        <f t="shared" si="74"/>
        <v>-3000</v>
      </c>
      <c r="H4781" t="s">
        <v>13</v>
      </c>
    </row>
    <row r="4782" spans="2:8" x14ac:dyDescent="0.2">
      <c r="B4782" s="3">
        <v>44881</v>
      </c>
      <c r="G4782" s="2">
        <f t="shared" si="74"/>
        <v>0</v>
      </c>
      <c r="H4782" t="s">
        <v>30</v>
      </c>
    </row>
    <row r="4783" spans="2:8" x14ac:dyDescent="0.2">
      <c r="B4783" s="3">
        <v>44881</v>
      </c>
      <c r="G4783" s="2">
        <f t="shared" si="74"/>
        <v>0</v>
      </c>
      <c r="H4783" t="s">
        <v>35</v>
      </c>
    </row>
    <row r="4784" spans="2:8" x14ac:dyDescent="0.2">
      <c r="B4784" s="3">
        <v>44881</v>
      </c>
      <c r="G4784" s="2">
        <f t="shared" si="74"/>
        <v>0</v>
      </c>
      <c r="H4784" t="s">
        <v>25</v>
      </c>
    </row>
    <row r="4785" spans="2:8" x14ac:dyDescent="0.2">
      <c r="B4785" s="3">
        <v>44881</v>
      </c>
      <c r="F4785" s="1">
        <v>18500</v>
      </c>
      <c r="G4785" s="2">
        <f t="shared" si="74"/>
        <v>-18500</v>
      </c>
      <c r="H4785" t="s">
        <v>9</v>
      </c>
    </row>
    <row r="4786" spans="2:8" x14ac:dyDescent="0.2">
      <c r="B4786" s="3">
        <v>44881</v>
      </c>
      <c r="G4786" s="2">
        <f t="shared" si="74"/>
        <v>0</v>
      </c>
      <c r="H4786" t="s">
        <v>32</v>
      </c>
    </row>
    <row r="4787" spans="2:8" x14ac:dyDescent="0.2">
      <c r="B4787" s="3">
        <v>44881</v>
      </c>
      <c r="G4787" s="2">
        <f t="shared" si="74"/>
        <v>0</v>
      </c>
      <c r="H4787" s="1"/>
    </row>
    <row r="4788" spans="2:8" x14ac:dyDescent="0.2">
      <c r="B4788" s="3">
        <v>44882</v>
      </c>
      <c r="D4788" s="28">
        <f>3000</f>
        <v>3000</v>
      </c>
      <c r="E4788" s="1">
        <v>3500</v>
      </c>
      <c r="G4788" s="2">
        <f t="shared" si="74"/>
        <v>3500</v>
      </c>
      <c r="H4788" t="s">
        <v>14</v>
      </c>
    </row>
    <row r="4789" spans="2:8" x14ac:dyDescent="0.2">
      <c r="B4789" s="3">
        <v>44882</v>
      </c>
      <c r="D4789" s="1">
        <v>650</v>
      </c>
      <c r="E4789" s="1">
        <v>950</v>
      </c>
      <c r="G4789" s="2">
        <f t="shared" si="74"/>
        <v>950</v>
      </c>
      <c r="H4789" t="s">
        <v>27</v>
      </c>
    </row>
    <row r="4790" spans="2:8" x14ac:dyDescent="0.2">
      <c r="B4790" s="3">
        <v>44882</v>
      </c>
      <c r="G4790" s="2">
        <f t="shared" si="74"/>
        <v>0</v>
      </c>
      <c r="H4790" t="s">
        <v>13</v>
      </c>
    </row>
    <row r="4791" spans="2:8" x14ac:dyDescent="0.2">
      <c r="B4791" s="3">
        <v>44882</v>
      </c>
      <c r="G4791" s="2">
        <f t="shared" si="74"/>
        <v>0</v>
      </c>
      <c r="H4791" t="s">
        <v>30</v>
      </c>
    </row>
    <row r="4792" spans="2:8" x14ac:dyDescent="0.2">
      <c r="B4792" s="3">
        <v>44882</v>
      </c>
      <c r="D4792" s="1">
        <v>876</v>
      </c>
      <c r="E4792" s="1">
        <v>1090</v>
      </c>
      <c r="F4792" s="1">
        <v>1000</v>
      </c>
      <c r="G4792" s="2">
        <f t="shared" si="74"/>
        <v>90</v>
      </c>
      <c r="H4792" t="s">
        <v>35</v>
      </c>
    </row>
    <row r="4793" spans="2:8" x14ac:dyDescent="0.2">
      <c r="B4793" s="3">
        <v>44882</v>
      </c>
      <c r="G4793" s="2">
        <f t="shared" si="74"/>
        <v>0</v>
      </c>
      <c r="H4793" t="s">
        <v>25</v>
      </c>
    </row>
    <row r="4794" spans="2:8" x14ac:dyDescent="0.2">
      <c r="B4794" s="3">
        <v>44882</v>
      </c>
      <c r="G4794" s="2">
        <f t="shared" si="74"/>
        <v>0</v>
      </c>
      <c r="H4794" t="s">
        <v>9</v>
      </c>
    </row>
    <row r="4795" spans="2:8" x14ac:dyDescent="0.2">
      <c r="B4795" s="3">
        <v>44882</v>
      </c>
      <c r="G4795" s="2">
        <f t="shared" si="74"/>
        <v>0</v>
      </c>
      <c r="H4795" t="s">
        <v>32</v>
      </c>
    </row>
    <row r="4796" spans="2:8" x14ac:dyDescent="0.2">
      <c r="B4796" s="3">
        <v>44882</v>
      </c>
      <c r="G4796" s="2">
        <f t="shared" si="74"/>
        <v>0</v>
      </c>
      <c r="H4796" s="1"/>
    </row>
    <row r="4797" spans="2:8" x14ac:dyDescent="0.2">
      <c r="B4797" s="3">
        <v>44883</v>
      </c>
      <c r="D4797" s="28"/>
      <c r="G4797" s="2">
        <f t="shared" si="74"/>
        <v>0</v>
      </c>
      <c r="H4797" t="s">
        <v>14</v>
      </c>
    </row>
    <row r="4798" spans="2:8" x14ac:dyDescent="0.2">
      <c r="B4798" s="3">
        <v>44883</v>
      </c>
      <c r="G4798" s="2">
        <f t="shared" si="74"/>
        <v>0</v>
      </c>
      <c r="H4798" t="s">
        <v>27</v>
      </c>
    </row>
    <row r="4799" spans="2:8" x14ac:dyDescent="0.2">
      <c r="B4799" s="3">
        <v>44883</v>
      </c>
      <c r="G4799" s="2">
        <f t="shared" si="74"/>
        <v>0</v>
      </c>
      <c r="H4799" t="s">
        <v>13</v>
      </c>
    </row>
    <row r="4800" spans="2:8" x14ac:dyDescent="0.2">
      <c r="B4800" s="3">
        <v>44883</v>
      </c>
      <c r="G4800" s="2">
        <f t="shared" si="74"/>
        <v>0</v>
      </c>
      <c r="H4800" t="s">
        <v>30</v>
      </c>
    </row>
    <row r="4801" spans="2:8" x14ac:dyDescent="0.2">
      <c r="B4801" s="3">
        <v>44883</v>
      </c>
      <c r="G4801" s="2">
        <f t="shared" si="74"/>
        <v>0</v>
      </c>
      <c r="H4801" t="s">
        <v>35</v>
      </c>
    </row>
    <row r="4802" spans="2:8" x14ac:dyDescent="0.2">
      <c r="B4802" s="3">
        <v>44883</v>
      </c>
      <c r="G4802" s="2">
        <f t="shared" si="74"/>
        <v>0</v>
      </c>
      <c r="H4802" t="s">
        <v>25</v>
      </c>
    </row>
    <row r="4803" spans="2:8" x14ac:dyDescent="0.2">
      <c r="B4803" s="3">
        <v>44883</v>
      </c>
      <c r="G4803" s="2">
        <f t="shared" ref="G4803:G4866" si="75">E4803-F4803</f>
        <v>0</v>
      </c>
      <c r="H4803" t="s">
        <v>9</v>
      </c>
    </row>
    <row r="4804" spans="2:8" x14ac:dyDescent="0.2">
      <c r="B4804" s="3">
        <v>44883</v>
      </c>
      <c r="G4804" s="2">
        <f t="shared" si="75"/>
        <v>0</v>
      </c>
      <c r="H4804" t="s">
        <v>32</v>
      </c>
    </row>
    <row r="4805" spans="2:8" x14ac:dyDescent="0.2">
      <c r="B4805" s="3">
        <v>44883</v>
      </c>
      <c r="G4805" s="2">
        <f t="shared" si="75"/>
        <v>0</v>
      </c>
      <c r="H4805" s="1"/>
    </row>
    <row r="4806" spans="2:8" x14ac:dyDescent="0.2">
      <c r="B4806" s="3">
        <v>44884</v>
      </c>
      <c r="D4806" s="28">
        <f>2950+260</f>
        <v>3210</v>
      </c>
      <c r="E4806" s="1">
        <v>3610</v>
      </c>
      <c r="F4806" s="1">
        <v>10000</v>
      </c>
      <c r="G4806" s="2">
        <f t="shared" si="75"/>
        <v>-6390</v>
      </c>
      <c r="H4806" t="s">
        <v>14</v>
      </c>
    </row>
    <row r="4807" spans="2:8" x14ac:dyDescent="0.2">
      <c r="B4807" s="3">
        <v>44884</v>
      </c>
      <c r="G4807" s="2">
        <f t="shared" si="75"/>
        <v>0</v>
      </c>
      <c r="H4807" t="s">
        <v>27</v>
      </c>
    </row>
    <row r="4808" spans="2:8" x14ac:dyDescent="0.2">
      <c r="B4808" s="3">
        <v>44884</v>
      </c>
      <c r="D4808" s="1">
        <v>2481.5500000000002</v>
      </c>
      <c r="E4808" s="1">
        <v>2795</v>
      </c>
      <c r="G4808" s="2">
        <f t="shared" si="75"/>
        <v>2795</v>
      </c>
      <c r="H4808" t="s">
        <v>13</v>
      </c>
    </row>
    <row r="4809" spans="2:8" x14ac:dyDescent="0.2">
      <c r="B4809" s="3">
        <v>44884</v>
      </c>
      <c r="G4809" s="2">
        <f t="shared" si="75"/>
        <v>0</v>
      </c>
      <c r="H4809" t="s">
        <v>30</v>
      </c>
    </row>
    <row r="4810" spans="2:8" x14ac:dyDescent="0.2">
      <c r="B4810" s="3">
        <v>44884</v>
      </c>
      <c r="G4810" s="2">
        <f t="shared" si="75"/>
        <v>0</v>
      </c>
      <c r="H4810" t="s">
        <v>35</v>
      </c>
    </row>
    <row r="4811" spans="2:8" x14ac:dyDescent="0.2">
      <c r="B4811" s="3">
        <v>44884</v>
      </c>
      <c r="G4811" s="2">
        <f t="shared" si="75"/>
        <v>0</v>
      </c>
      <c r="H4811" t="s">
        <v>25</v>
      </c>
    </row>
    <row r="4812" spans="2:8" x14ac:dyDescent="0.2">
      <c r="B4812" s="3">
        <v>44884</v>
      </c>
      <c r="G4812" s="2">
        <f t="shared" si="75"/>
        <v>0</v>
      </c>
      <c r="H4812" t="s">
        <v>9</v>
      </c>
    </row>
    <row r="4813" spans="2:8" x14ac:dyDescent="0.2">
      <c r="B4813" s="3">
        <v>44884</v>
      </c>
      <c r="G4813" s="2">
        <f t="shared" si="75"/>
        <v>0</v>
      </c>
      <c r="H4813" t="s">
        <v>32</v>
      </c>
    </row>
    <row r="4814" spans="2:8" x14ac:dyDescent="0.2">
      <c r="B4814" s="3">
        <v>44884</v>
      </c>
      <c r="G4814" s="2">
        <f t="shared" si="75"/>
        <v>0</v>
      </c>
      <c r="H4814" s="1"/>
    </row>
    <row r="4815" spans="2:8" x14ac:dyDescent="0.2">
      <c r="B4815" s="3">
        <v>44885</v>
      </c>
      <c r="D4815" s="28"/>
      <c r="G4815" s="2">
        <f t="shared" si="75"/>
        <v>0</v>
      </c>
      <c r="H4815" t="s">
        <v>14</v>
      </c>
    </row>
    <row r="4816" spans="2:8" x14ac:dyDescent="0.2">
      <c r="B4816" s="3">
        <v>44885</v>
      </c>
      <c r="F4816" s="1">
        <v>10000</v>
      </c>
      <c r="G4816" s="2">
        <f t="shared" si="75"/>
        <v>-10000</v>
      </c>
      <c r="H4816" t="s">
        <v>27</v>
      </c>
    </row>
    <row r="4817" spans="2:8" x14ac:dyDescent="0.2">
      <c r="B4817" s="3">
        <v>44885</v>
      </c>
      <c r="G4817" s="2">
        <f t="shared" si="75"/>
        <v>0</v>
      </c>
      <c r="H4817" t="s">
        <v>13</v>
      </c>
    </row>
    <row r="4818" spans="2:8" x14ac:dyDescent="0.2">
      <c r="B4818" s="3">
        <v>44885</v>
      </c>
      <c r="G4818" s="2">
        <f t="shared" si="75"/>
        <v>0</v>
      </c>
      <c r="H4818" t="s">
        <v>30</v>
      </c>
    </row>
    <row r="4819" spans="2:8" x14ac:dyDescent="0.2">
      <c r="B4819" s="3">
        <v>44885</v>
      </c>
      <c r="G4819" s="2">
        <f t="shared" si="75"/>
        <v>0</v>
      </c>
      <c r="H4819" t="s">
        <v>35</v>
      </c>
    </row>
    <row r="4820" spans="2:8" x14ac:dyDescent="0.2">
      <c r="B4820" s="3">
        <v>44885</v>
      </c>
      <c r="G4820" s="2">
        <f t="shared" si="75"/>
        <v>0</v>
      </c>
      <c r="H4820" t="s">
        <v>25</v>
      </c>
    </row>
    <row r="4821" spans="2:8" x14ac:dyDescent="0.2">
      <c r="B4821" s="3">
        <v>44885</v>
      </c>
      <c r="G4821" s="2">
        <f t="shared" si="75"/>
        <v>0</v>
      </c>
      <c r="H4821" t="s">
        <v>9</v>
      </c>
    </row>
    <row r="4822" spans="2:8" x14ac:dyDescent="0.2">
      <c r="B4822" s="3">
        <v>44885</v>
      </c>
      <c r="G4822" s="2">
        <f t="shared" si="75"/>
        <v>0</v>
      </c>
      <c r="H4822" t="s">
        <v>32</v>
      </c>
    </row>
    <row r="4823" spans="2:8" x14ac:dyDescent="0.2">
      <c r="B4823" s="3">
        <v>44885</v>
      </c>
      <c r="G4823" s="2">
        <f t="shared" si="75"/>
        <v>0</v>
      </c>
      <c r="H4823" s="1"/>
    </row>
    <row r="4824" spans="2:8" x14ac:dyDescent="0.2">
      <c r="B4824" s="3">
        <v>44886</v>
      </c>
      <c r="D4824" s="28"/>
      <c r="G4824" s="2">
        <f t="shared" si="75"/>
        <v>0</v>
      </c>
      <c r="H4824" t="s">
        <v>14</v>
      </c>
    </row>
    <row r="4825" spans="2:8" x14ac:dyDescent="0.2">
      <c r="B4825" s="3">
        <v>44886</v>
      </c>
      <c r="G4825" s="2">
        <f t="shared" si="75"/>
        <v>0</v>
      </c>
      <c r="H4825" t="s">
        <v>27</v>
      </c>
    </row>
    <row r="4826" spans="2:8" x14ac:dyDescent="0.2">
      <c r="B4826" s="3">
        <v>44886</v>
      </c>
      <c r="G4826" s="2">
        <f t="shared" si="75"/>
        <v>0</v>
      </c>
      <c r="H4826" t="s">
        <v>13</v>
      </c>
    </row>
    <row r="4827" spans="2:8" x14ac:dyDescent="0.2">
      <c r="B4827" s="3">
        <v>44886</v>
      </c>
      <c r="G4827" s="2">
        <f t="shared" si="75"/>
        <v>0</v>
      </c>
      <c r="H4827" t="s">
        <v>30</v>
      </c>
    </row>
    <row r="4828" spans="2:8" x14ac:dyDescent="0.2">
      <c r="B4828" s="3">
        <v>44886</v>
      </c>
      <c r="G4828" s="2">
        <f t="shared" si="75"/>
        <v>0</v>
      </c>
      <c r="H4828" t="s">
        <v>35</v>
      </c>
    </row>
    <row r="4829" spans="2:8" x14ac:dyDescent="0.2">
      <c r="B4829" s="3">
        <v>44886</v>
      </c>
      <c r="G4829" s="2">
        <f t="shared" si="75"/>
        <v>0</v>
      </c>
      <c r="H4829" t="s">
        <v>25</v>
      </c>
    </row>
    <row r="4830" spans="2:8" x14ac:dyDescent="0.2">
      <c r="B4830" s="3">
        <v>44886</v>
      </c>
      <c r="G4830" s="2">
        <f t="shared" si="75"/>
        <v>0</v>
      </c>
      <c r="H4830" t="s">
        <v>9</v>
      </c>
    </row>
    <row r="4831" spans="2:8" x14ac:dyDescent="0.2">
      <c r="B4831" s="3">
        <v>44886</v>
      </c>
      <c r="G4831" s="2">
        <f t="shared" si="75"/>
        <v>0</v>
      </c>
      <c r="H4831" t="s">
        <v>32</v>
      </c>
    </row>
    <row r="4832" spans="2:8" x14ac:dyDescent="0.2">
      <c r="B4832" s="3">
        <v>44886</v>
      </c>
      <c r="G4832" s="2">
        <f t="shared" si="75"/>
        <v>0</v>
      </c>
      <c r="H4832" s="1"/>
    </row>
    <row r="4833" spans="2:8" x14ac:dyDescent="0.2">
      <c r="B4833" s="3">
        <v>44887</v>
      </c>
      <c r="D4833" s="28">
        <f>2950+2950+1900</f>
        <v>7800</v>
      </c>
      <c r="E4833" s="1">
        <f>9800-700</f>
        <v>9100</v>
      </c>
      <c r="G4833" s="2">
        <f t="shared" si="75"/>
        <v>9100</v>
      </c>
      <c r="H4833" t="s">
        <v>14</v>
      </c>
    </row>
    <row r="4834" spans="2:8" x14ac:dyDescent="0.2">
      <c r="B4834" s="3">
        <v>44887</v>
      </c>
      <c r="D4834" s="1">
        <v>2780.25</v>
      </c>
      <c r="E4834" s="1">
        <v>3475</v>
      </c>
      <c r="G4834" s="2">
        <f t="shared" si="75"/>
        <v>3475</v>
      </c>
      <c r="H4834" t="s">
        <v>27</v>
      </c>
    </row>
    <row r="4835" spans="2:8" x14ac:dyDescent="0.2">
      <c r="B4835" s="3">
        <v>44887</v>
      </c>
      <c r="G4835" s="2">
        <f t="shared" si="75"/>
        <v>0</v>
      </c>
      <c r="H4835" t="s">
        <v>13</v>
      </c>
    </row>
    <row r="4836" spans="2:8" x14ac:dyDescent="0.2">
      <c r="B4836" s="3">
        <v>44887</v>
      </c>
      <c r="G4836" s="2">
        <f t="shared" si="75"/>
        <v>0</v>
      </c>
      <c r="H4836" t="s">
        <v>30</v>
      </c>
    </row>
    <row r="4837" spans="2:8" x14ac:dyDescent="0.2">
      <c r="B4837" s="3">
        <v>44887</v>
      </c>
      <c r="G4837" s="2">
        <f t="shared" si="75"/>
        <v>0</v>
      </c>
      <c r="H4837" t="s">
        <v>35</v>
      </c>
    </row>
    <row r="4838" spans="2:8" x14ac:dyDescent="0.2">
      <c r="B4838" s="3">
        <v>44887</v>
      </c>
      <c r="G4838" s="2">
        <f t="shared" si="75"/>
        <v>0</v>
      </c>
      <c r="H4838" t="s">
        <v>25</v>
      </c>
    </row>
    <row r="4839" spans="2:8" x14ac:dyDescent="0.2">
      <c r="B4839" s="3">
        <v>44887</v>
      </c>
      <c r="G4839" s="2">
        <f t="shared" si="75"/>
        <v>0</v>
      </c>
      <c r="H4839" t="s">
        <v>9</v>
      </c>
    </row>
    <row r="4840" spans="2:8" x14ac:dyDescent="0.2">
      <c r="B4840" s="3">
        <v>44887</v>
      </c>
      <c r="G4840" s="2">
        <f t="shared" si="75"/>
        <v>0</v>
      </c>
      <c r="H4840" t="s">
        <v>32</v>
      </c>
    </row>
    <row r="4841" spans="2:8" x14ac:dyDescent="0.2">
      <c r="B4841" s="3">
        <v>44887</v>
      </c>
      <c r="G4841" s="2">
        <f t="shared" si="75"/>
        <v>0</v>
      </c>
      <c r="H4841" s="1"/>
    </row>
    <row r="4842" spans="2:8" x14ac:dyDescent="0.2">
      <c r="B4842" s="3">
        <v>44888</v>
      </c>
      <c r="D4842" s="28">
        <f>2.65*200</f>
        <v>530</v>
      </c>
      <c r="E4842" s="1">
        <v>700</v>
      </c>
      <c r="G4842" s="2">
        <f t="shared" si="75"/>
        <v>700</v>
      </c>
      <c r="H4842" t="s">
        <v>14</v>
      </c>
    </row>
    <row r="4843" spans="2:8" x14ac:dyDescent="0.2">
      <c r="B4843" s="3">
        <v>44888</v>
      </c>
      <c r="D4843" s="1">
        <v>383.5</v>
      </c>
      <c r="E4843" s="1">
        <v>487.5</v>
      </c>
      <c r="G4843" s="2">
        <f t="shared" si="75"/>
        <v>487.5</v>
      </c>
      <c r="H4843" t="s">
        <v>27</v>
      </c>
    </row>
    <row r="4844" spans="2:8" x14ac:dyDescent="0.2">
      <c r="B4844" s="3">
        <v>44888</v>
      </c>
      <c r="D4844" s="1">
        <v>2225</v>
      </c>
      <c r="E4844" s="1">
        <v>2720</v>
      </c>
      <c r="G4844" s="2">
        <f t="shared" si="75"/>
        <v>2720</v>
      </c>
      <c r="H4844" t="s">
        <v>13</v>
      </c>
    </row>
    <row r="4845" spans="2:8" x14ac:dyDescent="0.2">
      <c r="B4845" s="3">
        <v>44888</v>
      </c>
      <c r="G4845" s="2">
        <f t="shared" si="75"/>
        <v>0</v>
      </c>
      <c r="H4845" t="s">
        <v>30</v>
      </c>
    </row>
    <row r="4846" spans="2:8" x14ac:dyDescent="0.2">
      <c r="B4846" s="3">
        <v>44888</v>
      </c>
      <c r="G4846" s="2">
        <f t="shared" si="75"/>
        <v>0</v>
      </c>
      <c r="H4846" t="s">
        <v>35</v>
      </c>
    </row>
    <row r="4847" spans="2:8" x14ac:dyDescent="0.2">
      <c r="B4847" s="3">
        <v>44888</v>
      </c>
      <c r="F4847" s="1">
        <v>2000</v>
      </c>
      <c r="G4847" s="2">
        <f t="shared" si="75"/>
        <v>-2000</v>
      </c>
      <c r="H4847" t="s">
        <v>25</v>
      </c>
    </row>
    <row r="4848" spans="2:8" x14ac:dyDescent="0.2">
      <c r="B4848" s="3">
        <v>44888</v>
      </c>
      <c r="G4848" s="2">
        <f t="shared" si="75"/>
        <v>0</v>
      </c>
      <c r="H4848" t="s">
        <v>9</v>
      </c>
    </row>
    <row r="4849" spans="2:8" x14ac:dyDescent="0.2">
      <c r="B4849" s="3">
        <v>44888</v>
      </c>
      <c r="G4849" s="2">
        <f t="shared" si="75"/>
        <v>0</v>
      </c>
      <c r="H4849" t="s">
        <v>32</v>
      </c>
    </row>
    <row r="4850" spans="2:8" x14ac:dyDescent="0.2">
      <c r="B4850" s="3">
        <v>44888</v>
      </c>
      <c r="G4850" s="2">
        <f t="shared" si="75"/>
        <v>0</v>
      </c>
      <c r="H4850" s="1"/>
    </row>
    <row r="4851" spans="2:8" x14ac:dyDescent="0.2">
      <c r="B4851" s="3">
        <v>44889</v>
      </c>
      <c r="D4851" s="28"/>
      <c r="G4851" s="2">
        <f t="shared" si="75"/>
        <v>0</v>
      </c>
      <c r="H4851" t="s">
        <v>14</v>
      </c>
    </row>
    <row r="4852" spans="2:8" x14ac:dyDescent="0.2">
      <c r="B4852" s="3">
        <v>44889</v>
      </c>
      <c r="G4852" s="2">
        <f t="shared" si="75"/>
        <v>0</v>
      </c>
      <c r="H4852" t="s">
        <v>27</v>
      </c>
    </row>
    <row r="4853" spans="2:8" x14ac:dyDescent="0.2">
      <c r="B4853" s="3">
        <v>44889</v>
      </c>
      <c r="F4853" s="1">
        <v>3000</v>
      </c>
      <c r="G4853" s="2">
        <f t="shared" si="75"/>
        <v>-3000</v>
      </c>
      <c r="H4853" t="s">
        <v>13</v>
      </c>
    </row>
    <row r="4854" spans="2:8" x14ac:dyDescent="0.2">
      <c r="B4854" s="3">
        <v>44889</v>
      </c>
      <c r="G4854" s="2">
        <f t="shared" si="75"/>
        <v>0</v>
      </c>
      <c r="H4854" t="s">
        <v>30</v>
      </c>
    </row>
    <row r="4855" spans="2:8" x14ac:dyDescent="0.2">
      <c r="B4855" s="3">
        <v>44889</v>
      </c>
      <c r="D4855" s="1">
        <v>642.75</v>
      </c>
      <c r="E4855" s="1">
        <v>796.25</v>
      </c>
      <c r="G4855" s="2">
        <f t="shared" si="75"/>
        <v>796.25</v>
      </c>
      <c r="H4855" t="s">
        <v>35</v>
      </c>
    </row>
    <row r="4856" spans="2:8" x14ac:dyDescent="0.2">
      <c r="B4856" s="3">
        <v>44889</v>
      </c>
      <c r="G4856" s="2">
        <f t="shared" si="75"/>
        <v>0</v>
      </c>
      <c r="H4856" t="s">
        <v>25</v>
      </c>
    </row>
    <row r="4857" spans="2:8" x14ac:dyDescent="0.2">
      <c r="B4857" s="3">
        <v>44889</v>
      </c>
      <c r="G4857" s="2">
        <f t="shared" si="75"/>
        <v>0</v>
      </c>
      <c r="H4857" t="s">
        <v>9</v>
      </c>
    </row>
    <row r="4858" spans="2:8" x14ac:dyDescent="0.2">
      <c r="B4858" s="3">
        <v>44889</v>
      </c>
      <c r="D4858" s="1">
        <v>1800</v>
      </c>
      <c r="E4858" s="1">
        <v>2150</v>
      </c>
      <c r="G4858" s="2">
        <f t="shared" si="75"/>
        <v>2150</v>
      </c>
      <c r="H4858" t="s">
        <v>32</v>
      </c>
    </row>
    <row r="4859" spans="2:8" x14ac:dyDescent="0.2">
      <c r="B4859" s="3">
        <v>44889</v>
      </c>
      <c r="G4859" s="2">
        <f t="shared" si="75"/>
        <v>0</v>
      </c>
      <c r="H4859" s="1"/>
    </row>
    <row r="4860" spans="2:8" x14ac:dyDescent="0.2">
      <c r="B4860" s="3">
        <v>44890</v>
      </c>
      <c r="D4860" s="28"/>
      <c r="G4860" s="2">
        <f t="shared" si="75"/>
        <v>0</v>
      </c>
      <c r="H4860" t="s">
        <v>14</v>
      </c>
    </row>
    <row r="4861" spans="2:8" x14ac:dyDescent="0.2">
      <c r="B4861" s="3">
        <v>44890</v>
      </c>
      <c r="G4861" s="2">
        <f t="shared" si="75"/>
        <v>0</v>
      </c>
      <c r="H4861" t="s">
        <v>27</v>
      </c>
    </row>
    <row r="4862" spans="2:8" x14ac:dyDescent="0.2">
      <c r="B4862" s="3">
        <v>44890</v>
      </c>
      <c r="G4862" s="2">
        <f t="shared" si="75"/>
        <v>0</v>
      </c>
      <c r="H4862" t="s">
        <v>13</v>
      </c>
    </row>
    <row r="4863" spans="2:8" x14ac:dyDescent="0.2">
      <c r="B4863" s="3">
        <v>44890</v>
      </c>
      <c r="F4863" s="1">
        <v>64528</v>
      </c>
      <c r="G4863" s="2">
        <f t="shared" si="75"/>
        <v>-64528</v>
      </c>
      <c r="H4863" t="s">
        <v>30</v>
      </c>
    </row>
    <row r="4864" spans="2:8" x14ac:dyDescent="0.2">
      <c r="B4864" s="3">
        <v>44890</v>
      </c>
      <c r="G4864" s="2">
        <f t="shared" si="75"/>
        <v>0</v>
      </c>
      <c r="H4864" t="s">
        <v>35</v>
      </c>
    </row>
    <row r="4865" spans="2:8" x14ac:dyDescent="0.2">
      <c r="B4865" s="3">
        <v>44890</v>
      </c>
      <c r="G4865" s="2">
        <f t="shared" si="75"/>
        <v>0</v>
      </c>
      <c r="H4865" t="s">
        <v>25</v>
      </c>
    </row>
    <row r="4866" spans="2:8" x14ac:dyDescent="0.2">
      <c r="B4866" s="3">
        <v>44890</v>
      </c>
      <c r="G4866" s="2">
        <f t="shared" si="75"/>
        <v>0</v>
      </c>
      <c r="H4866" t="s">
        <v>9</v>
      </c>
    </row>
    <row r="4867" spans="2:8" x14ac:dyDescent="0.2">
      <c r="B4867" s="3">
        <v>44890</v>
      </c>
      <c r="G4867" s="2">
        <f t="shared" ref="G4867:G4930" si="76">E4867-F4867</f>
        <v>0</v>
      </c>
      <c r="H4867" t="s">
        <v>32</v>
      </c>
    </row>
    <row r="4868" spans="2:8" x14ac:dyDescent="0.2">
      <c r="B4868" s="3">
        <v>44890</v>
      </c>
      <c r="G4868" s="2">
        <f t="shared" si="76"/>
        <v>0</v>
      </c>
      <c r="H4868" s="1"/>
    </row>
    <row r="4869" spans="2:8" x14ac:dyDescent="0.2">
      <c r="B4869" s="3">
        <v>44891</v>
      </c>
      <c r="D4869" s="28"/>
      <c r="G4869" s="2">
        <f t="shared" si="76"/>
        <v>0</v>
      </c>
      <c r="H4869" t="s">
        <v>14</v>
      </c>
    </row>
    <row r="4870" spans="2:8" x14ac:dyDescent="0.2">
      <c r="B4870" s="3">
        <v>44891</v>
      </c>
      <c r="G4870" s="2">
        <f t="shared" si="76"/>
        <v>0</v>
      </c>
      <c r="H4870" t="s">
        <v>27</v>
      </c>
    </row>
    <row r="4871" spans="2:8" x14ac:dyDescent="0.2">
      <c r="B4871" s="3">
        <v>44891</v>
      </c>
      <c r="G4871" s="2">
        <f t="shared" si="76"/>
        <v>0</v>
      </c>
      <c r="H4871" t="s">
        <v>13</v>
      </c>
    </row>
    <row r="4872" spans="2:8" x14ac:dyDescent="0.2">
      <c r="B4872" s="3">
        <v>44891</v>
      </c>
      <c r="F4872" s="1">
        <v>658.79</v>
      </c>
      <c r="G4872" s="2">
        <f t="shared" si="76"/>
        <v>-658.79</v>
      </c>
      <c r="H4872" t="s">
        <v>30</v>
      </c>
    </row>
    <row r="4873" spans="2:8" x14ac:dyDescent="0.2">
      <c r="B4873" s="3">
        <v>44891</v>
      </c>
      <c r="F4873" s="1">
        <v>1067</v>
      </c>
      <c r="G4873" s="2">
        <f t="shared" si="76"/>
        <v>-1067</v>
      </c>
      <c r="H4873" t="s">
        <v>35</v>
      </c>
    </row>
    <row r="4874" spans="2:8" x14ac:dyDescent="0.2">
      <c r="B4874" s="3">
        <v>44891</v>
      </c>
      <c r="G4874" s="2">
        <f t="shared" si="76"/>
        <v>0</v>
      </c>
      <c r="H4874" t="s">
        <v>25</v>
      </c>
    </row>
    <row r="4875" spans="2:8" x14ac:dyDescent="0.2">
      <c r="B4875" s="3">
        <v>44891</v>
      </c>
      <c r="G4875" s="2">
        <f t="shared" si="76"/>
        <v>0</v>
      </c>
      <c r="H4875" t="s">
        <v>9</v>
      </c>
    </row>
    <row r="4876" spans="2:8" x14ac:dyDescent="0.2">
      <c r="B4876" s="3">
        <v>44891</v>
      </c>
      <c r="G4876" s="2">
        <f t="shared" si="76"/>
        <v>0</v>
      </c>
      <c r="H4876" t="s">
        <v>32</v>
      </c>
    </row>
    <row r="4877" spans="2:8" x14ac:dyDescent="0.2">
      <c r="B4877" s="3">
        <v>44891</v>
      </c>
      <c r="G4877" s="2">
        <f t="shared" si="76"/>
        <v>0</v>
      </c>
      <c r="H4877" s="1"/>
    </row>
    <row r="4878" spans="2:8" x14ac:dyDescent="0.2">
      <c r="B4878" s="3">
        <v>44892</v>
      </c>
      <c r="D4878" s="28"/>
      <c r="G4878" s="2">
        <f t="shared" si="76"/>
        <v>0</v>
      </c>
      <c r="H4878" t="s">
        <v>14</v>
      </c>
    </row>
    <row r="4879" spans="2:8" x14ac:dyDescent="0.2">
      <c r="B4879" s="3">
        <v>44892</v>
      </c>
      <c r="D4879" s="1">
        <v>5790</v>
      </c>
      <c r="E4879" s="1">
        <v>7203</v>
      </c>
      <c r="G4879" s="2">
        <f t="shared" si="76"/>
        <v>7203</v>
      </c>
      <c r="H4879" t="s">
        <v>27</v>
      </c>
    </row>
    <row r="4880" spans="2:8" x14ac:dyDescent="0.2">
      <c r="B4880" s="3">
        <v>44892</v>
      </c>
      <c r="G4880" s="2">
        <f t="shared" si="76"/>
        <v>0</v>
      </c>
      <c r="H4880" t="s">
        <v>13</v>
      </c>
    </row>
    <row r="4881" spans="2:8" x14ac:dyDescent="0.2">
      <c r="B4881" s="3">
        <v>44892</v>
      </c>
      <c r="G4881" s="2">
        <f t="shared" si="76"/>
        <v>0</v>
      </c>
      <c r="H4881" t="s">
        <v>30</v>
      </c>
    </row>
    <row r="4882" spans="2:8" x14ac:dyDescent="0.2">
      <c r="B4882" s="3">
        <v>44892</v>
      </c>
      <c r="G4882" s="2">
        <f t="shared" si="76"/>
        <v>0</v>
      </c>
      <c r="H4882" t="s">
        <v>35</v>
      </c>
    </row>
    <row r="4883" spans="2:8" x14ac:dyDescent="0.2">
      <c r="B4883" s="3">
        <v>44892</v>
      </c>
      <c r="G4883" s="2">
        <f t="shared" si="76"/>
        <v>0</v>
      </c>
      <c r="H4883" t="s">
        <v>25</v>
      </c>
    </row>
    <row r="4884" spans="2:8" x14ac:dyDescent="0.2">
      <c r="B4884" s="3">
        <v>44892</v>
      </c>
      <c r="G4884" s="2">
        <f t="shared" si="76"/>
        <v>0</v>
      </c>
      <c r="H4884" t="s">
        <v>9</v>
      </c>
    </row>
    <row r="4885" spans="2:8" x14ac:dyDescent="0.2">
      <c r="B4885" s="3">
        <v>44892</v>
      </c>
      <c r="G4885" s="2">
        <f t="shared" si="76"/>
        <v>0</v>
      </c>
      <c r="H4885" t="s">
        <v>32</v>
      </c>
    </row>
    <row r="4886" spans="2:8" x14ac:dyDescent="0.2">
      <c r="B4886" s="3">
        <v>44892</v>
      </c>
      <c r="G4886" s="2">
        <f t="shared" si="76"/>
        <v>0</v>
      </c>
      <c r="H4886" s="2"/>
    </row>
    <row r="4887" spans="2:8" x14ac:dyDescent="0.2">
      <c r="B4887" s="3">
        <v>44893</v>
      </c>
      <c r="D4887" s="28"/>
      <c r="F4887" s="1">
        <v>50000</v>
      </c>
      <c r="G4887" s="2">
        <f t="shared" si="76"/>
        <v>-50000</v>
      </c>
      <c r="H4887" t="s">
        <v>14</v>
      </c>
    </row>
    <row r="4888" spans="2:8" x14ac:dyDescent="0.2">
      <c r="B4888" s="3">
        <v>44893</v>
      </c>
      <c r="G4888" s="2">
        <f t="shared" si="76"/>
        <v>0</v>
      </c>
      <c r="H4888" t="s">
        <v>27</v>
      </c>
    </row>
    <row r="4889" spans="2:8" x14ac:dyDescent="0.2">
      <c r="B4889" s="3">
        <v>44893</v>
      </c>
      <c r="D4889" s="1">
        <v>968.5</v>
      </c>
      <c r="E4889" s="1">
        <v>1107.5</v>
      </c>
      <c r="F4889" s="1">
        <v>3000</v>
      </c>
      <c r="G4889" s="2">
        <f t="shared" si="76"/>
        <v>-1892.5</v>
      </c>
      <c r="H4889" t="s">
        <v>13</v>
      </c>
    </row>
    <row r="4890" spans="2:8" x14ac:dyDescent="0.2">
      <c r="B4890" s="3">
        <v>44893</v>
      </c>
      <c r="G4890" s="2">
        <f t="shared" si="76"/>
        <v>0</v>
      </c>
      <c r="H4890" t="s">
        <v>30</v>
      </c>
    </row>
    <row r="4891" spans="2:8" x14ac:dyDescent="0.2">
      <c r="B4891" s="3">
        <v>44893</v>
      </c>
      <c r="G4891" s="2">
        <f t="shared" si="76"/>
        <v>0</v>
      </c>
      <c r="H4891" t="s">
        <v>35</v>
      </c>
    </row>
    <row r="4892" spans="2:8" x14ac:dyDescent="0.2">
      <c r="B4892" s="3">
        <v>44893</v>
      </c>
      <c r="G4892" s="2">
        <f t="shared" si="76"/>
        <v>0</v>
      </c>
      <c r="H4892" t="s">
        <v>25</v>
      </c>
    </row>
    <row r="4893" spans="2:8" x14ac:dyDescent="0.2">
      <c r="B4893" s="3">
        <v>44893</v>
      </c>
      <c r="G4893" s="2">
        <f t="shared" si="76"/>
        <v>0</v>
      </c>
      <c r="H4893" t="s">
        <v>9</v>
      </c>
    </row>
    <row r="4894" spans="2:8" x14ac:dyDescent="0.2">
      <c r="B4894" s="3">
        <v>44893</v>
      </c>
      <c r="G4894" s="2">
        <f t="shared" si="76"/>
        <v>0</v>
      </c>
      <c r="H4894" t="s">
        <v>32</v>
      </c>
    </row>
    <row r="4895" spans="2:8" x14ac:dyDescent="0.2">
      <c r="B4895" s="3">
        <v>44893</v>
      </c>
      <c r="G4895" s="2">
        <f t="shared" si="76"/>
        <v>0</v>
      </c>
      <c r="H4895" s="1"/>
    </row>
    <row r="4896" spans="2:8" x14ac:dyDescent="0.2">
      <c r="B4896" s="3">
        <v>44894</v>
      </c>
      <c r="D4896" s="28"/>
      <c r="G4896" s="2">
        <f t="shared" si="76"/>
        <v>0</v>
      </c>
      <c r="H4896" t="s">
        <v>14</v>
      </c>
    </row>
    <row r="4897" spans="2:8" x14ac:dyDescent="0.2">
      <c r="B4897" s="3">
        <v>44894</v>
      </c>
      <c r="F4897" s="1">
        <v>198.85500000000002</v>
      </c>
      <c r="G4897" s="2">
        <f t="shared" si="76"/>
        <v>-198.85500000000002</v>
      </c>
      <c r="H4897" t="s">
        <v>27</v>
      </c>
    </row>
    <row r="4898" spans="2:8" x14ac:dyDescent="0.2">
      <c r="B4898" s="3">
        <v>44894</v>
      </c>
      <c r="G4898" s="2">
        <f t="shared" si="76"/>
        <v>0</v>
      </c>
      <c r="H4898" t="s">
        <v>13</v>
      </c>
    </row>
    <row r="4899" spans="2:8" x14ac:dyDescent="0.2">
      <c r="B4899" s="3">
        <v>44894</v>
      </c>
      <c r="G4899" s="2">
        <f t="shared" si="76"/>
        <v>0</v>
      </c>
      <c r="H4899" t="s">
        <v>30</v>
      </c>
    </row>
    <row r="4900" spans="2:8" x14ac:dyDescent="0.2">
      <c r="B4900" s="3">
        <v>44894</v>
      </c>
      <c r="G4900" s="2">
        <f t="shared" si="76"/>
        <v>0</v>
      </c>
      <c r="H4900" t="s">
        <v>35</v>
      </c>
    </row>
    <row r="4901" spans="2:8" x14ac:dyDescent="0.2">
      <c r="B4901" s="3">
        <v>44894</v>
      </c>
      <c r="G4901" s="2">
        <f t="shared" si="76"/>
        <v>0</v>
      </c>
      <c r="H4901" t="s">
        <v>25</v>
      </c>
    </row>
    <row r="4902" spans="2:8" x14ac:dyDescent="0.2">
      <c r="B4902" s="3">
        <v>44894</v>
      </c>
      <c r="G4902" s="2">
        <f t="shared" si="76"/>
        <v>0</v>
      </c>
      <c r="H4902" t="s">
        <v>9</v>
      </c>
    </row>
    <row r="4903" spans="2:8" x14ac:dyDescent="0.2">
      <c r="B4903" s="3">
        <v>44894</v>
      </c>
      <c r="G4903" s="2">
        <f t="shared" si="76"/>
        <v>0</v>
      </c>
      <c r="H4903" t="s">
        <v>32</v>
      </c>
    </row>
    <row r="4904" spans="2:8" x14ac:dyDescent="0.2">
      <c r="B4904" s="3">
        <v>44894</v>
      </c>
      <c r="G4904" s="2">
        <f t="shared" si="76"/>
        <v>0</v>
      </c>
      <c r="H4904" s="1"/>
    </row>
    <row r="4905" spans="2:8" x14ac:dyDescent="0.2">
      <c r="B4905" s="3">
        <v>44895</v>
      </c>
      <c r="D4905" s="28"/>
      <c r="G4905" s="2">
        <f t="shared" si="76"/>
        <v>0</v>
      </c>
      <c r="H4905" t="s">
        <v>14</v>
      </c>
    </row>
    <row r="4906" spans="2:8" x14ac:dyDescent="0.2">
      <c r="B4906" s="3">
        <v>44895</v>
      </c>
      <c r="D4906" s="1">
        <v>1250</v>
      </c>
      <c r="E4906" s="1">
        <v>1500</v>
      </c>
      <c r="F4906" s="1">
        <v>7500</v>
      </c>
      <c r="G4906" s="2">
        <f t="shared" si="76"/>
        <v>-6000</v>
      </c>
      <c r="H4906" t="s">
        <v>27</v>
      </c>
    </row>
    <row r="4907" spans="2:8" x14ac:dyDescent="0.2">
      <c r="B4907" s="3">
        <v>44895</v>
      </c>
      <c r="G4907" s="2">
        <f t="shared" si="76"/>
        <v>0</v>
      </c>
      <c r="H4907" t="s">
        <v>13</v>
      </c>
    </row>
    <row r="4908" spans="2:8" x14ac:dyDescent="0.2">
      <c r="B4908" s="3">
        <v>44895</v>
      </c>
      <c r="G4908" s="2">
        <f t="shared" si="76"/>
        <v>0</v>
      </c>
      <c r="H4908" t="s">
        <v>30</v>
      </c>
    </row>
    <row r="4909" spans="2:8" x14ac:dyDescent="0.2">
      <c r="B4909" s="3">
        <v>44895</v>
      </c>
      <c r="D4909" s="1">
        <v>207.75</v>
      </c>
      <c r="E4909" s="1">
        <v>241.25</v>
      </c>
      <c r="G4909" s="2">
        <f t="shared" si="76"/>
        <v>241.25</v>
      </c>
      <c r="H4909" t="s">
        <v>35</v>
      </c>
    </row>
    <row r="4910" spans="2:8" x14ac:dyDescent="0.2">
      <c r="B4910" s="3">
        <v>44895</v>
      </c>
      <c r="G4910" s="2">
        <f t="shared" si="76"/>
        <v>0</v>
      </c>
      <c r="H4910" t="s">
        <v>25</v>
      </c>
    </row>
    <row r="4911" spans="2:8" x14ac:dyDescent="0.2">
      <c r="B4911" s="3">
        <v>44895</v>
      </c>
      <c r="G4911" s="2">
        <f t="shared" si="76"/>
        <v>0</v>
      </c>
      <c r="H4911" t="s">
        <v>9</v>
      </c>
    </row>
    <row r="4912" spans="2:8" x14ac:dyDescent="0.2">
      <c r="B4912" s="3">
        <v>44895</v>
      </c>
      <c r="G4912" s="2">
        <f t="shared" si="76"/>
        <v>0</v>
      </c>
      <c r="H4912" t="s">
        <v>32</v>
      </c>
    </row>
    <row r="4913" spans="2:8" x14ac:dyDescent="0.2">
      <c r="B4913" s="3">
        <v>44895</v>
      </c>
      <c r="G4913" s="2">
        <f t="shared" si="76"/>
        <v>0</v>
      </c>
      <c r="H4913" s="1"/>
    </row>
    <row r="4914" spans="2:8" x14ac:dyDescent="0.2">
      <c r="B4914" s="3">
        <v>44896</v>
      </c>
      <c r="D4914" s="28">
        <f>5600+625+785+530</f>
        <v>7540</v>
      </c>
      <c r="E4914" s="1">
        <v>8490</v>
      </c>
      <c r="G4914" s="2">
        <f t="shared" si="76"/>
        <v>8490</v>
      </c>
      <c r="H4914" t="s">
        <v>14</v>
      </c>
    </row>
    <row r="4915" spans="2:8" x14ac:dyDescent="0.2">
      <c r="B4915" s="3">
        <v>44896</v>
      </c>
      <c r="D4915" s="1">
        <v>4000</v>
      </c>
      <c r="E4915" s="1">
        <v>4800</v>
      </c>
      <c r="G4915" s="2">
        <f t="shared" si="76"/>
        <v>4800</v>
      </c>
      <c r="H4915" t="s">
        <v>27</v>
      </c>
    </row>
    <row r="4916" spans="2:8" x14ac:dyDescent="0.2">
      <c r="B4916" s="3">
        <v>44896</v>
      </c>
      <c r="G4916" s="2">
        <f t="shared" si="76"/>
        <v>0</v>
      </c>
      <c r="H4916" t="s">
        <v>13</v>
      </c>
    </row>
    <row r="4917" spans="2:8" x14ac:dyDescent="0.2">
      <c r="B4917" s="3">
        <v>44896</v>
      </c>
      <c r="G4917" s="2">
        <f t="shared" si="76"/>
        <v>0</v>
      </c>
      <c r="H4917" t="s">
        <v>30</v>
      </c>
    </row>
    <row r="4918" spans="2:8" x14ac:dyDescent="0.2">
      <c r="B4918" s="3">
        <v>44896</v>
      </c>
      <c r="G4918" s="2">
        <f t="shared" si="76"/>
        <v>0</v>
      </c>
      <c r="H4918" t="s">
        <v>35</v>
      </c>
    </row>
    <row r="4919" spans="2:8" x14ac:dyDescent="0.2">
      <c r="B4919" s="3">
        <v>44896</v>
      </c>
      <c r="G4919" s="2">
        <f t="shared" si="76"/>
        <v>0</v>
      </c>
      <c r="H4919" t="s">
        <v>25</v>
      </c>
    </row>
    <row r="4920" spans="2:8" x14ac:dyDescent="0.2">
      <c r="B4920" s="3">
        <v>44896</v>
      </c>
      <c r="G4920" s="2">
        <f t="shared" si="76"/>
        <v>0</v>
      </c>
      <c r="H4920" t="s">
        <v>9</v>
      </c>
    </row>
    <row r="4921" spans="2:8" x14ac:dyDescent="0.2">
      <c r="B4921" s="3">
        <v>44896</v>
      </c>
      <c r="F4921" s="1">
        <v>2152.5</v>
      </c>
      <c r="G4921" s="2">
        <f t="shared" si="76"/>
        <v>-2152.5</v>
      </c>
      <c r="H4921" t="s">
        <v>32</v>
      </c>
    </row>
    <row r="4922" spans="2:8" x14ac:dyDescent="0.2">
      <c r="B4922" s="3">
        <v>44896</v>
      </c>
      <c r="G4922" s="2">
        <f t="shared" si="76"/>
        <v>0</v>
      </c>
      <c r="H4922" s="1"/>
    </row>
    <row r="4923" spans="2:8" x14ac:dyDescent="0.2">
      <c r="B4923" s="3">
        <v>44897</v>
      </c>
      <c r="D4923" s="28"/>
      <c r="G4923" s="2">
        <f t="shared" si="76"/>
        <v>0</v>
      </c>
      <c r="H4923" t="s">
        <v>14</v>
      </c>
    </row>
    <row r="4924" spans="2:8" x14ac:dyDescent="0.2">
      <c r="B4924" s="3">
        <v>44897</v>
      </c>
      <c r="G4924" s="2">
        <f t="shared" si="76"/>
        <v>0</v>
      </c>
      <c r="H4924" t="s">
        <v>27</v>
      </c>
    </row>
    <row r="4925" spans="2:8" x14ac:dyDescent="0.2">
      <c r="B4925" s="3">
        <v>44897</v>
      </c>
      <c r="G4925" s="2">
        <f t="shared" si="76"/>
        <v>0</v>
      </c>
      <c r="H4925" t="s">
        <v>13</v>
      </c>
    </row>
    <row r="4926" spans="2:8" x14ac:dyDescent="0.2">
      <c r="B4926" s="3">
        <v>44897</v>
      </c>
      <c r="G4926" s="2">
        <f t="shared" si="76"/>
        <v>0</v>
      </c>
      <c r="H4926" t="s">
        <v>30</v>
      </c>
    </row>
    <row r="4927" spans="2:8" x14ac:dyDescent="0.2">
      <c r="B4927" s="3">
        <v>44897</v>
      </c>
      <c r="G4927" s="2">
        <f t="shared" si="76"/>
        <v>0</v>
      </c>
      <c r="H4927" t="s">
        <v>35</v>
      </c>
    </row>
    <row r="4928" spans="2:8" x14ac:dyDescent="0.2">
      <c r="B4928" s="3">
        <v>44897</v>
      </c>
      <c r="G4928" s="2">
        <f t="shared" si="76"/>
        <v>0</v>
      </c>
      <c r="H4928" t="s">
        <v>25</v>
      </c>
    </row>
    <row r="4929" spans="2:8" x14ac:dyDescent="0.2">
      <c r="B4929" s="3">
        <v>44897</v>
      </c>
      <c r="G4929" s="2">
        <f t="shared" si="76"/>
        <v>0</v>
      </c>
      <c r="H4929" t="s">
        <v>9</v>
      </c>
    </row>
    <row r="4930" spans="2:8" x14ac:dyDescent="0.2">
      <c r="B4930" s="3">
        <v>44897</v>
      </c>
      <c r="G4930" s="2">
        <f t="shared" si="76"/>
        <v>0</v>
      </c>
      <c r="H4930" t="s">
        <v>32</v>
      </c>
    </row>
    <row r="4931" spans="2:8" x14ac:dyDescent="0.2">
      <c r="B4931" s="3">
        <v>44897</v>
      </c>
      <c r="G4931" s="2">
        <f t="shared" ref="G4931:G4994" si="77">E4931-F4931</f>
        <v>0</v>
      </c>
      <c r="H4931" s="1"/>
    </row>
    <row r="4932" spans="2:8" x14ac:dyDescent="0.2">
      <c r="B4932" s="3">
        <v>44898</v>
      </c>
      <c r="D4932" s="28"/>
      <c r="G4932" s="2">
        <f t="shared" si="77"/>
        <v>0</v>
      </c>
      <c r="H4932" t="s">
        <v>14</v>
      </c>
    </row>
    <row r="4933" spans="2:8" x14ac:dyDescent="0.2">
      <c r="B4933" s="3">
        <v>44898</v>
      </c>
      <c r="G4933" s="2">
        <f t="shared" si="77"/>
        <v>0</v>
      </c>
      <c r="H4933" t="s">
        <v>27</v>
      </c>
    </row>
    <row r="4934" spans="2:8" x14ac:dyDescent="0.2">
      <c r="B4934" s="3">
        <v>44898</v>
      </c>
      <c r="G4934" s="2">
        <f t="shared" si="77"/>
        <v>0</v>
      </c>
      <c r="H4934" t="s">
        <v>13</v>
      </c>
    </row>
    <row r="4935" spans="2:8" x14ac:dyDescent="0.2">
      <c r="B4935" s="3">
        <v>44898</v>
      </c>
      <c r="G4935" s="2">
        <f t="shared" si="77"/>
        <v>0</v>
      </c>
      <c r="H4935" t="s">
        <v>30</v>
      </c>
    </row>
    <row r="4936" spans="2:8" x14ac:dyDescent="0.2">
      <c r="B4936" s="3">
        <v>44898</v>
      </c>
      <c r="G4936" s="2">
        <f t="shared" si="77"/>
        <v>0</v>
      </c>
      <c r="H4936" t="s">
        <v>35</v>
      </c>
    </row>
    <row r="4937" spans="2:8" x14ac:dyDescent="0.2">
      <c r="B4937" s="3">
        <v>44898</v>
      </c>
      <c r="G4937" s="2">
        <f t="shared" si="77"/>
        <v>0</v>
      </c>
      <c r="H4937" t="s">
        <v>25</v>
      </c>
    </row>
    <row r="4938" spans="2:8" x14ac:dyDescent="0.2">
      <c r="B4938" s="3">
        <v>44898</v>
      </c>
      <c r="G4938" s="2">
        <f t="shared" si="77"/>
        <v>0</v>
      </c>
      <c r="H4938" t="s">
        <v>9</v>
      </c>
    </row>
    <row r="4939" spans="2:8" x14ac:dyDescent="0.2">
      <c r="B4939" s="3">
        <v>44898</v>
      </c>
      <c r="G4939" s="2">
        <f t="shared" si="77"/>
        <v>0</v>
      </c>
      <c r="H4939" t="s">
        <v>32</v>
      </c>
    </row>
    <row r="4940" spans="2:8" x14ac:dyDescent="0.2">
      <c r="B4940" s="3">
        <v>44898</v>
      </c>
      <c r="G4940" s="2">
        <f t="shared" si="77"/>
        <v>0</v>
      </c>
      <c r="H4940" s="1"/>
    </row>
    <row r="4941" spans="2:8" x14ac:dyDescent="0.2">
      <c r="B4941" s="3">
        <v>44899</v>
      </c>
      <c r="D4941" s="28"/>
      <c r="G4941" s="2">
        <f t="shared" si="77"/>
        <v>0</v>
      </c>
      <c r="H4941" t="s">
        <v>14</v>
      </c>
    </row>
    <row r="4942" spans="2:8" x14ac:dyDescent="0.2">
      <c r="B4942" s="3">
        <v>44899</v>
      </c>
      <c r="G4942" s="2">
        <f t="shared" si="77"/>
        <v>0</v>
      </c>
      <c r="H4942" t="s">
        <v>27</v>
      </c>
    </row>
    <row r="4943" spans="2:8" x14ac:dyDescent="0.2">
      <c r="B4943" s="3">
        <v>44899</v>
      </c>
      <c r="D4943" s="1">
        <v>2220</v>
      </c>
      <c r="E4943" s="1">
        <v>2515</v>
      </c>
      <c r="G4943" s="2">
        <f t="shared" si="77"/>
        <v>2515</v>
      </c>
      <c r="H4943" t="s">
        <v>13</v>
      </c>
    </row>
    <row r="4944" spans="2:8" x14ac:dyDescent="0.2">
      <c r="B4944" s="3">
        <v>44899</v>
      </c>
      <c r="G4944" s="2">
        <f t="shared" si="77"/>
        <v>0</v>
      </c>
      <c r="H4944" t="s">
        <v>30</v>
      </c>
    </row>
    <row r="4945" spans="2:8" x14ac:dyDescent="0.2">
      <c r="B4945" s="3">
        <v>44899</v>
      </c>
      <c r="G4945" s="2">
        <f t="shared" si="77"/>
        <v>0</v>
      </c>
      <c r="H4945" t="s">
        <v>35</v>
      </c>
    </row>
    <row r="4946" spans="2:8" x14ac:dyDescent="0.2">
      <c r="B4946" s="3">
        <v>44899</v>
      </c>
      <c r="G4946" s="2">
        <f t="shared" si="77"/>
        <v>0</v>
      </c>
      <c r="H4946" t="s">
        <v>25</v>
      </c>
    </row>
    <row r="4947" spans="2:8" x14ac:dyDescent="0.2">
      <c r="B4947" s="3">
        <v>44899</v>
      </c>
      <c r="G4947" s="2">
        <f t="shared" si="77"/>
        <v>0</v>
      </c>
      <c r="H4947" t="s">
        <v>9</v>
      </c>
    </row>
    <row r="4948" spans="2:8" x14ac:dyDescent="0.2">
      <c r="B4948" s="3">
        <v>44899</v>
      </c>
      <c r="G4948" s="2">
        <f t="shared" si="77"/>
        <v>0</v>
      </c>
      <c r="H4948" t="s">
        <v>32</v>
      </c>
    </row>
    <row r="4949" spans="2:8" x14ac:dyDescent="0.2">
      <c r="B4949" s="3">
        <v>44899</v>
      </c>
      <c r="G4949" s="2">
        <f t="shared" si="77"/>
        <v>0</v>
      </c>
      <c r="H4949" s="1"/>
    </row>
    <row r="4950" spans="2:8" x14ac:dyDescent="0.2">
      <c r="B4950" s="3">
        <v>44900</v>
      </c>
      <c r="D4950" s="28"/>
      <c r="G4950" s="2">
        <f t="shared" si="77"/>
        <v>0</v>
      </c>
      <c r="H4950" t="s">
        <v>14</v>
      </c>
    </row>
    <row r="4951" spans="2:8" x14ac:dyDescent="0.2">
      <c r="B4951" s="3">
        <v>44900</v>
      </c>
      <c r="G4951" s="2">
        <f t="shared" si="77"/>
        <v>0</v>
      </c>
      <c r="H4951" t="s">
        <v>27</v>
      </c>
    </row>
    <row r="4952" spans="2:8" x14ac:dyDescent="0.2">
      <c r="B4952" s="3">
        <v>44900</v>
      </c>
      <c r="G4952" s="2">
        <f t="shared" si="77"/>
        <v>0</v>
      </c>
      <c r="H4952" t="s">
        <v>13</v>
      </c>
    </row>
    <row r="4953" spans="2:8" x14ac:dyDescent="0.2">
      <c r="B4953" s="3">
        <v>44900</v>
      </c>
      <c r="D4953" s="1">
        <v>2300</v>
      </c>
      <c r="E4953" s="1">
        <v>2600</v>
      </c>
      <c r="G4953" s="2">
        <f t="shared" si="77"/>
        <v>2600</v>
      </c>
      <c r="H4953" t="s">
        <v>30</v>
      </c>
    </row>
    <row r="4954" spans="2:8" x14ac:dyDescent="0.2">
      <c r="B4954" s="3">
        <v>44900</v>
      </c>
      <c r="D4954" s="1">
        <v>555</v>
      </c>
      <c r="E4954" s="1">
        <v>690</v>
      </c>
      <c r="F4954" s="1">
        <v>1038</v>
      </c>
      <c r="G4954" s="2">
        <f t="shared" si="77"/>
        <v>-348</v>
      </c>
      <c r="H4954" t="s">
        <v>35</v>
      </c>
    </row>
    <row r="4955" spans="2:8" x14ac:dyDescent="0.2">
      <c r="B4955" s="3">
        <v>44900</v>
      </c>
      <c r="D4955" s="1">
        <v>675</v>
      </c>
      <c r="E4955" s="1">
        <v>1160</v>
      </c>
      <c r="F4955" s="1">
        <v>1160</v>
      </c>
      <c r="G4955" s="2">
        <f t="shared" si="77"/>
        <v>0</v>
      </c>
      <c r="H4955" t="s">
        <v>25</v>
      </c>
    </row>
    <row r="4956" spans="2:8" x14ac:dyDescent="0.2">
      <c r="B4956" s="3">
        <v>44900</v>
      </c>
      <c r="G4956" s="2">
        <f t="shared" si="77"/>
        <v>0</v>
      </c>
      <c r="H4956" t="s">
        <v>9</v>
      </c>
    </row>
    <row r="4957" spans="2:8" x14ac:dyDescent="0.2">
      <c r="B4957" s="3">
        <v>44900</v>
      </c>
      <c r="G4957" s="2">
        <f t="shared" si="77"/>
        <v>0</v>
      </c>
      <c r="H4957" t="s">
        <v>32</v>
      </c>
    </row>
    <row r="4958" spans="2:8" x14ac:dyDescent="0.2">
      <c r="B4958" s="3">
        <v>44900</v>
      </c>
      <c r="F4958" s="1">
        <v>500</v>
      </c>
      <c r="G4958" s="2">
        <f t="shared" si="77"/>
        <v>-500</v>
      </c>
      <c r="H4958" t="s">
        <v>39</v>
      </c>
    </row>
    <row r="4959" spans="2:8" x14ac:dyDescent="0.2">
      <c r="B4959" s="3">
        <v>44901</v>
      </c>
      <c r="D4959" s="28">
        <f>1200+1440+363.75+3031.25</f>
        <v>6035</v>
      </c>
      <c r="E4959" s="1">
        <v>6875</v>
      </c>
      <c r="G4959" s="2">
        <f t="shared" si="77"/>
        <v>6875</v>
      </c>
      <c r="H4959" t="s">
        <v>14</v>
      </c>
    </row>
    <row r="4960" spans="2:8" x14ac:dyDescent="0.2">
      <c r="B4960" s="3">
        <v>44901</v>
      </c>
      <c r="G4960" s="2">
        <f t="shared" si="77"/>
        <v>0</v>
      </c>
      <c r="H4960" t="s">
        <v>27</v>
      </c>
    </row>
    <row r="4961" spans="2:8" x14ac:dyDescent="0.2">
      <c r="B4961" s="3">
        <v>44901</v>
      </c>
      <c r="D4961" s="1">
        <v>2123.75</v>
      </c>
      <c r="E4961" s="1">
        <v>2542.5</v>
      </c>
      <c r="G4961" s="2">
        <f t="shared" si="77"/>
        <v>2542.5</v>
      </c>
      <c r="H4961" t="s">
        <v>13</v>
      </c>
    </row>
    <row r="4962" spans="2:8" x14ac:dyDescent="0.2">
      <c r="B4962" s="3">
        <v>44901</v>
      </c>
      <c r="G4962" s="2">
        <f t="shared" si="77"/>
        <v>0</v>
      </c>
      <c r="H4962" t="s">
        <v>30</v>
      </c>
    </row>
    <row r="4963" spans="2:8" x14ac:dyDescent="0.2">
      <c r="B4963" s="3">
        <v>44901</v>
      </c>
      <c r="G4963" s="2">
        <f t="shared" si="77"/>
        <v>0</v>
      </c>
      <c r="H4963" t="s">
        <v>35</v>
      </c>
    </row>
    <row r="4964" spans="2:8" x14ac:dyDescent="0.2">
      <c r="B4964" s="3">
        <v>44901</v>
      </c>
      <c r="G4964" s="2">
        <f t="shared" si="77"/>
        <v>0</v>
      </c>
      <c r="H4964" t="s">
        <v>25</v>
      </c>
    </row>
    <row r="4965" spans="2:8" x14ac:dyDescent="0.2">
      <c r="B4965" s="3">
        <v>44901</v>
      </c>
      <c r="G4965" s="2">
        <f t="shared" si="77"/>
        <v>0</v>
      </c>
      <c r="H4965" t="s">
        <v>9</v>
      </c>
    </row>
    <row r="4966" spans="2:8" x14ac:dyDescent="0.2">
      <c r="B4966" s="3">
        <v>44901</v>
      </c>
      <c r="G4966" s="2">
        <f t="shared" si="77"/>
        <v>0</v>
      </c>
      <c r="H4966" t="s">
        <v>32</v>
      </c>
    </row>
    <row r="4967" spans="2:8" x14ac:dyDescent="0.2">
      <c r="B4967" s="3">
        <v>44901</v>
      </c>
      <c r="F4967" s="1">
        <v>300</v>
      </c>
      <c r="G4967" s="2">
        <f t="shared" si="77"/>
        <v>-300</v>
      </c>
      <c r="H4967" t="s">
        <v>39</v>
      </c>
    </row>
    <row r="4968" spans="2:8" x14ac:dyDescent="0.2">
      <c r="B4968" s="3">
        <v>44902</v>
      </c>
      <c r="D4968" s="28"/>
      <c r="G4968" s="2">
        <f t="shared" si="77"/>
        <v>0</v>
      </c>
      <c r="H4968" t="s">
        <v>14</v>
      </c>
    </row>
    <row r="4969" spans="2:8" x14ac:dyDescent="0.2">
      <c r="B4969" s="3">
        <v>44902</v>
      </c>
      <c r="G4969" s="2">
        <f t="shared" si="77"/>
        <v>0</v>
      </c>
      <c r="H4969" t="s">
        <v>27</v>
      </c>
    </row>
    <row r="4970" spans="2:8" x14ac:dyDescent="0.2">
      <c r="B4970" s="3">
        <v>44902</v>
      </c>
      <c r="G4970" s="2">
        <f t="shared" si="77"/>
        <v>0</v>
      </c>
      <c r="H4970" t="s">
        <v>13</v>
      </c>
    </row>
    <row r="4971" spans="2:8" x14ac:dyDescent="0.2">
      <c r="B4971" s="3">
        <v>44902</v>
      </c>
      <c r="G4971" s="2">
        <f t="shared" si="77"/>
        <v>0</v>
      </c>
      <c r="H4971" t="s">
        <v>30</v>
      </c>
    </row>
    <row r="4972" spans="2:8" x14ac:dyDescent="0.2">
      <c r="B4972" s="3">
        <v>44902</v>
      </c>
      <c r="G4972" s="2">
        <f t="shared" si="77"/>
        <v>0</v>
      </c>
      <c r="H4972" t="s">
        <v>35</v>
      </c>
    </row>
    <row r="4973" spans="2:8" x14ac:dyDescent="0.2">
      <c r="B4973" s="3">
        <v>44902</v>
      </c>
      <c r="G4973" s="2">
        <f t="shared" si="77"/>
        <v>0</v>
      </c>
      <c r="H4973" t="s">
        <v>25</v>
      </c>
    </row>
    <row r="4974" spans="2:8" x14ac:dyDescent="0.2">
      <c r="B4974" s="3">
        <v>44902</v>
      </c>
      <c r="G4974" s="2">
        <f t="shared" si="77"/>
        <v>0</v>
      </c>
      <c r="H4974" t="s">
        <v>9</v>
      </c>
    </row>
    <row r="4975" spans="2:8" x14ac:dyDescent="0.2">
      <c r="B4975" s="3">
        <v>44902</v>
      </c>
      <c r="G4975" s="2">
        <f t="shared" si="77"/>
        <v>0</v>
      </c>
      <c r="H4975" t="s">
        <v>32</v>
      </c>
    </row>
    <row r="4976" spans="2:8" x14ac:dyDescent="0.2">
      <c r="B4976" s="3">
        <v>44902</v>
      </c>
      <c r="G4976" s="2">
        <f t="shared" si="77"/>
        <v>0</v>
      </c>
      <c r="H4976" s="1"/>
    </row>
    <row r="4977" spans="2:8" x14ac:dyDescent="0.2">
      <c r="B4977" s="3">
        <v>44903</v>
      </c>
      <c r="D4977" s="28"/>
      <c r="G4977" s="2">
        <f t="shared" si="77"/>
        <v>0</v>
      </c>
      <c r="H4977" t="s">
        <v>14</v>
      </c>
    </row>
    <row r="4978" spans="2:8" x14ac:dyDescent="0.2">
      <c r="B4978" s="3">
        <v>44903</v>
      </c>
      <c r="G4978" s="2">
        <f t="shared" si="77"/>
        <v>0</v>
      </c>
      <c r="H4978" t="s">
        <v>27</v>
      </c>
    </row>
    <row r="4979" spans="2:8" x14ac:dyDescent="0.2">
      <c r="B4979" s="3">
        <v>44903</v>
      </c>
      <c r="F4979" s="1">
        <v>3000</v>
      </c>
      <c r="G4979" s="2">
        <f t="shared" si="77"/>
        <v>-3000</v>
      </c>
      <c r="H4979" t="s">
        <v>13</v>
      </c>
    </row>
    <row r="4980" spans="2:8" x14ac:dyDescent="0.2">
      <c r="B4980" s="3">
        <v>44903</v>
      </c>
      <c r="G4980" s="2">
        <f t="shared" si="77"/>
        <v>0</v>
      </c>
      <c r="H4980" t="s">
        <v>30</v>
      </c>
    </row>
    <row r="4981" spans="2:8" x14ac:dyDescent="0.2">
      <c r="B4981" s="3">
        <v>44903</v>
      </c>
      <c r="G4981" s="2">
        <f t="shared" si="77"/>
        <v>0</v>
      </c>
      <c r="H4981" t="s">
        <v>35</v>
      </c>
    </row>
    <row r="4982" spans="2:8" x14ac:dyDescent="0.2">
      <c r="B4982" s="3">
        <v>44903</v>
      </c>
      <c r="G4982" s="2">
        <f t="shared" si="77"/>
        <v>0</v>
      </c>
      <c r="H4982" t="s">
        <v>25</v>
      </c>
    </row>
    <row r="4983" spans="2:8" x14ac:dyDescent="0.2">
      <c r="B4983" s="3">
        <v>44903</v>
      </c>
      <c r="G4983" s="2">
        <f t="shared" si="77"/>
        <v>0</v>
      </c>
      <c r="H4983" t="s">
        <v>9</v>
      </c>
    </row>
    <row r="4984" spans="2:8" x14ac:dyDescent="0.2">
      <c r="B4984" s="3">
        <v>44903</v>
      </c>
      <c r="G4984" s="2">
        <f t="shared" si="77"/>
        <v>0</v>
      </c>
      <c r="H4984" t="s">
        <v>32</v>
      </c>
    </row>
    <row r="4985" spans="2:8" x14ac:dyDescent="0.2">
      <c r="B4985" s="3">
        <v>44903</v>
      </c>
      <c r="G4985" s="2">
        <f t="shared" si="77"/>
        <v>0</v>
      </c>
      <c r="H4985" s="1"/>
    </row>
    <row r="4986" spans="2:8" x14ac:dyDescent="0.2">
      <c r="B4986" s="3">
        <v>44904</v>
      </c>
      <c r="D4986" s="28"/>
      <c r="G4986" s="2">
        <f t="shared" si="77"/>
        <v>0</v>
      </c>
      <c r="H4986" t="s">
        <v>14</v>
      </c>
    </row>
    <row r="4987" spans="2:8" x14ac:dyDescent="0.2">
      <c r="B4987" s="3">
        <v>44904</v>
      </c>
      <c r="G4987" s="2">
        <f t="shared" si="77"/>
        <v>0</v>
      </c>
      <c r="H4987" t="s">
        <v>27</v>
      </c>
    </row>
    <row r="4988" spans="2:8" x14ac:dyDescent="0.2">
      <c r="B4988" s="3">
        <v>44904</v>
      </c>
      <c r="G4988" s="2">
        <f t="shared" si="77"/>
        <v>0</v>
      </c>
      <c r="H4988" t="s">
        <v>13</v>
      </c>
    </row>
    <row r="4989" spans="2:8" x14ac:dyDescent="0.2">
      <c r="B4989" s="3">
        <v>44904</v>
      </c>
      <c r="G4989" s="2">
        <f t="shared" si="77"/>
        <v>0</v>
      </c>
      <c r="H4989" t="s">
        <v>30</v>
      </c>
    </row>
    <row r="4990" spans="2:8" x14ac:dyDescent="0.2">
      <c r="B4990" s="3">
        <v>44904</v>
      </c>
      <c r="G4990" s="2">
        <f t="shared" si="77"/>
        <v>0</v>
      </c>
      <c r="H4990" t="s">
        <v>35</v>
      </c>
    </row>
    <row r="4991" spans="2:8" x14ac:dyDescent="0.2">
      <c r="B4991" s="3">
        <v>44904</v>
      </c>
      <c r="G4991" s="2">
        <f t="shared" si="77"/>
        <v>0</v>
      </c>
      <c r="H4991" t="s">
        <v>25</v>
      </c>
    </row>
    <row r="4992" spans="2:8" x14ac:dyDescent="0.2">
      <c r="B4992" s="3">
        <v>44904</v>
      </c>
      <c r="G4992" s="2">
        <f t="shared" si="77"/>
        <v>0</v>
      </c>
      <c r="H4992" t="s">
        <v>9</v>
      </c>
    </row>
    <row r="4993" spans="2:8" x14ac:dyDescent="0.2">
      <c r="B4993" s="3">
        <v>44904</v>
      </c>
      <c r="G4993" s="2">
        <f t="shared" si="77"/>
        <v>0</v>
      </c>
      <c r="H4993" t="s">
        <v>32</v>
      </c>
    </row>
    <row r="4994" spans="2:8" x14ac:dyDescent="0.2">
      <c r="B4994" s="3">
        <v>44904</v>
      </c>
      <c r="G4994" s="2">
        <f t="shared" si="77"/>
        <v>0</v>
      </c>
      <c r="H4994" s="1"/>
    </row>
    <row r="4995" spans="2:8" x14ac:dyDescent="0.2">
      <c r="B4995" s="3">
        <v>44905</v>
      </c>
      <c r="D4995" s="28"/>
      <c r="G4995" s="2">
        <f t="shared" ref="G4995:G5058" si="78">E4995-F4995</f>
        <v>0</v>
      </c>
      <c r="H4995" t="s">
        <v>14</v>
      </c>
    </row>
    <row r="4996" spans="2:8" x14ac:dyDescent="0.2">
      <c r="B4996" s="3">
        <v>44905</v>
      </c>
      <c r="G4996" s="2">
        <f t="shared" si="78"/>
        <v>0</v>
      </c>
      <c r="H4996" t="s">
        <v>27</v>
      </c>
    </row>
    <row r="4997" spans="2:8" x14ac:dyDescent="0.2">
      <c r="B4997" s="3">
        <v>44905</v>
      </c>
      <c r="G4997" s="2">
        <f t="shared" si="78"/>
        <v>0</v>
      </c>
      <c r="H4997" t="s">
        <v>13</v>
      </c>
    </row>
    <row r="4998" spans="2:8" x14ac:dyDescent="0.2">
      <c r="B4998" s="3">
        <v>44905</v>
      </c>
      <c r="G4998" s="2">
        <f t="shared" si="78"/>
        <v>0</v>
      </c>
      <c r="H4998" t="s">
        <v>30</v>
      </c>
    </row>
    <row r="4999" spans="2:8" x14ac:dyDescent="0.2">
      <c r="B4999" s="3">
        <v>44905</v>
      </c>
      <c r="D4999" s="1">
        <v>577.5</v>
      </c>
      <c r="E4999" s="1">
        <v>697.5</v>
      </c>
      <c r="F4999" s="1">
        <v>600</v>
      </c>
      <c r="G4999" s="2">
        <f t="shared" si="78"/>
        <v>97.5</v>
      </c>
      <c r="H4999" t="s">
        <v>35</v>
      </c>
    </row>
    <row r="5000" spans="2:8" x14ac:dyDescent="0.2">
      <c r="B5000" s="3">
        <v>44905</v>
      </c>
      <c r="G5000" s="2">
        <f t="shared" si="78"/>
        <v>0</v>
      </c>
      <c r="H5000" t="s">
        <v>25</v>
      </c>
    </row>
    <row r="5001" spans="2:8" x14ac:dyDescent="0.2">
      <c r="B5001" s="3">
        <v>44905</v>
      </c>
      <c r="G5001" s="2">
        <f t="shared" si="78"/>
        <v>0</v>
      </c>
      <c r="H5001" t="s">
        <v>9</v>
      </c>
    </row>
    <row r="5002" spans="2:8" x14ac:dyDescent="0.2">
      <c r="B5002" s="3">
        <v>44905</v>
      </c>
      <c r="G5002" s="2">
        <f t="shared" si="78"/>
        <v>0</v>
      </c>
      <c r="H5002" t="s">
        <v>32</v>
      </c>
    </row>
    <row r="5003" spans="2:8" x14ac:dyDescent="0.2">
      <c r="B5003" s="3">
        <v>44905</v>
      </c>
      <c r="G5003" s="2">
        <f t="shared" si="78"/>
        <v>0</v>
      </c>
      <c r="H5003" s="1"/>
    </row>
    <row r="5004" spans="2:8" x14ac:dyDescent="0.2">
      <c r="B5004" s="3">
        <v>44906</v>
      </c>
      <c r="D5004" s="28"/>
      <c r="G5004" s="2">
        <f t="shared" si="78"/>
        <v>0</v>
      </c>
      <c r="H5004" t="s">
        <v>14</v>
      </c>
    </row>
    <row r="5005" spans="2:8" x14ac:dyDescent="0.2">
      <c r="B5005" s="3">
        <v>44906</v>
      </c>
      <c r="F5005" s="1">
        <v>5000</v>
      </c>
      <c r="G5005" s="2">
        <f t="shared" si="78"/>
        <v>-5000</v>
      </c>
      <c r="H5005" t="s">
        <v>27</v>
      </c>
    </row>
    <row r="5006" spans="2:8" x14ac:dyDescent="0.2">
      <c r="B5006" s="3">
        <v>44906</v>
      </c>
      <c r="D5006" s="1">
        <v>2182.5</v>
      </c>
      <c r="E5006" s="1">
        <v>2495</v>
      </c>
      <c r="F5006" s="1">
        <v>2000</v>
      </c>
      <c r="G5006" s="2">
        <f t="shared" si="78"/>
        <v>495</v>
      </c>
      <c r="H5006" t="s">
        <v>13</v>
      </c>
    </row>
    <row r="5007" spans="2:8" x14ac:dyDescent="0.2">
      <c r="B5007" s="3">
        <v>44906</v>
      </c>
      <c r="G5007" s="2">
        <f t="shared" si="78"/>
        <v>0</v>
      </c>
      <c r="H5007" t="s">
        <v>30</v>
      </c>
    </row>
    <row r="5008" spans="2:8" x14ac:dyDescent="0.2">
      <c r="B5008" s="3">
        <v>44906</v>
      </c>
      <c r="G5008" s="2">
        <f t="shared" si="78"/>
        <v>0</v>
      </c>
      <c r="H5008" s="36" t="s">
        <v>35</v>
      </c>
    </row>
    <row r="5009" spans="2:8" x14ac:dyDescent="0.2">
      <c r="B5009" s="3">
        <v>44906</v>
      </c>
      <c r="G5009" s="2">
        <f t="shared" si="78"/>
        <v>0</v>
      </c>
      <c r="H5009" t="s">
        <v>25</v>
      </c>
    </row>
    <row r="5010" spans="2:8" x14ac:dyDescent="0.2">
      <c r="B5010" s="3">
        <v>44906</v>
      </c>
      <c r="D5010" s="1">
        <v>14000</v>
      </c>
      <c r="E5010" s="1">
        <v>16000</v>
      </c>
      <c r="G5010" s="2">
        <f t="shared" si="78"/>
        <v>16000</v>
      </c>
      <c r="H5010" t="s">
        <v>9</v>
      </c>
    </row>
    <row r="5011" spans="2:8" x14ac:dyDescent="0.2">
      <c r="B5011" s="3">
        <v>44906</v>
      </c>
      <c r="G5011" s="2">
        <f t="shared" si="78"/>
        <v>0</v>
      </c>
      <c r="H5011" s="36" t="s">
        <v>32</v>
      </c>
    </row>
    <row r="5012" spans="2:8" x14ac:dyDescent="0.2">
      <c r="B5012" s="3">
        <v>44906</v>
      </c>
      <c r="G5012" s="2">
        <f t="shared" si="78"/>
        <v>0</v>
      </c>
      <c r="H5012" s="1"/>
    </row>
    <row r="5013" spans="2:8" x14ac:dyDescent="0.2">
      <c r="B5013" s="3">
        <v>44907</v>
      </c>
      <c r="D5013" s="28"/>
      <c r="G5013" s="2">
        <f t="shared" si="78"/>
        <v>0</v>
      </c>
      <c r="H5013" t="s">
        <v>14</v>
      </c>
    </row>
    <row r="5014" spans="2:8" x14ac:dyDescent="0.2">
      <c r="B5014" s="3">
        <v>44907</v>
      </c>
      <c r="G5014" s="2">
        <f t="shared" si="78"/>
        <v>0</v>
      </c>
      <c r="H5014" t="s">
        <v>27</v>
      </c>
    </row>
    <row r="5015" spans="2:8" x14ac:dyDescent="0.2">
      <c r="B5015" s="3">
        <v>44907</v>
      </c>
      <c r="D5015" s="1">
        <v>3073.12</v>
      </c>
      <c r="E5015" s="1">
        <v>3640</v>
      </c>
      <c r="G5015" s="2">
        <f t="shared" si="78"/>
        <v>3640</v>
      </c>
      <c r="H5015" s="36" t="s">
        <v>13</v>
      </c>
    </row>
    <row r="5016" spans="2:8" x14ac:dyDescent="0.2">
      <c r="B5016" s="3">
        <v>44907</v>
      </c>
      <c r="G5016" s="2">
        <f t="shared" si="78"/>
        <v>0</v>
      </c>
      <c r="H5016" t="s">
        <v>30</v>
      </c>
    </row>
    <row r="5017" spans="2:8" x14ac:dyDescent="0.2">
      <c r="B5017" s="3">
        <v>44907</v>
      </c>
      <c r="G5017" s="2">
        <f t="shared" si="78"/>
        <v>0</v>
      </c>
      <c r="H5017" t="s">
        <v>35</v>
      </c>
    </row>
    <row r="5018" spans="2:8" x14ac:dyDescent="0.2">
      <c r="B5018" s="3">
        <v>44907</v>
      </c>
      <c r="G5018" s="2">
        <f t="shared" si="78"/>
        <v>0</v>
      </c>
      <c r="H5018" t="s">
        <v>25</v>
      </c>
    </row>
    <row r="5019" spans="2:8" x14ac:dyDescent="0.2">
      <c r="B5019" s="3">
        <v>44907</v>
      </c>
      <c r="G5019" s="2">
        <f t="shared" si="78"/>
        <v>0</v>
      </c>
      <c r="H5019" t="s">
        <v>9</v>
      </c>
    </row>
    <row r="5020" spans="2:8" x14ac:dyDescent="0.2">
      <c r="B5020" s="3">
        <v>44907</v>
      </c>
      <c r="G5020" s="2">
        <f t="shared" si="78"/>
        <v>0</v>
      </c>
      <c r="H5020" t="s">
        <v>32</v>
      </c>
    </row>
    <row r="5021" spans="2:8" x14ac:dyDescent="0.2">
      <c r="B5021" s="3">
        <v>44907</v>
      </c>
      <c r="G5021" s="2">
        <f t="shared" si="78"/>
        <v>0</v>
      </c>
      <c r="H5021" s="1"/>
    </row>
    <row r="5022" spans="2:8" x14ac:dyDescent="0.2">
      <c r="B5022" s="3">
        <v>44908</v>
      </c>
      <c r="D5022" s="28"/>
      <c r="G5022" s="2">
        <f t="shared" si="78"/>
        <v>0</v>
      </c>
      <c r="H5022" t="s">
        <v>14</v>
      </c>
    </row>
    <row r="5023" spans="2:8" x14ac:dyDescent="0.2">
      <c r="B5023" s="3">
        <v>44908</v>
      </c>
      <c r="G5023" s="2">
        <f t="shared" si="78"/>
        <v>0</v>
      </c>
      <c r="H5023" t="s">
        <v>27</v>
      </c>
    </row>
    <row r="5024" spans="2:8" x14ac:dyDescent="0.2">
      <c r="B5024" s="3">
        <v>44908</v>
      </c>
      <c r="G5024" s="2">
        <f t="shared" si="78"/>
        <v>0</v>
      </c>
      <c r="H5024" t="s">
        <v>13</v>
      </c>
    </row>
    <row r="5025" spans="2:8" x14ac:dyDescent="0.2">
      <c r="B5025" s="3">
        <v>44908</v>
      </c>
      <c r="G5025" s="2">
        <f t="shared" si="78"/>
        <v>0</v>
      </c>
      <c r="H5025" t="s">
        <v>30</v>
      </c>
    </row>
    <row r="5026" spans="2:8" x14ac:dyDescent="0.2">
      <c r="B5026" s="3">
        <v>44908</v>
      </c>
      <c r="G5026" s="2">
        <f t="shared" si="78"/>
        <v>0</v>
      </c>
      <c r="H5026" t="s">
        <v>35</v>
      </c>
    </row>
    <row r="5027" spans="2:8" x14ac:dyDescent="0.2">
      <c r="B5027" s="3">
        <v>44908</v>
      </c>
      <c r="F5027" s="1">
        <v>2000</v>
      </c>
      <c r="G5027" s="2">
        <f t="shared" si="78"/>
        <v>-2000</v>
      </c>
      <c r="H5027" t="s">
        <v>25</v>
      </c>
    </row>
    <row r="5028" spans="2:8" x14ac:dyDescent="0.2">
      <c r="B5028" s="3">
        <v>44908</v>
      </c>
      <c r="G5028" s="2">
        <f t="shared" si="78"/>
        <v>0</v>
      </c>
      <c r="H5028" t="s">
        <v>9</v>
      </c>
    </row>
    <row r="5029" spans="2:8" x14ac:dyDescent="0.2">
      <c r="B5029" s="3">
        <v>44908</v>
      </c>
      <c r="G5029" s="2">
        <f t="shared" si="78"/>
        <v>0</v>
      </c>
      <c r="H5029" t="s">
        <v>32</v>
      </c>
    </row>
    <row r="5030" spans="2:8" x14ac:dyDescent="0.2">
      <c r="B5030" s="3">
        <v>44908</v>
      </c>
      <c r="G5030" s="2">
        <f t="shared" si="78"/>
        <v>0</v>
      </c>
      <c r="H5030" s="1"/>
    </row>
    <row r="5031" spans="2:8" x14ac:dyDescent="0.2">
      <c r="B5031" s="3">
        <v>44909</v>
      </c>
      <c r="D5031" s="28"/>
      <c r="G5031" s="2">
        <f t="shared" si="78"/>
        <v>0</v>
      </c>
      <c r="H5031" t="s">
        <v>14</v>
      </c>
    </row>
    <row r="5032" spans="2:8" x14ac:dyDescent="0.2">
      <c r="B5032" s="3">
        <v>44909</v>
      </c>
      <c r="G5032" s="2">
        <f t="shared" si="78"/>
        <v>0</v>
      </c>
      <c r="H5032" t="s">
        <v>27</v>
      </c>
    </row>
    <row r="5033" spans="2:8" x14ac:dyDescent="0.2">
      <c r="B5033" s="3">
        <v>44909</v>
      </c>
      <c r="G5033" s="2">
        <f t="shared" si="78"/>
        <v>0</v>
      </c>
      <c r="H5033" t="s">
        <v>13</v>
      </c>
    </row>
    <row r="5034" spans="2:8" x14ac:dyDescent="0.2">
      <c r="B5034" s="3">
        <v>44909</v>
      </c>
      <c r="G5034" s="2">
        <f t="shared" si="78"/>
        <v>0</v>
      </c>
      <c r="H5034" t="s">
        <v>30</v>
      </c>
    </row>
    <row r="5035" spans="2:8" x14ac:dyDescent="0.2">
      <c r="B5035" s="3">
        <v>44909</v>
      </c>
      <c r="G5035" s="2">
        <f t="shared" si="78"/>
        <v>0</v>
      </c>
      <c r="H5035" t="s">
        <v>35</v>
      </c>
    </row>
    <row r="5036" spans="2:8" x14ac:dyDescent="0.2">
      <c r="B5036" s="3">
        <v>44909</v>
      </c>
      <c r="G5036" s="2">
        <f t="shared" si="78"/>
        <v>0</v>
      </c>
      <c r="H5036" t="s">
        <v>25</v>
      </c>
    </row>
    <row r="5037" spans="2:8" x14ac:dyDescent="0.2">
      <c r="B5037" s="3">
        <v>44909</v>
      </c>
      <c r="G5037" s="2">
        <f t="shared" si="78"/>
        <v>0</v>
      </c>
      <c r="H5037" t="s">
        <v>9</v>
      </c>
    </row>
    <row r="5038" spans="2:8" x14ac:dyDescent="0.2">
      <c r="B5038" s="3">
        <v>44909</v>
      </c>
      <c r="G5038" s="2">
        <f t="shared" si="78"/>
        <v>0</v>
      </c>
      <c r="H5038" t="s">
        <v>32</v>
      </c>
    </row>
    <row r="5039" spans="2:8" x14ac:dyDescent="0.2">
      <c r="B5039" s="3">
        <v>44909</v>
      </c>
      <c r="G5039" s="2">
        <f t="shared" si="78"/>
        <v>0</v>
      </c>
      <c r="H5039" s="1"/>
    </row>
    <row r="5040" spans="2:8" x14ac:dyDescent="0.2">
      <c r="B5040" s="3">
        <v>44910</v>
      </c>
      <c r="D5040" s="28">
        <f>405+165</f>
        <v>570</v>
      </c>
      <c r="E5040" s="1">
        <v>645</v>
      </c>
      <c r="G5040" s="2">
        <f t="shared" si="78"/>
        <v>645</v>
      </c>
      <c r="H5040" t="s">
        <v>14</v>
      </c>
    </row>
    <row r="5041" spans="2:8" x14ac:dyDescent="0.2">
      <c r="B5041" s="3">
        <v>44910</v>
      </c>
      <c r="F5041" s="1">
        <v>5000</v>
      </c>
      <c r="G5041" s="2">
        <f t="shared" si="78"/>
        <v>-5000</v>
      </c>
      <c r="H5041" t="s">
        <v>27</v>
      </c>
    </row>
    <row r="5042" spans="2:8" x14ac:dyDescent="0.2">
      <c r="B5042" s="3">
        <v>44910</v>
      </c>
      <c r="G5042" s="2">
        <f t="shared" si="78"/>
        <v>0</v>
      </c>
      <c r="H5042" s="36" t="s">
        <v>13</v>
      </c>
    </row>
    <row r="5043" spans="2:8" x14ac:dyDescent="0.2">
      <c r="B5043" s="3">
        <v>44910</v>
      </c>
      <c r="D5043" s="1">
        <v>2650</v>
      </c>
      <c r="E5043" s="1">
        <v>3320</v>
      </c>
      <c r="G5043" s="2">
        <f t="shared" si="78"/>
        <v>3320</v>
      </c>
      <c r="H5043" t="s">
        <v>30</v>
      </c>
    </row>
    <row r="5044" spans="2:8" x14ac:dyDescent="0.2">
      <c r="B5044" s="3">
        <v>44910</v>
      </c>
      <c r="D5044" s="1">
        <v>513.75</v>
      </c>
      <c r="E5044" s="1">
        <v>626.25</v>
      </c>
      <c r="G5044" s="2">
        <f t="shared" si="78"/>
        <v>626.25</v>
      </c>
      <c r="H5044" t="s">
        <v>35</v>
      </c>
    </row>
    <row r="5045" spans="2:8" x14ac:dyDescent="0.2">
      <c r="B5045" s="3">
        <v>44910</v>
      </c>
      <c r="G5045" s="2">
        <f t="shared" si="78"/>
        <v>0</v>
      </c>
      <c r="H5045" t="s">
        <v>25</v>
      </c>
    </row>
    <row r="5046" spans="2:8" x14ac:dyDescent="0.2">
      <c r="B5046" s="3">
        <v>44910</v>
      </c>
      <c r="G5046" s="2">
        <f t="shared" si="78"/>
        <v>0</v>
      </c>
      <c r="H5046" t="s">
        <v>9</v>
      </c>
    </row>
    <row r="5047" spans="2:8" x14ac:dyDescent="0.2">
      <c r="B5047" s="3">
        <v>44910</v>
      </c>
      <c r="G5047" s="2">
        <f t="shared" si="78"/>
        <v>0</v>
      </c>
      <c r="H5047" t="s">
        <v>32</v>
      </c>
    </row>
    <row r="5048" spans="2:8" x14ac:dyDescent="0.2">
      <c r="B5048" s="3">
        <v>44910</v>
      </c>
      <c r="G5048" s="2">
        <f t="shared" si="78"/>
        <v>0</v>
      </c>
      <c r="H5048" s="1"/>
    </row>
    <row r="5049" spans="2:8" x14ac:dyDescent="0.2">
      <c r="B5049" s="3">
        <v>44911</v>
      </c>
      <c r="D5049" s="28"/>
      <c r="G5049" s="2">
        <f t="shared" si="78"/>
        <v>0</v>
      </c>
      <c r="H5049" t="s">
        <v>14</v>
      </c>
    </row>
    <row r="5050" spans="2:8" x14ac:dyDescent="0.2">
      <c r="B5050" s="3">
        <v>44911</v>
      </c>
      <c r="G5050" s="2">
        <f t="shared" si="78"/>
        <v>0</v>
      </c>
      <c r="H5050" t="s">
        <v>27</v>
      </c>
    </row>
    <row r="5051" spans="2:8" x14ac:dyDescent="0.2">
      <c r="B5051" s="3">
        <v>44911</v>
      </c>
      <c r="G5051" s="2">
        <f t="shared" si="78"/>
        <v>0</v>
      </c>
      <c r="H5051" t="s">
        <v>13</v>
      </c>
    </row>
    <row r="5052" spans="2:8" x14ac:dyDescent="0.2">
      <c r="B5052" s="3">
        <v>44911</v>
      </c>
      <c r="G5052" s="2">
        <f t="shared" si="78"/>
        <v>0</v>
      </c>
      <c r="H5052" t="s">
        <v>30</v>
      </c>
    </row>
    <row r="5053" spans="2:8" x14ac:dyDescent="0.2">
      <c r="B5053" s="3">
        <v>44911</v>
      </c>
      <c r="G5053" s="2">
        <f t="shared" si="78"/>
        <v>0</v>
      </c>
      <c r="H5053" t="s">
        <v>35</v>
      </c>
    </row>
    <row r="5054" spans="2:8" x14ac:dyDescent="0.2">
      <c r="B5054" s="3">
        <v>44911</v>
      </c>
      <c r="G5054" s="2">
        <f t="shared" si="78"/>
        <v>0</v>
      </c>
      <c r="H5054" t="s">
        <v>25</v>
      </c>
    </row>
    <row r="5055" spans="2:8" x14ac:dyDescent="0.2">
      <c r="B5055" s="3">
        <v>44911</v>
      </c>
      <c r="G5055" s="2">
        <f t="shared" si="78"/>
        <v>0</v>
      </c>
      <c r="H5055" t="s">
        <v>9</v>
      </c>
    </row>
    <row r="5056" spans="2:8" x14ac:dyDescent="0.2">
      <c r="B5056" s="3">
        <v>44911</v>
      </c>
      <c r="G5056" s="2">
        <f t="shared" si="78"/>
        <v>0</v>
      </c>
      <c r="H5056" t="s">
        <v>32</v>
      </c>
    </row>
    <row r="5057" spans="2:8" x14ac:dyDescent="0.2">
      <c r="B5057" s="3">
        <v>44911</v>
      </c>
      <c r="G5057" s="2">
        <f t="shared" si="78"/>
        <v>0</v>
      </c>
      <c r="H5057" s="1"/>
    </row>
    <row r="5058" spans="2:8" x14ac:dyDescent="0.2">
      <c r="B5058" s="3">
        <v>44912</v>
      </c>
      <c r="D5058" s="28"/>
      <c r="G5058" s="2">
        <f t="shared" si="78"/>
        <v>0</v>
      </c>
      <c r="H5058" t="s">
        <v>14</v>
      </c>
    </row>
    <row r="5059" spans="2:8" x14ac:dyDescent="0.2">
      <c r="B5059" s="3">
        <v>44912</v>
      </c>
      <c r="G5059" s="2">
        <f t="shared" ref="G5059:G5122" si="79">E5059-F5059</f>
        <v>0</v>
      </c>
      <c r="H5059" t="s">
        <v>27</v>
      </c>
    </row>
    <row r="5060" spans="2:8" x14ac:dyDescent="0.2">
      <c r="B5060" s="3">
        <v>44912</v>
      </c>
      <c r="G5060" s="2">
        <f t="shared" si="79"/>
        <v>0</v>
      </c>
      <c r="H5060" t="s">
        <v>13</v>
      </c>
    </row>
    <row r="5061" spans="2:8" x14ac:dyDescent="0.2">
      <c r="B5061" s="3">
        <v>44912</v>
      </c>
      <c r="G5061" s="2">
        <f t="shared" si="79"/>
        <v>0</v>
      </c>
      <c r="H5061" t="s">
        <v>30</v>
      </c>
    </row>
    <row r="5062" spans="2:8" x14ac:dyDescent="0.2">
      <c r="B5062" s="3">
        <v>44912</v>
      </c>
      <c r="F5062" s="1">
        <v>2613.5</v>
      </c>
      <c r="G5062" s="2">
        <f t="shared" si="79"/>
        <v>-2613.5</v>
      </c>
      <c r="H5062" t="s">
        <v>35</v>
      </c>
    </row>
    <row r="5063" spans="2:8" x14ac:dyDescent="0.2">
      <c r="B5063" s="3">
        <v>44912</v>
      </c>
      <c r="G5063" s="2">
        <f t="shared" si="79"/>
        <v>0</v>
      </c>
      <c r="H5063" t="s">
        <v>25</v>
      </c>
    </row>
    <row r="5064" spans="2:8" x14ac:dyDescent="0.2">
      <c r="B5064" s="3">
        <v>44912</v>
      </c>
      <c r="G5064" s="2">
        <f t="shared" si="79"/>
        <v>0</v>
      </c>
      <c r="H5064" t="s">
        <v>9</v>
      </c>
    </row>
    <row r="5065" spans="2:8" x14ac:dyDescent="0.2">
      <c r="B5065" s="3">
        <v>44912</v>
      </c>
      <c r="G5065" s="2">
        <f t="shared" si="79"/>
        <v>0</v>
      </c>
      <c r="H5065" t="s">
        <v>32</v>
      </c>
    </row>
    <row r="5066" spans="2:8" x14ac:dyDescent="0.2">
      <c r="B5066" s="3">
        <v>44912</v>
      </c>
      <c r="D5066" s="1">
        <v>856.3</v>
      </c>
      <c r="E5066" s="1">
        <v>1020</v>
      </c>
      <c r="G5066" s="2">
        <f t="shared" si="79"/>
        <v>1020</v>
      </c>
      <c r="H5066" s="1" t="s">
        <v>48</v>
      </c>
    </row>
    <row r="5067" spans="2:8" x14ac:dyDescent="0.2">
      <c r="B5067" s="3">
        <v>44913</v>
      </c>
      <c r="D5067" s="28"/>
      <c r="G5067" s="2">
        <f t="shared" si="79"/>
        <v>0</v>
      </c>
      <c r="H5067" t="s">
        <v>14</v>
      </c>
    </row>
    <row r="5068" spans="2:8" x14ac:dyDescent="0.2">
      <c r="B5068" s="3">
        <v>44913</v>
      </c>
      <c r="F5068" s="1">
        <v>5000</v>
      </c>
      <c r="G5068" s="2">
        <f t="shared" si="79"/>
        <v>-5000</v>
      </c>
      <c r="H5068" t="s">
        <v>27</v>
      </c>
    </row>
    <row r="5069" spans="2:8" x14ac:dyDescent="0.2">
      <c r="B5069" s="3">
        <v>44913</v>
      </c>
      <c r="D5069" s="1">
        <v>2487</v>
      </c>
      <c r="E5069" s="1">
        <v>3038.5</v>
      </c>
      <c r="G5069" s="2">
        <f t="shared" si="79"/>
        <v>3038.5</v>
      </c>
      <c r="H5069" s="36" t="s">
        <v>13</v>
      </c>
    </row>
    <row r="5070" spans="2:8" x14ac:dyDescent="0.2">
      <c r="B5070" s="3">
        <v>44913</v>
      </c>
      <c r="G5070" s="2">
        <f t="shared" si="79"/>
        <v>0</v>
      </c>
      <c r="H5070" t="s">
        <v>30</v>
      </c>
    </row>
    <row r="5071" spans="2:8" x14ac:dyDescent="0.2">
      <c r="B5071" s="3">
        <v>44913</v>
      </c>
      <c r="G5071" s="2">
        <f t="shared" si="79"/>
        <v>0</v>
      </c>
      <c r="H5071" t="s">
        <v>35</v>
      </c>
    </row>
    <row r="5072" spans="2:8" x14ac:dyDescent="0.2">
      <c r="B5072" s="3">
        <v>44913</v>
      </c>
      <c r="G5072" s="2">
        <f t="shared" si="79"/>
        <v>0</v>
      </c>
      <c r="H5072" t="s">
        <v>25</v>
      </c>
    </row>
    <row r="5073" spans="2:8" x14ac:dyDescent="0.2">
      <c r="B5073" s="3">
        <v>44913</v>
      </c>
      <c r="G5073" s="2">
        <f t="shared" si="79"/>
        <v>0</v>
      </c>
      <c r="H5073" t="s">
        <v>9</v>
      </c>
    </row>
    <row r="5074" spans="2:8" x14ac:dyDescent="0.2">
      <c r="B5074" s="3">
        <v>44913</v>
      </c>
      <c r="G5074" s="2">
        <f t="shared" si="79"/>
        <v>0</v>
      </c>
      <c r="H5074" t="s">
        <v>32</v>
      </c>
    </row>
    <row r="5075" spans="2:8" x14ac:dyDescent="0.2">
      <c r="B5075" s="3">
        <v>44913</v>
      </c>
      <c r="G5075" s="2">
        <f t="shared" si="79"/>
        <v>0</v>
      </c>
      <c r="H5075" s="2"/>
    </row>
    <row r="5076" spans="2:8" x14ac:dyDescent="0.2">
      <c r="B5076" s="3">
        <v>44914</v>
      </c>
      <c r="D5076" s="28"/>
      <c r="G5076" s="2">
        <f t="shared" si="79"/>
        <v>0</v>
      </c>
      <c r="H5076" t="s">
        <v>14</v>
      </c>
    </row>
    <row r="5077" spans="2:8" x14ac:dyDescent="0.2">
      <c r="B5077" s="3">
        <v>44914</v>
      </c>
      <c r="G5077" s="2">
        <f t="shared" si="79"/>
        <v>0</v>
      </c>
      <c r="H5077" t="s">
        <v>27</v>
      </c>
    </row>
    <row r="5078" spans="2:8" x14ac:dyDescent="0.2">
      <c r="B5078" s="3">
        <v>44914</v>
      </c>
      <c r="G5078" s="2">
        <f t="shared" si="79"/>
        <v>0</v>
      </c>
      <c r="H5078" t="s">
        <v>13</v>
      </c>
    </row>
    <row r="5079" spans="2:8" x14ac:dyDescent="0.2">
      <c r="B5079" s="3">
        <v>44914</v>
      </c>
      <c r="G5079" s="2">
        <f t="shared" si="79"/>
        <v>0</v>
      </c>
      <c r="H5079" t="s">
        <v>30</v>
      </c>
    </row>
    <row r="5080" spans="2:8" x14ac:dyDescent="0.2">
      <c r="B5080" s="3">
        <v>44914</v>
      </c>
      <c r="G5080" s="2">
        <f t="shared" si="79"/>
        <v>0</v>
      </c>
      <c r="H5080" t="s">
        <v>35</v>
      </c>
    </row>
    <row r="5081" spans="2:8" x14ac:dyDescent="0.2">
      <c r="B5081" s="3">
        <v>44914</v>
      </c>
      <c r="G5081" s="2">
        <f t="shared" si="79"/>
        <v>0</v>
      </c>
      <c r="H5081" t="s">
        <v>25</v>
      </c>
    </row>
    <row r="5082" spans="2:8" x14ac:dyDescent="0.2">
      <c r="B5082" s="3">
        <v>44914</v>
      </c>
      <c r="G5082" s="2">
        <f t="shared" si="79"/>
        <v>0</v>
      </c>
      <c r="H5082" t="s">
        <v>9</v>
      </c>
    </row>
    <row r="5083" spans="2:8" x14ac:dyDescent="0.2">
      <c r="B5083" s="3">
        <v>44914</v>
      </c>
      <c r="G5083" s="2">
        <f t="shared" si="79"/>
        <v>0</v>
      </c>
      <c r="H5083" t="s">
        <v>32</v>
      </c>
    </row>
    <row r="5084" spans="2:8" x14ac:dyDescent="0.2">
      <c r="B5084" s="3">
        <v>44914</v>
      </c>
      <c r="G5084" s="2">
        <f t="shared" si="79"/>
        <v>0</v>
      </c>
      <c r="H5084" s="1"/>
    </row>
    <row r="5085" spans="2:8" x14ac:dyDescent="0.2">
      <c r="B5085" s="3">
        <v>44915</v>
      </c>
      <c r="D5085" s="28">
        <v>1800</v>
      </c>
      <c r="E5085" s="1">
        <v>1950</v>
      </c>
      <c r="F5085" s="1">
        <v>10000</v>
      </c>
      <c r="G5085" s="2">
        <f t="shared" si="79"/>
        <v>-8050</v>
      </c>
      <c r="H5085" t="s">
        <v>14</v>
      </c>
    </row>
    <row r="5086" spans="2:8" x14ac:dyDescent="0.2">
      <c r="B5086" s="3">
        <v>44915</v>
      </c>
      <c r="G5086" s="2">
        <f t="shared" si="79"/>
        <v>0</v>
      </c>
      <c r="H5086" t="s">
        <v>27</v>
      </c>
    </row>
    <row r="5087" spans="2:8" x14ac:dyDescent="0.2">
      <c r="B5087" s="3">
        <v>44915</v>
      </c>
      <c r="G5087" s="2">
        <f t="shared" si="79"/>
        <v>0</v>
      </c>
      <c r="H5087" t="s">
        <v>13</v>
      </c>
    </row>
    <row r="5088" spans="2:8" x14ac:dyDescent="0.2">
      <c r="B5088" s="3">
        <v>44915</v>
      </c>
      <c r="D5088" s="1">
        <v>4600</v>
      </c>
      <c r="E5088" s="1">
        <v>6000</v>
      </c>
      <c r="G5088" s="2">
        <f t="shared" si="79"/>
        <v>6000</v>
      </c>
      <c r="H5088" s="36" t="s">
        <v>30</v>
      </c>
    </row>
    <row r="5089" spans="2:8" x14ac:dyDescent="0.2">
      <c r="B5089" s="3">
        <v>44915</v>
      </c>
      <c r="G5089" s="2">
        <f t="shared" si="79"/>
        <v>0</v>
      </c>
      <c r="H5089" t="s">
        <v>35</v>
      </c>
    </row>
    <row r="5090" spans="2:8" x14ac:dyDescent="0.2">
      <c r="B5090" s="3">
        <v>44915</v>
      </c>
      <c r="G5090" s="2">
        <f t="shared" si="79"/>
        <v>0</v>
      </c>
      <c r="H5090" t="s">
        <v>25</v>
      </c>
    </row>
    <row r="5091" spans="2:8" x14ac:dyDescent="0.2">
      <c r="B5091" s="3">
        <v>44915</v>
      </c>
      <c r="F5091" s="1">
        <v>9500</v>
      </c>
      <c r="G5091" s="2">
        <f t="shared" si="79"/>
        <v>-9500</v>
      </c>
      <c r="H5091" t="s">
        <v>9</v>
      </c>
    </row>
    <row r="5092" spans="2:8" x14ac:dyDescent="0.2">
      <c r="B5092" s="3">
        <v>44915</v>
      </c>
      <c r="G5092" s="2">
        <f t="shared" si="79"/>
        <v>0</v>
      </c>
      <c r="H5092" t="s">
        <v>32</v>
      </c>
    </row>
    <row r="5093" spans="2:8" x14ac:dyDescent="0.2">
      <c r="B5093" s="3">
        <v>44915</v>
      </c>
      <c r="G5093" s="2">
        <f t="shared" si="79"/>
        <v>0</v>
      </c>
      <c r="H5093" s="1"/>
    </row>
    <row r="5094" spans="2:8" x14ac:dyDescent="0.2">
      <c r="B5094" s="3">
        <v>44916</v>
      </c>
      <c r="D5094" s="28"/>
      <c r="G5094" s="2">
        <f t="shared" si="79"/>
        <v>0</v>
      </c>
      <c r="H5094" t="s">
        <v>14</v>
      </c>
    </row>
    <row r="5095" spans="2:8" x14ac:dyDescent="0.2">
      <c r="B5095" s="3">
        <v>44916</v>
      </c>
      <c r="G5095" s="2">
        <f t="shared" si="79"/>
        <v>0</v>
      </c>
      <c r="H5095" t="s">
        <v>27</v>
      </c>
    </row>
    <row r="5096" spans="2:8" x14ac:dyDescent="0.2">
      <c r="B5096" s="3">
        <v>44916</v>
      </c>
      <c r="G5096" s="2">
        <f t="shared" si="79"/>
        <v>0</v>
      </c>
      <c r="H5096" t="s">
        <v>13</v>
      </c>
    </row>
    <row r="5097" spans="2:8" x14ac:dyDescent="0.2">
      <c r="B5097" s="3">
        <v>44916</v>
      </c>
      <c r="G5097" s="2">
        <f t="shared" si="79"/>
        <v>0</v>
      </c>
      <c r="H5097" t="s">
        <v>30</v>
      </c>
    </row>
    <row r="5098" spans="2:8" x14ac:dyDescent="0.2">
      <c r="B5098" s="3">
        <v>44916</v>
      </c>
      <c r="G5098" s="2">
        <f t="shared" si="79"/>
        <v>0</v>
      </c>
      <c r="H5098" t="s">
        <v>35</v>
      </c>
    </row>
    <row r="5099" spans="2:8" x14ac:dyDescent="0.2">
      <c r="B5099" s="3">
        <v>44916</v>
      </c>
      <c r="G5099" s="2">
        <f t="shared" si="79"/>
        <v>0</v>
      </c>
      <c r="H5099" t="s">
        <v>25</v>
      </c>
    </row>
    <row r="5100" spans="2:8" x14ac:dyDescent="0.2">
      <c r="B5100" s="3">
        <v>44916</v>
      </c>
      <c r="G5100" s="2">
        <f t="shared" si="79"/>
        <v>0</v>
      </c>
      <c r="H5100" t="s">
        <v>9</v>
      </c>
    </row>
    <row r="5101" spans="2:8" x14ac:dyDescent="0.2">
      <c r="B5101" s="3">
        <v>44916</v>
      </c>
      <c r="G5101" s="2">
        <f t="shared" si="79"/>
        <v>0</v>
      </c>
      <c r="H5101" t="s">
        <v>32</v>
      </c>
    </row>
    <row r="5102" spans="2:8" x14ac:dyDescent="0.2">
      <c r="B5102" s="3">
        <v>44916</v>
      </c>
      <c r="G5102" s="2">
        <f t="shared" si="79"/>
        <v>0</v>
      </c>
      <c r="H5102" s="1"/>
    </row>
    <row r="5103" spans="2:8" x14ac:dyDescent="0.2">
      <c r="B5103" s="3">
        <v>44917</v>
      </c>
      <c r="D5103" s="28"/>
      <c r="G5103" s="2">
        <f t="shared" si="79"/>
        <v>0</v>
      </c>
      <c r="H5103" t="s">
        <v>14</v>
      </c>
    </row>
    <row r="5104" spans="2:8" x14ac:dyDescent="0.2">
      <c r="B5104" s="3">
        <v>44917</v>
      </c>
      <c r="G5104" s="2">
        <f t="shared" si="79"/>
        <v>0</v>
      </c>
      <c r="H5104" t="s">
        <v>27</v>
      </c>
    </row>
    <row r="5105" spans="2:8" x14ac:dyDescent="0.2">
      <c r="B5105" s="3">
        <v>44917</v>
      </c>
      <c r="G5105" s="2">
        <f t="shared" si="79"/>
        <v>0</v>
      </c>
      <c r="H5105" t="s">
        <v>13</v>
      </c>
    </row>
    <row r="5106" spans="2:8" x14ac:dyDescent="0.2">
      <c r="B5106" s="3">
        <v>44917</v>
      </c>
      <c r="G5106" s="2">
        <f t="shared" si="79"/>
        <v>0</v>
      </c>
      <c r="H5106" t="s">
        <v>30</v>
      </c>
    </row>
    <row r="5107" spans="2:8" x14ac:dyDescent="0.2">
      <c r="B5107" s="3">
        <v>44917</v>
      </c>
      <c r="D5107" s="1">
        <v>663.75</v>
      </c>
      <c r="E5107" s="1">
        <v>811.25</v>
      </c>
      <c r="G5107" s="2">
        <f t="shared" si="79"/>
        <v>811.25</v>
      </c>
      <c r="H5107" t="s">
        <v>35</v>
      </c>
    </row>
    <row r="5108" spans="2:8" x14ac:dyDescent="0.2">
      <c r="B5108" s="3">
        <v>44917</v>
      </c>
      <c r="G5108" s="2">
        <f t="shared" si="79"/>
        <v>0</v>
      </c>
      <c r="H5108" t="s">
        <v>25</v>
      </c>
    </row>
    <row r="5109" spans="2:8" x14ac:dyDescent="0.2">
      <c r="B5109" s="3">
        <v>44917</v>
      </c>
      <c r="D5109" s="1">
        <v>10600</v>
      </c>
      <c r="E5109" s="1">
        <v>11400</v>
      </c>
      <c r="G5109" s="2">
        <f t="shared" si="79"/>
        <v>11400</v>
      </c>
      <c r="H5109" t="s">
        <v>9</v>
      </c>
    </row>
    <row r="5110" spans="2:8" x14ac:dyDescent="0.2">
      <c r="B5110" s="3">
        <v>44917</v>
      </c>
      <c r="G5110" s="2">
        <f t="shared" si="79"/>
        <v>0</v>
      </c>
      <c r="H5110" t="s">
        <v>32</v>
      </c>
    </row>
    <row r="5111" spans="2:8" x14ac:dyDescent="0.2">
      <c r="B5111" s="3">
        <v>44917</v>
      </c>
      <c r="G5111" s="2">
        <f t="shared" si="79"/>
        <v>0</v>
      </c>
      <c r="H5111" s="1"/>
    </row>
    <row r="5112" spans="2:8" x14ac:dyDescent="0.2">
      <c r="B5112" s="3">
        <v>44918</v>
      </c>
      <c r="D5112" s="28"/>
      <c r="G5112" s="2">
        <f t="shared" si="79"/>
        <v>0</v>
      </c>
      <c r="H5112" t="s">
        <v>14</v>
      </c>
    </row>
    <row r="5113" spans="2:8" x14ac:dyDescent="0.2">
      <c r="B5113" s="3">
        <v>44918</v>
      </c>
      <c r="G5113" s="2">
        <f t="shared" si="79"/>
        <v>0</v>
      </c>
      <c r="H5113" t="s">
        <v>27</v>
      </c>
    </row>
    <row r="5114" spans="2:8" x14ac:dyDescent="0.2">
      <c r="B5114" s="3">
        <v>44918</v>
      </c>
      <c r="G5114" s="2">
        <f t="shared" si="79"/>
        <v>0</v>
      </c>
      <c r="H5114" t="s">
        <v>13</v>
      </c>
    </row>
    <row r="5115" spans="2:8" x14ac:dyDescent="0.2">
      <c r="B5115" s="3">
        <v>44918</v>
      </c>
      <c r="G5115" s="2">
        <f t="shared" si="79"/>
        <v>0</v>
      </c>
      <c r="H5115" t="s">
        <v>30</v>
      </c>
    </row>
    <row r="5116" spans="2:8" x14ac:dyDescent="0.2">
      <c r="B5116" s="3">
        <v>44918</v>
      </c>
      <c r="G5116" s="2">
        <f t="shared" si="79"/>
        <v>0</v>
      </c>
      <c r="H5116" t="s">
        <v>35</v>
      </c>
    </row>
    <row r="5117" spans="2:8" x14ac:dyDescent="0.2">
      <c r="B5117" s="3">
        <v>44918</v>
      </c>
      <c r="G5117" s="2">
        <f t="shared" si="79"/>
        <v>0</v>
      </c>
      <c r="H5117" t="s">
        <v>25</v>
      </c>
    </row>
    <row r="5118" spans="2:8" x14ac:dyDescent="0.2">
      <c r="B5118" s="3">
        <v>44918</v>
      </c>
      <c r="G5118" s="2">
        <f t="shared" si="79"/>
        <v>0</v>
      </c>
      <c r="H5118" t="s">
        <v>9</v>
      </c>
    </row>
    <row r="5119" spans="2:8" x14ac:dyDescent="0.2">
      <c r="B5119" s="3">
        <v>44918</v>
      </c>
      <c r="G5119" s="2">
        <f t="shared" si="79"/>
        <v>0</v>
      </c>
      <c r="H5119" t="s">
        <v>32</v>
      </c>
    </row>
    <row r="5120" spans="2:8" x14ac:dyDescent="0.2">
      <c r="B5120" s="3">
        <v>44918</v>
      </c>
      <c r="G5120" s="2">
        <f t="shared" si="79"/>
        <v>0</v>
      </c>
      <c r="H5120" s="1"/>
    </row>
    <row r="5121" spans="2:8" x14ac:dyDescent="0.2">
      <c r="B5121" s="3">
        <v>44919</v>
      </c>
      <c r="D5121" s="28"/>
      <c r="G5121" s="2">
        <f t="shared" si="79"/>
        <v>0</v>
      </c>
      <c r="H5121" t="s">
        <v>14</v>
      </c>
    </row>
    <row r="5122" spans="2:8" x14ac:dyDescent="0.2">
      <c r="B5122" s="3">
        <v>44919</v>
      </c>
      <c r="G5122" s="2">
        <f t="shared" si="79"/>
        <v>0</v>
      </c>
      <c r="H5122" t="s">
        <v>27</v>
      </c>
    </row>
    <row r="5123" spans="2:8" x14ac:dyDescent="0.2">
      <c r="B5123" s="3">
        <v>44919</v>
      </c>
      <c r="G5123" s="2">
        <f t="shared" ref="G5123:G5186" si="80">E5123-F5123</f>
        <v>0</v>
      </c>
      <c r="H5123" t="s">
        <v>13</v>
      </c>
    </row>
    <row r="5124" spans="2:8" x14ac:dyDescent="0.2">
      <c r="B5124" s="3">
        <v>44919</v>
      </c>
      <c r="G5124" s="2">
        <f t="shared" si="80"/>
        <v>0</v>
      </c>
      <c r="H5124" t="s">
        <v>30</v>
      </c>
    </row>
    <row r="5125" spans="2:8" x14ac:dyDescent="0.2">
      <c r="B5125" s="3">
        <v>44919</v>
      </c>
      <c r="G5125" s="2">
        <f t="shared" si="80"/>
        <v>0</v>
      </c>
      <c r="H5125" t="s">
        <v>35</v>
      </c>
    </row>
    <row r="5126" spans="2:8" x14ac:dyDescent="0.2">
      <c r="B5126" s="3">
        <v>44919</v>
      </c>
      <c r="G5126" s="2">
        <f t="shared" si="80"/>
        <v>0</v>
      </c>
      <c r="H5126" t="s">
        <v>25</v>
      </c>
    </row>
    <row r="5127" spans="2:8" x14ac:dyDescent="0.2">
      <c r="B5127" s="3">
        <v>44919</v>
      </c>
      <c r="G5127" s="2">
        <f t="shared" si="80"/>
        <v>0</v>
      </c>
      <c r="H5127" t="s">
        <v>9</v>
      </c>
    </row>
    <row r="5128" spans="2:8" x14ac:dyDescent="0.2">
      <c r="B5128" s="3">
        <v>44919</v>
      </c>
      <c r="G5128" s="2">
        <f t="shared" si="80"/>
        <v>0</v>
      </c>
      <c r="H5128" t="s">
        <v>32</v>
      </c>
    </row>
    <row r="5129" spans="2:8" x14ac:dyDescent="0.2">
      <c r="B5129" s="3">
        <v>44919</v>
      </c>
      <c r="G5129" s="2">
        <f t="shared" si="80"/>
        <v>0</v>
      </c>
      <c r="H5129" s="1"/>
    </row>
    <row r="5130" spans="2:8" x14ac:dyDescent="0.2">
      <c r="B5130" s="3">
        <v>44920</v>
      </c>
      <c r="D5130" s="28">
        <v>2145</v>
      </c>
      <c r="E5130" s="1">
        <v>2850</v>
      </c>
      <c r="F5130" s="1">
        <v>10000</v>
      </c>
      <c r="G5130" s="2">
        <f t="shared" si="80"/>
        <v>-7150</v>
      </c>
      <c r="H5130" t="s">
        <v>14</v>
      </c>
    </row>
    <row r="5131" spans="2:8" x14ac:dyDescent="0.2">
      <c r="B5131" s="3">
        <v>44920</v>
      </c>
      <c r="G5131" s="2">
        <f t="shared" si="80"/>
        <v>0</v>
      </c>
      <c r="H5131" t="s">
        <v>27</v>
      </c>
    </row>
    <row r="5132" spans="2:8" x14ac:dyDescent="0.2">
      <c r="B5132" s="3">
        <v>44920</v>
      </c>
      <c r="D5132" s="1">
        <v>3941</v>
      </c>
      <c r="E5132" s="1">
        <v>4842.5</v>
      </c>
      <c r="F5132" s="1">
        <v>5000</v>
      </c>
      <c r="G5132" s="2">
        <f t="shared" si="80"/>
        <v>-157.5</v>
      </c>
      <c r="H5132" t="s">
        <v>13</v>
      </c>
    </row>
    <row r="5133" spans="2:8" x14ac:dyDescent="0.2">
      <c r="B5133" s="3">
        <v>44920</v>
      </c>
      <c r="G5133" s="2">
        <f t="shared" si="80"/>
        <v>0</v>
      </c>
      <c r="H5133" t="s">
        <v>30</v>
      </c>
    </row>
    <row r="5134" spans="2:8" x14ac:dyDescent="0.2">
      <c r="B5134" s="3">
        <v>44920</v>
      </c>
      <c r="G5134" s="2">
        <f t="shared" si="80"/>
        <v>0</v>
      </c>
      <c r="H5134" t="s">
        <v>35</v>
      </c>
    </row>
    <row r="5135" spans="2:8" x14ac:dyDescent="0.2">
      <c r="B5135" s="3">
        <v>44920</v>
      </c>
      <c r="G5135" s="2">
        <f t="shared" si="80"/>
        <v>0</v>
      </c>
      <c r="H5135" t="s">
        <v>25</v>
      </c>
    </row>
    <row r="5136" spans="2:8" x14ac:dyDescent="0.2">
      <c r="B5136" s="3">
        <v>44920</v>
      </c>
      <c r="G5136" s="2">
        <f t="shared" si="80"/>
        <v>0</v>
      </c>
      <c r="H5136" t="s">
        <v>9</v>
      </c>
    </row>
    <row r="5137" spans="2:8" x14ac:dyDescent="0.2">
      <c r="B5137" s="3">
        <v>44920</v>
      </c>
      <c r="G5137" s="2">
        <f t="shared" si="80"/>
        <v>0</v>
      </c>
      <c r="H5137" t="s">
        <v>32</v>
      </c>
    </row>
    <row r="5138" spans="2:8" x14ac:dyDescent="0.2">
      <c r="B5138" s="3">
        <v>44920</v>
      </c>
      <c r="G5138" s="2">
        <f t="shared" si="80"/>
        <v>0</v>
      </c>
      <c r="H5138" s="1"/>
    </row>
    <row r="5139" spans="2:8" x14ac:dyDescent="0.2">
      <c r="B5139" s="3">
        <v>44921</v>
      </c>
      <c r="D5139" s="28"/>
      <c r="G5139" s="2">
        <f t="shared" si="80"/>
        <v>0</v>
      </c>
      <c r="H5139" t="s">
        <v>14</v>
      </c>
    </row>
    <row r="5140" spans="2:8" x14ac:dyDescent="0.2">
      <c r="B5140" s="3">
        <v>44921</v>
      </c>
      <c r="F5140" s="1">
        <v>5000</v>
      </c>
      <c r="G5140" s="2">
        <f t="shared" si="80"/>
        <v>-5000</v>
      </c>
      <c r="H5140" t="s">
        <v>27</v>
      </c>
    </row>
    <row r="5141" spans="2:8" x14ac:dyDescent="0.2">
      <c r="B5141" s="3">
        <v>44921</v>
      </c>
      <c r="F5141" s="1">
        <v>3000</v>
      </c>
      <c r="G5141" s="2">
        <f t="shared" si="80"/>
        <v>-3000</v>
      </c>
      <c r="H5141" t="s">
        <v>13</v>
      </c>
    </row>
    <row r="5142" spans="2:8" x14ac:dyDescent="0.2">
      <c r="B5142" s="3">
        <v>44921</v>
      </c>
      <c r="G5142" s="2">
        <f t="shared" si="80"/>
        <v>0</v>
      </c>
      <c r="H5142" t="s">
        <v>30</v>
      </c>
    </row>
    <row r="5143" spans="2:8" x14ac:dyDescent="0.2">
      <c r="B5143" s="3">
        <v>44921</v>
      </c>
      <c r="G5143" s="2">
        <f t="shared" si="80"/>
        <v>0</v>
      </c>
      <c r="H5143" t="s">
        <v>35</v>
      </c>
    </row>
    <row r="5144" spans="2:8" x14ac:dyDescent="0.2">
      <c r="B5144" s="3">
        <v>44921</v>
      </c>
      <c r="G5144" s="2">
        <f t="shared" si="80"/>
        <v>0</v>
      </c>
      <c r="H5144" s="36" t="s">
        <v>25</v>
      </c>
    </row>
    <row r="5145" spans="2:8" x14ac:dyDescent="0.2">
      <c r="B5145" s="3">
        <v>44921</v>
      </c>
      <c r="D5145" s="1">
        <v>1650</v>
      </c>
      <c r="E5145" s="1">
        <v>2500</v>
      </c>
      <c r="G5145" s="2">
        <f t="shared" si="80"/>
        <v>2500</v>
      </c>
      <c r="H5145" t="s">
        <v>9</v>
      </c>
    </row>
    <row r="5146" spans="2:8" x14ac:dyDescent="0.2">
      <c r="B5146" s="3">
        <v>44921</v>
      </c>
      <c r="G5146" s="2">
        <f t="shared" si="80"/>
        <v>0</v>
      </c>
      <c r="H5146" t="s">
        <v>32</v>
      </c>
    </row>
    <row r="5147" spans="2:8" x14ac:dyDescent="0.2">
      <c r="B5147" s="3">
        <v>44921</v>
      </c>
      <c r="G5147" s="2">
        <f t="shared" si="80"/>
        <v>0</v>
      </c>
      <c r="H5147" s="1"/>
    </row>
    <row r="5148" spans="2:8" x14ac:dyDescent="0.2">
      <c r="B5148" s="3">
        <v>44922</v>
      </c>
      <c r="D5148" s="28"/>
      <c r="G5148" s="2">
        <f t="shared" si="80"/>
        <v>0</v>
      </c>
      <c r="H5148" t="s">
        <v>14</v>
      </c>
    </row>
    <row r="5149" spans="2:8" x14ac:dyDescent="0.2">
      <c r="B5149" s="3">
        <v>44922</v>
      </c>
      <c r="G5149" s="2">
        <f t="shared" si="80"/>
        <v>0</v>
      </c>
      <c r="H5149" t="s">
        <v>27</v>
      </c>
    </row>
    <row r="5150" spans="2:8" x14ac:dyDescent="0.2">
      <c r="B5150" s="3">
        <v>44922</v>
      </c>
      <c r="G5150" s="2">
        <f t="shared" si="80"/>
        <v>0</v>
      </c>
      <c r="H5150" t="s">
        <v>13</v>
      </c>
    </row>
    <row r="5151" spans="2:8" x14ac:dyDescent="0.2">
      <c r="B5151" s="3">
        <v>44922</v>
      </c>
      <c r="F5151" s="1">
        <v>64631</v>
      </c>
      <c r="G5151" s="2">
        <f t="shared" si="80"/>
        <v>-64631</v>
      </c>
      <c r="H5151" t="s">
        <v>30</v>
      </c>
    </row>
    <row r="5152" spans="2:8" x14ac:dyDescent="0.2">
      <c r="B5152" s="3">
        <v>44922</v>
      </c>
      <c r="F5152" s="1">
        <v>21160</v>
      </c>
      <c r="G5152" s="2">
        <f t="shared" si="80"/>
        <v>-21160</v>
      </c>
      <c r="H5152" t="s">
        <v>35</v>
      </c>
    </row>
    <row r="5153" spans="2:8" x14ac:dyDescent="0.2">
      <c r="B5153" s="3">
        <v>44922</v>
      </c>
      <c r="G5153" s="2">
        <f t="shared" si="80"/>
        <v>0</v>
      </c>
      <c r="H5153" t="s">
        <v>25</v>
      </c>
    </row>
    <row r="5154" spans="2:8" x14ac:dyDescent="0.2">
      <c r="B5154" s="3">
        <v>44922</v>
      </c>
      <c r="G5154" s="2">
        <f t="shared" si="80"/>
        <v>0</v>
      </c>
      <c r="H5154" t="s">
        <v>9</v>
      </c>
    </row>
    <row r="5155" spans="2:8" x14ac:dyDescent="0.2">
      <c r="B5155" s="3">
        <v>44922</v>
      </c>
      <c r="G5155" s="2">
        <f t="shared" si="80"/>
        <v>0</v>
      </c>
      <c r="H5155" t="s">
        <v>32</v>
      </c>
    </row>
    <row r="5156" spans="2:8" x14ac:dyDescent="0.2">
      <c r="B5156" s="3">
        <v>44922</v>
      </c>
      <c r="G5156" s="2">
        <f t="shared" si="80"/>
        <v>0</v>
      </c>
      <c r="H5156" s="1"/>
    </row>
    <row r="5157" spans="2:8" x14ac:dyDescent="0.2">
      <c r="B5157" s="3">
        <v>44923</v>
      </c>
      <c r="D5157" s="28">
        <v>5382</v>
      </c>
      <c r="E5157" s="1">
        <v>6075</v>
      </c>
      <c r="G5157" s="2">
        <f t="shared" si="80"/>
        <v>6075</v>
      </c>
      <c r="H5157" t="s">
        <v>14</v>
      </c>
    </row>
    <row r="5158" spans="2:8" x14ac:dyDescent="0.2">
      <c r="B5158" s="3">
        <v>44923</v>
      </c>
      <c r="D5158" s="1">
        <v>1710</v>
      </c>
      <c r="E5158" s="1">
        <v>1961</v>
      </c>
      <c r="G5158" s="2">
        <f t="shared" si="80"/>
        <v>1961</v>
      </c>
      <c r="H5158" t="s">
        <v>27</v>
      </c>
    </row>
    <row r="5159" spans="2:8" x14ac:dyDescent="0.2">
      <c r="B5159" s="3">
        <v>44923</v>
      </c>
      <c r="G5159" s="2">
        <f t="shared" si="80"/>
        <v>0</v>
      </c>
      <c r="H5159" t="s">
        <v>13</v>
      </c>
    </row>
    <row r="5160" spans="2:8" x14ac:dyDescent="0.2">
      <c r="B5160" s="3">
        <v>44923</v>
      </c>
      <c r="F5160" s="1">
        <v>652.84</v>
      </c>
      <c r="G5160" s="2">
        <f t="shared" si="80"/>
        <v>-652.84</v>
      </c>
      <c r="H5160" t="s">
        <v>30</v>
      </c>
    </row>
    <row r="5161" spans="2:8" x14ac:dyDescent="0.2">
      <c r="B5161" s="3">
        <v>44923</v>
      </c>
      <c r="G5161" s="2">
        <f t="shared" si="80"/>
        <v>0</v>
      </c>
      <c r="H5161" t="s">
        <v>35</v>
      </c>
    </row>
    <row r="5162" spans="2:8" x14ac:dyDescent="0.2">
      <c r="B5162" s="3">
        <v>44923</v>
      </c>
      <c r="G5162" s="2">
        <f t="shared" si="80"/>
        <v>0</v>
      </c>
      <c r="H5162" t="s">
        <v>25</v>
      </c>
    </row>
    <row r="5163" spans="2:8" x14ac:dyDescent="0.2">
      <c r="B5163" s="3">
        <v>44923</v>
      </c>
      <c r="G5163" s="2">
        <f t="shared" si="80"/>
        <v>0</v>
      </c>
      <c r="H5163" t="s">
        <v>9</v>
      </c>
    </row>
    <row r="5164" spans="2:8" x14ac:dyDescent="0.2">
      <c r="B5164" s="3">
        <v>44923</v>
      </c>
      <c r="G5164" s="2">
        <f t="shared" si="80"/>
        <v>0</v>
      </c>
      <c r="H5164" t="s">
        <v>32</v>
      </c>
    </row>
    <row r="5165" spans="2:8" x14ac:dyDescent="0.2">
      <c r="B5165" s="3">
        <v>44923</v>
      </c>
      <c r="D5165" s="1">
        <v>1375</v>
      </c>
      <c r="E5165" s="1">
        <v>1532</v>
      </c>
      <c r="G5165" s="2">
        <f t="shared" si="80"/>
        <v>1532</v>
      </c>
      <c r="H5165" t="s">
        <v>24</v>
      </c>
    </row>
    <row r="5166" spans="2:8" x14ac:dyDescent="0.2">
      <c r="B5166" s="3">
        <v>44924</v>
      </c>
      <c r="D5166" s="28">
        <v>1260</v>
      </c>
      <c r="E5166" s="1">
        <v>1425</v>
      </c>
      <c r="G5166" s="2">
        <f t="shared" si="80"/>
        <v>1425</v>
      </c>
      <c r="H5166" t="s">
        <v>14</v>
      </c>
    </row>
    <row r="5167" spans="2:8" x14ac:dyDescent="0.2">
      <c r="B5167" s="3">
        <v>44924</v>
      </c>
      <c r="G5167" s="2">
        <f t="shared" si="80"/>
        <v>0</v>
      </c>
      <c r="H5167" t="s">
        <v>27</v>
      </c>
    </row>
    <row r="5168" spans="2:8" x14ac:dyDescent="0.2">
      <c r="B5168" s="3">
        <v>44924</v>
      </c>
      <c r="G5168" s="2">
        <f t="shared" si="80"/>
        <v>0</v>
      </c>
      <c r="H5168" t="s">
        <v>13</v>
      </c>
    </row>
    <row r="5169" spans="2:8" x14ac:dyDescent="0.2">
      <c r="B5169" s="3">
        <v>44924</v>
      </c>
      <c r="G5169" s="2">
        <f t="shared" si="80"/>
        <v>0</v>
      </c>
      <c r="H5169" t="s">
        <v>30</v>
      </c>
    </row>
    <row r="5170" spans="2:8" x14ac:dyDescent="0.2">
      <c r="B5170" s="3">
        <v>44924</v>
      </c>
      <c r="G5170" s="2">
        <f t="shared" si="80"/>
        <v>0</v>
      </c>
      <c r="H5170" t="s">
        <v>35</v>
      </c>
    </row>
    <row r="5171" spans="2:8" x14ac:dyDescent="0.2">
      <c r="B5171" s="3">
        <v>44924</v>
      </c>
      <c r="G5171" s="2">
        <f t="shared" si="80"/>
        <v>0</v>
      </c>
      <c r="H5171" t="s">
        <v>25</v>
      </c>
    </row>
    <row r="5172" spans="2:8" x14ac:dyDescent="0.2">
      <c r="B5172" s="3">
        <v>44924</v>
      </c>
      <c r="F5172" s="1">
        <v>10000</v>
      </c>
      <c r="G5172" s="2">
        <f t="shared" si="80"/>
        <v>-10000</v>
      </c>
      <c r="H5172" t="s">
        <v>9</v>
      </c>
    </row>
    <row r="5173" spans="2:8" x14ac:dyDescent="0.2">
      <c r="B5173" s="3">
        <v>44924</v>
      </c>
      <c r="G5173" s="2">
        <f t="shared" si="80"/>
        <v>0</v>
      </c>
      <c r="H5173" t="s">
        <v>32</v>
      </c>
    </row>
    <row r="5174" spans="2:8" x14ac:dyDescent="0.2">
      <c r="B5174" s="3">
        <v>44924</v>
      </c>
      <c r="G5174" s="2">
        <f t="shared" si="80"/>
        <v>0</v>
      </c>
      <c r="H5174" s="1"/>
    </row>
    <row r="5175" spans="2:8" x14ac:dyDescent="0.2">
      <c r="B5175" s="3">
        <v>44925</v>
      </c>
      <c r="D5175" s="28"/>
      <c r="G5175" s="2">
        <f t="shared" si="80"/>
        <v>0</v>
      </c>
      <c r="H5175" t="s">
        <v>14</v>
      </c>
    </row>
    <row r="5176" spans="2:8" x14ac:dyDescent="0.2">
      <c r="B5176" s="3">
        <v>44925</v>
      </c>
      <c r="F5176" s="1">
        <v>67.61</v>
      </c>
      <c r="G5176" s="2">
        <f t="shared" si="80"/>
        <v>-67.61</v>
      </c>
      <c r="H5176" t="s">
        <v>27</v>
      </c>
    </row>
    <row r="5177" spans="2:8" x14ac:dyDescent="0.2">
      <c r="B5177" s="3">
        <v>44925</v>
      </c>
      <c r="G5177" s="2">
        <f t="shared" si="80"/>
        <v>0</v>
      </c>
      <c r="H5177" t="s">
        <v>13</v>
      </c>
    </row>
    <row r="5178" spans="2:8" x14ac:dyDescent="0.2">
      <c r="B5178" s="3">
        <v>44925</v>
      </c>
      <c r="G5178" s="2">
        <f t="shared" si="80"/>
        <v>0</v>
      </c>
      <c r="H5178" s="36" t="s">
        <v>30</v>
      </c>
    </row>
    <row r="5179" spans="2:8" x14ac:dyDescent="0.2">
      <c r="B5179" s="3">
        <v>44925</v>
      </c>
      <c r="G5179" s="2">
        <f t="shared" si="80"/>
        <v>0</v>
      </c>
      <c r="H5179" t="s">
        <v>35</v>
      </c>
    </row>
    <row r="5180" spans="2:8" x14ac:dyDescent="0.2">
      <c r="B5180" s="3">
        <v>44925</v>
      </c>
      <c r="G5180" s="2">
        <f t="shared" si="80"/>
        <v>0</v>
      </c>
      <c r="H5180" t="s">
        <v>25</v>
      </c>
    </row>
    <row r="5181" spans="2:8" x14ac:dyDescent="0.2">
      <c r="B5181" s="3">
        <v>44925</v>
      </c>
      <c r="G5181" s="2">
        <f t="shared" si="80"/>
        <v>0</v>
      </c>
      <c r="H5181" t="s">
        <v>9</v>
      </c>
    </row>
    <row r="5182" spans="2:8" x14ac:dyDescent="0.2">
      <c r="B5182" s="3">
        <v>44925</v>
      </c>
      <c r="G5182" s="2">
        <f t="shared" si="80"/>
        <v>0</v>
      </c>
      <c r="H5182" t="s">
        <v>32</v>
      </c>
    </row>
    <row r="5183" spans="2:8" x14ac:dyDescent="0.2">
      <c r="B5183" s="3">
        <v>44925</v>
      </c>
      <c r="G5183" s="2">
        <f t="shared" si="80"/>
        <v>0</v>
      </c>
      <c r="H5183" s="1"/>
    </row>
    <row r="5184" spans="2:8" x14ac:dyDescent="0.2">
      <c r="B5184" s="3">
        <v>44926</v>
      </c>
      <c r="D5184" s="28"/>
      <c r="F5184" s="1">
        <v>32000</v>
      </c>
      <c r="G5184" s="2">
        <f t="shared" si="80"/>
        <v>-32000</v>
      </c>
      <c r="H5184" t="s">
        <v>14</v>
      </c>
    </row>
    <row r="5185" spans="2:8" x14ac:dyDescent="0.2">
      <c r="B5185" s="3">
        <v>44926</v>
      </c>
      <c r="F5185" s="1">
        <v>6000</v>
      </c>
      <c r="G5185" s="2">
        <f t="shared" si="80"/>
        <v>-6000</v>
      </c>
      <c r="H5185" t="s">
        <v>27</v>
      </c>
    </row>
    <row r="5186" spans="2:8" x14ac:dyDescent="0.2">
      <c r="B5186" s="3">
        <v>44926</v>
      </c>
      <c r="D5186" s="1">
        <v>1696.8</v>
      </c>
      <c r="E5186" s="1">
        <v>2068</v>
      </c>
      <c r="F5186" s="1">
        <v>3000</v>
      </c>
      <c r="G5186" s="2">
        <f t="shared" si="80"/>
        <v>-932</v>
      </c>
      <c r="H5186" t="s">
        <v>13</v>
      </c>
    </row>
    <row r="5187" spans="2:8" x14ac:dyDescent="0.2">
      <c r="B5187" s="3">
        <v>44926</v>
      </c>
      <c r="G5187" s="2">
        <f t="shared" ref="G5187:G5250" si="81">E5187-F5187</f>
        <v>0</v>
      </c>
      <c r="H5187" t="s">
        <v>30</v>
      </c>
    </row>
    <row r="5188" spans="2:8" x14ac:dyDescent="0.2">
      <c r="B5188" s="3">
        <v>44926</v>
      </c>
      <c r="F5188" s="1">
        <v>440</v>
      </c>
      <c r="G5188" s="2">
        <f t="shared" si="81"/>
        <v>-440</v>
      </c>
      <c r="H5188" t="s">
        <v>35</v>
      </c>
    </row>
    <row r="5189" spans="2:8" x14ac:dyDescent="0.2">
      <c r="B5189" s="3">
        <v>44926</v>
      </c>
      <c r="G5189" s="2">
        <f t="shared" si="81"/>
        <v>0</v>
      </c>
      <c r="H5189" t="s">
        <v>25</v>
      </c>
    </row>
    <row r="5190" spans="2:8" x14ac:dyDescent="0.2">
      <c r="B5190" s="3">
        <v>44926</v>
      </c>
      <c r="G5190" s="2">
        <f t="shared" si="81"/>
        <v>0</v>
      </c>
      <c r="H5190" t="s">
        <v>9</v>
      </c>
    </row>
    <row r="5191" spans="2:8" x14ac:dyDescent="0.2">
      <c r="B5191" s="3">
        <v>44926</v>
      </c>
      <c r="G5191" s="2">
        <f t="shared" si="81"/>
        <v>0</v>
      </c>
      <c r="H5191" t="s">
        <v>32</v>
      </c>
    </row>
    <row r="5192" spans="2:8" x14ac:dyDescent="0.2">
      <c r="B5192" s="3">
        <v>44926</v>
      </c>
      <c r="G5192" s="2">
        <f t="shared" si="81"/>
        <v>0</v>
      </c>
      <c r="H5192" s="1"/>
    </row>
    <row r="5193" spans="2:8" x14ac:dyDescent="0.2">
      <c r="B5193" s="3">
        <v>44927</v>
      </c>
      <c r="G5193" s="2">
        <f t="shared" si="81"/>
        <v>0</v>
      </c>
      <c r="H5193" t="s">
        <v>14</v>
      </c>
    </row>
    <row r="5194" spans="2:8" x14ac:dyDescent="0.2">
      <c r="B5194" s="3">
        <v>44927</v>
      </c>
      <c r="G5194" s="2">
        <f t="shared" si="81"/>
        <v>0</v>
      </c>
      <c r="H5194" t="s">
        <v>27</v>
      </c>
    </row>
    <row r="5195" spans="2:8" x14ac:dyDescent="0.2">
      <c r="B5195" s="3">
        <v>44927</v>
      </c>
      <c r="G5195" s="2">
        <f t="shared" si="81"/>
        <v>0</v>
      </c>
      <c r="H5195" t="s">
        <v>13</v>
      </c>
    </row>
    <row r="5196" spans="2:8" x14ac:dyDescent="0.2">
      <c r="B5196" s="3">
        <v>44927</v>
      </c>
      <c r="G5196" s="2">
        <f t="shared" si="81"/>
        <v>0</v>
      </c>
      <c r="H5196" t="s">
        <v>30</v>
      </c>
    </row>
    <row r="5197" spans="2:8" x14ac:dyDescent="0.2">
      <c r="B5197" s="3">
        <v>44927</v>
      </c>
      <c r="G5197" s="2">
        <f t="shared" si="81"/>
        <v>0</v>
      </c>
      <c r="H5197" t="s">
        <v>29</v>
      </c>
    </row>
    <row r="5198" spans="2:8" x14ac:dyDescent="0.2">
      <c r="B5198" s="3">
        <v>44927</v>
      </c>
      <c r="G5198" s="2">
        <f t="shared" si="81"/>
        <v>0</v>
      </c>
      <c r="H5198" t="s">
        <v>25</v>
      </c>
    </row>
    <row r="5199" spans="2:8" x14ac:dyDescent="0.2">
      <c r="B5199" s="3">
        <v>44927</v>
      </c>
      <c r="G5199" s="2">
        <f t="shared" si="81"/>
        <v>0</v>
      </c>
      <c r="H5199" t="s">
        <v>24</v>
      </c>
    </row>
    <row r="5200" spans="2:8" x14ac:dyDescent="0.2">
      <c r="B5200" s="3">
        <v>44927</v>
      </c>
      <c r="G5200" s="2">
        <f t="shared" si="81"/>
        <v>0</v>
      </c>
      <c r="H5200" t="s">
        <v>9</v>
      </c>
    </row>
    <row r="5201" spans="2:8" x14ac:dyDescent="0.2">
      <c r="B5201" s="3">
        <v>44927</v>
      </c>
      <c r="G5201" s="2">
        <f t="shared" si="81"/>
        <v>0</v>
      </c>
      <c r="H5201" t="s">
        <v>8</v>
      </c>
    </row>
    <row r="5202" spans="2:8" x14ac:dyDescent="0.2">
      <c r="B5202" s="3">
        <v>44927</v>
      </c>
      <c r="G5202" s="2">
        <f t="shared" si="81"/>
        <v>0</v>
      </c>
      <c r="H5202" t="s">
        <v>23</v>
      </c>
    </row>
    <row r="5203" spans="2:8" x14ac:dyDescent="0.2">
      <c r="B5203" s="3">
        <v>44927</v>
      </c>
      <c r="G5203" s="2">
        <f t="shared" si="81"/>
        <v>0</v>
      </c>
      <c r="H5203" t="s">
        <v>6</v>
      </c>
    </row>
    <row r="5204" spans="2:8" x14ac:dyDescent="0.2">
      <c r="B5204" s="3">
        <v>44927</v>
      </c>
      <c r="G5204" s="2">
        <f t="shared" si="81"/>
        <v>0</v>
      </c>
      <c r="H5204" t="s">
        <v>5</v>
      </c>
    </row>
    <row r="5205" spans="2:8" x14ac:dyDescent="0.2">
      <c r="B5205" s="3">
        <v>44927</v>
      </c>
      <c r="G5205" s="2">
        <f t="shared" si="81"/>
        <v>0</v>
      </c>
      <c r="H5205" s="1"/>
    </row>
    <row r="5206" spans="2:8" x14ac:dyDescent="0.2">
      <c r="B5206" s="3">
        <v>44928</v>
      </c>
      <c r="G5206" s="2">
        <f t="shared" si="81"/>
        <v>0</v>
      </c>
      <c r="H5206" t="s">
        <v>14</v>
      </c>
    </row>
    <row r="5207" spans="2:8" x14ac:dyDescent="0.2">
      <c r="B5207" s="3">
        <v>44928</v>
      </c>
      <c r="G5207" s="2">
        <f t="shared" si="81"/>
        <v>0</v>
      </c>
      <c r="H5207" t="s">
        <v>27</v>
      </c>
    </row>
    <row r="5208" spans="2:8" x14ac:dyDescent="0.2">
      <c r="B5208" s="3">
        <v>44928</v>
      </c>
      <c r="D5208" s="1">
        <v>3798.6</v>
      </c>
      <c r="E5208" s="1">
        <v>4347</v>
      </c>
      <c r="F5208" s="1">
        <v>2000</v>
      </c>
      <c r="G5208" s="2">
        <f t="shared" si="81"/>
        <v>2347</v>
      </c>
      <c r="H5208" t="s">
        <v>13</v>
      </c>
    </row>
    <row r="5209" spans="2:8" x14ac:dyDescent="0.2">
      <c r="B5209" s="3">
        <v>44928</v>
      </c>
      <c r="G5209" s="2">
        <f t="shared" si="81"/>
        <v>0</v>
      </c>
      <c r="H5209" t="s">
        <v>30</v>
      </c>
    </row>
    <row r="5210" spans="2:8" x14ac:dyDescent="0.2">
      <c r="B5210" s="3">
        <v>44928</v>
      </c>
      <c r="G5210" s="2">
        <f t="shared" si="81"/>
        <v>0</v>
      </c>
      <c r="H5210" t="s">
        <v>29</v>
      </c>
    </row>
    <row r="5211" spans="2:8" x14ac:dyDescent="0.2">
      <c r="B5211" s="3">
        <v>44928</v>
      </c>
      <c r="G5211" s="2">
        <f t="shared" si="81"/>
        <v>0</v>
      </c>
      <c r="H5211" t="s">
        <v>25</v>
      </c>
    </row>
    <row r="5212" spans="2:8" x14ac:dyDescent="0.2">
      <c r="B5212" s="3">
        <v>44928</v>
      </c>
      <c r="G5212" s="2">
        <f t="shared" si="81"/>
        <v>0</v>
      </c>
      <c r="H5212" t="s">
        <v>24</v>
      </c>
    </row>
    <row r="5213" spans="2:8" x14ac:dyDescent="0.2">
      <c r="B5213" s="3">
        <v>44928</v>
      </c>
      <c r="G5213" s="2">
        <f t="shared" si="81"/>
        <v>0</v>
      </c>
      <c r="H5213" t="s">
        <v>9</v>
      </c>
    </row>
    <row r="5214" spans="2:8" x14ac:dyDescent="0.2">
      <c r="B5214" s="3">
        <v>44928</v>
      </c>
      <c r="G5214" s="2">
        <f t="shared" si="81"/>
        <v>0</v>
      </c>
      <c r="H5214" t="s">
        <v>8</v>
      </c>
    </row>
    <row r="5215" spans="2:8" x14ac:dyDescent="0.2">
      <c r="B5215" s="3">
        <v>44928</v>
      </c>
      <c r="G5215" s="2">
        <f t="shared" si="81"/>
        <v>0</v>
      </c>
      <c r="H5215" t="s">
        <v>23</v>
      </c>
    </row>
    <row r="5216" spans="2:8" x14ac:dyDescent="0.2">
      <c r="B5216" s="3">
        <v>44928</v>
      </c>
      <c r="E5216" s="1">
        <v>50</v>
      </c>
      <c r="G5216" s="2">
        <f t="shared" si="81"/>
        <v>50</v>
      </c>
      <c r="H5216" t="s">
        <v>6</v>
      </c>
    </row>
    <row r="5217" spans="2:8" x14ac:dyDescent="0.2">
      <c r="B5217" s="3">
        <v>44928</v>
      </c>
      <c r="G5217" s="2">
        <f t="shared" si="81"/>
        <v>0</v>
      </c>
      <c r="H5217" t="s">
        <v>5</v>
      </c>
    </row>
    <row r="5218" spans="2:8" x14ac:dyDescent="0.2">
      <c r="B5218" s="3">
        <v>44928</v>
      </c>
      <c r="G5218" s="2">
        <f t="shared" si="81"/>
        <v>0</v>
      </c>
      <c r="H5218" s="1"/>
    </row>
    <row r="5219" spans="2:8" x14ac:dyDescent="0.2">
      <c r="B5219" s="3">
        <v>44929</v>
      </c>
      <c r="D5219" s="1">
        <v>1740</v>
      </c>
      <c r="E5219" s="1">
        <v>2280</v>
      </c>
      <c r="G5219" s="2">
        <f t="shared" si="81"/>
        <v>2280</v>
      </c>
      <c r="H5219" t="s">
        <v>14</v>
      </c>
    </row>
    <row r="5220" spans="2:8" x14ac:dyDescent="0.2">
      <c r="B5220" s="3">
        <v>44929</v>
      </c>
      <c r="D5220" s="1">
        <v>17808.5</v>
      </c>
      <c r="E5220" s="1">
        <v>21620</v>
      </c>
      <c r="G5220" s="2">
        <f t="shared" si="81"/>
        <v>21620</v>
      </c>
      <c r="H5220" t="s">
        <v>27</v>
      </c>
    </row>
    <row r="5221" spans="2:8" x14ac:dyDescent="0.2">
      <c r="B5221" s="3">
        <v>44929</v>
      </c>
      <c r="G5221" s="2">
        <f t="shared" si="81"/>
        <v>0</v>
      </c>
      <c r="H5221" t="s">
        <v>13</v>
      </c>
    </row>
    <row r="5222" spans="2:8" x14ac:dyDescent="0.2">
      <c r="B5222" s="3">
        <v>44929</v>
      </c>
      <c r="G5222" s="2">
        <f t="shared" si="81"/>
        <v>0</v>
      </c>
      <c r="H5222" t="s">
        <v>30</v>
      </c>
    </row>
    <row r="5223" spans="2:8" x14ac:dyDescent="0.2">
      <c r="B5223" s="3">
        <v>44929</v>
      </c>
      <c r="G5223" s="2">
        <f t="shared" si="81"/>
        <v>0</v>
      </c>
      <c r="H5223" t="s">
        <v>29</v>
      </c>
    </row>
    <row r="5224" spans="2:8" x14ac:dyDescent="0.2">
      <c r="B5224" s="3">
        <v>44929</v>
      </c>
      <c r="G5224" s="2">
        <f t="shared" si="81"/>
        <v>0</v>
      </c>
      <c r="H5224" t="s">
        <v>25</v>
      </c>
    </row>
    <row r="5225" spans="2:8" x14ac:dyDescent="0.2">
      <c r="B5225" s="3">
        <v>44929</v>
      </c>
      <c r="G5225" s="2">
        <f t="shared" si="81"/>
        <v>0</v>
      </c>
      <c r="H5225" t="s">
        <v>24</v>
      </c>
    </row>
    <row r="5226" spans="2:8" x14ac:dyDescent="0.2">
      <c r="B5226" s="3">
        <v>44929</v>
      </c>
      <c r="G5226" s="2">
        <f t="shared" si="81"/>
        <v>0</v>
      </c>
      <c r="H5226" t="s">
        <v>9</v>
      </c>
    </row>
    <row r="5227" spans="2:8" x14ac:dyDescent="0.2">
      <c r="B5227" s="3">
        <v>44929</v>
      </c>
      <c r="G5227" s="2">
        <f t="shared" si="81"/>
        <v>0</v>
      </c>
      <c r="H5227" t="s">
        <v>8</v>
      </c>
    </row>
    <row r="5228" spans="2:8" x14ac:dyDescent="0.2">
      <c r="B5228" s="3">
        <v>44929</v>
      </c>
      <c r="G5228" s="2">
        <f t="shared" si="81"/>
        <v>0</v>
      </c>
      <c r="H5228" t="s">
        <v>23</v>
      </c>
    </row>
    <row r="5229" spans="2:8" x14ac:dyDescent="0.2">
      <c r="B5229" s="3">
        <v>44929</v>
      </c>
      <c r="G5229" s="2">
        <f t="shared" si="81"/>
        <v>0</v>
      </c>
      <c r="H5229" t="s">
        <v>6</v>
      </c>
    </row>
    <row r="5230" spans="2:8" x14ac:dyDescent="0.2">
      <c r="B5230" s="3">
        <v>44929</v>
      </c>
      <c r="G5230" s="2">
        <f t="shared" si="81"/>
        <v>0</v>
      </c>
      <c r="H5230" t="s">
        <v>5</v>
      </c>
    </row>
    <row r="5231" spans="2:8" x14ac:dyDescent="0.2">
      <c r="B5231" s="3">
        <v>44929</v>
      </c>
      <c r="G5231" s="2">
        <f t="shared" si="81"/>
        <v>0</v>
      </c>
      <c r="H5231" s="1"/>
    </row>
    <row r="5232" spans="2:8" x14ac:dyDescent="0.2">
      <c r="B5232" s="3">
        <v>44930</v>
      </c>
      <c r="G5232" s="2">
        <f t="shared" si="81"/>
        <v>0</v>
      </c>
      <c r="H5232" t="s">
        <v>14</v>
      </c>
    </row>
    <row r="5233" spans="2:8" x14ac:dyDescent="0.2">
      <c r="B5233" s="3">
        <v>44930</v>
      </c>
      <c r="G5233" s="2">
        <f t="shared" si="81"/>
        <v>0</v>
      </c>
      <c r="H5233" t="s">
        <v>27</v>
      </c>
    </row>
    <row r="5234" spans="2:8" x14ac:dyDescent="0.2">
      <c r="B5234" s="3">
        <v>44930</v>
      </c>
      <c r="G5234" s="2">
        <f t="shared" si="81"/>
        <v>0</v>
      </c>
      <c r="H5234" t="s">
        <v>13</v>
      </c>
    </row>
    <row r="5235" spans="2:8" x14ac:dyDescent="0.2">
      <c r="B5235" s="3">
        <v>44930</v>
      </c>
      <c r="G5235" s="2">
        <f t="shared" si="81"/>
        <v>0</v>
      </c>
      <c r="H5235" t="s">
        <v>30</v>
      </c>
    </row>
    <row r="5236" spans="2:8" x14ac:dyDescent="0.2">
      <c r="B5236" s="3">
        <v>44930</v>
      </c>
      <c r="G5236" s="2">
        <f t="shared" si="81"/>
        <v>0</v>
      </c>
      <c r="H5236" t="s">
        <v>29</v>
      </c>
    </row>
    <row r="5237" spans="2:8" x14ac:dyDescent="0.2">
      <c r="B5237" s="3">
        <v>44930</v>
      </c>
      <c r="D5237" s="1">
        <v>8410.2999999999993</v>
      </c>
      <c r="E5237" s="1">
        <v>9597.5</v>
      </c>
      <c r="G5237" s="2">
        <f t="shared" si="81"/>
        <v>9597.5</v>
      </c>
      <c r="H5237" t="s">
        <v>25</v>
      </c>
    </row>
    <row r="5238" spans="2:8" x14ac:dyDescent="0.2">
      <c r="B5238" s="3">
        <v>44930</v>
      </c>
      <c r="D5238" s="1">
        <v>3489.5</v>
      </c>
      <c r="E5238" s="1">
        <v>3989.5</v>
      </c>
      <c r="F5238" s="1">
        <v>3000</v>
      </c>
      <c r="G5238" s="2">
        <f t="shared" si="81"/>
        <v>989.5</v>
      </c>
      <c r="H5238" t="s">
        <v>24</v>
      </c>
    </row>
    <row r="5239" spans="2:8" x14ac:dyDescent="0.2">
      <c r="B5239" s="3">
        <v>44930</v>
      </c>
      <c r="G5239" s="2">
        <f t="shared" si="81"/>
        <v>0</v>
      </c>
      <c r="H5239" t="s">
        <v>9</v>
      </c>
    </row>
    <row r="5240" spans="2:8" x14ac:dyDescent="0.2">
      <c r="B5240" s="3">
        <v>44930</v>
      </c>
      <c r="G5240" s="2">
        <f t="shared" si="81"/>
        <v>0</v>
      </c>
      <c r="H5240" t="s">
        <v>8</v>
      </c>
    </row>
    <row r="5241" spans="2:8" x14ac:dyDescent="0.2">
      <c r="B5241" s="3">
        <v>44930</v>
      </c>
      <c r="G5241" s="2">
        <f t="shared" si="81"/>
        <v>0</v>
      </c>
      <c r="H5241" t="s">
        <v>23</v>
      </c>
    </row>
    <row r="5242" spans="2:8" x14ac:dyDescent="0.2">
      <c r="B5242" s="3">
        <v>44930</v>
      </c>
      <c r="G5242" s="2">
        <f t="shared" si="81"/>
        <v>0</v>
      </c>
      <c r="H5242" t="s">
        <v>6</v>
      </c>
    </row>
    <row r="5243" spans="2:8" x14ac:dyDescent="0.2">
      <c r="B5243" s="3">
        <v>44930</v>
      </c>
      <c r="G5243" s="2">
        <f t="shared" si="81"/>
        <v>0</v>
      </c>
      <c r="H5243" t="s">
        <v>5</v>
      </c>
    </row>
    <row r="5244" spans="2:8" x14ac:dyDescent="0.2">
      <c r="B5244" s="3">
        <v>44930</v>
      </c>
      <c r="G5244" s="2">
        <f t="shared" si="81"/>
        <v>0</v>
      </c>
      <c r="H5244" s="1"/>
    </row>
    <row r="5245" spans="2:8" x14ac:dyDescent="0.2">
      <c r="B5245" s="3">
        <v>44931</v>
      </c>
      <c r="G5245" s="2">
        <f t="shared" si="81"/>
        <v>0</v>
      </c>
      <c r="H5245" t="s">
        <v>14</v>
      </c>
    </row>
    <row r="5246" spans="2:8" x14ac:dyDescent="0.2">
      <c r="B5246" s="3">
        <v>44931</v>
      </c>
      <c r="G5246" s="2">
        <f t="shared" si="81"/>
        <v>0</v>
      </c>
      <c r="H5246" t="s">
        <v>27</v>
      </c>
    </row>
    <row r="5247" spans="2:8" x14ac:dyDescent="0.2">
      <c r="B5247" s="3">
        <v>44931</v>
      </c>
      <c r="G5247" s="2">
        <f t="shared" si="81"/>
        <v>0</v>
      </c>
      <c r="H5247" t="s">
        <v>13</v>
      </c>
    </row>
    <row r="5248" spans="2:8" x14ac:dyDescent="0.2">
      <c r="B5248" s="3">
        <v>44931</v>
      </c>
      <c r="G5248" s="2">
        <f t="shared" si="81"/>
        <v>0</v>
      </c>
      <c r="H5248" t="s">
        <v>30</v>
      </c>
    </row>
    <row r="5249" spans="2:8" x14ac:dyDescent="0.2">
      <c r="B5249" s="3">
        <v>44931</v>
      </c>
      <c r="G5249" s="2">
        <f t="shared" si="81"/>
        <v>0</v>
      </c>
      <c r="H5249" t="s">
        <v>29</v>
      </c>
    </row>
    <row r="5250" spans="2:8" x14ac:dyDescent="0.2">
      <c r="B5250" s="3">
        <v>44931</v>
      </c>
      <c r="F5250" s="1">
        <v>4000</v>
      </c>
      <c r="G5250" s="2">
        <f t="shared" si="81"/>
        <v>-4000</v>
      </c>
      <c r="H5250" t="s">
        <v>25</v>
      </c>
    </row>
    <row r="5251" spans="2:8" x14ac:dyDescent="0.2">
      <c r="B5251" s="3">
        <v>44931</v>
      </c>
      <c r="G5251" s="2">
        <f t="shared" ref="G5251:G5314" si="82">E5251-F5251</f>
        <v>0</v>
      </c>
      <c r="H5251" t="s">
        <v>24</v>
      </c>
    </row>
    <row r="5252" spans="2:8" x14ac:dyDescent="0.2">
      <c r="B5252" s="3">
        <v>44931</v>
      </c>
      <c r="G5252" s="2">
        <f t="shared" si="82"/>
        <v>0</v>
      </c>
      <c r="H5252" t="s">
        <v>9</v>
      </c>
    </row>
    <row r="5253" spans="2:8" x14ac:dyDescent="0.2">
      <c r="B5253" s="3">
        <v>44931</v>
      </c>
      <c r="G5253" s="2">
        <f t="shared" si="82"/>
        <v>0</v>
      </c>
      <c r="H5253" t="s">
        <v>8</v>
      </c>
    </row>
    <row r="5254" spans="2:8" x14ac:dyDescent="0.2">
      <c r="B5254" s="3">
        <v>44931</v>
      </c>
      <c r="G5254" s="2">
        <f t="shared" si="82"/>
        <v>0</v>
      </c>
      <c r="H5254" t="s">
        <v>23</v>
      </c>
    </row>
    <row r="5255" spans="2:8" x14ac:dyDescent="0.2">
      <c r="B5255" s="3">
        <v>44931</v>
      </c>
      <c r="G5255" s="2">
        <f t="shared" si="82"/>
        <v>0</v>
      </c>
      <c r="H5255" t="s">
        <v>6</v>
      </c>
    </row>
    <row r="5256" spans="2:8" x14ac:dyDescent="0.2">
      <c r="B5256" s="3">
        <v>44931</v>
      </c>
      <c r="G5256" s="2">
        <f t="shared" si="82"/>
        <v>0</v>
      </c>
      <c r="H5256" t="s">
        <v>5</v>
      </c>
    </row>
    <row r="5257" spans="2:8" x14ac:dyDescent="0.2">
      <c r="B5257" s="3">
        <v>44931</v>
      </c>
      <c r="G5257" s="2">
        <f t="shared" si="82"/>
        <v>0</v>
      </c>
      <c r="H5257" s="1"/>
    </row>
    <row r="5258" spans="2:8" x14ac:dyDescent="0.2">
      <c r="B5258" s="3">
        <v>44932</v>
      </c>
      <c r="G5258" s="2">
        <f t="shared" si="82"/>
        <v>0</v>
      </c>
      <c r="H5258" t="s">
        <v>14</v>
      </c>
    </row>
    <row r="5259" spans="2:8" x14ac:dyDescent="0.2">
      <c r="B5259" s="3">
        <v>44932</v>
      </c>
      <c r="G5259" s="2">
        <f t="shared" si="82"/>
        <v>0</v>
      </c>
      <c r="H5259" t="s">
        <v>27</v>
      </c>
    </row>
    <row r="5260" spans="2:8" x14ac:dyDescent="0.2">
      <c r="B5260" s="3">
        <v>44932</v>
      </c>
      <c r="G5260" s="2">
        <f t="shared" si="82"/>
        <v>0</v>
      </c>
      <c r="H5260" t="s">
        <v>13</v>
      </c>
    </row>
    <row r="5261" spans="2:8" x14ac:dyDescent="0.2">
      <c r="B5261" s="3">
        <v>44932</v>
      </c>
      <c r="G5261" s="2">
        <f t="shared" si="82"/>
        <v>0</v>
      </c>
      <c r="H5261" t="s">
        <v>30</v>
      </c>
    </row>
    <row r="5262" spans="2:8" x14ac:dyDescent="0.2">
      <c r="B5262" s="3">
        <v>44932</v>
      </c>
      <c r="G5262" s="2">
        <f t="shared" si="82"/>
        <v>0</v>
      </c>
      <c r="H5262" t="s">
        <v>29</v>
      </c>
    </row>
    <row r="5263" spans="2:8" x14ac:dyDescent="0.2">
      <c r="B5263" s="3">
        <v>44932</v>
      </c>
      <c r="G5263" s="2">
        <f t="shared" si="82"/>
        <v>0</v>
      </c>
      <c r="H5263" t="s">
        <v>25</v>
      </c>
    </row>
    <row r="5264" spans="2:8" x14ac:dyDescent="0.2">
      <c r="B5264" s="3">
        <v>44932</v>
      </c>
      <c r="G5264" s="2">
        <f t="shared" si="82"/>
        <v>0</v>
      </c>
      <c r="H5264" t="s">
        <v>24</v>
      </c>
    </row>
    <row r="5265" spans="2:8" x14ac:dyDescent="0.2">
      <c r="B5265" s="3">
        <v>44932</v>
      </c>
      <c r="G5265" s="2">
        <f t="shared" si="82"/>
        <v>0</v>
      </c>
      <c r="H5265" t="s">
        <v>9</v>
      </c>
    </row>
    <row r="5266" spans="2:8" x14ac:dyDescent="0.2">
      <c r="B5266" s="3">
        <v>44932</v>
      </c>
      <c r="G5266" s="2">
        <f t="shared" si="82"/>
        <v>0</v>
      </c>
      <c r="H5266" t="s">
        <v>8</v>
      </c>
    </row>
    <row r="5267" spans="2:8" x14ac:dyDescent="0.2">
      <c r="B5267" s="3">
        <v>44932</v>
      </c>
      <c r="G5267" s="2">
        <f t="shared" si="82"/>
        <v>0</v>
      </c>
      <c r="H5267" t="s">
        <v>23</v>
      </c>
    </row>
    <row r="5268" spans="2:8" x14ac:dyDescent="0.2">
      <c r="B5268" s="3">
        <v>44932</v>
      </c>
      <c r="G5268" s="2">
        <f t="shared" si="82"/>
        <v>0</v>
      </c>
      <c r="H5268" t="s">
        <v>6</v>
      </c>
    </row>
    <row r="5269" spans="2:8" x14ac:dyDescent="0.2">
      <c r="B5269" s="3">
        <v>44932</v>
      </c>
      <c r="G5269" s="2">
        <f t="shared" si="82"/>
        <v>0</v>
      </c>
      <c r="H5269" t="s">
        <v>5</v>
      </c>
    </row>
    <row r="5270" spans="2:8" x14ac:dyDescent="0.2">
      <c r="B5270" s="3">
        <v>44932</v>
      </c>
      <c r="G5270" s="2">
        <f t="shared" si="82"/>
        <v>0</v>
      </c>
      <c r="H5270" s="1"/>
    </row>
    <row r="5271" spans="2:8" x14ac:dyDescent="0.2">
      <c r="B5271" s="3">
        <v>44933</v>
      </c>
      <c r="G5271" s="2">
        <f t="shared" si="82"/>
        <v>0</v>
      </c>
      <c r="H5271" t="s">
        <v>14</v>
      </c>
    </row>
    <row r="5272" spans="2:8" x14ac:dyDescent="0.2">
      <c r="B5272" s="3">
        <v>44933</v>
      </c>
      <c r="F5272" s="1">
        <v>5000</v>
      </c>
      <c r="G5272" s="2">
        <f t="shared" si="82"/>
        <v>-5000</v>
      </c>
      <c r="H5272" t="s">
        <v>27</v>
      </c>
    </row>
    <row r="5273" spans="2:8" x14ac:dyDescent="0.2">
      <c r="B5273" s="3">
        <v>44933</v>
      </c>
      <c r="D5273" s="1">
        <v>1405.9</v>
      </c>
      <c r="E5273" s="1">
        <v>1611.5</v>
      </c>
      <c r="F5273" s="1">
        <v>6000</v>
      </c>
      <c r="G5273" s="2">
        <f t="shared" si="82"/>
        <v>-4388.5</v>
      </c>
      <c r="H5273" t="s">
        <v>13</v>
      </c>
    </row>
    <row r="5274" spans="2:8" x14ac:dyDescent="0.2">
      <c r="B5274" s="3">
        <v>44933</v>
      </c>
      <c r="D5274" s="1">
        <v>12143.25</v>
      </c>
      <c r="E5274" s="1">
        <v>14882.75</v>
      </c>
      <c r="G5274" s="2">
        <f t="shared" si="82"/>
        <v>14882.75</v>
      </c>
      <c r="H5274" t="s">
        <v>30</v>
      </c>
    </row>
    <row r="5275" spans="2:8" x14ac:dyDescent="0.2">
      <c r="B5275" s="3">
        <v>44933</v>
      </c>
      <c r="G5275" s="2">
        <f t="shared" si="82"/>
        <v>0</v>
      </c>
      <c r="H5275" t="s">
        <v>29</v>
      </c>
    </row>
    <row r="5276" spans="2:8" x14ac:dyDescent="0.2">
      <c r="B5276" s="3">
        <v>44933</v>
      </c>
      <c r="G5276" s="2">
        <f t="shared" si="82"/>
        <v>0</v>
      </c>
      <c r="H5276" t="s">
        <v>25</v>
      </c>
    </row>
    <row r="5277" spans="2:8" x14ac:dyDescent="0.2">
      <c r="B5277" s="3">
        <v>44933</v>
      </c>
      <c r="G5277" s="2">
        <f t="shared" si="82"/>
        <v>0</v>
      </c>
      <c r="H5277" t="s">
        <v>24</v>
      </c>
    </row>
    <row r="5278" spans="2:8" x14ac:dyDescent="0.2">
      <c r="B5278" s="3">
        <v>44933</v>
      </c>
      <c r="G5278" s="2">
        <f t="shared" si="82"/>
        <v>0</v>
      </c>
      <c r="H5278" t="s">
        <v>9</v>
      </c>
    </row>
    <row r="5279" spans="2:8" x14ac:dyDescent="0.2">
      <c r="B5279" s="3">
        <v>44933</v>
      </c>
      <c r="G5279" s="2">
        <f t="shared" si="82"/>
        <v>0</v>
      </c>
      <c r="H5279" t="s">
        <v>8</v>
      </c>
    </row>
    <row r="5280" spans="2:8" x14ac:dyDescent="0.2">
      <c r="B5280" s="3">
        <v>44933</v>
      </c>
      <c r="G5280" s="2">
        <f t="shared" si="82"/>
        <v>0</v>
      </c>
      <c r="H5280" t="s">
        <v>23</v>
      </c>
    </row>
    <row r="5281" spans="2:8" x14ac:dyDescent="0.2">
      <c r="B5281" s="3">
        <v>44933</v>
      </c>
      <c r="G5281" s="2">
        <f t="shared" si="82"/>
        <v>0</v>
      </c>
      <c r="H5281" t="s">
        <v>6</v>
      </c>
    </row>
    <row r="5282" spans="2:8" x14ac:dyDescent="0.2">
      <c r="B5282" s="3">
        <v>44933</v>
      </c>
      <c r="G5282" s="2">
        <f t="shared" si="82"/>
        <v>0</v>
      </c>
      <c r="H5282" t="s">
        <v>5</v>
      </c>
    </row>
    <row r="5283" spans="2:8" x14ac:dyDescent="0.2">
      <c r="B5283" s="3">
        <v>44933</v>
      </c>
      <c r="G5283" s="2">
        <f t="shared" si="82"/>
        <v>0</v>
      </c>
      <c r="H5283" s="1"/>
    </row>
    <row r="5284" spans="2:8" x14ac:dyDescent="0.2">
      <c r="B5284" s="3">
        <v>44934</v>
      </c>
      <c r="G5284" s="2">
        <f t="shared" si="82"/>
        <v>0</v>
      </c>
      <c r="H5284" t="s">
        <v>14</v>
      </c>
    </row>
    <row r="5285" spans="2:8" x14ac:dyDescent="0.2">
      <c r="B5285" s="3">
        <v>44934</v>
      </c>
      <c r="G5285" s="2">
        <f t="shared" si="82"/>
        <v>0</v>
      </c>
      <c r="H5285" t="s">
        <v>27</v>
      </c>
    </row>
    <row r="5286" spans="2:8" x14ac:dyDescent="0.2">
      <c r="B5286" s="3">
        <v>44934</v>
      </c>
      <c r="G5286" s="2">
        <f t="shared" si="82"/>
        <v>0</v>
      </c>
      <c r="H5286" t="s">
        <v>13</v>
      </c>
    </row>
    <row r="5287" spans="2:8" x14ac:dyDescent="0.2">
      <c r="B5287" s="3">
        <v>44934</v>
      </c>
      <c r="G5287" s="2">
        <f t="shared" si="82"/>
        <v>0</v>
      </c>
      <c r="H5287" t="s">
        <v>30</v>
      </c>
    </row>
    <row r="5288" spans="2:8" x14ac:dyDescent="0.2">
      <c r="B5288" s="3">
        <v>44934</v>
      </c>
      <c r="G5288" s="2">
        <f t="shared" si="82"/>
        <v>0</v>
      </c>
      <c r="H5288" t="s">
        <v>29</v>
      </c>
    </row>
    <row r="5289" spans="2:8" x14ac:dyDescent="0.2">
      <c r="B5289" s="3">
        <v>44934</v>
      </c>
      <c r="G5289" s="2">
        <f t="shared" si="82"/>
        <v>0</v>
      </c>
      <c r="H5289" t="s">
        <v>25</v>
      </c>
    </row>
    <row r="5290" spans="2:8" x14ac:dyDescent="0.2">
      <c r="B5290" s="3">
        <v>44934</v>
      </c>
      <c r="G5290" s="2">
        <f t="shared" si="82"/>
        <v>0</v>
      </c>
      <c r="H5290" t="s">
        <v>24</v>
      </c>
    </row>
    <row r="5291" spans="2:8" x14ac:dyDescent="0.2">
      <c r="B5291" s="3">
        <v>44934</v>
      </c>
      <c r="G5291" s="2">
        <f t="shared" si="82"/>
        <v>0</v>
      </c>
      <c r="H5291" t="s">
        <v>9</v>
      </c>
    </row>
    <row r="5292" spans="2:8" x14ac:dyDescent="0.2">
      <c r="B5292" s="3">
        <v>44934</v>
      </c>
      <c r="G5292" s="2">
        <f t="shared" si="82"/>
        <v>0</v>
      </c>
      <c r="H5292" t="s">
        <v>8</v>
      </c>
    </row>
    <row r="5293" spans="2:8" x14ac:dyDescent="0.2">
      <c r="B5293" s="3">
        <v>44934</v>
      </c>
      <c r="G5293" s="2">
        <f t="shared" si="82"/>
        <v>0</v>
      </c>
      <c r="H5293" t="s">
        <v>23</v>
      </c>
    </row>
    <row r="5294" spans="2:8" x14ac:dyDescent="0.2">
      <c r="B5294" s="3">
        <v>44934</v>
      </c>
      <c r="G5294" s="2">
        <f t="shared" si="82"/>
        <v>0</v>
      </c>
      <c r="H5294" t="s">
        <v>6</v>
      </c>
    </row>
    <row r="5295" spans="2:8" x14ac:dyDescent="0.2">
      <c r="B5295" s="3">
        <v>44934</v>
      </c>
      <c r="G5295" s="2">
        <f t="shared" si="82"/>
        <v>0</v>
      </c>
      <c r="H5295" t="s">
        <v>5</v>
      </c>
    </row>
    <row r="5296" spans="2:8" x14ac:dyDescent="0.2">
      <c r="B5296" s="3">
        <v>44934</v>
      </c>
      <c r="G5296" s="2">
        <f t="shared" si="82"/>
        <v>0</v>
      </c>
      <c r="H5296" s="1"/>
    </row>
    <row r="5297" spans="2:8" x14ac:dyDescent="0.2">
      <c r="B5297" s="3">
        <v>44935</v>
      </c>
      <c r="D5297" s="1">
        <v>2263</v>
      </c>
      <c r="E5297" s="1">
        <v>2535</v>
      </c>
      <c r="G5297" s="2">
        <f t="shared" si="82"/>
        <v>2535</v>
      </c>
      <c r="H5297" t="s">
        <v>14</v>
      </c>
    </row>
    <row r="5298" spans="2:8" x14ac:dyDescent="0.2">
      <c r="B5298" s="3">
        <v>44935</v>
      </c>
      <c r="G5298" s="2">
        <f t="shared" si="82"/>
        <v>0</v>
      </c>
      <c r="H5298" t="s">
        <v>27</v>
      </c>
    </row>
    <row r="5299" spans="2:8" x14ac:dyDescent="0.2">
      <c r="B5299" s="3">
        <v>44935</v>
      </c>
      <c r="G5299" s="2">
        <f t="shared" si="82"/>
        <v>0</v>
      </c>
      <c r="H5299" t="s">
        <v>13</v>
      </c>
    </row>
    <row r="5300" spans="2:8" x14ac:dyDescent="0.2">
      <c r="B5300" s="3">
        <v>44935</v>
      </c>
      <c r="G5300" s="2">
        <f t="shared" si="82"/>
        <v>0</v>
      </c>
      <c r="H5300" t="s">
        <v>30</v>
      </c>
    </row>
    <row r="5301" spans="2:8" x14ac:dyDescent="0.2">
      <c r="B5301" s="3">
        <v>44935</v>
      </c>
      <c r="G5301" s="2">
        <f t="shared" si="82"/>
        <v>0</v>
      </c>
      <c r="H5301" t="s">
        <v>29</v>
      </c>
    </row>
    <row r="5302" spans="2:8" x14ac:dyDescent="0.2">
      <c r="B5302" s="3">
        <v>44935</v>
      </c>
      <c r="G5302" s="2">
        <f t="shared" si="82"/>
        <v>0</v>
      </c>
      <c r="H5302" t="s">
        <v>25</v>
      </c>
    </row>
    <row r="5303" spans="2:8" x14ac:dyDescent="0.2">
      <c r="B5303" s="3">
        <v>44935</v>
      </c>
      <c r="G5303" s="2">
        <f t="shared" si="82"/>
        <v>0</v>
      </c>
      <c r="H5303" t="s">
        <v>24</v>
      </c>
    </row>
    <row r="5304" spans="2:8" x14ac:dyDescent="0.2">
      <c r="B5304" s="3">
        <v>44935</v>
      </c>
      <c r="G5304" s="2">
        <f t="shared" si="82"/>
        <v>0</v>
      </c>
      <c r="H5304" t="s">
        <v>9</v>
      </c>
    </row>
    <row r="5305" spans="2:8" x14ac:dyDescent="0.2">
      <c r="B5305" s="3">
        <v>44935</v>
      </c>
      <c r="G5305" s="2">
        <f t="shared" si="82"/>
        <v>0</v>
      </c>
      <c r="H5305" t="s">
        <v>8</v>
      </c>
    </row>
    <row r="5306" spans="2:8" x14ac:dyDescent="0.2">
      <c r="B5306" s="3">
        <v>44935</v>
      </c>
      <c r="G5306" s="2">
        <f t="shared" si="82"/>
        <v>0</v>
      </c>
      <c r="H5306" t="s">
        <v>23</v>
      </c>
    </row>
    <row r="5307" spans="2:8" x14ac:dyDescent="0.2">
      <c r="B5307" s="3">
        <v>44935</v>
      </c>
      <c r="G5307" s="2">
        <f t="shared" si="82"/>
        <v>0</v>
      </c>
      <c r="H5307" t="s">
        <v>6</v>
      </c>
    </row>
    <row r="5308" spans="2:8" x14ac:dyDescent="0.2">
      <c r="B5308" s="3">
        <v>44935</v>
      </c>
      <c r="G5308" s="2">
        <f t="shared" si="82"/>
        <v>0</v>
      </c>
      <c r="H5308" t="s">
        <v>5</v>
      </c>
    </row>
    <row r="5309" spans="2:8" x14ac:dyDescent="0.2">
      <c r="B5309" s="3">
        <v>44935</v>
      </c>
      <c r="G5309" s="2">
        <f t="shared" si="82"/>
        <v>0</v>
      </c>
      <c r="H5309" s="1"/>
    </row>
    <row r="5310" spans="2:8" x14ac:dyDescent="0.2">
      <c r="B5310" s="3">
        <v>44936</v>
      </c>
      <c r="G5310" s="2">
        <f t="shared" si="82"/>
        <v>0</v>
      </c>
      <c r="H5310" t="s">
        <v>14</v>
      </c>
    </row>
    <row r="5311" spans="2:8" x14ac:dyDescent="0.2">
      <c r="B5311" s="3">
        <v>44936</v>
      </c>
      <c r="G5311" s="2">
        <f t="shared" si="82"/>
        <v>0</v>
      </c>
      <c r="H5311" t="s">
        <v>27</v>
      </c>
    </row>
    <row r="5312" spans="2:8" x14ac:dyDescent="0.2">
      <c r="B5312" s="3">
        <v>44936</v>
      </c>
      <c r="G5312" s="2">
        <f t="shared" si="82"/>
        <v>0</v>
      </c>
      <c r="H5312" t="s">
        <v>13</v>
      </c>
    </row>
    <row r="5313" spans="2:8" x14ac:dyDescent="0.2">
      <c r="B5313" s="3">
        <v>44936</v>
      </c>
      <c r="D5313" s="1">
        <v>839</v>
      </c>
      <c r="E5313" s="1">
        <v>900</v>
      </c>
      <c r="G5313" s="2">
        <f t="shared" si="82"/>
        <v>900</v>
      </c>
      <c r="H5313" t="s">
        <v>30</v>
      </c>
    </row>
    <row r="5314" spans="2:8" x14ac:dyDescent="0.2">
      <c r="B5314" s="3">
        <v>44936</v>
      </c>
      <c r="D5314" s="1">
        <v>5520</v>
      </c>
      <c r="E5314" s="1">
        <v>5820</v>
      </c>
      <c r="G5314" s="2">
        <f t="shared" si="82"/>
        <v>5820</v>
      </c>
      <c r="H5314" t="s">
        <v>29</v>
      </c>
    </row>
    <row r="5315" spans="2:8" x14ac:dyDescent="0.2">
      <c r="B5315" s="3">
        <v>44936</v>
      </c>
      <c r="G5315" s="2">
        <f t="shared" ref="G5315:G5378" si="83">E5315-F5315</f>
        <v>0</v>
      </c>
      <c r="H5315" t="s">
        <v>25</v>
      </c>
    </row>
    <row r="5316" spans="2:8" x14ac:dyDescent="0.2">
      <c r="B5316" s="3">
        <v>44936</v>
      </c>
      <c r="D5316" s="1">
        <v>1430</v>
      </c>
      <c r="E5316" s="1">
        <v>1727.5</v>
      </c>
      <c r="G5316" s="2">
        <f t="shared" si="83"/>
        <v>1727.5</v>
      </c>
      <c r="H5316" t="s">
        <v>24</v>
      </c>
    </row>
    <row r="5317" spans="2:8" x14ac:dyDescent="0.2">
      <c r="B5317" s="3">
        <v>44936</v>
      </c>
      <c r="G5317" s="2">
        <f t="shared" si="83"/>
        <v>0</v>
      </c>
      <c r="H5317" t="s">
        <v>9</v>
      </c>
    </row>
    <row r="5318" spans="2:8" x14ac:dyDescent="0.2">
      <c r="B5318" s="3">
        <v>44936</v>
      </c>
      <c r="G5318" s="2">
        <f t="shared" si="83"/>
        <v>0</v>
      </c>
      <c r="H5318" t="s">
        <v>8</v>
      </c>
    </row>
    <row r="5319" spans="2:8" x14ac:dyDescent="0.2">
      <c r="B5319" s="3">
        <v>44936</v>
      </c>
      <c r="G5319" s="2">
        <f t="shared" si="83"/>
        <v>0</v>
      </c>
      <c r="H5319" t="s">
        <v>23</v>
      </c>
    </row>
    <row r="5320" spans="2:8" x14ac:dyDescent="0.2">
      <c r="B5320" s="3">
        <v>44936</v>
      </c>
      <c r="G5320" s="2">
        <f t="shared" si="83"/>
        <v>0</v>
      </c>
      <c r="H5320" t="s">
        <v>6</v>
      </c>
    </row>
    <row r="5321" spans="2:8" x14ac:dyDescent="0.2">
      <c r="B5321" s="3">
        <v>44936</v>
      </c>
      <c r="G5321" s="2">
        <f t="shared" si="83"/>
        <v>0</v>
      </c>
      <c r="H5321" t="s">
        <v>5</v>
      </c>
    </row>
    <row r="5322" spans="2:8" x14ac:dyDescent="0.2">
      <c r="B5322" s="3">
        <v>44936</v>
      </c>
      <c r="D5322" s="1">
        <v>904</v>
      </c>
      <c r="E5322" s="1">
        <v>960</v>
      </c>
      <c r="F5322" s="1">
        <v>960</v>
      </c>
      <c r="G5322" s="2">
        <f t="shared" si="83"/>
        <v>0</v>
      </c>
      <c r="H5322" t="s">
        <v>39</v>
      </c>
    </row>
    <row r="5323" spans="2:8" x14ac:dyDescent="0.2">
      <c r="B5323" s="3">
        <v>44937</v>
      </c>
      <c r="G5323" s="2">
        <f t="shared" si="83"/>
        <v>0</v>
      </c>
      <c r="H5323" t="s">
        <v>14</v>
      </c>
    </row>
    <row r="5324" spans="2:8" x14ac:dyDescent="0.2">
      <c r="B5324" s="3">
        <v>44937</v>
      </c>
      <c r="G5324" s="2">
        <f t="shared" si="83"/>
        <v>0</v>
      </c>
      <c r="H5324" t="s">
        <v>27</v>
      </c>
    </row>
    <row r="5325" spans="2:8" x14ac:dyDescent="0.2">
      <c r="B5325" s="3">
        <v>44937</v>
      </c>
      <c r="D5325" s="1">
        <v>3997</v>
      </c>
      <c r="E5325" s="1">
        <v>4949.5</v>
      </c>
      <c r="G5325" s="2">
        <f t="shared" si="83"/>
        <v>4949.5</v>
      </c>
      <c r="H5325" t="s">
        <v>13</v>
      </c>
    </row>
    <row r="5326" spans="2:8" x14ac:dyDescent="0.2">
      <c r="B5326" s="3">
        <v>44937</v>
      </c>
      <c r="G5326" s="2">
        <f t="shared" si="83"/>
        <v>0</v>
      </c>
      <c r="H5326" t="s">
        <v>30</v>
      </c>
    </row>
    <row r="5327" spans="2:8" x14ac:dyDescent="0.2">
      <c r="B5327" s="3">
        <v>44937</v>
      </c>
      <c r="D5327" s="1">
        <v>5615.5</v>
      </c>
      <c r="E5327" s="1">
        <v>5975.25</v>
      </c>
      <c r="F5327" s="1">
        <v>5820</v>
      </c>
      <c r="G5327" s="2">
        <f t="shared" si="83"/>
        <v>155.25</v>
      </c>
      <c r="H5327" t="s">
        <v>29</v>
      </c>
    </row>
    <row r="5328" spans="2:8" x14ac:dyDescent="0.2">
      <c r="B5328" s="3">
        <v>44937</v>
      </c>
      <c r="G5328" s="2">
        <f t="shared" si="83"/>
        <v>0</v>
      </c>
      <c r="H5328" t="s">
        <v>25</v>
      </c>
    </row>
    <row r="5329" spans="2:8" x14ac:dyDescent="0.2">
      <c r="B5329" s="3">
        <v>44937</v>
      </c>
      <c r="F5329" s="1">
        <v>2000</v>
      </c>
      <c r="G5329" s="2">
        <f t="shared" si="83"/>
        <v>-2000</v>
      </c>
      <c r="H5329" t="s">
        <v>24</v>
      </c>
    </row>
    <row r="5330" spans="2:8" x14ac:dyDescent="0.2">
      <c r="B5330" s="3">
        <v>44937</v>
      </c>
      <c r="G5330" s="2">
        <f t="shared" si="83"/>
        <v>0</v>
      </c>
      <c r="H5330" t="s">
        <v>9</v>
      </c>
    </row>
    <row r="5331" spans="2:8" x14ac:dyDescent="0.2">
      <c r="B5331" s="3">
        <v>44937</v>
      </c>
      <c r="G5331" s="2">
        <f t="shared" si="83"/>
        <v>0</v>
      </c>
      <c r="H5331" t="s">
        <v>8</v>
      </c>
    </row>
    <row r="5332" spans="2:8" x14ac:dyDescent="0.2">
      <c r="B5332" s="3">
        <v>44937</v>
      </c>
      <c r="G5332" s="2">
        <f t="shared" si="83"/>
        <v>0</v>
      </c>
      <c r="H5332" t="s">
        <v>23</v>
      </c>
    </row>
    <row r="5333" spans="2:8" x14ac:dyDescent="0.2">
      <c r="B5333" s="3">
        <v>44937</v>
      </c>
      <c r="G5333" s="2">
        <f t="shared" si="83"/>
        <v>0</v>
      </c>
      <c r="H5333" t="s">
        <v>6</v>
      </c>
    </row>
    <row r="5334" spans="2:8" x14ac:dyDescent="0.2">
      <c r="B5334" s="3">
        <v>44937</v>
      </c>
      <c r="G5334" s="2">
        <f t="shared" si="83"/>
        <v>0</v>
      </c>
      <c r="H5334" t="s">
        <v>5</v>
      </c>
    </row>
    <row r="5335" spans="2:8" x14ac:dyDescent="0.2">
      <c r="B5335" s="3">
        <v>44937</v>
      </c>
      <c r="G5335" s="2">
        <f t="shared" si="83"/>
        <v>0</v>
      </c>
      <c r="H5335" s="1"/>
    </row>
    <row r="5336" spans="2:8" x14ac:dyDescent="0.2">
      <c r="B5336" s="3">
        <v>44938</v>
      </c>
      <c r="G5336" s="2">
        <f t="shared" si="83"/>
        <v>0</v>
      </c>
      <c r="H5336" t="s">
        <v>14</v>
      </c>
    </row>
    <row r="5337" spans="2:8" x14ac:dyDescent="0.2">
      <c r="B5337" s="3">
        <v>44938</v>
      </c>
      <c r="G5337" s="2">
        <f t="shared" si="83"/>
        <v>0</v>
      </c>
      <c r="H5337" t="s">
        <v>27</v>
      </c>
    </row>
    <row r="5338" spans="2:8" x14ac:dyDescent="0.2">
      <c r="B5338" s="3">
        <v>44938</v>
      </c>
      <c r="G5338" s="2">
        <f t="shared" si="83"/>
        <v>0</v>
      </c>
      <c r="H5338" t="s">
        <v>13</v>
      </c>
    </row>
    <row r="5339" spans="2:8" x14ac:dyDescent="0.2">
      <c r="B5339" s="3">
        <v>44938</v>
      </c>
      <c r="G5339" s="2">
        <f t="shared" si="83"/>
        <v>0</v>
      </c>
      <c r="H5339" t="s">
        <v>30</v>
      </c>
    </row>
    <row r="5340" spans="2:8" x14ac:dyDescent="0.2">
      <c r="B5340" s="3">
        <v>44938</v>
      </c>
      <c r="F5340" s="1">
        <v>4860</v>
      </c>
      <c r="G5340" s="2">
        <f t="shared" si="83"/>
        <v>-4860</v>
      </c>
      <c r="H5340" t="s">
        <v>29</v>
      </c>
    </row>
    <row r="5341" spans="2:8" x14ac:dyDescent="0.2">
      <c r="B5341" s="3">
        <v>44938</v>
      </c>
      <c r="G5341" s="2">
        <f t="shared" si="83"/>
        <v>0</v>
      </c>
      <c r="H5341" t="s">
        <v>25</v>
      </c>
    </row>
    <row r="5342" spans="2:8" x14ac:dyDescent="0.2">
      <c r="B5342" s="3">
        <v>44938</v>
      </c>
      <c r="G5342" s="2">
        <f t="shared" si="83"/>
        <v>0</v>
      </c>
      <c r="H5342" t="s">
        <v>24</v>
      </c>
    </row>
    <row r="5343" spans="2:8" x14ac:dyDescent="0.2">
      <c r="B5343" s="3">
        <v>44938</v>
      </c>
      <c r="G5343" s="2">
        <f t="shared" si="83"/>
        <v>0</v>
      </c>
      <c r="H5343" t="s">
        <v>9</v>
      </c>
    </row>
    <row r="5344" spans="2:8" x14ac:dyDescent="0.2">
      <c r="B5344" s="3">
        <v>44938</v>
      </c>
      <c r="G5344" s="2">
        <f t="shared" si="83"/>
        <v>0</v>
      </c>
      <c r="H5344" t="s">
        <v>8</v>
      </c>
    </row>
    <row r="5345" spans="2:8" x14ac:dyDescent="0.2">
      <c r="B5345" s="3">
        <v>44938</v>
      </c>
      <c r="G5345" s="2">
        <f t="shared" si="83"/>
        <v>0</v>
      </c>
      <c r="H5345" t="s">
        <v>23</v>
      </c>
    </row>
    <row r="5346" spans="2:8" x14ac:dyDescent="0.2">
      <c r="B5346" s="3">
        <v>44938</v>
      </c>
      <c r="G5346" s="2">
        <f t="shared" si="83"/>
        <v>0</v>
      </c>
      <c r="H5346" t="s">
        <v>6</v>
      </c>
    </row>
    <row r="5347" spans="2:8" x14ac:dyDescent="0.2">
      <c r="B5347" s="3">
        <v>44938</v>
      </c>
      <c r="G5347" s="2">
        <f t="shared" si="83"/>
        <v>0</v>
      </c>
      <c r="H5347" t="s">
        <v>5</v>
      </c>
    </row>
    <row r="5348" spans="2:8" x14ac:dyDescent="0.2">
      <c r="B5348" s="3">
        <v>44938</v>
      </c>
      <c r="G5348" s="2">
        <f t="shared" si="83"/>
        <v>0</v>
      </c>
      <c r="H5348" s="1"/>
    </row>
    <row r="5349" spans="2:8" x14ac:dyDescent="0.2">
      <c r="B5349" s="3">
        <v>44939</v>
      </c>
      <c r="G5349" s="2">
        <f t="shared" si="83"/>
        <v>0</v>
      </c>
      <c r="H5349" t="s">
        <v>14</v>
      </c>
    </row>
    <row r="5350" spans="2:8" x14ac:dyDescent="0.2">
      <c r="B5350" s="3">
        <v>44939</v>
      </c>
      <c r="G5350" s="2">
        <f t="shared" si="83"/>
        <v>0</v>
      </c>
      <c r="H5350" t="s">
        <v>27</v>
      </c>
    </row>
    <row r="5351" spans="2:8" x14ac:dyDescent="0.2">
      <c r="B5351" s="3">
        <v>44939</v>
      </c>
      <c r="G5351" s="2">
        <f t="shared" si="83"/>
        <v>0</v>
      </c>
      <c r="H5351" t="s">
        <v>13</v>
      </c>
    </row>
    <row r="5352" spans="2:8" x14ac:dyDescent="0.2">
      <c r="B5352" s="3">
        <v>44939</v>
      </c>
      <c r="G5352" s="2">
        <f t="shared" si="83"/>
        <v>0</v>
      </c>
      <c r="H5352" t="s">
        <v>30</v>
      </c>
    </row>
    <row r="5353" spans="2:8" x14ac:dyDescent="0.2">
      <c r="B5353" s="3">
        <v>44939</v>
      </c>
      <c r="G5353" s="2">
        <f t="shared" si="83"/>
        <v>0</v>
      </c>
      <c r="H5353" t="s">
        <v>29</v>
      </c>
    </row>
    <row r="5354" spans="2:8" x14ac:dyDescent="0.2">
      <c r="B5354" s="3">
        <v>44939</v>
      </c>
      <c r="G5354" s="2">
        <f t="shared" si="83"/>
        <v>0</v>
      </c>
      <c r="H5354" t="s">
        <v>25</v>
      </c>
    </row>
    <row r="5355" spans="2:8" x14ac:dyDescent="0.2">
      <c r="B5355" s="3">
        <v>44939</v>
      </c>
      <c r="G5355" s="2">
        <f t="shared" si="83"/>
        <v>0</v>
      </c>
      <c r="H5355" t="s">
        <v>24</v>
      </c>
    </row>
    <row r="5356" spans="2:8" x14ac:dyDescent="0.2">
      <c r="B5356" s="3">
        <v>44939</v>
      </c>
      <c r="G5356" s="2">
        <f t="shared" si="83"/>
        <v>0</v>
      </c>
      <c r="H5356" t="s">
        <v>9</v>
      </c>
    </row>
    <row r="5357" spans="2:8" x14ac:dyDescent="0.2">
      <c r="B5357" s="3">
        <v>44939</v>
      </c>
      <c r="G5357" s="2">
        <f t="shared" si="83"/>
        <v>0</v>
      </c>
      <c r="H5357" t="s">
        <v>8</v>
      </c>
    </row>
    <row r="5358" spans="2:8" x14ac:dyDescent="0.2">
      <c r="B5358" s="3">
        <v>44939</v>
      </c>
      <c r="G5358" s="2">
        <f t="shared" si="83"/>
        <v>0</v>
      </c>
      <c r="H5358" t="s">
        <v>23</v>
      </c>
    </row>
    <row r="5359" spans="2:8" x14ac:dyDescent="0.2">
      <c r="B5359" s="3">
        <v>44939</v>
      </c>
      <c r="G5359" s="2">
        <f t="shared" si="83"/>
        <v>0</v>
      </c>
      <c r="H5359" t="s">
        <v>6</v>
      </c>
    </row>
    <row r="5360" spans="2:8" x14ac:dyDescent="0.2">
      <c r="B5360" s="3">
        <v>44939</v>
      </c>
      <c r="G5360" s="2">
        <f t="shared" si="83"/>
        <v>0</v>
      </c>
      <c r="H5360" t="s">
        <v>5</v>
      </c>
    </row>
    <row r="5361" spans="2:8" x14ac:dyDescent="0.2">
      <c r="B5361" s="3">
        <v>44939</v>
      </c>
      <c r="G5361" s="2">
        <f t="shared" si="83"/>
        <v>0</v>
      </c>
      <c r="H5361" s="1"/>
    </row>
    <row r="5362" spans="2:8" x14ac:dyDescent="0.2">
      <c r="B5362" s="3">
        <v>44940</v>
      </c>
      <c r="G5362" s="2">
        <f t="shared" si="83"/>
        <v>0</v>
      </c>
      <c r="H5362" t="s">
        <v>14</v>
      </c>
    </row>
    <row r="5363" spans="2:8" x14ac:dyDescent="0.2">
      <c r="B5363" s="3">
        <v>44940</v>
      </c>
      <c r="G5363" s="2">
        <f t="shared" si="83"/>
        <v>0</v>
      </c>
      <c r="H5363" t="s">
        <v>27</v>
      </c>
    </row>
    <row r="5364" spans="2:8" x14ac:dyDescent="0.2">
      <c r="B5364" s="3">
        <v>44940</v>
      </c>
      <c r="G5364" s="2">
        <f t="shared" si="83"/>
        <v>0</v>
      </c>
      <c r="H5364" t="s">
        <v>13</v>
      </c>
    </row>
    <row r="5365" spans="2:8" x14ac:dyDescent="0.2">
      <c r="B5365" s="3">
        <v>44940</v>
      </c>
      <c r="G5365" s="2">
        <f t="shared" si="83"/>
        <v>0</v>
      </c>
      <c r="H5365" t="s">
        <v>30</v>
      </c>
    </row>
    <row r="5366" spans="2:8" x14ac:dyDescent="0.2">
      <c r="B5366" s="3">
        <v>44940</v>
      </c>
      <c r="G5366" s="2">
        <f t="shared" si="83"/>
        <v>0</v>
      </c>
      <c r="H5366" t="s">
        <v>29</v>
      </c>
    </row>
    <row r="5367" spans="2:8" x14ac:dyDescent="0.2">
      <c r="B5367" s="3">
        <v>44940</v>
      </c>
      <c r="G5367" s="2">
        <f t="shared" si="83"/>
        <v>0</v>
      </c>
      <c r="H5367" t="s">
        <v>25</v>
      </c>
    </row>
    <row r="5368" spans="2:8" x14ac:dyDescent="0.2">
      <c r="B5368" s="3">
        <v>44940</v>
      </c>
      <c r="G5368" s="2">
        <f t="shared" si="83"/>
        <v>0</v>
      </c>
      <c r="H5368" t="s">
        <v>24</v>
      </c>
    </row>
    <row r="5369" spans="2:8" x14ac:dyDescent="0.2">
      <c r="B5369" s="3">
        <v>44940</v>
      </c>
      <c r="G5369" s="2">
        <f t="shared" si="83"/>
        <v>0</v>
      </c>
      <c r="H5369" t="s">
        <v>9</v>
      </c>
    </row>
    <row r="5370" spans="2:8" x14ac:dyDescent="0.2">
      <c r="B5370" s="3">
        <v>44940</v>
      </c>
      <c r="G5370" s="2">
        <f t="shared" si="83"/>
        <v>0</v>
      </c>
      <c r="H5370" t="s">
        <v>8</v>
      </c>
    </row>
    <row r="5371" spans="2:8" x14ac:dyDescent="0.2">
      <c r="B5371" s="3">
        <v>44940</v>
      </c>
      <c r="G5371" s="2">
        <f t="shared" si="83"/>
        <v>0</v>
      </c>
      <c r="H5371" t="s">
        <v>23</v>
      </c>
    </row>
    <row r="5372" spans="2:8" x14ac:dyDescent="0.2">
      <c r="B5372" s="3">
        <v>44940</v>
      </c>
      <c r="G5372" s="2">
        <f t="shared" si="83"/>
        <v>0</v>
      </c>
      <c r="H5372" t="s">
        <v>6</v>
      </c>
    </row>
    <row r="5373" spans="2:8" x14ac:dyDescent="0.2">
      <c r="B5373" s="3">
        <v>44940</v>
      </c>
      <c r="G5373" s="2">
        <f t="shared" si="83"/>
        <v>0</v>
      </c>
      <c r="H5373" t="s">
        <v>5</v>
      </c>
    </row>
    <row r="5374" spans="2:8" x14ac:dyDescent="0.2">
      <c r="B5374" s="3">
        <v>44940</v>
      </c>
      <c r="G5374" s="2">
        <f t="shared" si="83"/>
        <v>0</v>
      </c>
      <c r="H5374" s="1"/>
    </row>
    <row r="5375" spans="2:8" x14ac:dyDescent="0.2">
      <c r="B5375" s="3">
        <v>44941</v>
      </c>
      <c r="G5375" s="2">
        <f t="shared" si="83"/>
        <v>0</v>
      </c>
      <c r="H5375" t="s">
        <v>14</v>
      </c>
    </row>
    <row r="5376" spans="2:8" x14ac:dyDescent="0.2">
      <c r="B5376" s="3">
        <v>44941</v>
      </c>
      <c r="G5376" s="2">
        <f t="shared" si="83"/>
        <v>0</v>
      </c>
      <c r="H5376" t="s">
        <v>27</v>
      </c>
    </row>
    <row r="5377" spans="2:8" x14ac:dyDescent="0.2">
      <c r="B5377" s="3">
        <v>44941</v>
      </c>
      <c r="G5377" s="2">
        <f t="shared" si="83"/>
        <v>0</v>
      </c>
      <c r="H5377" t="s">
        <v>13</v>
      </c>
    </row>
    <row r="5378" spans="2:8" x14ac:dyDescent="0.2">
      <c r="B5378" s="3">
        <v>44941</v>
      </c>
      <c r="G5378" s="2">
        <f t="shared" si="83"/>
        <v>0</v>
      </c>
      <c r="H5378" t="s">
        <v>30</v>
      </c>
    </row>
    <row r="5379" spans="2:8" x14ac:dyDescent="0.2">
      <c r="B5379" s="3">
        <v>44941</v>
      </c>
      <c r="D5379" s="1">
        <v>8009.5</v>
      </c>
      <c r="E5379" s="1">
        <v>8873.5</v>
      </c>
      <c r="G5379" s="2">
        <f t="shared" ref="G5379:G5442" si="84">E5379-F5379</f>
        <v>8873.5</v>
      </c>
      <c r="H5379" t="s">
        <v>29</v>
      </c>
    </row>
    <row r="5380" spans="2:8" x14ac:dyDescent="0.2">
      <c r="B5380" s="3">
        <v>44941</v>
      </c>
      <c r="G5380" s="2">
        <f t="shared" si="84"/>
        <v>0</v>
      </c>
      <c r="H5380" t="s">
        <v>25</v>
      </c>
    </row>
    <row r="5381" spans="2:8" x14ac:dyDescent="0.2">
      <c r="B5381" s="3">
        <v>44941</v>
      </c>
      <c r="F5381" s="1">
        <v>2000</v>
      </c>
      <c r="G5381" s="2">
        <f t="shared" si="84"/>
        <v>-2000</v>
      </c>
      <c r="H5381" t="s">
        <v>24</v>
      </c>
    </row>
    <row r="5382" spans="2:8" x14ac:dyDescent="0.2">
      <c r="B5382" s="3">
        <v>44941</v>
      </c>
      <c r="G5382" s="2">
        <f t="shared" si="84"/>
        <v>0</v>
      </c>
      <c r="H5382" t="s">
        <v>9</v>
      </c>
    </row>
    <row r="5383" spans="2:8" x14ac:dyDescent="0.2">
      <c r="B5383" s="3">
        <v>44941</v>
      </c>
      <c r="G5383" s="2">
        <f t="shared" si="84"/>
        <v>0</v>
      </c>
      <c r="H5383" t="s">
        <v>8</v>
      </c>
    </row>
    <row r="5384" spans="2:8" x14ac:dyDescent="0.2">
      <c r="B5384" s="3">
        <v>44941</v>
      </c>
      <c r="G5384" s="2">
        <f t="shared" si="84"/>
        <v>0</v>
      </c>
      <c r="H5384" t="s">
        <v>23</v>
      </c>
    </row>
    <row r="5385" spans="2:8" x14ac:dyDescent="0.2">
      <c r="B5385" s="3">
        <v>44941</v>
      </c>
      <c r="G5385" s="2">
        <f t="shared" si="84"/>
        <v>0</v>
      </c>
      <c r="H5385" t="s">
        <v>6</v>
      </c>
    </row>
    <row r="5386" spans="2:8" x14ac:dyDescent="0.2">
      <c r="B5386" s="3">
        <v>44941</v>
      </c>
      <c r="G5386" s="2">
        <f t="shared" si="84"/>
        <v>0</v>
      </c>
      <c r="H5386" t="s">
        <v>5</v>
      </c>
    </row>
    <row r="5387" spans="2:8" x14ac:dyDescent="0.2">
      <c r="B5387" s="3">
        <v>44941</v>
      </c>
      <c r="G5387" s="2">
        <f t="shared" si="84"/>
        <v>0</v>
      </c>
      <c r="H5387" s="1"/>
    </row>
    <row r="5388" spans="2:8" x14ac:dyDescent="0.2">
      <c r="B5388" s="3">
        <v>44942</v>
      </c>
      <c r="G5388" s="2">
        <f t="shared" si="84"/>
        <v>0</v>
      </c>
      <c r="H5388" t="s">
        <v>14</v>
      </c>
    </row>
    <row r="5389" spans="2:8" x14ac:dyDescent="0.2">
      <c r="B5389" s="3">
        <v>44942</v>
      </c>
      <c r="G5389" s="2">
        <f t="shared" si="84"/>
        <v>0</v>
      </c>
      <c r="H5389" t="s">
        <v>27</v>
      </c>
    </row>
    <row r="5390" spans="2:8" x14ac:dyDescent="0.2">
      <c r="B5390" s="3">
        <v>44942</v>
      </c>
      <c r="G5390" s="2">
        <f t="shared" si="84"/>
        <v>0</v>
      </c>
      <c r="H5390" t="s">
        <v>13</v>
      </c>
    </row>
    <row r="5391" spans="2:8" x14ac:dyDescent="0.2">
      <c r="B5391" s="3">
        <v>44942</v>
      </c>
      <c r="G5391" s="2">
        <f t="shared" si="84"/>
        <v>0</v>
      </c>
      <c r="H5391" t="s">
        <v>30</v>
      </c>
    </row>
    <row r="5392" spans="2:8" x14ac:dyDescent="0.2">
      <c r="B5392" s="3">
        <v>44942</v>
      </c>
      <c r="G5392" s="2">
        <f t="shared" si="84"/>
        <v>0</v>
      </c>
      <c r="H5392" t="s">
        <v>29</v>
      </c>
    </row>
    <row r="5393" spans="2:8" x14ac:dyDescent="0.2">
      <c r="B5393" s="3">
        <v>44942</v>
      </c>
      <c r="G5393" s="2">
        <f t="shared" si="84"/>
        <v>0</v>
      </c>
      <c r="H5393" t="s">
        <v>25</v>
      </c>
    </row>
    <row r="5394" spans="2:8" x14ac:dyDescent="0.2">
      <c r="B5394" s="3">
        <v>44942</v>
      </c>
      <c r="G5394" s="2">
        <f t="shared" si="84"/>
        <v>0</v>
      </c>
      <c r="H5394" t="s">
        <v>24</v>
      </c>
    </row>
    <row r="5395" spans="2:8" x14ac:dyDescent="0.2">
      <c r="B5395" s="3">
        <v>44942</v>
      </c>
      <c r="F5395" s="1">
        <v>10400</v>
      </c>
      <c r="G5395" s="2">
        <f t="shared" si="84"/>
        <v>-10400</v>
      </c>
      <c r="H5395" t="s">
        <v>9</v>
      </c>
    </row>
    <row r="5396" spans="2:8" x14ac:dyDescent="0.2">
      <c r="B5396" s="3">
        <v>44942</v>
      </c>
      <c r="G5396" s="2">
        <f t="shared" si="84"/>
        <v>0</v>
      </c>
      <c r="H5396" t="s">
        <v>8</v>
      </c>
    </row>
    <row r="5397" spans="2:8" x14ac:dyDescent="0.2">
      <c r="B5397" s="3">
        <v>44942</v>
      </c>
      <c r="G5397" s="2">
        <f t="shared" si="84"/>
        <v>0</v>
      </c>
      <c r="H5397" t="s">
        <v>23</v>
      </c>
    </row>
    <row r="5398" spans="2:8" x14ac:dyDescent="0.2">
      <c r="B5398" s="3">
        <v>44942</v>
      </c>
      <c r="G5398" s="2">
        <f t="shared" si="84"/>
        <v>0</v>
      </c>
      <c r="H5398" t="s">
        <v>6</v>
      </c>
    </row>
    <row r="5399" spans="2:8" x14ac:dyDescent="0.2">
      <c r="B5399" s="3">
        <v>44942</v>
      </c>
      <c r="G5399" s="2">
        <f t="shared" si="84"/>
        <v>0</v>
      </c>
      <c r="H5399" t="s">
        <v>5</v>
      </c>
    </row>
    <row r="5400" spans="2:8" x14ac:dyDescent="0.2">
      <c r="B5400" s="3">
        <v>44942</v>
      </c>
      <c r="G5400" s="2">
        <f t="shared" si="84"/>
        <v>0</v>
      </c>
      <c r="H5400" s="1"/>
    </row>
    <row r="5401" spans="2:8" x14ac:dyDescent="0.2">
      <c r="B5401" s="3">
        <v>44943</v>
      </c>
      <c r="G5401" s="2">
        <f t="shared" si="84"/>
        <v>0</v>
      </c>
      <c r="H5401" t="s">
        <v>14</v>
      </c>
    </row>
    <row r="5402" spans="2:8" x14ac:dyDescent="0.2">
      <c r="B5402" s="3">
        <v>44943</v>
      </c>
      <c r="G5402" s="2">
        <f t="shared" si="84"/>
        <v>0</v>
      </c>
      <c r="H5402" t="s">
        <v>27</v>
      </c>
    </row>
    <row r="5403" spans="2:8" x14ac:dyDescent="0.2">
      <c r="B5403" s="3">
        <v>44943</v>
      </c>
      <c r="D5403" s="1">
        <v>1548.6</v>
      </c>
      <c r="E5403" s="1">
        <v>1820.5</v>
      </c>
      <c r="F5403" s="1">
        <v>6000</v>
      </c>
      <c r="G5403" s="2">
        <f t="shared" si="84"/>
        <v>-4179.5</v>
      </c>
      <c r="H5403" t="s">
        <v>13</v>
      </c>
    </row>
    <row r="5404" spans="2:8" x14ac:dyDescent="0.2">
      <c r="B5404" s="3">
        <v>44943</v>
      </c>
      <c r="G5404" s="2">
        <f t="shared" si="84"/>
        <v>0</v>
      </c>
      <c r="H5404" t="s">
        <v>30</v>
      </c>
    </row>
    <row r="5405" spans="2:8" x14ac:dyDescent="0.2">
      <c r="B5405" s="3">
        <v>44943</v>
      </c>
      <c r="D5405" s="1">
        <v>7100</v>
      </c>
      <c r="E5405" s="1">
        <v>7936</v>
      </c>
      <c r="G5405" s="2">
        <f t="shared" si="84"/>
        <v>7936</v>
      </c>
      <c r="H5405" t="s">
        <v>29</v>
      </c>
    </row>
    <row r="5406" spans="2:8" x14ac:dyDescent="0.2">
      <c r="B5406" s="3">
        <v>44943</v>
      </c>
      <c r="F5406" s="1">
        <v>2000</v>
      </c>
      <c r="G5406" s="2">
        <f t="shared" si="84"/>
        <v>-2000</v>
      </c>
      <c r="H5406" t="s">
        <v>25</v>
      </c>
    </row>
    <row r="5407" spans="2:8" x14ac:dyDescent="0.2">
      <c r="B5407" s="3">
        <v>44943</v>
      </c>
      <c r="G5407" s="2">
        <f t="shared" si="84"/>
        <v>0</v>
      </c>
      <c r="H5407" t="s">
        <v>24</v>
      </c>
    </row>
    <row r="5408" spans="2:8" x14ac:dyDescent="0.2">
      <c r="B5408" s="3">
        <v>44943</v>
      </c>
      <c r="G5408" s="2">
        <f t="shared" si="84"/>
        <v>0</v>
      </c>
      <c r="H5408" t="s">
        <v>9</v>
      </c>
    </row>
    <row r="5409" spans="2:8" x14ac:dyDescent="0.2">
      <c r="B5409" s="3">
        <v>44943</v>
      </c>
      <c r="G5409" s="2">
        <f t="shared" si="84"/>
        <v>0</v>
      </c>
      <c r="H5409" t="s">
        <v>8</v>
      </c>
    </row>
    <row r="5410" spans="2:8" x14ac:dyDescent="0.2">
      <c r="B5410" s="3">
        <v>44943</v>
      </c>
      <c r="G5410" s="2">
        <f t="shared" si="84"/>
        <v>0</v>
      </c>
      <c r="H5410" t="s">
        <v>23</v>
      </c>
    </row>
    <row r="5411" spans="2:8" x14ac:dyDescent="0.2">
      <c r="B5411" s="3">
        <v>44943</v>
      </c>
      <c r="G5411" s="2">
        <f t="shared" si="84"/>
        <v>0</v>
      </c>
      <c r="H5411" t="s">
        <v>6</v>
      </c>
    </row>
    <row r="5412" spans="2:8" x14ac:dyDescent="0.2">
      <c r="B5412" s="3">
        <v>44943</v>
      </c>
      <c r="G5412" s="2">
        <f t="shared" si="84"/>
        <v>0</v>
      </c>
      <c r="H5412" t="s">
        <v>5</v>
      </c>
    </row>
    <row r="5413" spans="2:8" x14ac:dyDescent="0.2">
      <c r="B5413" s="3">
        <v>44943</v>
      </c>
      <c r="G5413" s="2">
        <f t="shared" si="84"/>
        <v>0</v>
      </c>
      <c r="H5413" s="1"/>
    </row>
    <row r="5414" spans="2:8" x14ac:dyDescent="0.2">
      <c r="B5414" s="3">
        <v>44944</v>
      </c>
      <c r="D5414" s="1">
        <v>1500</v>
      </c>
      <c r="E5414" s="1">
        <v>1800</v>
      </c>
      <c r="G5414" s="2">
        <f t="shared" si="84"/>
        <v>1800</v>
      </c>
      <c r="H5414" t="s">
        <v>14</v>
      </c>
    </row>
    <row r="5415" spans="2:8" x14ac:dyDescent="0.2">
      <c r="B5415" s="3">
        <v>44944</v>
      </c>
      <c r="F5415" s="1">
        <v>7000</v>
      </c>
      <c r="G5415" s="2">
        <f t="shared" si="84"/>
        <v>-7000</v>
      </c>
      <c r="H5415" t="s">
        <v>27</v>
      </c>
    </row>
    <row r="5416" spans="2:8" x14ac:dyDescent="0.2">
      <c r="B5416" s="3">
        <v>44944</v>
      </c>
      <c r="G5416" s="2">
        <f t="shared" si="84"/>
        <v>0</v>
      </c>
      <c r="H5416" t="s">
        <v>13</v>
      </c>
    </row>
    <row r="5417" spans="2:8" x14ac:dyDescent="0.2">
      <c r="B5417" s="3">
        <v>44944</v>
      </c>
      <c r="G5417" s="2">
        <f t="shared" si="84"/>
        <v>0</v>
      </c>
      <c r="H5417" t="s">
        <v>30</v>
      </c>
    </row>
    <row r="5418" spans="2:8" x14ac:dyDescent="0.2">
      <c r="B5418" s="3">
        <v>44944</v>
      </c>
      <c r="F5418" s="1">
        <v>15000</v>
      </c>
      <c r="G5418" s="2">
        <f t="shared" si="84"/>
        <v>-15000</v>
      </c>
      <c r="H5418" t="s">
        <v>29</v>
      </c>
    </row>
    <row r="5419" spans="2:8" x14ac:dyDescent="0.2">
      <c r="B5419" s="3">
        <v>44944</v>
      </c>
      <c r="G5419" s="2">
        <f t="shared" si="84"/>
        <v>0</v>
      </c>
      <c r="H5419" t="s">
        <v>25</v>
      </c>
    </row>
    <row r="5420" spans="2:8" x14ac:dyDescent="0.2">
      <c r="B5420" s="3">
        <v>44944</v>
      </c>
      <c r="F5420" s="1">
        <v>249</v>
      </c>
      <c r="G5420" s="2">
        <f t="shared" si="84"/>
        <v>-249</v>
      </c>
      <c r="H5420" t="s">
        <v>24</v>
      </c>
    </row>
    <row r="5421" spans="2:8" x14ac:dyDescent="0.2">
      <c r="B5421" s="3">
        <v>44944</v>
      </c>
      <c r="G5421" s="2">
        <f t="shared" si="84"/>
        <v>0</v>
      </c>
      <c r="H5421" t="s">
        <v>9</v>
      </c>
    </row>
    <row r="5422" spans="2:8" x14ac:dyDescent="0.2">
      <c r="B5422" s="3">
        <v>44944</v>
      </c>
      <c r="G5422" s="2">
        <f t="shared" si="84"/>
        <v>0</v>
      </c>
      <c r="H5422" t="s">
        <v>8</v>
      </c>
    </row>
    <row r="5423" spans="2:8" x14ac:dyDescent="0.2">
      <c r="B5423" s="3">
        <v>44944</v>
      </c>
      <c r="G5423" s="2">
        <f t="shared" si="84"/>
        <v>0</v>
      </c>
      <c r="H5423" t="s">
        <v>23</v>
      </c>
    </row>
    <row r="5424" spans="2:8" x14ac:dyDescent="0.2">
      <c r="B5424" s="3">
        <v>44944</v>
      </c>
      <c r="G5424" s="2">
        <f t="shared" si="84"/>
        <v>0</v>
      </c>
      <c r="H5424" t="s">
        <v>6</v>
      </c>
    </row>
    <row r="5425" spans="2:8" x14ac:dyDescent="0.2">
      <c r="B5425" s="3">
        <v>44944</v>
      </c>
      <c r="G5425" s="2">
        <f t="shared" si="84"/>
        <v>0</v>
      </c>
      <c r="H5425" t="s">
        <v>5</v>
      </c>
    </row>
    <row r="5426" spans="2:8" x14ac:dyDescent="0.2">
      <c r="B5426" s="3">
        <v>44944</v>
      </c>
      <c r="G5426" s="2">
        <f t="shared" si="84"/>
        <v>0</v>
      </c>
      <c r="H5426" s="1"/>
    </row>
    <row r="5427" spans="2:8" x14ac:dyDescent="0.2">
      <c r="B5427" s="3">
        <v>44945</v>
      </c>
      <c r="G5427" s="2">
        <f t="shared" si="84"/>
        <v>0</v>
      </c>
      <c r="H5427" t="s">
        <v>14</v>
      </c>
    </row>
    <row r="5428" spans="2:8" x14ac:dyDescent="0.2">
      <c r="B5428" s="3">
        <v>44945</v>
      </c>
      <c r="G5428" s="2">
        <f t="shared" si="84"/>
        <v>0</v>
      </c>
      <c r="H5428" t="s">
        <v>27</v>
      </c>
    </row>
    <row r="5429" spans="2:8" x14ac:dyDescent="0.2">
      <c r="B5429" s="3">
        <v>44945</v>
      </c>
      <c r="G5429" s="2">
        <f t="shared" si="84"/>
        <v>0</v>
      </c>
      <c r="H5429" t="s">
        <v>13</v>
      </c>
    </row>
    <row r="5430" spans="2:8" x14ac:dyDescent="0.2">
      <c r="B5430" s="3">
        <v>44945</v>
      </c>
      <c r="G5430" s="2">
        <f t="shared" si="84"/>
        <v>0</v>
      </c>
      <c r="H5430" t="s">
        <v>30</v>
      </c>
    </row>
    <row r="5431" spans="2:8" x14ac:dyDescent="0.2">
      <c r="B5431" s="3">
        <v>44945</v>
      </c>
      <c r="G5431" s="2">
        <f t="shared" si="84"/>
        <v>0</v>
      </c>
      <c r="H5431" t="s">
        <v>29</v>
      </c>
    </row>
    <row r="5432" spans="2:8" x14ac:dyDescent="0.2">
      <c r="B5432" s="3">
        <v>44945</v>
      </c>
      <c r="G5432" s="2">
        <f t="shared" si="84"/>
        <v>0</v>
      </c>
      <c r="H5432" t="s">
        <v>25</v>
      </c>
    </row>
    <row r="5433" spans="2:8" x14ac:dyDescent="0.2">
      <c r="B5433" s="3">
        <v>44945</v>
      </c>
      <c r="G5433" s="2">
        <f t="shared" si="84"/>
        <v>0</v>
      </c>
      <c r="H5433" t="s">
        <v>24</v>
      </c>
    </row>
    <row r="5434" spans="2:8" x14ac:dyDescent="0.2">
      <c r="B5434" s="3">
        <v>44945</v>
      </c>
      <c r="G5434" s="2">
        <f t="shared" si="84"/>
        <v>0</v>
      </c>
      <c r="H5434" t="s">
        <v>9</v>
      </c>
    </row>
    <row r="5435" spans="2:8" x14ac:dyDescent="0.2">
      <c r="B5435" s="3">
        <v>44945</v>
      </c>
      <c r="G5435" s="2">
        <f t="shared" si="84"/>
        <v>0</v>
      </c>
      <c r="H5435" t="s">
        <v>8</v>
      </c>
    </row>
    <row r="5436" spans="2:8" x14ac:dyDescent="0.2">
      <c r="B5436" s="3">
        <v>44945</v>
      </c>
      <c r="G5436" s="2">
        <f t="shared" si="84"/>
        <v>0</v>
      </c>
      <c r="H5436" t="s">
        <v>23</v>
      </c>
    </row>
    <row r="5437" spans="2:8" x14ac:dyDescent="0.2">
      <c r="B5437" s="3">
        <v>44945</v>
      </c>
      <c r="G5437" s="2">
        <f t="shared" si="84"/>
        <v>0</v>
      </c>
      <c r="H5437" t="s">
        <v>6</v>
      </c>
    </row>
    <row r="5438" spans="2:8" x14ac:dyDescent="0.2">
      <c r="B5438" s="3">
        <v>44945</v>
      </c>
      <c r="G5438" s="2">
        <f t="shared" si="84"/>
        <v>0</v>
      </c>
      <c r="H5438" t="s">
        <v>5</v>
      </c>
    </row>
    <row r="5439" spans="2:8" x14ac:dyDescent="0.2">
      <c r="B5439" s="3">
        <v>44945</v>
      </c>
      <c r="G5439" s="2">
        <f t="shared" si="84"/>
        <v>0</v>
      </c>
      <c r="H5439" s="1"/>
    </row>
    <row r="5440" spans="2:8" x14ac:dyDescent="0.2">
      <c r="B5440" s="3">
        <v>44946</v>
      </c>
      <c r="G5440" s="2">
        <f t="shared" si="84"/>
        <v>0</v>
      </c>
      <c r="H5440" t="s">
        <v>14</v>
      </c>
    </row>
    <row r="5441" spans="2:8" x14ac:dyDescent="0.2">
      <c r="B5441" s="3">
        <v>44946</v>
      </c>
      <c r="G5441" s="2">
        <f t="shared" si="84"/>
        <v>0</v>
      </c>
      <c r="H5441" t="s">
        <v>27</v>
      </c>
    </row>
    <row r="5442" spans="2:8" x14ac:dyDescent="0.2">
      <c r="B5442" s="3">
        <v>44946</v>
      </c>
      <c r="G5442" s="2">
        <f t="shared" si="84"/>
        <v>0</v>
      </c>
      <c r="H5442" t="s">
        <v>13</v>
      </c>
    </row>
    <row r="5443" spans="2:8" x14ac:dyDescent="0.2">
      <c r="B5443" s="3">
        <v>44946</v>
      </c>
      <c r="G5443" s="2">
        <f t="shared" ref="G5443:G5506" si="85">E5443-F5443</f>
        <v>0</v>
      </c>
      <c r="H5443" t="s">
        <v>30</v>
      </c>
    </row>
    <row r="5444" spans="2:8" x14ac:dyDescent="0.2">
      <c r="B5444" s="3">
        <v>44946</v>
      </c>
      <c r="G5444" s="2">
        <f t="shared" si="85"/>
        <v>0</v>
      </c>
      <c r="H5444" t="s">
        <v>29</v>
      </c>
    </row>
    <row r="5445" spans="2:8" x14ac:dyDescent="0.2">
      <c r="B5445" s="3">
        <v>44946</v>
      </c>
      <c r="G5445" s="2">
        <f t="shared" si="85"/>
        <v>0</v>
      </c>
      <c r="H5445" t="s">
        <v>25</v>
      </c>
    </row>
    <row r="5446" spans="2:8" x14ac:dyDescent="0.2">
      <c r="B5446" s="3">
        <v>44946</v>
      </c>
      <c r="G5446" s="2">
        <f t="shared" si="85"/>
        <v>0</v>
      </c>
      <c r="H5446" t="s">
        <v>24</v>
      </c>
    </row>
    <row r="5447" spans="2:8" x14ac:dyDescent="0.2">
      <c r="B5447" s="3">
        <v>44946</v>
      </c>
      <c r="G5447" s="2">
        <f t="shared" si="85"/>
        <v>0</v>
      </c>
      <c r="H5447" t="s">
        <v>9</v>
      </c>
    </row>
    <row r="5448" spans="2:8" x14ac:dyDescent="0.2">
      <c r="B5448" s="3">
        <v>44946</v>
      </c>
      <c r="G5448" s="2">
        <f t="shared" si="85"/>
        <v>0</v>
      </c>
      <c r="H5448" t="s">
        <v>8</v>
      </c>
    </row>
    <row r="5449" spans="2:8" x14ac:dyDescent="0.2">
      <c r="B5449" s="3">
        <v>44946</v>
      </c>
      <c r="G5449" s="2">
        <f t="shared" si="85"/>
        <v>0</v>
      </c>
      <c r="H5449" t="s">
        <v>23</v>
      </c>
    </row>
    <row r="5450" spans="2:8" x14ac:dyDescent="0.2">
      <c r="B5450" s="3">
        <v>44946</v>
      </c>
      <c r="G5450" s="2">
        <f t="shared" si="85"/>
        <v>0</v>
      </c>
      <c r="H5450" t="s">
        <v>6</v>
      </c>
    </row>
    <row r="5451" spans="2:8" x14ac:dyDescent="0.2">
      <c r="B5451" s="3">
        <v>44946</v>
      </c>
      <c r="G5451" s="2">
        <f t="shared" si="85"/>
        <v>0</v>
      </c>
      <c r="H5451" t="s">
        <v>5</v>
      </c>
    </row>
    <row r="5452" spans="2:8" x14ac:dyDescent="0.2">
      <c r="B5452" s="3">
        <v>44946</v>
      </c>
      <c r="G5452" s="2">
        <f t="shared" si="85"/>
        <v>0</v>
      </c>
      <c r="H5452" s="1"/>
    </row>
    <row r="5453" spans="2:8" x14ac:dyDescent="0.2">
      <c r="B5453" s="3">
        <v>44947</v>
      </c>
      <c r="D5453" s="1">
        <v>5207.75</v>
      </c>
      <c r="E5453" s="1">
        <v>5795</v>
      </c>
      <c r="G5453" s="2">
        <f t="shared" si="85"/>
        <v>5795</v>
      </c>
      <c r="H5453" t="s">
        <v>14</v>
      </c>
    </row>
    <row r="5454" spans="2:8" x14ac:dyDescent="0.2">
      <c r="B5454" s="3">
        <v>44947</v>
      </c>
      <c r="G5454" s="2">
        <f t="shared" si="85"/>
        <v>0</v>
      </c>
      <c r="H5454" t="s">
        <v>27</v>
      </c>
    </row>
    <row r="5455" spans="2:8" x14ac:dyDescent="0.2">
      <c r="B5455" s="3">
        <v>44947</v>
      </c>
      <c r="D5455" s="1">
        <v>6256.75</v>
      </c>
      <c r="E5455" s="1">
        <v>8252.5</v>
      </c>
      <c r="G5455" s="2">
        <f t="shared" si="85"/>
        <v>8252.5</v>
      </c>
      <c r="H5455" t="s">
        <v>13</v>
      </c>
    </row>
    <row r="5456" spans="2:8" x14ac:dyDescent="0.2">
      <c r="B5456" s="3">
        <v>44947</v>
      </c>
      <c r="G5456" s="2">
        <f t="shared" si="85"/>
        <v>0</v>
      </c>
      <c r="H5456" t="s">
        <v>30</v>
      </c>
    </row>
    <row r="5457" spans="2:8" x14ac:dyDescent="0.2">
      <c r="B5457" s="3">
        <v>44947</v>
      </c>
      <c r="G5457" s="2">
        <f t="shared" si="85"/>
        <v>0</v>
      </c>
      <c r="H5457" t="s">
        <v>29</v>
      </c>
    </row>
    <row r="5458" spans="2:8" x14ac:dyDescent="0.2">
      <c r="B5458" s="3">
        <v>44947</v>
      </c>
      <c r="G5458" s="2">
        <f t="shared" si="85"/>
        <v>0</v>
      </c>
      <c r="H5458" t="s">
        <v>25</v>
      </c>
    </row>
    <row r="5459" spans="2:8" x14ac:dyDescent="0.2">
      <c r="B5459" s="3">
        <v>44947</v>
      </c>
      <c r="G5459" s="2">
        <f t="shared" si="85"/>
        <v>0</v>
      </c>
      <c r="H5459" t="s">
        <v>24</v>
      </c>
    </row>
    <row r="5460" spans="2:8" x14ac:dyDescent="0.2">
      <c r="B5460" s="3">
        <v>44947</v>
      </c>
      <c r="G5460" s="2">
        <f t="shared" si="85"/>
        <v>0</v>
      </c>
      <c r="H5460" t="s">
        <v>9</v>
      </c>
    </row>
    <row r="5461" spans="2:8" x14ac:dyDescent="0.2">
      <c r="B5461" s="3">
        <v>44947</v>
      </c>
      <c r="G5461" s="2">
        <f t="shared" si="85"/>
        <v>0</v>
      </c>
      <c r="H5461" t="s">
        <v>8</v>
      </c>
    </row>
    <row r="5462" spans="2:8" x14ac:dyDescent="0.2">
      <c r="B5462" s="3">
        <v>44947</v>
      </c>
      <c r="G5462" s="2">
        <f t="shared" si="85"/>
        <v>0</v>
      </c>
      <c r="H5462" t="s">
        <v>23</v>
      </c>
    </row>
    <row r="5463" spans="2:8" x14ac:dyDescent="0.2">
      <c r="B5463" s="3">
        <v>44947</v>
      </c>
      <c r="G5463" s="2">
        <f t="shared" si="85"/>
        <v>0</v>
      </c>
      <c r="H5463" t="s">
        <v>6</v>
      </c>
    </row>
    <row r="5464" spans="2:8" x14ac:dyDescent="0.2">
      <c r="B5464" s="3">
        <v>44947</v>
      </c>
      <c r="G5464" s="2">
        <f t="shared" si="85"/>
        <v>0</v>
      </c>
      <c r="H5464" t="s">
        <v>5</v>
      </c>
    </row>
    <row r="5465" spans="2:8" x14ac:dyDescent="0.2">
      <c r="B5465" s="3">
        <v>44947</v>
      </c>
      <c r="G5465" s="2">
        <f t="shared" si="85"/>
        <v>0</v>
      </c>
      <c r="H5465" s="1"/>
    </row>
    <row r="5466" spans="2:8" x14ac:dyDescent="0.2">
      <c r="B5466" s="3">
        <v>44948</v>
      </c>
      <c r="G5466" s="2">
        <f t="shared" si="85"/>
        <v>0</v>
      </c>
      <c r="H5466" t="s">
        <v>14</v>
      </c>
    </row>
    <row r="5467" spans="2:8" x14ac:dyDescent="0.2">
      <c r="B5467" s="3">
        <v>44948</v>
      </c>
      <c r="G5467" s="2">
        <f t="shared" si="85"/>
        <v>0</v>
      </c>
      <c r="H5467" t="s">
        <v>27</v>
      </c>
    </row>
    <row r="5468" spans="2:8" x14ac:dyDescent="0.2">
      <c r="B5468" s="3">
        <v>44948</v>
      </c>
      <c r="G5468" s="2">
        <f t="shared" si="85"/>
        <v>0</v>
      </c>
      <c r="H5468" t="s">
        <v>13</v>
      </c>
    </row>
    <row r="5469" spans="2:8" x14ac:dyDescent="0.2">
      <c r="B5469" s="3">
        <v>44948</v>
      </c>
      <c r="G5469" s="2">
        <f t="shared" si="85"/>
        <v>0</v>
      </c>
      <c r="H5469" t="s">
        <v>30</v>
      </c>
    </row>
    <row r="5470" spans="2:8" x14ac:dyDescent="0.2">
      <c r="B5470" s="3">
        <v>44948</v>
      </c>
      <c r="G5470" s="2">
        <f t="shared" si="85"/>
        <v>0</v>
      </c>
      <c r="H5470" t="s">
        <v>29</v>
      </c>
    </row>
    <row r="5471" spans="2:8" x14ac:dyDescent="0.2">
      <c r="B5471" s="3">
        <v>44948</v>
      </c>
      <c r="G5471" s="2">
        <f t="shared" si="85"/>
        <v>0</v>
      </c>
      <c r="H5471" t="s">
        <v>25</v>
      </c>
    </row>
    <row r="5472" spans="2:8" x14ac:dyDescent="0.2">
      <c r="B5472" s="3">
        <v>44948</v>
      </c>
      <c r="G5472" s="2">
        <f t="shared" si="85"/>
        <v>0</v>
      </c>
      <c r="H5472" t="s">
        <v>24</v>
      </c>
    </row>
    <row r="5473" spans="2:8" x14ac:dyDescent="0.2">
      <c r="B5473" s="3">
        <v>44948</v>
      </c>
      <c r="G5473" s="2">
        <f t="shared" si="85"/>
        <v>0</v>
      </c>
      <c r="H5473" t="s">
        <v>9</v>
      </c>
    </row>
    <row r="5474" spans="2:8" x14ac:dyDescent="0.2">
      <c r="B5474" s="3">
        <v>44948</v>
      </c>
      <c r="G5474" s="2">
        <f t="shared" si="85"/>
        <v>0</v>
      </c>
      <c r="H5474" t="s">
        <v>8</v>
      </c>
    </row>
    <row r="5475" spans="2:8" x14ac:dyDescent="0.2">
      <c r="B5475" s="3">
        <v>44948</v>
      </c>
      <c r="G5475" s="2">
        <f t="shared" si="85"/>
        <v>0</v>
      </c>
      <c r="H5475" t="s">
        <v>23</v>
      </c>
    </row>
    <row r="5476" spans="2:8" x14ac:dyDescent="0.2">
      <c r="B5476" s="3">
        <v>44948</v>
      </c>
      <c r="G5476" s="2">
        <f t="shared" si="85"/>
        <v>0</v>
      </c>
      <c r="H5476" t="s">
        <v>6</v>
      </c>
    </row>
    <row r="5477" spans="2:8" x14ac:dyDescent="0.2">
      <c r="B5477" s="3">
        <v>44948</v>
      </c>
      <c r="G5477" s="2">
        <f t="shared" si="85"/>
        <v>0</v>
      </c>
      <c r="H5477" t="s">
        <v>5</v>
      </c>
    </row>
    <row r="5478" spans="2:8" x14ac:dyDescent="0.2">
      <c r="B5478" s="3">
        <v>44948</v>
      </c>
      <c r="G5478" s="2">
        <f t="shared" si="85"/>
        <v>0</v>
      </c>
      <c r="H5478" s="1"/>
    </row>
    <row r="5479" spans="2:8" x14ac:dyDescent="0.2">
      <c r="B5479" s="3">
        <v>44949</v>
      </c>
      <c r="G5479" s="2">
        <f t="shared" si="85"/>
        <v>0</v>
      </c>
      <c r="H5479" t="s">
        <v>14</v>
      </c>
    </row>
    <row r="5480" spans="2:8" x14ac:dyDescent="0.2">
      <c r="B5480" s="3">
        <v>44949</v>
      </c>
      <c r="D5480" s="1">
        <v>4500</v>
      </c>
      <c r="E5480" s="1">
        <v>5400</v>
      </c>
      <c r="G5480" s="2">
        <f t="shared" si="85"/>
        <v>5400</v>
      </c>
      <c r="H5480" t="s">
        <v>27</v>
      </c>
    </row>
    <row r="5481" spans="2:8" x14ac:dyDescent="0.2">
      <c r="B5481" s="3">
        <v>44949</v>
      </c>
      <c r="G5481" s="2">
        <f t="shared" si="85"/>
        <v>0</v>
      </c>
      <c r="H5481" t="s">
        <v>13</v>
      </c>
    </row>
    <row r="5482" spans="2:8" x14ac:dyDescent="0.2">
      <c r="B5482" s="3">
        <v>44949</v>
      </c>
      <c r="G5482" s="2">
        <f t="shared" si="85"/>
        <v>0</v>
      </c>
      <c r="H5482" t="s">
        <v>30</v>
      </c>
    </row>
    <row r="5483" spans="2:8" x14ac:dyDescent="0.2">
      <c r="B5483" s="3">
        <v>44949</v>
      </c>
      <c r="D5483" s="1">
        <v>2576.75</v>
      </c>
      <c r="E5483" s="1">
        <v>2825</v>
      </c>
      <c r="G5483" s="2">
        <f t="shared" si="85"/>
        <v>2825</v>
      </c>
      <c r="H5483" t="s">
        <v>29</v>
      </c>
    </row>
    <row r="5484" spans="2:8" x14ac:dyDescent="0.2">
      <c r="B5484" s="3">
        <v>44949</v>
      </c>
      <c r="F5484" s="1">
        <v>2000</v>
      </c>
      <c r="G5484" s="2">
        <f t="shared" si="85"/>
        <v>-2000</v>
      </c>
      <c r="H5484" t="s">
        <v>25</v>
      </c>
    </row>
    <row r="5485" spans="2:8" x14ac:dyDescent="0.2">
      <c r="B5485" s="3">
        <v>44949</v>
      </c>
      <c r="D5485" s="1">
        <v>3029</v>
      </c>
      <c r="E5485" s="1">
        <v>3533.75</v>
      </c>
      <c r="F5485" s="1">
        <v>1000</v>
      </c>
      <c r="G5485" s="2">
        <f t="shared" si="85"/>
        <v>2533.75</v>
      </c>
      <c r="H5485" t="s">
        <v>24</v>
      </c>
    </row>
    <row r="5486" spans="2:8" x14ac:dyDescent="0.2">
      <c r="B5486" s="3">
        <v>44949</v>
      </c>
      <c r="G5486" s="2">
        <f t="shared" si="85"/>
        <v>0</v>
      </c>
      <c r="H5486" t="s">
        <v>9</v>
      </c>
    </row>
    <row r="5487" spans="2:8" x14ac:dyDescent="0.2">
      <c r="B5487" s="3">
        <v>44949</v>
      </c>
      <c r="G5487" s="2">
        <f t="shared" si="85"/>
        <v>0</v>
      </c>
      <c r="H5487" t="s">
        <v>8</v>
      </c>
    </row>
    <row r="5488" spans="2:8" x14ac:dyDescent="0.2">
      <c r="B5488" s="3">
        <v>44949</v>
      </c>
      <c r="G5488" s="2">
        <f t="shared" si="85"/>
        <v>0</v>
      </c>
      <c r="H5488" t="s">
        <v>23</v>
      </c>
    </row>
    <row r="5489" spans="2:8" x14ac:dyDescent="0.2">
      <c r="B5489" s="3">
        <v>44949</v>
      </c>
      <c r="G5489" s="2">
        <f t="shared" si="85"/>
        <v>0</v>
      </c>
      <c r="H5489" t="s">
        <v>6</v>
      </c>
    </row>
    <row r="5490" spans="2:8" x14ac:dyDescent="0.2">
      <c r="B5490" s="3">
        <v>44949</v>
      </c>
      <c r="G5490" s="2">
        <f t="shared" si="85"/>
        <v>0</v>
      </c>
      <c r="H5490" t="s">
        <v>5</v>
      </c>
    </row>
    <row r="5491" spans="2:8" x14ac:dyDescent="0.2">
      <c r="B5491" s="3">
        <v>44949</v>
      </c>
      <c r="G5491" s="2">
        <f t="shared" si="85"/>
        <v>0</v>
      </c>
      <c r="H5491" s="1"/>
    </row>
    <row r="5492" spans="2:8" x14ac:dyDescent="0.2">
      <c r="B5492" s="3">
        <v>44950</v>
      </c>
      <c r="G5492" s="2">
        <f t="shared" si="85"/>
        <v>0</v>
      </c>
      <c r="H5492" t="s">
        <v>14</v>
      </c>
    </row>
    <row r="5493" spans="2:8" x14ac:dyDescent="0.2">
      <c r="B5493" s="3">
        <v>44950</v>
      </c>
      <c r="G5493" s="2">
        <f t="shared" si="85"/>
        <v>0</v>
      </c>
      <c r="H5493" t="s">
        <v>27</v>
      </c>
    </row>
    <row r="5494" spans="2:8" x14ac:dyDescent="0.2">
      <c r="B5494" s="3">
        <v>44950</v>
      </c>
      <c r="G5494" s="2">
        <f t="shared" si="85"/>
        <v>0</v>
      </c>
      <c r="H5494" t="s">
        <v>13</v>
      </c>
    </row>
    <row r="5495" spans="2:8" x14ac:dyDescent="0.2">
      <c r="B5495" s="3">
        <v>44950</v>
      </c>
      <c r="G5495" s="2">
        <f t="shared" si="85"/>
        <v>0</v>
      </c>
      <c r="H5495" t="s">
        <v>30</v>
      </c>
    </row>
    <row r="5496" spans="2:8" x14ac:dyDescent="0.2">
      <c r="B5496" s="3">
        <v>44950</v>
      </c>
      <c r="G5496" s="2">
        <f t="shared" si="85"/>
        <v>0</v>
      </c>
      <c r="H5496" t="s">
        <v>29</v>
      </c>
    </row>
    <row r="5497" spans="2:8" x14ac:dyDescent="0.2">
      <c r="B5497" s="3">
        <v>44950</v>
      </c>
      <c r="G5497" s="2">
        <f t="shared" si="85"/>
        <v>0</v>
      </c>
      <c r="H5497" t="s">
        <v>25</v>
      </c>
    </row>
    <row r="5498" spans="2:8" x14ac:dyDescent="0.2">
      <c r="B5498" s="3">
        <v>44950</v>
      </c>
      <c r="F5498" s="1">
        <v>50</v>
      </c>
      <c r="G5498" s="2">
        <f t="shared" si="85"/>
        <v>-50</v>
      </c>
      <c r="H5498" t="s">
        <v>24</v>
      </c>
    </row>
    <row r="5499" spans="2:8" x14ac:dyDescent="0.2">
      <c r="B5499" s="3">
        <v>44950</v>
      </c>
      <c r="G5499" s="2">
        <f t="shared" si="85"/>
        <v>0</v>
      </c>
      <c r="H5499" t="s">
        <v>9</v>
      </c>
    </row>
    <row r="5500" spans="2:8" x14ac:dyDescent="0.2">
      <c r="B5500" s="3">
        <v>44950</v>
      </c>
      <c r="G5500" s="2">
        <f t="shared" si="85"/>
        <v>0</v>
      </c>
      <c r="H5500" t="s">
        <v>8</v>
      </c>
    </row>
    <row r="5501" spans="2:8" x14ac:dyDescent="0.2">
      <c r="B5501" s="3">
        <v>44950</v>
      </c>
      <c r="G5501" s="2">
        <f t="shared" si="85"/>
        <v>0</v>
      </c>
      <c r="H5501" t="s">
        <v>23</v>
      </c>
    </row>
    <row r="5502" spans="2:8" x14ac:dyDescent="0.2">
      <c r="B5502" s="3">
        <v>44950</v>
      </c>
      <c r="G5502" s="2">
        <f t="shared" si="85"/>
        <v>0</v>
      </c>
      <c r="H5502" t="s">
        <v>6</v>
      </c>
    </row>
    <row r="5503" spans="2:8" x14ac:dyDescent="0.2">
      <c r="B5503" s="3">
        <v>44950</v>
      </c>
      <c r="G5503" s="2">
        <f t="shared" si="85"/>
        <v>0</v>
      </c>
      <c r="H5503" t="s">
        <v>5</v>
      </c>
    </row>
    <row r="5504" spans="2:8" x14ac:dyDescent="0.2">
      <c r="B5504" s="3">
        <v>44950</v>
      </c>
      <c r="G5504" s="2">
        <f t="shared" si="85"/>
        <v>0</v>
      </c>
      <c r="H5504" s="1"/>
    </row>
    <row r="5505" spans="2:8" x14ac:dyDescent="0.2">
      <c r="B5505" s="3">
        <v>44951</v>
      </c>
      <c r="D5505" s="1">
        <v>1500</v>
      </c>
      <c r="E5505" s="1">
        <v>1750</v>
      </c>
      <c r="F5505" s="1">
        <v>1750</v>
      </c>
      <c r="G5505" s="2">
        <f t="shared" si="85"/>
        <v>0</v>
      </c>
      <c r="H5505" t="s">
        <v>14</v>
      </c>
    </row>
    <row r="5506" spans="2:8" x14ac:dyDescent="0.2">
      <c r="B5506" s="3">
        <v>44951</v>
      </c>
      <c r="F5506" s="1">
        <v>5000</v>
      </c>
      <c r="G5506" s="2">
        <f t="shared" si="85"/>
        <v>-5000</v>
      </c>
      <c r="H5506" t="s">
        <v>27</v>
      </c>
    </row>
    <row r="5507" spans="2:8" x14ac:dyDescent="0.2">
      <c r="B5507" s="3">
        <v>44951</v>
      </c>
      <c r="D5507" s="1">
        <v>3005</v>
      </c>
      <c r="E5507" s="1">
        <v>3650</v>
      </c>
      <c r="F5507" s="1">
        <v>3000</v>
      </c>
      <c r="G5507" s="2">
        <f t="shared" ref="G5507:G5570" si="86">E5507-F5507</f>
        <v>650</v>
      </c>
      <c r="H5507" t="s">
        <v>13</v>
      </c>
    </row>
    <row r="5508" spans="2:8" x14ac:dyDescent="0.2">
      <c r="B5508" s="3">
        <v>44951</v>
      </c>
      <c r="D5508" s="1">
        <v>9050</v>
      </c>
      <c r="E5508" s="1">
        <v>10500</v>
      </c>
      <c r="G5508" s="2">
        <f t="shared" si="86"/>
        <v>10500</v>
      </c>
      <c r="H5508" t="s">
        <v>30</v>
      </c>
    </row>
    <row r="5509" spans="2:8" x14ac:dyDescent="0.2">
      <c r="B5509" s="3">
        <v>44951</v>
      </c>
      <c r="G5509" s="2">
        <f t="shared" si="86"/>
        <v>0</v>
      </c>
      <c r="H5509" t="s">
        <v>29</v>
      </c>
    </row>
    <row r="5510" spans="2:8" x14ac:dyDescent="0.2">
      <c r="B5510" s="3">
        <v>44951</v>
      </c>
      <c r="G5510" s="2">
        <f t="shared" si="86"/>
        <v>0</v>
      </c>
      <c r="H5510" t="s">
        <v>25</v>
      </c>
    </row>
    <row r="5511" spans="2:8" x14ac:dyDescent="0.2">
      <c r="B5511" s="3">
        <v>44951</v>
      </c>
      <c r="G5511" s="2">
        <f t="shared" si="86"/>
        <v>0</v>
      </c>
      <c r="H5511" t="s">
        <v>24</v>
      </c>
    </row>
    <row r="5512" spans="2:8" x14ac:dyDescent="0.2">
      <c r="B5512" s="3">
        <v>44951</v>
      </c>
      <c r="G5512" s="2">
        <f t="shared" si="86"/>
        <v>0</v>
      </c>
      <c r="H5512" t="s">
        <v>9</v>
      </c>
    </row>
    <row r="5513" spans="2:8" x14ac:dyDescent="0.2">
      <c r="B5513" s="3">
        <v>44951</v>
      </c>
      <c r="G5513" s="2">
        <f t="shared" si="86"/>
        <v>0</v>
      </c>
      <c r="H5513" t="s">
        <v>8</v>
      </c>
    </row>
    <row r="5514" spans="2:8" x14ac:dyDescent="0.2">
      <c r="B5514" s="3">
        <v>44951</v>
      </c>
      <c r="G5514" s="2">
        <f t="shared" si="86"/>
        <v>0</v>
      </c>
      <c r="H5514" t="s">
        <v>23</v>
      </c>
    </row>
    <row r="5515" spans="2:8" x14ac:dyDescent="0.2">
      <c r="B5515" s="3">
        <v>44951</v>
      </c>
      <c r="G5515" s="2">
        <f t="shared" si="86"/>
        <v>0</v>
      </c>
      <c r="H5515" t="s">
        <v>6</v>
      </c>
    </row>
    <row r="5516" spans="2:8" x14ac:dyDescent="0.2">
      <c r="B5516" s="3">
        <v>44951</v>
      </c>
      <c r="G5516" s="2">
        <f t="shared" si="86"/>
        <v>0</v>
      </c>
      <c r="H5516" t="s">
        <v>5</v>
      </c>
    </row>
    <row r="5517" spans="2:8" x14ac:dyDescent="0.2">
      <c r="B5517" s="3">
        <v>44951</v>
      </c>
      <c r="G5517" s="2">
        <f t="shared" si="86"/>
        <v>0</v>
      </c>
      <c r="H5517" s="1"/>
    </row>
    <row r="5518" spans="2:8" x14ac:dyDescent="0.2">
      <c r="B5518" s="3">
        <v>44952</v>
      </c>
      <c r="G5518" s="2">
        <f t="shared" si="86"/>
        <v>0</v>
      </c>
      <c r="H5518" t="s">
        <v>14</v>
      </c>
    </row>
    <row r="5519" spans="2:8" x14ac:dyDescent="0.2">
      <c r="B5519" s="3">
        <v>44952</v>
      </c>
      <c r="G5519" s="2">
        <f t="shared" si="86"/>
        <v>0</v>
      </c>
      <c r="H5519" t="s">
        <v>27</v>
      </c>
    </row>
    <row r="5520" spans="2:8" x14ac:dyDescent="0.2">
      <c r="B5520" s="3">
        <v>44952</v>
      </c>
      <c r="G5520" s="2">
        <f t="shared" si="86"/>
        <v>0</v>
      </c>
      <c r="H5520" t="s">
        <v>13</v>
      </c>
    </row>
    <row r="5521" spans="2:8" x14ac:dyDescent="0.2">
      <c r="B5521" s="3">
        <v>44952</v>
      </c>
      <c r="G5521" s="2">
        <f t="shared" si="86"/>
        <v>0</v>
      </c>
      <c r="H5521" t="s">
        <v>30</v>
      </c>
    </row>
    <row r="5522" spans="2:8" x14ac:dyDescent="0.2">
      <c r="B5522" s="3">
        <v>44952</v>
      </c>
      <c r="D5522" s="1">
        <v>5449.5</v>
      </c>
      <c r="E5522" s="1">
        <v>6043.5</v>
      </c>
      <c r="F5522" s="1">
        <v>11050</v>
      </c>
      <c r="G5522" s="2">
        <f t="shared" si="86"/>
        <v>-5006.5</v>
      </c>
      <c r="H5522" t="s">
        <v>29</v>
      </c>
    </row>
    <row r="5523" spans="2:8" x14ac:dyDescent="0.2">
      <c r="B5523" s="3">
        <v>44952</v>
      </c>
      <c r="G5523" s="2">
        <f t="shared" si="86"/>
        <v>0</v>
      </c>
      <c r="H5523" t="s">
        <v>25</v>
      </c>
    </row>
    <row r="5524" spans="2:8" x14ac:dyDescent="0.2">
      <c r="B5524" s="3">
        <v>44952</v>
      </c>
      <c r="G5524" s="2">
        <f t="shared" si="86"/>
        <v>0</v>
      </c>
      <c r="H5524" t="s">
        <v>24</v>
      </c>
    </row>
    <row r="5525" spans="2:8" x14ac:dyDescent="0.2">
      <c r="B5525" s="3">
        <v>44952</v>
      </c>
      <c r="G5525" s="2">
        <f t="shared" si="86"/>
        <v>0</v>
      </c>
      <c r="H5525" t="s">
        <v>9</v>
      </c>
    </row>
    <row r="5526" spans="2:8" x14ac:dyDescent="0.2">
      <c r="B5526" s="3">
        <v>44952</v>
      </c>
      <c r="G5526" s="2">
        <f t="shared" si="86"/>
        <v>0</v>
      </c>
      <c r="H5526" t="s">
        <v>8</v>
      </c>
    </row>
    <row r="5527" spans="2:8" x14ac:dyDescent="0.2">
      <c r="B5527" s="3">
        <v>44952</v>
      </c>
      <c r="G5527" s="2">
        <f t="shared" si="86"/>
        <v>0</v>
      </c>
      <c r="H5527" t="s">
        <v>23</v>
      </c>
    </row>
    <row r="5528" spans="2:8" x14ac:dyDescent="0.2">
      <c r="B5528" s="3">
        <v>44952</v>
      </c>
      <c r="G5528" s="2">
        <f t="shared" si="86"/>
        <v>0</v>
      </c>
      <c r="H5528" t="s">
        <v>6</v>
      </c>
    </row>
    <row r="5529" spans="2:8" x14ac:dyDescent="0.2">
      <c r="B5529" s="3">
        <v>44952</v>
      </c>
      <c r="G5529" s="2">
        <f t="shared" si="86"/>
        <v>0</v>
      </c>
      <c r="H5529" t="s">
        <v>5</v>
      </c>
    </row>
    <row r="5530" spans="2:8" x14ac:dyDescent="0.2">
      <c r="B5530" s="3">
        <v>44952</v>
      </c>
      <c r="G5530" s="2">
        <f t="shared" si="86"/>
        <v>0</v>
      </c>
      <c r="H5530" s="1"/>
    </row>
    <row r="5531" spans="2:8" x14ac:dyDescent="0.2">
      <c r="B5531" s="3">
        <v>44953</v>
      </c>
      <c r="G5531" s="2">
        <f t="shared" si="86"/>
        <v>0</v>
      </c>
      <c r="H5531" t="s">
        <v>14</v>
      </c>
    </row>
    <row r="5532" spans="2:8" x14ac:dyDescent="0.2">
      <c r="B5532" s="3">
        <v>44953</v>
      </c>
      <c r="G5532" s="2">
        <f t="shared" si="86"/>
        <v>0</v>
      </c>
      <c r="H5532" t="s">
        <v>27</v>
      </c>
    </row>
    <row r="5533" spans="2:8" x14ac:dyDescent="0.2">
      <c r="B5533" s="3">
        <v>44953</v>
      </c>
      <c r="G5533" s="2">
        <f t="shared" si="86"/>
        <v>0</v>
      </c>
      <c r="H5533" t="s">
        <v>13</v>
      </c>
    </row>
    <row r="5534" spans="2:8" x14ac:dyDescent="0.2">
      <c r="B5534" s="3">
        <v>44953</v>
      </c>
      <c r="G5534" s="2">
        <f t="shared" si="86"/>
        <v>0</v>
      </c>
      <c r="H5534" t="s">
        <v>30</v>
      </c>
    </row>
    <row r="5535" spans="2:8" x14ac:dyDescent="0.2">
      <c r="B5535" s="3">
        <v>44953</v>
      </c>
      <c r="G5535" s="2">
        <f t="shared" si="86"/>
        <v>0</v>
      </c>
      <c r="H5535" t="s">
        <v>29</v>
      </c>
    </row>
    <row r="5536" spans="2:8" x14ac:dyDescent="0.2">
      <c r="B5536" s="3">
        <v>44953</v>
      </c>
      <c r="G5536" s="2">
        <f t="shared" si="86"/>
        <v>0</v>
      </c>
      <c r="H5536" t="s">
        <v>25</v>
      </c>
    </row>
    <row r="5537" spans="2:8" x14ac:dyDescent="0.2">
      <c r="B5537" s="3">
        <v>44953</v>
      </c>
      <c r="G5537" s="2">
        <f t="shared" si="86"/>
        <v>0</v>
      </c>
      <c r="H5537" t="s">
        <v>24</v>
      </c>
    </row>
    <row r="5538" spans="2:8" x14ac:dyDescent="0.2">
      <c r="B5538" s="3">
        <v>44953</v>
      </c>
      <c r="G5538" s="2">
        <f t="shared" si="86"/>
        <v>0</v>
      </c>
      <c r="H5538" t="s">
        <v>9</v>
      </c>
    </row>
    <row r="5539" spans="2:8" x14ac:dyDescent="0.2">
      <c r="B5539" s="3">
        <v>44953</v>
      </c>
      <c r="G5539" s="2">
        <f t="shared" si="86"/>
        <v>0</v>
      </c>
      <c r="H5539" t="s">
        <v>8</v>
      </c>
    </row>
    <row r="5540" spans="2:8" x14ac:dyDescent="0.2">
      <c r="B5540" s="3">
        <v>44953</v>
      </c>
      <c r="G5540" s="2">
        <f t="shared" si="86"/>
        <v>0</v>
      </c>
      <c r="H5540" t="s">
        <v>23</v>
      </c>
    </row>
    <row r="5541" spans="2:8" x14ac:dyDescent="0.2">
      <c r="B5541" s="3">
        <v>44953</v>
      </c>
      <c r="G5541" s="2">
        <f t="shared" si="86"/>
        <v>0</v>
      </c>
      <c r="H5541" t="s">
        <v>6</v>
      </c>
    </row>
    <row r="5542" spans="2:8" x14ac:dyDescent="0.2">
      <c r="B5542" s="3">
        <v>44953</v>
      </c>
      <c r="G5542" s="2">
        <f t="shared" si="86"/>
        <v>0</v>
      </c>
      <c r="H5542" t="s">
        <v>5</v>
      </c>
    </row>
    <row r="5543" spans="2:8" x14ac:dyDescent="0.2">
      <c r="B5543" s="3">
        <v>44953</v>
      </c>
      <c r="G5543" s="2">
        <f t="shared" si="86"/>
        <v>0</v>
      </c>
      <c r="H5543" s="1"/>
    </row>
    <row r="5544" spans="2:8" x14ac:dyDescent="0.2">
      <c r="B5544" s="3">
        <v>44954</v>
      </c>
      <c r="G5544" s="2">
        <f t="shared" si="86"/>
        <v>0</v>
      </c>
      <c r="H5544" t="s">
        <v>14</v>
      </c>
    </row>
    <row r="5545" spans="2:8" x14ac:dyDescent="0.2">
      <c r="B5545" s="3">
        <v>44954</v>
      </c>
      <c r="G5545" s="2">
        <f t="shared" si="86"/>
        <v>0</v>
      </c>
      <c r="H5545" t="s">
        <v>27</v>
      </c>
    </row>
    <row r="5546" spans="2:8" x14ac:dyDescent="0.2">
      <c r="B5546" s="3">
        <v>44954</v>
      </c>
      <c r="G5546" s="2">
        <f t="shared" si="86"/>
        <v>0</v>
      </c>
      <c r="H5546" t="s">
        <v>13</v>
      </c>
    </row>
    <row r="5547" spans="2:8" x14ac:dyDescent="0.2">
      <c r="B5547" s="3">
        <v>44954</v>
      </c>
      <c r="G5547" s="2">
        <f t="shared" si="86"/>
        <v>0</v>
      </c>
      <c r="H5547" t="s">
        <v>30</v>
      </c>
    </row>
    <row r="5548" spans="2:8" x14ac:dyDescent="0.2">
      <c r="B5548" s="3">
        <v>44954</v>
      </c>
      <c r="D5548" s="1">
        <v>7012</v>
      </c>
      <c r="E5548" s="1">
        <v>7421</v>
      </c>
      <c r="G5548" s="2">
        <f t="shared" si="86"/>
        <v>7421</v>
      </c>
      <c r="H5548" t="s">
        <v>29</v>
      </c>
    </row>
    <row r="5549" spans="2:8" x14ac:dyDescent="0.2">
      <c r="B5549" s="3">
        <v>44954</v>
      </c>
      <c r="G5549" s="2">
        <f t="shared" si="86"/>
        <v>0</v>
      </c>
      <c r="H5549" t="s">
        <v>25</v>
      </c>
    </row>
    <row r="5550" spans="2:8" x14ac:dyDescent="0.2">
      <c r="B5550" s="3">
        <v>44954</v>
      </c>
      <c r="F5550" s="1">
        <v>480</v>
      </c>
      <c r="G5550" s="2">
        <f t="shared" si="86"/>
        <v>-480</v>
      </c>
      <c r="H5550" t="s">
        <v>24</v>
      </c>
    </row>
    <row r="5551" spans="2:8" x14ac:dyDescent="0.2">
      <c r="B5551" s="3">
        <v>44954</v>
      </c>
      <c r="G5551" s="2">
        <f t="shared" si="86"/>
        <v>0</v>
      </c>
      <c r="H5551" t="s">
        <v>9</v>
      </c>
    </row>
    <row r="5552" spans="2:8" x14ac:dyDescent="0.2">
      <c r="B5552" s="3">
        <v>44954</v>
      </c>
      <c r="G5552" s="2">
        <f t="shared" si="86"/>
        <v>0</v>
      </c>
      <c r="H5552" t="s">
        <v>8</v>
      </c>
    </row>
    <row r="5553" spans="2:8" x14ac:dyDescent="0.2">
      <c r="B5553" s="3">
        <v>44954</v>
      </c>
      <c r="G5553" s="2">
        <f t="shared" si="86"/>
        <v>0</v>
      </c>
      <c r="H5553" t="s">
        <v>23</v>
      </c>
    </row>
    <row r="5554" spans="2:8" x14ac:dyDescent="0.2">
      <c r="B5554" s="3">
        <v>44954</v>
      </c>
      <c r="G5554" s="2">
        <f t="shared" si="86"/>
        <v>0</v>
      </c>
      <c r="H5554" t="s">
        <v>6</v>
      </c>
    </row>
    <row r="5555" spans="2:8" x14ac:dyDescent="0.2">
      <c r="B5555" s="3">
        <v>44954</v>
      </c>
      <c r="G5555" s="2">
        <f t="shared" si="86"/>
        <v>0</v>
      </c>
      <c r="H5555" t="s">
        <v>5</v>
      </c>
    </row>
    <row r="5556" spans="2:8" x14ac:dyDescent="0.2">
      <c r="B5556" s="3">
        <v>44954</v>
      </c>
      <c r="G5556" s="2">
        <f t="shared" si="86"/>
        <v>0</v>
      </c>
      <c r="H5556" s="1"/>
    </row>
    <row r="5557" spans="2:8" x14ac:dyDescent="0.2">
      <c r="B5557" s="3">
        <v>44955</v>
      </c>
      <c r="G5557" s="2">
        <f t="shared" si="86"/>
        <v>0</v>
      </c>
      <c r="H5557" t="s">
        <v>14</v>
      </c>
    </row>
    <row r="5558" spans="2:8" x14ac:dyDescent="0.2">
      <c r="B5558" s="3">
        <v>44955</v>
      </c>
      <c r="F5558" s="1">
        <v>5000</v>
      </c>
      <c r="G5558" s="2">
        <f t="shared" si="86"/>
        <v>-5000</v>
      </c>
      <c r="H5558" t="s">
        <v>27</v>
      </c>
    </row>
    <row r="5559" spans="2:8" x14ac:dyDescent="0.2">
      <c r="B5559" s="3">
        <v>44955</v>
      </c>
      <c r="F5559" s="1">
        <v>11000</v>
      </c>
      <c r="G5559" s="2">
        <f t="shared" si="86"/>
        <v>-11000</v>
      </c>
      <c r="H5559" t="s">
        <v>13</v>
      </c>
    </row>
    <row r="5560" spans="2:8" x14ac:dyDescent="0.2">
      <c r="B5560" s="3">
        <v>44955</v>
      </c>
      <c r="F5560" s="1">
        <v>37052</v>
      </c>
      <c r="G5560" s="2">
        <f t="shared" si="86"/>
        <v>-37052</v>
      </c>
      <c r="H5560" t="s">
        <v>30</v>
      </c>
    </row>
    <row r="5561" spans="2:8" x14ac:dyDescent="0.2">
      <c r="B5561" s="3">
        <v>44955</v>
      </c>
      <c r="G5561" s="2">
        <f t="shared" si="86"/>
        <v>0</v>
      </c>
      <c r="H5561" t="s">
        <v>29</v>
      </c>
    </row>
    <row r="5562" spans="2:8" x14ac:dyDescent="0.2">
      <c r="B5562" s="3">
        <v>44955</v>
      </c>
      <c r="G5562" s="2">
        <f t="shared" si="86"/>
        <v>0</v>
      </c>
      <c r="H5562" t="s">
        <v>25</v>
      </c>
    </row>
    <row r="5563" spans="2:8" x14ac:dyDescent="0.2">
      <c r="B5563" s="3">
        <v>44955</v>
      </c>
      <c r="G5563" s="2">
        <f t="shared" si="86"/>
        <v>0</v>
      </c>
      <c r="H5563" t="s">
        <v>24</v>
      </c>
    </row>
    <row r="5564" spans="2:8" x14ac:dyDescent="0.2">
      <c r="B5564" s="3">
        <v>44955</v>
      </c>
      <c r="G5564" s="2">
        <f t="shared" si="86"/>
        <v>0</v>
      </c>
      <c r="H5564" t="s">
        <v>9</v>
      </c>
    </row>
    <row r="5565" spans="2:8" x14ac:dyDescent="0.2">
      <c r="B5565" s="3">
        <v>44955</v>
      </c>
      <c r="G5565" s="2">
        <f t="shared" si="86"/>
        <v>0</v>
      </c>
      <c r="H5565" t="s">
        <v>8</v>
      </c>
    </row>
    <row r="5566" spans="2:8" x14ac:dyDescent="0.2">
      <c r="B5566" s="3">
        <v>44955</v>
      </c>
      <c r="G5566" s="2">
        <f t="shared" si="86"/>
        <v>0</v>
      </c>
      <c r="H5566" t="s">
        <v>23</v>
      </c>
    </row>
    <row r="5567" spans="2:8" x14ac:dyDescent="0.2">
      <c r="B5567" s="3">
        <v>44955</v>
      </c>
      <c r="G5567" s="2">
        <f t="shared" si="86"/>
        <v>0</v>
      </c>
      <c r="H5567" t="s">
        <v>6</v>
      </c>
    </row>
    <row r="5568" spans="2:8" x14ac:dyDescent="0.2">
      <c r="B5568" s="3">
        <v>44955</v>
      </c>
      <c r="G5568" s="2">
        <f t="shared" si="86"/>
        <v>0</v>
      </c>
      <c r="H5568" t="s">
        <v>5</v>
      </c>
    </row>
    <row r="5569" spans="2:8" x14ac:dyDescent="0.2">
      <c r="B5569" s="3">
        <v>44955</v>
      </c>
      <c r="G5569" s="2">
        <f t="shared" si="86"/>
        <v>0</v>
      </c>
      <c r="H5569" s="1"/>
    </row>
    <row r="5570" spans="2:8" x14ac:dyDescent="0.2">
      <c r="B5570" s="3">
        <v>44956</v>
      </c>
      <c r="G5570" s="2">
        <f t="shared" si="86"/>
        <v>0</v>
      </c>
      <c r="H5570" t="s">
        <v>14</v>
      </c>
    </row>
    <row r="5571" spans="2:8" x14ac:dyDescent="0.2">
      <c r="B5571" s="3">
        <v>44956</v>
      </c>
      <c r="G5571" s="2">
        <f t="shared" ref="G5571:G5634" si="87">E5571-F5571</f>
        <v>0</v>
      </c>
      <c r="H5571" t="s">
        <v>27</v>
      </c>
    </row>
    <row r="5572" spans="2:8" x14ac:dyDescent="0.2">
      <c r="B5572" s="3">
        <v>44956</v>
      </c>
      <c r="G5572" s="2">
        <f t="shared" si="87"/>
        <v>0</v>
      </c>
      <c r="H5572" t="s">
        <v>13</v>
      </c>
    </row>
    <row r="5573" spans="2:8" x14ac:dyDescent="0.2">
      <c r="B5573" s="3">
        <v>44956</v>
      </c>
      <c r="F5573" s="1">
        <v>374</v>
      </c>
      <c r="G5573" s="2">
        <f t="shared" si="87"/>
        <v>-374</v>
      </c>
      <c r="H5573" t="s">
        <v>30</v>
      </c>
    </row>
    <row r="5574" spans="2:8" x14ac:dyDescent="0.2">
      <c r="B5574" s="3">
        <v>44956</v>
      </c>
      <c r="G5574" s="2">
        <f t="shared" si="87"/>
        <v>0</v>
      </c>
      <c r="H5574" t="s">
        <v>29</v>
      </c>
    </row>
    <row r="5575" spans="2:8" x14ac:dyDescent="0.2">
      <c r="B5575" s="3">
        <v>44956</v>
      </c>
      <c r="G5575" s="2">
        <f t="shared" si="87"/>
        <v>0</v>
      </c>
      <c r="H5575" t="s">
        <v>25</v>
      </c>
    </row>
    <row r="5576" spans="2:8" x14ac:dyDescent="0.2">
      <c r="B5576" s="3">
        <v>44956</v>
      </c>
      <c r="G5576" s="2">
        <f t="shared" si="87"/>
        <v>0</v>
      </c>
      <c r="H5576" t="s">
        <v>24</v>
      </c>
    </row>
    <row r="5577" spans="2:8" x14ac:dyDescent="0.2">
      <c r="B5577" s="3">
        <v>44956</v>
      </c>
      <c r="G5577" s="2">
        <f t="shared" si="87"/>
        <v>0</v>
      </c>
      <c r="H5577" t="s">
        <v>9</v>
      </c>
    </row>
    <row r="5578" spans="2:8" x14ac:dyDescent="0.2">
      <c r="B5578" s="3">
        <v>44956</v>
      </c>
      <c r="G5578" s="2">
        <f t="shared" si="87"/>
        <v>0</v>
      </c>
      <c r="H5578" t="s">
        <v>8</v>
      </c>
    </row>
    <row r="5579" spans="2:8" x14ac:dyDescent="0.2">
      <c r="B5579" s="3">
        <v>44956</v>
      </c>
      <c r="G5579" s="2">
        <f t="shared" si="87"/>
        <v>0</v>
      </c>
      <c r="H5579" t="s">
        <v>23</v>
      </c>
    </row>
    <row r="5580" spans="2:8" x14ac:dyDescent="0.2">
      <c r="B5580" s="3">
        <v>44956</v>
      </c>
      <c r="G5580" s="2">
        <f t="shared" si="87"/>
        <v>0</v>
      </c>
      <c r="H5580" t="s">
        <v>6</v>
      </c>
    </row>
    <row r="5581" spans="2:8" x14ac:dyDescent="0.2">
      <c r="B5581" s="3">
        <v>44956</v>
      </c>
      <c r="G5581" s="2">
        <f t="shared" si="87"/>
        <v>0</v>
      </c>
      <c r="H5581" t="s">
        <v>5</v>
      </c>
    </row>
    <row r="5582" spans="2:8" x14ac:dyDescent="0.2">
      <c r="B5582" s="3">
        <v>44956</v>
      </c>
      <c r="G5582" s="2">
        <f t="shared" si="87"/>
        <v>0</v>
      </c>
      <c r="H5582" s="1"/>
    </row>
    <row r="5583" spans="2:8" x14ac:dyDescent="0.2">
      <c r="B5583" s="3">
        <v>44957</v>
      </c>
      <c r="G5583" s="2">
        <f t="shared" si="87"/>
        <v>0</v>
      </c>
      <c r="H5583" t="s">
        <v>14</v>
      </c>
    </row>
    <row r="5584" spans="2:8" x14ac:dyDescent="0.2">
      <c r="B5584" s="3">
        <v>44957</v>
      </c>
      <c r="F5584" s="1">
        <v>270</v>
      </c>
      <c r="G5584" s="2">
        <f t="shared" si="87"/>
        <v>-270</v>
      </c>
      <c r="H5584" t="s">
        <v>27</v>
      </c>
    </row>
    <row r="5585" spans="2:8" x14ac:dyDescent="0.2">
      <c r="B5585" s="3">
        <v>44957</v>
      </c>
      <c r="D5585" s="1">
        <v>7255</v>
      </c>
      <c r="E5585" s="1">
        <v>9010</v>
      </c>
      <c r="G5585" s="2">
        <f t="shared" si="87"/>
        <v>9010</v>
      </c>
      <c r="H5585" t="s">
        <v>13</v>
      </c>
    </row>
    <row r="5586" spans="2:8" x14ac:dyDescent="0.2">
      <c r="B5586" s="3">
        <v>44957</v>
      </c>
      <c r="G5586" s="2">
        <f t="shared" si="87"/>
        <v>0</v>
      </c>
      <c r="H5586" t="s">
        <v>30</v>
      </c>
    </row>
    <row r="5587" spans="2:8" x14ac:dyDescent="0.2">
      <c r="B5587" s="3">
        <v>44957</v>
      </c>
      <c r="G5587" s="2">
        <f t="shared" si="87"/>
        <v>0</v>
      </c>
      <c r="H5587" t="s">
        <v>29</v>
      </c>
    </row>
    <row r="5588" spans="2:8" x14ac:dyDescent="0.2">
      <c r="B5588" s="3">
        <v>44957</v>
      </c>
      <c r="D5588" s="1">
        <v>893.25</v>
      </c>
      <c r="E5588" s="1">
        <v>1575</v>
      </c>
      <c r="F5588" s="1">
        <v>3170</v>
      </c>
      <c r="G5588" s="2">
        <f t="shared" si="87"/>
        <v>-1595</v>
      </c>
      <c r="H5588" t="s">
        <v>25</v>
      </c>
    </row>
    <row r="5589" spans="2:8" x14ac:dyDescent="0.2">
      <c r="B5589" s="3">
        <v>44957</v>
      </c>
      <c r="G5589" s="2">
        <f t="shared" si="87"/>
        <v>0</v>
      </c>
      <c r="H5589" t="s">
        <v>24</v>
      </c>
    </row>
    <row r="5590" spans="2:8" x14ac:dyDescent="0.2">
      <c r="B5590" s="3">
        <v>44957</v>
      </c>
      <c r="G5590" s="2">
        <f t="shared" si="87"/>
        <v>0</v>
      </c>
      <c r="H5590" t="s">
        <v>9</v>
      </c>
    </row>
    <row r="5591" spans="2:8" x14ac:dyDescent="0.2">
      <c r="B5591" s="3">
        <v>44957</v>
      </c>
      <c r="G5591" s="2">
        <f t="shared" si="87"/>
        <v>0</v>
      </c>
      <c r="H5591" t="s">
        <v>8</v>
      </c>
    </row>
    <row r="5592" spans="2:8" x14ac:dyDescent="0.2">
      <c r="B5592" s="3">
        <v>44957</v>
      </c>
      <c r="G5592" s="2">
        <f t="shared" si="87"/>
        <v>0</v>
      </c>
      <c r="H5592" t="s">
        <v>23</v>
      </c>
    </row>
    <row r="5593" spans="2:8" x14ac:dyDescent="0.2">
      <c r="B5593" s="3">
        <v>44957</v>
      </c>
      <c r="G5593" s="2">
        <f t="shared" si="87"/>
        <v>0</v>
      </c>
      <c r="H5593" t="s">
        <v>6</v>
      </c>
    </row>
    <row r="5594" spans="2:8" x14ac:dyDescent="0.2">
      <c r="B5594" s="3">
        <v>44957</v>
      </c>
      <c r="G5594" s="2">
        <f t="shared" si="87"/>
        <v>0</v>
      </c>
      <c r="H5594" t="s">
        <v>5</v>
      </c>
    </row>
    <row r="5595" spans="2:8" x14ac:dyDescent="0.2">
      <c r="B5595" s="3">
        <v>44957</v>
      </c>
      <c r="D5595" s="1">
        <v>600</v>
      </c>
      <c r="E5595" s="1">
        <v>700</v>
      </c>
      <c r="G5595" s="2">
        <f t="shared" si="87"/>
        <v>700</v>
      </c>
      <c r="H5595" t="s">
        <v>39</v>
      </c>
    </row>
    <row r="5596" spans="2:8" x14ac:dyDescent="0.2">
      <c r="B5596" s="3">
        <v>44958</v>
      </c>
      <c r="G5596" s="2">
        <f t="shared" si="87"/>
        <v>0</v>
      </c>
      <c r="H5596" t="s">
        <v>14</v>
      </c>
    </row>
    <row r="5597" spans="2:8" x14ac:dyDescent="0.2">
      <c r="B5597" s="3">
        <v>44958</v>
      </c>
      <c r="G5597" s="2">
        <f t="shared" si="87"/>
        <v>0</v>
      </c>
      <c r="H5597" t="s">
        <v>27</v>
      </c>
    </row>
    <row r="5598" spans="2:8" x14ac:dyDescent="0.2">
      <c r="B5598" s="3">
        <v>44958</v>
      </c>
      <c r="G5598" s="2">
        <f t="shared" si="87"/>
        <v>0</v>
      </c>
      <c r="H5598" t="s">
        <v>13</v>
      </c>
    </row>
    <row r="5599" spans="2:8" x14ac:dyDescent="0.2">
      <c r="B5599" s="3">
        <v>44958</v>
      </c>
      <c r="G5599" s="2">
        <f t="shared" si="87"/>
        <v>0</v>
      </c>
      <c r="H5599" t="s">
        <v>30</v>
      </c>
    </row>
    <row r="5600" spans="2:8" x14ac:dyDescent="0.2">
      <c r="B5600" s="3">
        <v>44958</v>
      </c>
      <c r="D5600" s="1">
        <v>3448.5</v>
      </c>
      <c r="E5600" s="1">
        <v>3737</v>
      </c>
      <c r="G5600" s="2">
        <f t="shared" si="87"/>
        <v>3737</v>
      </c>
      <c r="H5600" t="s">
        <v>29</v>
      </c>
    </row>
    <row r="5601" spans="2:8" x14ac:dyDescent="0.2">
      <c r="B5601" s="3">
        <v>44958</v>
      </c>
      <c r="G5601" s="2">
        <f t="shared" si="87"/>
        <v>0</v>
      </c>
      <c r="H5601" t="s">
        <v>25</v>
      </c>
    </row>
    <row r="5602" spans="2:8" x14ac:dyDescent="0.2">
      <c r="B5602" s="3">
        <v>44958</v>
      </c>
      <c r="D5602" s="1">
        <v>802.5</v>
      </c>
      <c r="E5602" s="1">
        <v>1000</v>
      </c>
      <c r="F5602" s="1">
        <v>1000</v>
      </c>
      <c r="G5602" s="2">
        <f t="shared" si="87"/>
        <v>0</v>
      </c>
      <c r="H5602" t="s">
        <v>24</v>
      </c>
    </row>
    <row r="5603" spans="2:8" x14ac:dyDescent="0.2">
      <c r="B5603" s="3">
        <v>44958</v>
      </c>
      <c r="G5603" s="2">
        <f t="shared" si="87"/>
        <v>0</v>
      </c>
      <c r="H5603" t="s">
        <v>9</v>
      </c>
    </row>
    <row r="5604" spans="2:8" x14ac:dyDescent="0.2">
      <c r="B5604" s="3">
        <v>44958</v>
      </c>
      <c r="G5604" s="2">
        <f t="shared" si="87"/>
        <v>0</v>
      </c>
      <c r="H5604" t="s">
        <v>8</v>
      </c>
    </row>
    <row r="5605" spans="2:8" x14ac:dyDescent="0.2">
      <c r="B5605" s="3">
        <v>44958</v>
      </c>
      <c r="G5605" s="2">
        <f t="shared" si="87"/>
        <v>0</v>
      </c>
      <c r="H5605" t="s">
        <v>23</v>
      </c>
    </row>
    <row r="5606" spans="2:8" x14ac:dyDescent="0.2">
      <c r="B5606" s="3">
        <v>44958</v>
      </c>
      <c r="G5606" s="2">
        <f t="shared" si="87"/>
        <v>0</v>
      </c>
      <c r="H5606" t="s">
        <v>6</v>
      </c>
    </row>
    <row r="5607" spans="2:8" x14ac:dyDescent="0.2">
      <c r="B5607" s="3">
        <v>44958</v>
      </c>
      <c r="G5607" s="2">
        <f t="shared" si="87"/>
        <v>0</v>
      </c>
      <c r="H5607" t="s">
        <v>5</v>
      </c>
    </row>
    <row r="5608" spans="2:8" x14ac:dyDescent="0.2">
      <c r="B5608" s="3">
        <v>44958</v>
      </c>
      <c r="G5608" s="2">
        <f t="shared" si="87"/>
        <v>0</v>
      </c>
      <c r="H5608" s="1"/>
    </row>
    <row r="5609" spans="2:8" x14ac:dyDescent="0.2">
      <c r="B5609" s="3">
        <v>44959</v>
      </c>
      <c r="D5609" s="1">
        <v>2400</v>
      </c>
      <c r="E5609" s="1">
        <v>2800</v>
      </c>
      <c r="G5609" s="2">
        <f t="shared" si="87"/>
        <v>2800</v>
      </c>
      <c r="H5609" t="s">
        <v>14</v>
      </c>
    </row>
    <row r="5610" spans="2:8" x14ac:dyDescent="0.2">
      <c r="B5610" s="3">
        <v>44959</v>
      </c>
      <c r="D5610" s="1">
        <v>6680</v>
      </c>
      <c r="E5610" s="1">
        <v>8742.5</v>
      </c>
      <c r="G5610" s="2">
        <f t="shared" si="87"/>
        <v>8742.5</v>
      </c>
      <c r="H5610" t="s">
        <v>27</v>
      </c>
    </row>
    <row r="5611" spans="2:8" x14ac:dyDescent="0.2">
      <c r="B5611" s="3">
        <v>44959</v>
      </c>
      <c r="G5611" s="2">
        <f t="shared" si="87"/>
        <v>0</v>
      </c>
      <c r="H5611" t="s">
        <v>13</v>
      </c>
    </row>
    <row r="5612" spans="2:8" x14ac:dyDescent="0.2">
      <c r="B5612" s="3">
        <v>44959</v>
      </c>
      <c r="G5612" s="2">
        <f t="shared" si="87"/>
        <v>0</v>
      </c>
      <c r="H5612" t="s">
        <v>30</v>
      </c>
    </row>
    <row r="5613" spans="2:8" x14ac:dyDescent="0.2">
      <c r="B5613" s="3">
        <v>44959</v>
      </c>
      <c r="G5613" s="2">
        <f t="shared" si="87"/>
        <v>0</v>
      </c>
      <c r="H5613" t="s">
        <v>29</v>
      </c>
    </row>
    <row r="5614" spans="2:8" x14ac:dyDescent="0.2">
      <c r="B5614" s="3">
        <v>44959</v>
      </c>
      <c r="G5614" s="2">
        <f t="shared" si="87"/>
        <v>0</v>
      </c>
      <c r="H5614" t="s">
        <v>25</v>
      </c>
    </row>
    <row r="5615" spans="2:8" x14ac:dyDescent="0.2">
      <c r="B5615" s="3">
        <v>44959</v>
      </c>
      <c r="G5615" s="2">
        <f t="shared" si="87"/>
        <v>0</v>
      </c>
      <c r="H5615" t="s">
        <v>24</v>
      </c>
    </row>
    <row r="5616" spans="2:8" x14ac:dyDescent="0.2">
      <c r="B5616" s="3">
        <v>44959</v>
      </c>
      <c r="G5616" s="2">
        <f t="shared" si="87"/>
        <v>0</v>
      </c>
      <c r="H5616" t="s">
        <v>9</v>
      </c>
    </row>
    <row r="5617" spans="2:8" x14ac:dyDescent="0.2">
      <c r="B5617" s="3">
        <v>44959</v>
      </c>
      <c r="G5617" s="2">
        <f t="shared" si="87"/>
        <v>0</v>
      </c>
      <c r="H5617" t="s">
        <v>8</v>
      </c>
    </row>
    <row r="5618" spans="2:8" x14ac:dyDescent="0.2">
      <c r="B5618" s="3">
        <v>44959</v>
      </c>
      <c r="G5618" s="2">
        <f t="shared" si="87"/>
        <v>0</v>
      </c>
      <c r="H5618" t="s">
        <v>23</v>
      </c>
    </row>
    <row r="5619" spans="2:8" x14ac:dyDescent="0.2">
      <c r="B5619" s="3">
        <v>44959</v>
      </c>
      <c r="G5619" s="2">
        <f t="shared" si="87"/>
        <v>0</v>
      </c>
      <c r="H5619" t="s">
        <v>6</v>
      </c>
    </row>
    <row r="5620" spans="2:8" x14ac:dyDescent="0.2">
      <c r="B5620" s="3">
        <v>44959</v>
      </c>
      <c r="G5620" s="2">
        <f t="shared" si="87"/>
        <v>0</v>
      </c>
      <c r="H5620" t="s">
        <v>5</v>
      </c>
    </row>
    <row r="5621" spans="2:8" x14ac:dyDescent="0.2">
      <c r="B5621" s="3">
        <v>44959</v>
      </c>
      <c r="G5621" s="2">
        <f t="shared" si="87"/>
        <v>0</v>
      </c>
      <c r="H5621" s="1"/>
    </row>
    <row r="5622" spans="2:8" x14ac:dyDescent="0.2">
      <c r="B5622" s="3">
        <v>44960</v>
      </c>
      <c r="G5622" s="2">
        <f t="shared" si="87"/>
        <v>0</v>
      </c>
      <c r="H5622" t="s">
        <v>14</v>
      </c>
    </row>
    <row r="5623" spans="2:8" x14ac:dyDescent="0.2">
      <c r="B5623" s="3">
        <v>44960</v>
      </c>
      <c r="G5623" s="2">
        <f t="shared" si="87"/>
        <v>0</v>
      </c>
      <c r="H5623" t="s">
        <v>27</v>
      </c>
    </row>
    <row r="5624" spans="2:8" x14ac:dyDescent="0.2">
      <c r="B5624" s="3">
        <v>44960</v>
      </c>
      <c r="G5624" s="2">
        <f t="shared" si="87"/>
        <v>0</v>
      </c>
      <c r="H5624" t="s">
        <v>13</v>
      </c>
    </row>
    <row r="5625" spans="2:8" x14ac:dyDescent="0.2">
      <c r="B5625" s="3">
        <v>44960</v>
      </c>
      <c r="G5625" s="2">
        <f t="shared" si="87"/>
        <v>0</v>
      </c>
      <c r="H5625" t="s">
        <v>30</v>
      </c>
    </row>
    <row r="5626" spans="2:8" x14ac:dyDescent="0.2">
      <c r="B5626" s="3">
        <v>44960</v>
      </c>
      <c r="G5626" s="2">
        <f t="shared" si="87"/>
        <v>0</v>
      </c>
      <c r="H5626" t="s">
        <v>29</v>
      </c>
    </row>
    <row r="5627" spans="2:8" x14ac:dyDescent="0.2">
      <c r="B5627" s="3">
        <v>44960</v>
      </c>
      <c r="G5627" s="2">
        <f t="shared" si="87"/>
        <v>0</v>
      </c>
      <c r="H5627" t="s">
        <v>25</v>
      </c>
    </row>
    <row r="5628" spans="2:8" x14ac:dyDescent="0.2">
      <c r="B5628" s="3">
        <v>44960</v>
      </c>
      <c r="G5628" s="2">
        <f t="shared" si="87"/>
        <v>0</v>
      </c>
      <c r="H5628" t="s">
        <v>24</v>
      </c>
    </row>
    <row r="5629" spans="2:8" x14ac:dyDescent="0.2">
      <c r="B5629" s="3">
        <v>44960</v>
      </c>
      <c r="G5629" s="2">
        <f t="shared" si="87"/>
        <v>0</v>
      </c>
      <c r="H5629" t="s">
        <v>9</v>
      </c>
    </row>
    <row r="5630" spans="2:8" x14ac:dyDescent="0.2">
      <c r="B5630" s="3">
        <v>44960</v>
      </c>
      <c r="G5630" s="2">
        <f t="shared" si="87"/>
        <v>0</v>
      </c>
      <c r="H5630" t="s">
        <v>8</v>
      </c>
    </row>
    <row r="5631" spans="2:8" x14ac:dyDescent="0.2">
      <c r="B5631" s="3">
        <v>44960</v>
      </c>
      <c r="G5631" s="2">
        <f t="shared" si="87"/>
        <v>0</v>
      </c>
      <c r="H5631" t="s">
        <v>23</v>
      </c>
    </row>
    <row r="5632" spans="2:8" x14ac:dyDescent="0.2">
      <c r="B5632" s="3">
        <v>44960</v>
      </c>
      <c r="G5632" s="2">
        <f t="shared" si="87"/>
        <v>0</v>
      </c>
      <c r="H5632" t="s">
        <v>6</v>
      </c>
    </row>
    <row r="5633" spans="2:8" x14ac:dyDescent="0.2">
      <c r="B5633" s="3">
        <v>44960</v>
      </c>
      <c r="G5633" s="2">
        <f t="shared" si="87"/>
        <v>0</v>
      </c>
      <c r="H5633" t="s">
        <v>5</v>
      </c>
    </row>
    <row r="5634" spans="2:8" x14ac:dyDescent="0.2">
      <c r="B5634" s="3">
        <v>44960</v>
      </c>
      <c r="G5634" s="2">
        <f t="shared" si="87"/>
        <v>0</v>
      </c>
      <c r="H5634" s="1"/>
    </row>
    <row r="5635" spans="2:8" x14ac:dyDescent="0.2">
      <c r="B5635" s="3">
        <v>44961</v>
      </c>
      <c r="G5635" s="2">
        <f t="shared" ref="G5635:G5698" si="88">E5635-F5635</f>
        <v>0</v>
      </c>
      <c r="H5635" t="s">
        <v>14</v>
      </c>
    </row>
    <row r="5636" spans="2:8" x14ac:dyDescent="0.2">
      <c r="B5636" s="3">
        <v>44961</v>
      </c>
      <c r="G5636" s="2">
        <f t="shared" si="88"/>
        <v>0</v>
      </c>
      <c r="H5636" t="s">
        <v>27</v>
      </c>
    </row>
    <row r="5637" spans="2:8" x14ac:dyDescent="0.2">
      <c r="B5637" s="3">
        <v>44961</v>
      </c>
      <c r="G5637" s="2">
        <f t="shared" si="88"/>
        <v>0</v>
      </c>
      <c r="H5637" t="s">
        <v>13</v>
      </c>
    </row>
    <row r="5638" spans="2:8" x14ac:dyDescent="0.2">
      <c r="B5638" s="3">
        <v>44961</v>
      </c>
      <c r="G5638" s="2">
        <f t="shared" si="88"/>
        <v>0</v>
      </c>
      <c r="H5638" t="s">
        <v>30</v>
      </c>
    </row>
    <row r="5639" spans="2:8" x14ac:dyDescent="0.2">
      <c r="B5639" s="3">
        <v>44961</v>
      </c>
      <c r="G5639" s="2">
        <f t="shared" si="88"/>
        <v>0</v>
      </c>
      <c r="H5639" t="s">
        <v>29</v>
      </c>
    </row>
    <row r="5640" spans="2:8" x14ac:dyDescent="0.2">
      <c r="B5640" s="3">
        <v>44961</v>
      </c>
      <c r="G5640" s="2">
        <f t="shared" si="88"/>
        <v>0</v>
      </c>
      <c r="H5640" t="s">
        <v>25</v>
      </c>
    </row>
    <row r="5641" spans="2:8" x14ac:dyDescent="0.2">
      <c r="B5641" s="3">
        <v>44961</v>
      </c>
      <c r="G5641" s="2">
        <f t="shared" si="88"/>
        <v>0</v>
      </c>
      <c r="H5641" t="s">
        <v>24</v>
      </c>
    </row>
    <row r="5642" spans="2:8" x14ac:dyDescent="0.2">
      <c r="B5642" s="3">
        <v>44961</v>
      </c>
      <c r="G5642" s="2">
        <f t="shared" si="88"/>
        <v>0</v>
      </c>
      <c r="H5642" t="s">
        <v>9</v>
      </c>
    </row>
    <row r="5643" spans="2:8" x14ac:dyDescent="0.2">
      <c r="B5643" s="3">
        <v>44961</v>
      </c>
      <c r="G5643" s="2">
        <f t="shared" si="88"/>
        <v>0</v>
      </c>
      <c r="H5643" t="s">
        <v>8</v>
      </c>
    </row>
    <row r="5644" spans="2:8" x14ac:dyDescent="0.2">
      <c r="B5644" s="3">
        <v>44961</v>
      </c>
      <c r="G5644" s="2">
        <f t="shared" si="88"/>
        <v>0</v>
      </c>
      <c r="H5644" t="s">
        <v>23</v>
      </c>
    </row>
    <row r="5645" spans="2:8" x14ac:dyDescent="0.2">
      <c r="B5645" s="3">
        <v>44961</v>
      </c>
      <c r="G5645" s="2">
        <f t="shared" si="88"/>
        <v>0</v>
      </c>
      <c r="H5645" t="s">
        <v>6</v>
      </c>
    </row>
    <row r="5646" spans="2:8" x14ac:dyDescent="0.2">
      <c r="B5646" s="3">
        <v>44961</v>
      </c>
      <c r="G5646" s="2">
        <f t="shared" si="88"/>
        <v>0</v>
      </c>
      <c r="H5646" t="s">
        <v>5</v>
      </c>
    </row>
    <row r="5647" spans="2:8" x14ac:dyDescent="0.2">
      <c r="B5647" s="3">
        <v>44961</v>
      </c>
      <c r="G5647" s="2">
        <f t="shared" si="88"/>
        <v>0</v>
      </c>
      <c r="H5647" s="1"/>
    </row>
    <row r="5648" spans="2:8" x14ac:dyDescent="0.2">
      <c r="B5648" s="3">
        <v>44962</v>
      </c>
      <c r="G5648" s="2">
        <f t="shared" si="88"/>
        <v>0</v>
      </c>
      <c r="H5648" t="s">
        <v>14</v>
      </c>
    </row>
    <row r="5649" spans="2:8" x14ac:dyDescent="0.2">
      <c r="B5649" s="3">
        <v>44962</v>
      </c>
      <c r="G5649" s="2">
        <f t="shared" si="88"/>
        <v>0</v>
      </c>
      <c r="H5649" t="s">
        <v>27</v>
      </c>
    </row>
    <row r="5650" spans="2:8" x14ac:dyDescent="0.2">
      <c r="B5650" s="3">
        <v>44962</v>
      </c>
      <c r="D5650" s="1">
        <v>5597.1</v>
      </c>
      <c r="E5650" s="1">
        <v>6787.5</v>
      </c>
      <c r="F5650" s="1">
        <v>11000</v>
      </c>
      <c r="G5650" s="2">
        <f t="shared" si="88"/>
        <v>-4212.5</v>
      </c>
      <c r="H5650" t="s">
        <v>13</v>
      </c>
    </row>
    <row r="5651" spans="2:8" x14ac:dyDescent="0.2">
      <c r="B5651" s="3">
        <v>44962</v>
      </c>
      <c r="G5651" s="2">
        <f t="shared" si="88"/>
        <v>0</v>
      </c>
      <c r="H5651" t="s">
        <v>30</v>
      </c>
    </row>
    <row r="5652" spans="2:8" x14ac:dyDescent="0.2">
      <c r="B5652" s="3">
        <v>44962</v>
      </c>
      <c r="D5652" s="1">
        <v>324</v>
      </c>
      <c r="E5652" s="1">
        <v>360</v>
      </c>
      <c r="G5652" s="2">
        <f t="shared" si="88"/>
        <v>360</v>
      </c>
      <c r="H5652" t="s">
        <v>29</v>
      </c>
    </row>
    <row r="5653" spans="2:8" x14ac:dyDescent="0.2">
      <c r="B5653" s="3">
        <v>44962</v>
      </c>
      <c r="G5653" s="2">
        <f t="shared" si="88"/>
        <v>0</v>
      </c>
      <c r="H5653" t="s">
        <v>25</v>
      </c>
    </row>
    <row r="5654" spans="2:8" x14ac:dyDescent="0.2">
      <c r="B5654" s="3">
        <v>44962</v>
      </c>
      <c r="G5654" s="2">
        <f t="shared" si="88"/>
        <v>0</v>
      </c>
      <c r="H5654" t="s">
        <v>24</v>
      </c>
    </row>
    <row r="5655" spans="2:8" x14ac:dyDescent="0.2">
      <c r="B5655" s="3">
        <v>44962</v>
      </c>
      <c r="G5655" s="2">
        <f t="shared" si="88"/>
        <v>0</v>
      </c>
      <c r="H5655" t="s">
        <v>9</v>
      </c>
    </row>
    <row r="5656" spans="2:8" x14ac:dyDescent="0.2">
      <c r="B5656" s="3">
        <v>44962</v>
      </c>
      <c r="G5656" s="2">
        <f t="shared" si="88"/>
        <v>0</v>
      </c>
      <c r="H5656" t="s">
        <v>8</v>
      </c>
    </row>
    <row r="5657" spans="2:8" x14ac:dyDescent="0.2">
      <c r="B5657" s="3">
        <v>44962</v>
      </c>
      <c r="G5657" s="2">
        <f t="shared" si="88"/>
        <v>0</v>
      </c>
      <c r="H5657" t="s">
        <v>23</v>
      </c>
    </row>
    <row r="5658" spans="2:8" x14ac:dyDescent="0.2">
      <c r="B5658" s="3">
        <v>44962</v>
      </c>
      <c r="G5658" s="2">
        <f t="shared" si="88"/>
        <v>0</v>
      </c>
      <c r="H5658" t="s">
        <v>6</v>
      </c>
    </row>
    <row r="5659" spans="2:8" x14ac:dyDescent="0.2">
      <c r="B5659" s="3">
        <v>44962</v>
      </c>
      <c r="G5659" s="2">
        <f t="shared" si="88"/>
        <v>0</v>
      </c>
      <c r="H5659" t="s">
        <v>5</v>
      </c>
    </row>
    <row r="5660" spans="2:8" x14ac:dyDescent="0.2">
      <c r="B5660" s="3">
        <v>44962</v>
      </c>
      <c r="G5660" s="2">
        <f t="shared" si="88"/>
        <v>0</v>
      </c>
      <c r="H5660" s="1"/>
    </row>
    <row r="5661" spans="2:8" x14ac:dyDescent="0.2">
      <c r="B5661" s="3">
        <v>44963</v>
      </c>
      <c r="G5661" s="2">
        <f t="shared" si="88"/>
        <v>0</v>
      </c>
      <c r="H5661" t="s">
        <v>14</v>
      </c>
    </row>
    <row r="5662" spans="2:8" x14ac:dyDescent="0.2">
      <c r="B5662" s="3">
        <v>44963</v>
      </c>
      <c r="G5662" s="2">
        <f t="shared" si="88"/>
        <v>0</v>
      </c>
      <c r="H5662" t="s">
        <v>27</v>
      </c>
    </row>
    <row r="5663" spans="2:8" x14ac:dyDescent="0.2">
      <c r="B5663" s="3">
        <v>44963</v>
      </c>
      <c r="F5663" s="1">
        <v>2073</v>
      </c>
      <c r="G5663" s="2">
        <f t="shared" si="88"/>
        <v>-2073</v>
      </c>
      <c r="H5663" t="s">
        <v>13</v>
      </c>
    </row>
    <row r="5664" spans="2:8" x14ac:dyDescent="0.2">
      <c r="B5664" s="3">
        <v>44963</v>
      </c>
      <c r="G5664" s="2">
        <f t="shared" si="88"/>
        <v>0</v>
      </c>
      <c r="H5664" t="s">
        <v>30</v>
      </c>
    </row>
    <row r="5665" spans="2:8" x14ac:dyDescent="0.2">
      <c r="B5665" s="3">
        <v>44963</v>
      </c>
      <c r="F5665" s="1">
        <v>10000</v>
      </c>
      <c r="G5665" s="2">
        <f t="shared" si="88"/>
        <v>-10000</v>
      </c>
      <c r="H5665" t="s">
        <v>29</v>
      </c>
    </row>
    <row r="5666" spans="2:8" x14ac:dyDescent="0.2">
      <c r="B5666" s="3">
        <v>44963</v>
      </c>
      <c r="G5666" s="2">
        <f t="shared" si="88"/>
        <v>0</v>
      </c>
      <c r="H5666" t="s">
        <v>25</v>
      </c>
    </row>
    <row r="5667" spans="2:8" x14ac:dyDescent="0.2">
      <c r="B5667" s="3">
        <v>44963</v>
      </c>
      <c r="D5667" s="1">
        <v>5573.25</v>
      </c>
      <c r="E5667" s="1">
        <v>6636</v>
      </c>
      <c r="F5667" s="1">
        <v>3000</v>
      </c>
      <c r="G5667" s="2">
        <f t="shared" si="88"/>
        <v>3636</v>
      </c>
      <c r="H5667" t="s">
        <v>24</v>
      </c>
    </row>
    <row r="5668" spans="2:8" x14ac:dyDescent="0.2">
      <c r="B5668" s="3">
        <v>44963</v>
      </c>
      <c r="G5668" s="2">
        <f t="shared" si="88"/>
        <v>0</v>
      </c>
      <c r="H5668" t="s">
        <v>9</v>
      </c>
    </row>
    <row r="5669" spans="2:8" x14ac:dyDescent="0.2">
      <c r="B5669" s="3">
        <v>44963</v>
      </c>
      <c r="G5669" s="2">
        <f t="shared" si="88"/>
        <v>0</v>
      </c>
      <c r="H5669" t="s">
        <v>8</v>
      </c>
    </row>
    <row r="5670" spans="2:8" x14ac:dyDescent="0.2">
      <c r="B5670" s="3">
        <v>44963</v>
      </c>
      <c r="G5670" s="2">
        <f t="shared" si="88"/>
        <v>0</v>
      </c>
      <c r="H5670" t="s">
        <v>23</v>
      </c>
    </row>
    <row r="5671" spans="2:8" x14ac:dyDescent="0.2">
      <c r="B5671" s="3">
        <v>44963</v>
      </c>
      <c r="G5671" s="2">
        <f t="shared" si="88"/>
        <v>0</v>
      </c>
      <c r="H5671" t="s">
        <v>6</v>
      </c>
    </row>
    <row r="5672" spans="2:8" x14ac:dyDescent="0.2">
      <c r="B5672" s="3">
        <v>44963</v>
      </c>
      <c r="G5672" s="2">
        <f t="shared" si="88"/>
        <v>0</v>
      </c>
      <c r="H5672" t="s">
        <v>5</v>
      </c>
    </row>
    <row r="5673" spans="2:8" x14ac:dyDescent="0.2">
      <c r="B5673" s="3">
        <v>44963</v>
      </c>
      <c r="D5673" s="1">
        <v>2162</v>
      </c>
      <c r="E5673" s="1">
        <v>2448</v>
      </c>
      <c r="F5673" s="1">
        <v>2430</v>
      </c>
      <c r="G5673" s="2">
        <f t="shared" si="88"/>
        <v>18</v>
      </c>
      <c r="H5673" s="1" t="s">
        <v>83</v>
      </c>
    </row>
    <row r="5674" spans="2:8" x14ac:dyDescent="0.2">
      <c r="B5674" s="3">
        <v>44964</v>
      </c>
      <c r="F5674" s="1">
        <v>5000</v>
      </c>
      <c r="G5674" s="2">
        <f t="shared" si="88"/>
        <v>-5000</v>
      </c>
      <c r="H5674" t="s">
        <v>14</v>
      </c>
    </row>
    <row r="5675" spans="2:8" x14ac:dyDescent="0.2">
      <c r="B5675" s="3">
        <v>44964</v>
      </c>
      <c r="G5675" s="2">
        <f t="shared" si="88"/>
        <v>0</v>
      </c>
      <c r="H5675" t="s">
        <v>27</v>
      </c>
    </row>
    <row r="5676" spans="2:8" x14ac:dyDescent="0.2">
      <c r="B5676" s="3">
        <v>44964</v>
      </c>
      <c r="D5676" s="1">
        <v>6332.5</v>
      </c>
      <c r="E5676" s="1">
        <v>7858.5</v>
      </c>
      <c r="F5676" s="1">
        <v>3000</v>
      </c>
      <c r="G5676" s="2">
        <f t="shared" si="88"/>
        <v>4858.5</v>
      </c>
      <c r="H5676" t="s">
        <v>13</v>
      </c>
    </row>
    <row r="5677" spans="2:8" x14ac:dyDescent="0.2">
      <c r="B5677" s="3">
        <v>44964</v>
      </c>
      <c r="G5677" s="2">
        <f t="shared" si="88"/>
        <v>0</v>
      </c>
      <c r="H5677" t="s">
        <v>30</v>
      </c>
    </row>
    <row r="5678" spans="2:8" x14ac:dyDescent="0.2">
      <c r="B5678" s="3">
        <v>44964</v>
      </c>
      <c r="G5678" s="2">
        <f t="shared" si="88"/>
        <v>0</v>
      </c>
      <c r="H5678" t="s">
        <v>29</v>
      </c>
    </row>
    <row r="5679" spans="2:8" x14ac:dyDescent="0.2">
      <c r="B5679" s="3">
        <v>44964</v>
      </c>
      <c r="G5679" s="2">
        <f t="shared" si="88"/>
        <v>0</v>
      </c>
      <c r="H5679" t="s">
        <v>25</v>
      </c>
    </row>
    <row r="5680" spans="2:8" x14ac:dyDescent="0.2">
      <c r="B5680" s="3">
        <v>44964</v>
      </c>
      <c r="F5680" s="1">
        <v>196</v>
      </c>
      <c r="G5680" s="2">
        <f t="shared" si="88"/>
        <v>-196</v>
      </c>
      <c r="H5680" t="s">
        <v>24</v>
      </c>
    </row>
    <row r="5681" spans="2:8" x14ac:dyDescent="0.2">
      <c r="B5681" s="3">
        <v>44964</v>
      </c>
      <c r="G5681" s="2">
        <f t="shared" si="88"/>
        <v>0</v>
      </c>
      <c r="H5681" t="s">
        <v>9</v>
      </c>
    </row>
    <row r="5682" spans="2:8" x14ac:dyDescent="0.2">
      <c r="B5682" s="3">
        <v>44964</v>
      </c>
      <c r="G5682" s="2">
        <f t="shared" si="88"/>
        <v>0</v>
      </c>
      <c r="H5682" t="s">
        <v>8</v>
      </c>
    </row>
    <row r="5683" spans="2:8" x14ac:dyDescent="0.2">
      <c r="B5683" s="3">
        <v>44964</v>
      </c>
      <c r="D5683" s="1">
        <v>10420</v>
      </c>
      <c r="E5683" s="1">
        <v>12525</v>
      </c>
      <c r="F5683" s="1">
        <v>12525</v>
      </c>
      <c r="G5683" s="2">
        <f t="shared" si="88"/>
        <v>0</v>
      </c>
      <c r="H5683" t="s">
        <v>23</v>
      </c>
    </row>
    <row r="5684" spans="2:8" x14ac:dyDescent="0.2">
      <c r="B5684" s="3">
        <v>44964</v>
      </c>
      <c r="G5684" s="2">
        <f t="shared" si="88"/>
        <v>0</v>
      </c>
      <c r="H5684" t="s">
        <v>6</v>
      </c>
    </row>
    <row r="5685" spans="2:8" x14ac:dyDescent="0.2">
      <c r="B5685" s="3">
        <v>44964</v>
      </c>
      <c r="G5685" s="2">
        <f t="shared" si="88"/>
        <v>0</v>
      </c>
      <c r="H5685" t="s">
        <v>5</v>
      </c>
    </row>
    <row r="5686" spans="2:8" x14ac:dyDescent="0.2">
      <c r="B5686" s="3">
        <v>44964</v>
      </c>
      <c r="G5686" s="2">
        <f t="shared" si="88"/>
        <v>0</v>
      </c>
      <c r="H5686" s="1"/>
    </row>
    <row r="5687" spans="2:8" x14ac:dyDescent="0.2">
      <c r="B5687" s="3">
        <v>44965</v>
      </c>
      <c r="G5687" s="2">
        <f t="shared" si="88"/>
        <v>0</v>
      </c>
      <c r="H5687" t="s">
        <v>14</v>
      </c>
    </row>
    <row r="5688" spans="2:8" x14ac:dyDescent="0.2">
      <c r="B5688" s="3">
        <v>44965</v>
      </c>
      <c r="G5688" s="2">
        <f t="shared" si="88"/>
        <v>0</v>
      </c>
      <c r="H5688" t="s">
        <v>27</v>
      </c>
    </row>
    <row r="5689" spans="2:8" x14ac:dyDescent="0.2">
      <c r="B5689" s="3">
        <v>44965</v>
      </c>
      <c r="G5689" s="2">
        <f t="shared" si="88"/>
        <v>0</v>
      </c>
      <c r="H5689" t="s">
        <v>13</v>
      </c>
    </row>
    <row r="5690" spans="2:8" x14ac:dyDescent="0.2">
      <c r="B5690" s="3">
        <v>44965</v>
      </c>
      <c r="G5690" s="2">
        <f t="shared" si="88"/>
        <v>0</v>
      </c>
      <c r="H5690" t="s">
        <v>30</v>
      </c>
    </row>
    <row r="5691" spans="2:8" x14ac:dyDescent="0.2">
      <c r="B5691" s="3">
        <v>44965</v>
      </c>
      <c r="G5691" s="2">
        <f t="shared" si="88"/>
        <v>0</v>
      </c>
      <c r="H5691" t="s">
        <v>29</v>
      </c>
    </row>
    <row r="5692" spans="2:8" x14ac:dyDescent="0.2">
      <c r="B5692" s="3">
        <v>44965</v>
      </c>
      <c r="G5692" s="2">
        <f t="shared" si="88"/>
        <v>0</v>
      </c>
      <c r="H5692" t="s">
        <v>25</v>
      </c>
    </row>
    <row r="5693" spans="2:8" x14ac:dyDescent="0.2">
      <c r="B5693" s="3">
        <v>44965</v>
      </c>
      <c r="G5693" s="2">
        <f t="shared" si="88"/>
        <v>0</v>
      </c>
      <c r="H5693" t="s">
        <v>24</v>
      </c>
    </row>
    <row r="5694" spans="2:8" x14ac:dyDescent="0.2">
      <c r="B5694" s="3">
        <v>44965</v>
      </c>
      <c r="G5694" s="2">
        <f t="shared" si="88"/>
        <v>0</v>
      </c>
      <c r="H5694" t="s">
        <v>9</v>
      </c>
    </row>
    <row r="5695" spans="2:8" x14ac:dyDescent="0.2">
      <c r="B5695" s="3">
        <v>44965</v>
      </c>
      <c r="G5695" s="2">
        <f t="shared" si="88"/>
        <v>0</v>
      </c>
      <c r="H5695" t="s">
        <v>8</v>
      </c>
    </row>
    <row r="5696" spans="2:8" x14ac:dyDescent="0.2">
      <c r="B5696" s="3">
        <v>44965</v>
      </c>
      <c r="G5696" s="2">
        <f t="shared" si="88"/>
        <v>0</v>
      </c>
      <c r="H5696" t="s">
        <v>23</v>
      </c>
    </row>
    <row r="5697" spans="2:8" x14ac:dyDescent="0.2">
      <c r="B5697" s="3">
        <v>44965</v>
      </c>
      <c r="G5697" s="2">
        <f t="shared" si="88"/>
        <v>0</v>
      </c>
      <c r="H5697" t="s">
        <v>6</v>
      </c>
    </row>
    <row r="5698" spans="2:8" x14ac:dyDescent="0.2">
      <c r="B5698" s="3">
        <v>44965</v>
      </c>
      <c r="G5698" s="2">
        <f t="shared" si="88"/>
        <v>0</v>
      </c>
      <c r="H5698" t="s">
        <v>5</v>
      </c>
    </row>
    <row r="5699" spans="2:8" x14ac:dyDescent="0.2">
      <c r="B5699" s="3">
        <v>44965</v>
      </c>
      <c r="G5699" s="2">
        <f t="shared" ref="G5699:G5762" si="89">E5699-F5699</f>
        <v>0</v>
      </c>
      <c r="H5699" s="1"/>
    </row>
    <row r="5700" spans="2:8" x14ac:dyDescent="0.2">
      <c r="B5700" s="3">
        <v>44966</v>
      </c>
      <c r="G5700" s="2">
        <f t="shared" si="89"/>
        <v>0</v>
      </c>
      <c r="H5700" t="s">
        <v>14</v>
      </c>
    </row>
    <row r="5701" spans="2:8" x14ac:dyDescent="0.2">
      <c r="B5701" s="3">
        <v>44966</v>
      </c>
      <c r="F5701" s="1">
        <v>5000</v>
      </c>
      <c r="G5701" s="2">
        <f t="shared" si="89"/>
        <v>-5000</v>
      </c>
      <c r="H5701" t="s">
        <v>27</v>
      </c>
    </row>
    <row r="5702" spans="2:8" x14ac:dyDescent="0.2">
      <c r="B5702" s="3">
        <v>44966</v>
      </c>
      <c r="G5702" s="2">
        <f t="shared" si="89"/>
        <v>0</v>
      </c>
      <c r="H5702" t="s">
        <v>13</v>
      </c>
    </row>
    <row r="5703" spans="2:8" x14ac:dyDescent="0.2">
      <c r="B5703" s="3">
        <v>44966</v>
      </c>
      <c r="G5703" s="2">
        <f t="shared" si="89"/>
        <v>0</v>
      </c>
      <c r="H5703" t="s">
        <v>30</v>
      </c>
    </row>
    <row r="5704" spans="2:8" x14ac:dyDescent="0.2">
      <c r="B5704" s="3">
        <v>44966</v>
      </c>
      <c r="D5704" s="1">
        <v>3920.5</v>
      </c>
      <c r="E5704" s="1">
        <v>4918</v>
      </c>
      <c r="G5704" s="2">
        <f t="shared" si="89"/>
        <v>4918</v>
      </c>
      <c r="H5704" t="s">
        <v>29</v>
      </c>
    </row>
    <row r="5705" spans="2:8" x14ac:dyDescent="0.2">
      <c r="B5705" s="3">
        <v>44966</v>
      </c>
      <c r="G5705" s="2">
        <f t="shared" si="89"/>
        <v>0</v>
      </c>
      <c r="H5705" t="s">
        <v>25</v>
      </c>
    </row>
    <row r="5706" spans="2:8" x14ac:dyDescent="0.2">
      <c r="B5706" s="3">
        <v>44966</v>
      </c>
      <c r="G5706" s="2">
        <f t="shared" si="89"/>
        <v>0</v>
      </c>
      <c r="H5706" t="s">
        <v>24</v>
      </c>
    </row>
    <row r="5707" spans="2:8" x14ac:dyDescent="0.2">
      <c r="B5707" s="3">
        <v>44966</v>
      </c>
      <c r="G5707" s="2">
        <f t="shared" si="89"/>
        <v>0</v>
      </c>
      <c r="H5707" t="s">
        <v>9</v>
      </c>
    </row>
    <row r="5708" spans="2:8" x14ac:dyDescent="0.2">
      <c r="B5708" s="3">
        <v>44966</v>
      </c>
      <c r="G5708" s="2">
        <f t="shared" si="89"/>
        <v>0</v>
      </c>
      <c r="H5708" t="s">
        <v>8</v>
      </c>
    </row>
    <row r="5709" spans="2:8" x14ac:dyDescent="0.2">
      <c r="B5709" s="3">
        <v>44966</v>
      </c>
      <c r="G5709" s="2">
        <f t="shared" si="89"/>
        <v>0</v>
      </c>
      <c r="H5709" t="s">
        <v>23</v>
      </c>
    </row>
    <row r="5710" spans="2:8" x14ac:dyDescent="0.2">
      <c r="B5710" s="3">
        <v>44966</v>
      </c>
      <c r="G5710" s="2">
        <f t="shared" si="89"/>
        <v>0</v>
      </c>
      <c r="H5710" t="s">
        <v>6</v>
      </c>
    </row>
    <row r="5711" spans="2:8" x14ac:dyDescent="0.2">
      <c r="B5711" s="3">
        <v>44966</v>
      </c>
      <c r="G5711" s="2">
        <f t="shared" si="89"/>
        <v>0</v>
      </c>
      <c r="H5711" t="s">
        <v>5</v>
      </c>
    </row>
    <row r="5712" spans="2:8" x14ac:dyDescent="0.2">
      <c r="B5712" s="3">
        <v>44966</v>
      </c>
      <c r="G5712" s="2">
        <f t="shared" si="89"/>
        <v>0</v>
      </c>
      <c r="H5712" s="1"/>
    </row>
    <row r="5713" spans="2:8" x14ac:dyDescent="0.2">
      <c r="B5713" s="3">
        <v>44967</v>
      </c>
      <c r="G5713" s="2">
        <f t="shared" si="89"/>
        <v>0</v>
      </c>
      <c r="H5713" t="s">
        <v>14</v>
      </c>
    </row>
    <row r="5714" spans="2:8" x14ac:dyDescent="0.2">
      <c r="B5714" s="3">
        <v>44967</v>
      </c>
      <c r="G5714" s="2">
        <f t="shared" si="89"/>
        <v>0</v>
      </c>
      <c r="H5714" t="s">
        <v>27</v>
      </c>
    </row>
    <row r="5715" spans="2:8" x14ac:dyDescent="0.2">
      <c r="B5715" s="3">
        <v>44967</v>
      </c>
      <c r="G5715" s="2">
        <f t="shared" si="89"/>
        <v>0</v>
      </c>
      <c r="H5715" t="s">
        <v>13</v>
      </c>
    </row>
    <row r="5716" spans="2:8" x14ac:dyDescent="0.2">
      <c r="B5716" s="3">
        <v>44967</v>
      </c>
      <c r="G5716" s="2">
        <f t="shared" si="89"/>
        <v>0</v>
      </c>
      <c r="H5716" t="s">
        <v>30</v>
      </c>
    </row>
    <row r="5717" spans="2:8" x14ac:dyDescent="0.2">
      <c r="B5717" s="3">
        <v>44967</v>
      </c>
      <c r="G5717" s="2">
        <f t="shared" si="89"/>
        <v>0</v>
      </c>
      <c r="H5717" t="s">
        <v>29</v>
      </c>
    </row>
    <row r="5718" spans="2:8" x14ac:dyDescent="0.2">
      <c r="B5718" s="3">
        <v>44967</v>
      </c>
      <c r="G5718" s="2">
        <f t="shared" si="89"/>
        <v>0</v>
      </c>
      <c r="H5718" t="s">
        <v>25</v>
      </c>
    </row>
    <row r="5719" spans="2:8" x14ac:dyDescent="0.2">
      <c r="B5719" s="3">
        <v>44967</v>
      </c>
      <c r="G5719" s="2">
        <f t="shared" si="89"/>
        <v>0</v>
      </c>
      <c r="H5719" t="s">
        <v>24</v>
      </c>
    </row>
    <row r="5720" spans="2:8" x14ac:dyDescent="0.2">
      <c r="B5720" s="3">
        <v>44967</v>
      </c>
      <c r="G5720" s="2">
        <f t="shared" si="89"/>
        <v>0</v>
      </c>
      <c r="H5720" t="s">
        <v>9</v>
      </c>
    </row>
    <row r="5721" spans="2:8" x14ac:dyDescent="0.2">
      <c r="B5721" s="3">
        <v>44967</v>
      </c>
      <c r="G5721" s="2">
        <f t="shared" si="89"/>
        <v>0</v>
      </c>
      <c r="H5721" t="s">
        <v>8</v>
      </c>
    </row>
    <row r="5722" spans="2:8" x14ac:dyDescent="0.2">
      <c r="B5722" s="3">
        <v>44967</v>
      </c>
      <c r="G5722" s="2">
        <f t="shared" si="89"/>
        <v>0</v>
      </c>
      <c r="H5722" t="s">
        <v>23</v>
      </c>
    </row>
    <row r="5723" spans="2:8" x14ac:dyDescent="0.2">
      <c r="B5723" s="3">
        <v>44967</v>
      </c>
      <c r="G5723" s="2">
        <f t="shared" si="89"/>
        <v>0</v>
      </c>
      <c r="H5723" t="s">
        <v>6</v>
      </c>
    </row>
    <row r="5724" spans="2:8" x14ac:dyDescent="0.2">
      <c r="B5724" s="3">
        <v>44967</v>
      </c>
      <c r="G5724" s="2">
        <f t="shared" si="89"/>
        <v>0</v>
      </c>
      <c r="H5724" t="s">
        <v>5</v>
      </c>
    </row>
    <row r="5725" spans="2:8" x14ac:dyDescent="0.2">
      <c r="B5725" s="3">
        <v>44967</v>
      </c>
      <c r="G5725" s="2">
        <f t="shared" si="89"/>
        <v>0</v>
      </c>
      <c r="H5725" s="1"/>
    </row>
    <row r="5726" spans="2:8" x14ac:dyDescent="0.2">
      <c r="B5726" s="3">
        <v>44968</v>
      </c>
      <c r="G5726" s="2">
        <f t="shared" si="89"/>
        <v>0</v>
      </c>
      <c r="H5726" t="s">
        <v>14</v>
      </c>
    </row>
    <row r="5727" spans="2:8" x14ac:dyDescent="0.2">
      <c r="B5727" s="3">
        <v>44968</v>
      </c>
      <c r="G5727" s="2">
        <f t="shared" si="89"/>
        <v>0</v>
      </c>
      <c r="H5727" t="s">
        <v>27</v>
      </c>
    </row>
    <row r="5728" spans="2:8" x14ac:dyDescent="0.2">
      <c r="B5728" s="3">
        <v>44968</v>
      </c>
      <c r="G5728" s="2">
        <f t="shared" si="89"/>
        <v>0</v>
      </c>
      <c r="H5728" t="s">
        <v>13</v>
      </c>
    </row>
    <row r="5729" spans="2:8" x14ac:dyDescent="0.2">
      <c r="B5729" s="3">
        <v>44968</v>
      </c>
      <c r="G5729" s="2">
        <f t="shared" si="89"/>
        <v>0</v>
      </c>
      <c r="H5729" t="s">
        <v>30</v>
      </c>
    </row>
    <row r="5730" spans="2:8" x14ac:dyDescent="0.2">
      <c r="B5730" s="3">
        <v>44968</v>
      </c>
      <c r="G5730" s="2">
        <f t="shared" si="89"/>
        <v>0</v>
      </c>
      <c r="H5730" t="s">
        <v>29</v>
      </c>
    </row>
    <row r="5731" spans="2:8" x14ac:dyDescent="0.2">
      <c r="B5731" s="3">
        <v>44968</v>
      </c>
      <c r="G5731" s="2">
        <f t="shared" si="89"/>
        <v>0</v>
      </c>
      <c r="H5731" t="s">
        <v>25</v>
      </c>
    </row>
    <row r="5732" spans="2:8" x14ac:dyDescent="0.2">
      <c r="B5732" s="3">
        <v>44968</v>
      </c>
      <c r="G5732" s="2">
        <f t="shared" si="89"/>
        <v>0</v>
      </c>
      <c r="H5732" t="s">
        <v>24</v>
      </c>
    </row>
    <row r="5733" spans="2:8" x14ac:dyDescent="0.2">
      <c r="B5733" s="3">
        <v>44968</v>
      </c>
      <c r="G5733" s="2">
        <f t="shared" si="89"/>
        <v>0</v>
      </c>
      <c r="H5733" t="s">
        <v>9</v>
      </c>
    </row>
    <row r="5734" spans="2:8" x14ac:dyDescent="0.2">
      <c r="B5734" s="3">
        <v>44968</v>
      </c>
      <c r="G5734" s="2">
        <f t="shared" si="89"/>
        <v>0</v>
      </c>
      <c r="H5734" t="s">
        <v>8</v>
      </c>
    </row>
    <row r="5735" spans="2:8" x14ac:dyDescent="0.2">
      <c r="B5735" s="3">
        <v>44968</v>
      </c>
      <c r="G5735" s="2">
        <f t="shared" si="89"/>
        <v>0</v>
      </c>
      <c r="H5735" t="s">
        <v>23</v>
      </c>
    </row>
    <row r="5736" spans="2:8" x14ac:dyDescent="0.2">
      <c r="B5736" s="3">
        <v>44968</v>
      </c>
      <c r="G5736" s="2">
        <f t="shared" si="89"/>
        <v>0</v>
      </c>
      <c r="H5736" t="s">
        <v>6</v>
      </c>
    </row>
    <row r="5737" spans="2:8" x14ac:dyDescent="0.2">
      <c r="B5737" s="3">
        <v>44968</v>
      </c>
      <c r="G5737" s="2">
        <f t="shared" si="89"/>
        <v>0</v>
      </c>
      <c r="H5737" t="s">
        <v>5</v>
      </c>
    </row>
    <row r="5738" spans="2:8" x14ac:dyDescent="0.2">
      <c r="B5738" s="3">
        <v>44968</v>
      </c>
      <c r="G5738" s="2">
        <f t="shared" si="89"/>
        <v>0</v>
      </c>
      <c r="H5738" s="1"/>
    </row>
    <row r="5739" spans="2:8" x14ac:dyDescent="0.2">
      <c r="B5739" s="3">
        <v>44969</v>
      </c>
      <c r="G5739" s="2">
        <f t="shared" si="89"/>
        <v>0</v>
      </c>
      <c r="H5739" t="s">
        <v>14</v>
      </c>
    </row>
    <row r="5740" spans="2:8" x14ac:dyDescent="0.2">
      <c r="B5740" s="3">
        <v>44969</v>
      </c>
      <c r="D5740" s="1">
        <v>4740.5</v>
      </c>
      <c r="E5740" s="1">
        <v>7305</v>
      </c>
      <c r="G5740" s="2">
        <f t="shared" si="89"/>
        <v>7305</v>
      </c>
      <c r="H5740" t="s">
        <v>27</v>
      </c>
    </row>
    <row r="5741" spans="2:8" x14ac:dyDescent="0.2">
      <c r="B5741" s="3">
        <v>44969</v>
      </c>
      <c r="D5741" s="1">
        <v>5266.25</v>
      </c>
      <c r="E5741" s="1">
        <v>6610</v>
      </c>
      <c r="F5741" s="1">
        <v>5000</v>
      </c>
      <c r="G5741" s="2">
        <f t="shared" si="89"/>
        <v>1610</v>
      </c>
      <c r="H5741" t="s">
        <v>13</v>
      </c>
    </row>
    <row r="5742" spans="2:8" x14ac:dyDescent="0.2">
      <c r="B5742" s="3">
        <v>44969</v>
      </c>
      <c r="G5742" s="2">
        <f t="shared" si="89"/>
        <v>0</v>
      </c>
      <c r="H5742" t="s">
        <v>30</v>
      </c>
    </row>
    <row r="5743" spans="2:8" x14ac:dyDescent="0.2">
      <c r="B5743" s="3">
        <v>44969</v>
      </c>
      <c r="D5743" s="1">
        <v>1460</v>
      </c>
      <c r="E5743" s="1">
        <v>1600</v>
      </c>
      <c r="G5743" s="2">
        <f t="shared" si="89"/>
        <v>1600</v>
      </c>
      <c r="H5743" t="s">
        <v>29</v>
      </c>
    </row>
    <row r="5744" spans="2:8" x14ac:dyDescent="0.2">
      <c r="B5744" s="3">
        <v>44969</v>
      </c>
      <c r="G5744" s="2">
        <f t="shared" si="89"/>
        <v>0</v>
      </c>
      <c r="H5744" t="s">
        <v>25</v>
      </c>
    </row>
    <row r="5745" spans="2:8" x14ac:dyDescent="0.2">
      <c r="B5745" s="3">
        <v>44969</v>
      </c>
      <c r="G5745" s="2">
        <f t="shared" si="89"/>
        <v>0</v>
      </c>
      <c r="H5745" t="s">
        <v>24</v>
      </c>
    </row>
    <row r="5746" spans="2:8" x14ac:dyDescent="0.2">
      <c r="B5746" s="3">
        <v>44969</v>
      </c>
      <c r="G5746" s="2">
        <f t="shared" si="89"/>
        <v>0</v>
      </c>
      <c r="H5746" t="s">
        <v>9</v>
      </c>
    </row>
    <row r="5747" spans="2:8" x14ac:dyDescent="0.2">
      <c r="B5747" s="3">
        <v>44969</v>
      </c>
      <c r="G5747" s="2">
        <f t="shared" si="89"/>
        <v>0</v>
      </c>
      <c r="H5747" t="s">
        <v>8</v>
      </c>
    </row>
    <row r="5748" spans="2:8" x14ac:dyDescent="0.2">
      <c r="B5748" s="3">
        <v>44969</v>
      </c>
      <c r="G5748" s="2">
        <f t="shared" si="89"/>
        <v>0</v>
      </c>
      <c r="H5748" t="s">
        <v>23</v>
      </c>
    </row>
    <row r="5749" spans="2:8" x14ac:dyDescent="0.2">
      <c r="B5749" s="3">
        <v>44969</v>
      </c>
      <c r="G5749" s="2">
        <f t="shared" si="89"/>
        <v>0</v>
      </c>
      <c r="H5749" t="s">
        <v>6</v>
      </c>
    </row>
    <row r="5750" spans="2:8" x14ac:dyDescent="0.2">
      <c r="B5750" s="3">
        <v>44969</v>
      </c>
      <c r="G5750" s="2">
        <f t="shared" si="89"/>
        <v>0</v>
      </c>
      <c r="H5750" t="s">
        <v>5</v>
      </c>
    </row>
    <row r="5751" spans="2:8" x14ac:dyDescent="0.2">
      <c r="B5751" s="3">
        <v>44969</v>
      </c>
      <c r="G5751" s="2">
        <f t="shared" si="89"/>
        <v>0</v>
      </c>
      <c r="H5751" s="1"/>
    </row>
    <row r="5752" spans="2:8" x14ac:dyDescent="0.2">
      <c r="B5752" s="3">
        <v>44970</v>
      </c>
      <c r="G5752" s="2">
        <f t="shared" si="89"/>
        <v>0</v>
      </c>
      <c r="H5752" t="s">
        <v>14</v>
      </c>
    </row>
    <row r="5753" spans="2:8" x14ac:dyDescent="0.2">
      <c r="B5753" s="3">
        <v>44970</v>
      </c>
      <c r="G5753" s="2">
        <f t="shared" si="89"/>
        <v>0</v>
      </c>
      <c r="H5753" t="s">
        <v>27</v>
      </c>
    </row>
    <row r="5754" spans="2:8" x14ac:dyDescent="0.2">
      <c r="B5754" s="3">
        <v>44970</v>
      </c>
      <c r="G5754" s="2">
        <f t="shared" si="89"/>
        <v>0</v>
      </c>
      <c r="H5754" t="s">
        <v>13</v>
      </c>
    </row>
    <row r="5755" spans="2:8" x14ac:dyDescent="0.2">
      <c r="B5755" s="3">
        <v>44970</v>
      </c>
      <c r="G5755" s="2">
        <f t="shared" si="89"/>
        <v>0</v>
      </c>
      <c r="H5755" t="s">
        <v>30</v>
      </c>
    </row>
    <row r="5756" spans="2:8" x14ac:dyDescent="0.2">
      <c r="B5756" s="3">
        <v>44970</v>
      </c>
      <c r="D5756" s="1">
        <v>3937.5</v>
      </c>
      <c r="E5756" s="1">
        <v>4227.5</v>
      </c>
      <c r="G5756" s="2">
        <f t="shared" si="89"/>
        <v>4227.5</v>
      </c>
      <c r="H5756" t="s">
        <v>29</v>
      </c>
    </row>
    <row r="5757" spans="2:8" x14ac:dyDescent="0.2">
      <c r="B5757" s="3">
        <v>44970</v>
      </c>
      <c r="G5757" s="2">
        <f t="shared" si="89"/>
        <v>0</v>
      </c>
      <c r="H5757" t="s">
        <v>25</v>
      </c>
    </row>
    <row r="5758" spans="2:8" x14ac:dyDescent="0.2">
      <c r="B5758" s="3">
        <v>44970</v>
      </c>
      <c r="D5758" s="1">
        <v>3916</v>
      </c>
      <c r="E5758" s="1">
        <v>4708</v>
      </c>
      <c r="F5758" s="1">
        <v>3000</v>
      </c>
      <c r="G5758" s="2">
        <f t="shared" si="89"/>
        <v>1708</v>
      </c>
      <c r="H5758" t="s">
        <v>24</v>
      </c>
    </row>
    <row r="5759" spans="2:8" x14ac:dyDescent="0.2">
      <c r="B5759" s="3">
        <v>44970</v>
      </c>
      <c r="G5759" s="2">
        <f t="shared" si="89"/>
        <v>0</v>
      </c>
      <c r="H5759" t="s">
        <v>9</v>
      </c>
    </row>
    <row r="5760" spans="2:8" x14ac:dyDescent="0.2">
      <c r="B5760" s="3">
        <v>44970</v>
      </c>
      <c r="G5760" s="2">
        <f t="shared" si="89"/>
        <v>0</v>
      </c>
      <c r="H5760" t="s">
        <v>8</v>
      </c>
    </row>
    <row r="5761" spans="2:8" x14ac:dyDescent="0.2">
      <c r="B5761" s="3">
        <v>44970</v>
      </c>
      <c r="G5761" s="2">
        <f t="shared" si="89"/>
        <v>0</v>
      </c>
      <c r="H5761" t="s">
        <v>23</v>
      </c>
    </row>
    <row r="5762" spans="2:8" x14ac:dyDescent="0.2">
      <c r="B5762" s="3">
        <v>44970</v>
      </c>
      <c r="D5762" s="1">
        <v>15720</v>
      </c>
      <c r="E5762" s="1">
        <v>17000</v>
      </c>
      <c r="G5762" s="2">
        <f t="shared" si="89"/>
        <v>17000</v>
      </c>
      <c r="H5762" t="s">
        <v>6</v>
      </c>
    </row>
    <row r="5763" spans="2:8" x14ac:dyDescent="0.2">
      <c r="B5763" s="3">
        <v>44970</v>
      </c>
      <c r="G5763" s="2">
        <f t="shared" ref="G5763:G5826" si="90">E5763-F5763</f>
        <v>0</v>
      </c>
      <c r="H5763" t="s">
        <v>5</v>
      </c>
    </row>
    <row r="5764" spans="2:8" x14ac:dyDescent="0.2">
      <c r="B5764" s="3">
        <v>44970</v>
      </c>
      <c r="G5764" s="2">
        <f t="shared" si="90"/>
        <v>0</v>
      </c>
      <c r="H5764" s="1"/>
    </row>
    <row r="5765" spans="2:8" x14ac:dyDescent="0.2">
      <c r="B5765" s="3">
        <v>44971</v>
      </c>
      <c r="G5765" s="2">
        <f t="shared" si="90"/>
        <v>0</v>
      </c>
      <c r="H5765" t="s">
        <v>14</v>
      </c>
    </row>
    <row r="5766" spans="2:8" x14ac:dyDescent="0.2">
      <c r="B5766" s="3">
        <v>44971</v>
      </c>
      <c r="G5766" s="2">
        <f t="shared" si="90"/>
        <v>0</v>
      </c>
      <c r="H5766" t="s">
        <v>27</v>
      </c>
    </row>
    <row r="5767" spans="2:8" x14ac:dyDescent="0.2">
      <c r="B5767" s="3">
        <v>44971</v>
      </c>
      <c r="G5767" s="2">
        <f t="shared" si="90"/>
        <v>0</v>
      </c>
      <c r="H5767" t="s">
        <v>13</v>
      </c>
    </row>
    <row r="5768" spans="2:8" x14ac:dyDescent="0.2">
      <c r="B5768" s="3">
        <v>44971</v>
      </c>
      <c r="G5768" s="2">
        <f t="shared" si="90"/>
        <v>0</v>
      </c>
      <c r="H5768" t="s">
        <v>30</v>
      </c>
    </row>
    <row r="5769" spans="2:8" x14ac:dyDescent="0.2">
      <c r="B5769" s="3">
        <v>44971</v>
      </c>
      <c r="G5769" s="2">
        <f t="shared" si="90"/>
        <v>0</v>
      </c>
      <c r="H5769" t="s">
        <v>29</v>
      </c>
    </row>
    <row r="5770" spans="2:8" x14ac:dyDescent="0.2">
      <c r="B5770" s="3">
        <v>44971</v>
      </c>
      <c r="G5770" s="2">
        <f t="shared" si="90"/>
        <v>0</v>
      </c>
      <c r="H5770" t="s">
        <v>25</v>
      </c>
    </row>
    <row r="5771" spans="2:8" x14ac:dyDescent="0.2">
      <c r="B5771" s="3">
        <v>44971</v>
      </c>
      <c r="F5771" s="1">
        <v>148</v>
      </c>
      <c r="G5771" s="2">
        <f t="shared" si="90"/>
        <v>-148</v>
      </c>
      <c r="H5771" t="s">
        <v>24</v>
      </c>
    </row>
    <row r="5772" spans="2:8" x14ac:dyDescent="0.2">
      <c r="B5772" s="3">
        <v>44971</v>
      </c>
      <c r="G5772" s="2">
        <f t="shared" si="90"/>
        <v>0</v>
      </c>
      <c r="H5772" t="s">
        <v>9</v>
      </c>
    </row>
    <row r="5773" spans="2:8" x14ac:dyDescent="0.2">
      <c r="B5773" s="3">
        <v>44971</v>
      </c>
      <c r="G5773" s="2">
        <f t="shared" si="90"/>
        <v>0</v>
      </c>
      <c r="H5773" t="s">
        <v>8</v>
      </c>
    </row>
    <row r="5774" spans="2:8" x14ac:dyDescent="0.2">
      <c r="B5774" s="3">
        <v>44971</v>
      </c>
      <c r="G5774" s="2">
        <f t="shared" si="90"/>
        <v>0</v>
      </c>
      <c r="H5774" t="s">
        <v>23</v>
      </c>
    </row>
    <row r="5775" spans="2:8" x14ac:dyDescent="0.2">
      <c r="B5775" s="3">
        <v>44971</v>
      </c>
      <c r="G5775" s="2">
        <f t="shared" si="90"/>
        <v>0</v>
      </c>
      <c r="H5775" t="s">
        <v>6</v>
      </c>
    </row>
    <row r="5776" spans="2:8" x14ac:dyDescent="0.2">
      <c r="B5776" s="3">
        <v>44971</v>
      </c>
      <c r="G5776" s="2">
        <f t="shared" si="90"/>
        <v>0</v>
      </c>
      <c r="H5776" t="s">
        <v>5</v>
      </c>
    </row>
    <row r="5777" spans="2:8" x14ac:dyDescent="0.2">
      <c r="B5777" s="3">
        <v>44971</v>
      </c>
      <c r="G5777" s="2">
        <f t="shared" si="90"/>
        <v>0</v>
      </c>
      <c r="H5777" s="1"/>
    </row>
    <row r="5778" spans="2:8" x14ac:dyDescent="0.2">
      <c r="B5778" s="3">
        <v>44972</v>
      </c>
      <c r="G5778" s="2">
        <f t="shared" si="90"/>
        <v>0</v>
      </c>
      <c r="H5778" t="s">
        <v>14</v>
      </c>
    </row>
    <row r="5779" spans="2:8" x14ac:dyDescent="0.2">
      <c r="B5779" s="3">
        <v>44972</v>
      </c>
      <c r="F5779" s="1">
        <v>5000</v>
      </c>
      <c r="G5779" s="2">
        <f t="shared" si="90"/>
        <v>-5000</v>
      </c>
      <c r="H5779" t="s">
        <v>27</v>
      </c>
    </row>
    <row r="5780" spans="2:8" x14ac:dyDescent="0.2">
      <c r="B5780" s="3">
        <v>44972</v>
      </c>
      <c r="F5780" s="1">
        <v>6000</v>
      </c>
      <c r="G5780" s="2">
        <f t="shared" si="90"/>
        <v>-6000</v>
      </c>
      <c r="H5780" t="s">
        <v>13</v>
      </c>
    </row>
    <row r="5781" spans="2:8" x14ac:dyDescent="0.2">
      <c r="B5781" s="3">
        <v>44972</v>
      </c>
      <c r="G5781" s="2">
        <f t="shared" si="90"/>
        <v>0</v>
      </c>
      <c r="H5781" t="s">
        <v>30</v>
      </c>
    </row>
    <row r="5782" spans="2:8" x14ac:dyDescent="0.2">
      <c r="B5782" s="3">
        <v>44972</v>
      </c>
      <c r="G5782" s="2">
        <f t="shared" si="90"/>
        <v>0</v>
      </c>
      <c r="H5782" t="s">
        <v>29</v>
      </c>
    </row>
    <row r="5783" spans="2:8" x14ac:dyDescent="0.2">
      <c r="B5783" s="3">
        <v>44972</v>
      </c>
      <c r="G5783" s="2">
        <f t="shared" si="90"/>
        <v>0</v>
      </c>
      <c r="H5783" t="s">
        <v>25</v>
      </c>
    </row>
    <row r="5784" spans="2:8" x14ac:dyDescent="0.2">
      <c r="B5784" s="3">
        <v>44972</v>
      </c>
      <c r="G5784" s="2">
        <f t="shared" si="90"/>
        <v>0</v>
      </c>
      <c r="H5784" t="s">
        <v>24</v>
      </c>
    </row>
    <row r="5785" spans="2:8" x14ac:dyDescent="0.2">
      <c r="B5785" s="3">
        <v>44972</v>
      </c>
      <c r="G5785" s="2">
        <f t="shared" si="90"/>
        <v>0</v>
      </c>
      <c r="H5785" t="s">
        <v>9</v>
      </c>
    </row>
    <row r="5786" spans="2:8" x14ac:dyDescent="0.2">
      <c r="B5786" s="3">
        <v>44972</v>
      </c>
      <c r="G5786" s="2">
        <f t="shared" si="90"/>
        <v>0</v>
      </c>
      <c r="H5786" t="s">
        <v>8</v>
      </c>
    </row>
    <row r="5787" spans="2:8" x14ac:dyDescent="0.2">
      <c r="B5787" s="3">
        <v>44972</v>
      </c>
      <c r="G5787" s="2">
        <f t="shared" si="90"/>
        <v>0</v>
      </c>
      <c r="H5787" t="s">
        <v>23</v>
      </c>
    </row>
    <row r="5788" spans="2:8" x14ac:dyDescent="0.2">
      <c r="B5788" s="3">
        <v>44972</v>
      </c>
      <c r="G5788" s="2">
        <f t="shared" si="90"/>
        <v>0</v>
      </c>
      <c r="H5788" t="s">
        <v>6</v>
      </c>
    </row>
    <row r="5789" spans="2:8" x14ac:dyDescent="0.2">
      <c r="B5789" s="3">
        <v>44972</v>
      </c>
      <c r="G5789" s="2">
        <f t="shared" si="90"/>
        <v>0</v>
      </c>
      <c r="H5789" t="s">
        <v>5</v>
      </c>
    </row>
    <row r="5790" spans="2:8" x14ac:dyDescent="0.2">
      <c r="B5790" s="3">
        <v>44972</v>
      </c>
      <c r="G5790" s="2">
        <f t="shared" si="90"/>
        <v>0</v>
      </c>
      <c r="H5790" s="1"/>
    </row>
    <row r="5791" spans="2:8" x14ac:dyDescent="0.2">
      <c r="B5791" s="3">
        <v>44973</v>
      </c>
      <c r="G5791" s="2">
        <f t="shared" si="90"/>
        <v>0</v>
      </c>
      <c r="H5791" t="s">
        <v>14</v>
      </c>
    </row>
    <row r="5792" spans="2:8" x14ac:dyDescent="0.2">
      <c r="B5792" s="3">
        <v>44973</v>
      </c>
      <c r="G5792" s="2">
        <f t="shared" si="90"/>
        <v>0</v>
      </c>
      <c r="H5792" t="s">
        <v>27</v>
      </c>
    </row>
    <row r="5793" spans="2:8" x14ac:dyDescent="0.2">
      <c r="B5793" s="3">
        <v>44973</v>
      </c>
      <c r="G5793" s="2">
        <f t="shared" si="90"/>
        <v>0</v>
      </c>
      <c r="H5793" t="s">
        <v>13</v>
      </c>
    </row>
    <row r="5794" spans="2:8" x14ac:dyDescent="0.2">
      <c r="B5794" s="3">
        <v>44973</v>
      </c>
      <c r="G5794" s="2">
        <f t="shared" si="90"/>
        <v>0</v>
      </c>
      <c r="H5794" t="s">
        <v>30</v>
      </c>
    </row>
    <row r="5795" spans="2:8" x14ac:dyDescent="0.2">
      <c r="B5795" s="3">
        <v>44973</v>
      </c>
      <c r="G5795" s="2">
        <f t="shared" si="90"/>
        <v>0</v>
      </c>
      <c r="H5795" t="s">
        <v>29</v>
      </c>
    </row>
    <row r="5796" spans="2:8" x14ac:dyDescent="0.2">
      <c r="B5796" s="3">
        <v>44973</v>
      </c>
      <c r="G5796" s="2">
        <f t="shared" si="90"/>
        <v>0</v>
      </c>
      <c r="H5796" t="s">
        <v>25</v>
      </c>
    </row>
    <row r="5797" spans="2:8" x14ac:dyDescent="0.2">
      <c r="B5797" s="3">
        <v>44973</v>
      </c>
      <c r="G5797" s="2">
        <f t="shared" si="90"/>
        <v>0</v>
      </c>
      <c r="H5797" t="s">
        <v>24</v>
      </c>
    </row>
    <row r="5798" spans="2:8" x14ac:dyDescent="0.2">
      <c r="B5798" s="3">
        <v>44973</v>
      </c>
      <c r="G5798" s="2">
        <f t="shared" si="90"/>
        <v>0</v>
      </c>
      <c r="H5798" t="s">
        <v>9</v>
      </c>
    </row>
    <row r="5799" spans="2:8" x14ac:dyDescent="0.2">
      <c r="B5799" s="3">
        <v>44973</v>
      </c>
      <c r="G5799" s="2">
        <f t="shared" si="90"/>
        <v>0</v>
      </c>
      <c r="H5799" t="s">
        <v>8</v>
      </c>
    </row>
    <row r="5800" spans="2:8" x14ac:dyDescent="0.2">
      <c r="B5800" s="3">
        <v>44973</v>
      </c>
      <c r="G5800" s="2">
        <f t="shared" si="90"/>
        <v>0</v>
      </c>
      <c r="H5800" t="s">
        <v>23</v>
      </c>
    </row>
    <row r="5801" spans="2:8" x14ac:dyDescent="0.2">
      <c r="B5801" s="3">
        <v>44973</v>
      </c>
      <c r="G5801" s="2">
        <f t="shared" si="90"/>
        <v>0</v>
      </c>
      <c r="H5801" t="s">
        <v>6</v>
      </c>
    </row>
    <row r="5802" spans="2:8" x14ac:dyDescent="0.2">
      <c r="B5802" s="3">
        <v>44973</v>
      </c>
      <c r="G5802" s="2">
        <f t="shared" si="90"/>
        <v>0</v>
      </c>
      <c r="H5802" t="s">
        <v>5</v>
      </c>
    </row>
    <row r="5803" spans="2:8" x14ac:dyDescent="0.2">
      <c r="B5803" s="3">
        <v>44973</v>
      </c>
      <c r="G5803" s="2">
        <f t="shared" si="90"/>
        <v>0</v>
      </c>
      <c r="H5803" s="1"/>
    </row>
    <row r="5804" spans="2:8" x14ac:dyDescent="0.2">
      <c r="B5804" s="3">
        <v>44974</v>
      </c>
      <c r="G5804" s="2">
        <f t="shared" si="90"/>
        <v>0</v>
      </c>
      <c r="H5804" t="s">
        <v>14</v>
      </c>
    </row>
    <row r="5805" spans="2:8" x14ac:dyDescent="0.2">
      <c r="B5805" s="3">
        <v>44974</v>
      </c>
      <c r="G5805" s="2">
        <f t="shared" si="90"/>
        <v>0</v>
      </c>
      <c r="H5805" t="s">
        <v>27</v>
      </c>
    </row>
    <row r="5806" spans="2:8" x14ac:dyDescent="0.2">
      <c r="B5806" s="3">
        <v>44974</v>
      </c>
      <c r="G5806" s="2">
        <f t="shared" si="90"/>
        <v>0</v>
      </c>
      <c r="H5806" t="s">
        <v>13</v>
      </c>
    </row>
    <row r="5807" spans="2:8" x14ac:dyDescent="0.2">
      <c r="B5807" s="3">
        <v>44974</v>
      </c>
      <c r="G5807" s="2">
        <f t="shared" si="90"/>
        <v>0</v>
      </c>
      <c r="H5807" t="s">
        <v>30</v>
      </c>
    </row>
    <row r="5808" spans="2:8" x14ac:dyDescent="0.2">
      <c r="B5808" s="3">
        <v>44974</v>
      </c>
      <c r="G5808" s="2">
        <f t="shared" si="90"/>
        <v>0</v>
      </c>
      <c r="H5808" t="s">
        <v>29</v>
      </c>
    </row>
    <row r="5809" spans="2:8" x14ac:dyDescent="0.2">
      <c r="B5809" s="3">
        <v>44974</v>
      </c>
      <c r="G5809" s="2">
        <f t="shared" si="90"/>
        <v>0</v>
      </c>
      <c r="H5809" t="s">
        <v>25</v>
      </c>
    </row>
    <row r="5810" spans="2:8" x14ac:dyDescent="0.2">
      <c r="B5810" s="3">
        <v>44974</v>
      </c>
      <c r="G5810" s="2">
        <f t="shared" si="90"/>
        <v>0</v>
      </c>
      <c r="H5810" t="s">
        <v>24</v>
      </c>
    </row>
    <row r="5811" spans="2:8" x14ac:dyDescent="0.2">
      <c r="B5811" s="3">
        <v>44974</v>
      </c>
      <c r="G5811" s="2">
        <f t="shared" si="90"/>
        <v>0</v>
      </c>
      <c r="H5811" t="s">
        <v>9</v>
      </c>
    </row>
    <row r="5812" spans="2:8" x14ac:dyDescent="0.2">
      <c r="B5812" s="3">
        <v>44974</v>
      </c>
      <c r="G5812" s="2">
        <f t="shared" si="90"/>
        <v>0</v>
      </c>
      <c r="H5812" t="s">
        <v>8</v>
      </c>
    </row>
    <row r="5813" spans="2:8" x14ac:dyDescent="0.2">
      <c r="B5813" s="3">
        <v>44974</v>
      </c>
      <c r="G5813" s="2">
        <f t="shared" si="90"/>
        <v>0</v>
      </c>
      <c r="H5813" t="s">
        <v>23</v>
      </c>
    </row>
    <row r="5814" spans="2:8" x14ac:dyDescent="0.2">
      <c r="B5814" s="3">
        <v>44974</v>
      </c>
      <c r="G5814" s="2">
        <f t="shared" si="90"/>
        <v>0</v>
      </c>
      <c r="H5814" t="s">
        <v>6</v>
      </c>
    </row>
    <row r="5815" spans="2:8" x14ac:dyDescent="0.2">
      <c r="B5815" s="3">
        <v>44974</v>
      </c>
      <c r="G5815" s="2">
        <f t="shared" si="90"/>
        <v>0</v>
      </c>
      <c r="H5815" t="s">
        <v>5</v>
      </c>
    </row>
    <row r="5816" spans="2:8" x14ac:dyDescent="0.2">
      <c r="B5816" s="3">
        <v>44974</v>
      </c>
      <c r="G5816" s="2">
        <f t="shared" si="90"/>
        <v>0</v>
      </c>
      <c r="H5816" s="1"/>
    </row>
    <row r="5817" spans="2:8" x14ac:dyDescent="0.2">
      <c r="B5817" s="3">
        <v>44975</v>
      </c>
      <c r="G5817" s="2">
        <f t="shared" si="90"/>
        <v>0</v>
      </c>
      <c r="H5817" t="s">
        <v>14</v>
      </c>
    </row>
    <row r="5818" spans="2:8" x14ac:dyDescent="0.2">
      <c r="B5818" s="3">
        <v>44975</v>
      </c>
      <c r="G5818" s="2">
        <f t="shared" si="90"/>
        <v>0</v>
      </c>
      <c r="H5818" t="s">
        <v>27</v>
      </c>
    </row>
    <row r="5819" spans="2:8" x14ac:dyDescent="0.2">
      <c r="B5819" s="3">
        <v>44975</v>
      </c>
      <c r="D5819" s="1">
        <v>11296.6</v>
      </c>
      <c r="E5819" s="1">
        <v>13459.25</v>
      </c>
      <c r="F5819" s="1">
        <v>5000</v>
      </c>
      <c r="G5819" s="2">
        <f t="shared" si="90"/>
        <v>8459.25</v>
      </c>
      <c r="H5819" t="s">
        <v>13</v>
      </c>
    </row>
    <row r="5820" spans="2:8" x14ac:dyDescent="0.2">
      <c r="B5820" s="3">
        <v>44975</v>
      </c>
      <c r="G5820" s="2">
        <f t="shared" si="90"/>
        <v>0</v>
      </c>
      <c r="H5820" t="s">
        <v>30</v>
      </c>
    </row>
    <row r="5821" spans="2:8" x14ac:dyDescent="0.2">
      <c r="B5821" s="3">
        <v>44975</v>
      </c>
      <c r="G5821" s="2">
        <f t="shared" si="90"/>
        <v>0</v>
      </c>
      <c r="H5821" t="s">
        <v>29</v>
      </c>
    </row>
    <row r="5822" spans="2:8" x14ac:dyDescent="0.2">
      <c r="B5822" s="3">
        <v>44975</v>
      </c>
      <c r="G5822" s="2">
        <f t="shared" si="90"/>
        <v>0</v>
      </c>
      <c r="H5822" t="s">
        <v>25</v>
      </c>
    </row>
    <row r="5823" spans="2:8" x14ac:dyDescent="0.2">
      <c r="B5823" s="3">
        <v>44975</v>
      </c>
      <c r="G5823" s="2">
        <f t="shared" si="90"/>
        <v>0</v>
      </c>
      <c r="H5823" t="s">
        <v>24</v>
      </c>
    </row>
    <row r="5824" spans="2:8" x14ac:dyDescent="0.2">
      <c r="B5824" s="3">
        <v>44975</v>
      </c>
      <c r="D5824" s="1">
        <v>1750</v>
      </c>
      <c r="E5824" s="1">
        <v>2750</v>
      </c>
      <c r="G5824" s="2">
        <f t="shared" si="90"/>
        <v>2750</v>
      </c>
      <c r="H5824" t="s">
        <v>9</v>
      </c>
    </row>
    <row r="5825" spans="2:8" x14ac:dyDescent="0.2">
      <c r="B5825" s="3">
        <v>44975</v>
      </c>
      <c r="G5825" s="2">
        <f t="shared" si="90"/>
        <v>0</v>
      </c>
      <c r="H5825" t="s">
        <v>8</v>
      </c>
    </row>
    <row r="5826" spans="2:8" x14ac:dyDescent="0.2">
      <c r="B5826" s="3">
        <v>44975</v>
      </c>
      <c r="G5826" s="2">
        <f t="shared" si="90"/>
        <v>0</v>
      </c>
      <c r="H5826" t="s">
        <v>23</v>
      </c>
    </row>
    <row r="5827" spans="2:8" x14ac:dyDescent="0.2">
      <c r="B5827" s="3">
        <v>44975</v>
      </c>
      <c r="G5827" s="2">
        <f t="shared" ref="G5827:G5890" si="91">E5827-F5827</f>
        <v>0</v>
      </c>
      <c r="H5827" t="s">
        <v>6</v>
      </c>
    </row>
    <row r="5828" spans="2:8" x14ac:dyDescent="0.2">
      <c r="B5828" s="3">
        <v>44975</v>
      </c>
      <c r="G5828" s="2">
        <f t="shared" si="91"/>
        <v>0</v>
      </c>
      <c r="H5828" t="s">
        <v>5</v>
      </c>
    </row>
    <row r="5829" spans="2:8" x14ac:dyDescent="0.2">
      <c r="B5829" s="3">
        <v>44975</v>
      </c>
      <c r="G5829" s="2">
        <f t="shared" si="91"/>
        <v>0</v>
      </c>
      <c r="H5829" s="1"/>
    </row>
    <row r="5830" spans="2:8" x14ac:dyDescent="0.2">
      <c r="B5830" s="3">
        <v>44976</v>
      </c>
      <c r="G5830" s="2">
        <f t="shared" si="91"/>
        <v>0</v>
      </c>
      <c r="H5830" t="s">
        <v>14</v>
      </c>
    </row>
    <row r="5831" spans="2:8" x14ac:dyDescent="0.2">
      <c r="B5831" s="3">
        <v>44976</v>
      </c>
      <c r="G5831" s="2">
        <f t="shared" si="91"/>
        <v>0</v>
      </c>
      <c r="H5831" t="s">
        <v>27</v>
      </c>
    </row>
    <row r="5832" spans="2:8" x14ac:dyDescent="0.2">
      <c r="B5832" s="3">
        <v>44976</v>
      </c>
      <c r="G5832" s="2">
        <f t="shared" si="91"/>
        <v>0</v>
      </c>
      <c r="H5832" t="s">
        <v>13</v>
      </c>
    </row>
    <row r="5833" spans="2:8" x14ac:dyDescent="0.2">
      <c r="B5833" s="3">
        <v>44976</v>
      </c>
      <c r="G5833" s="2">
        <f t="shared" si="91"/>
        <v>0</v>
      </c>
      <c r="H5833" t="s">
        <v>30</v>
      </c>
    </row>
    <row r="5834" spans="2:8" x14ac:dyDescent="0.2">
      <c r="B5834" s="3">
        <v>44976</v>
      </c>
      <c r="F5834" s="1">
        <v>12000</v>
      </c>
      <c r="G5834" s="2">
        <f t="shared" si="91"/>
        <v>-12000</v>
      </c>
      <c r="H5834" t="s">
        <v>29</v>
      </c>
    </row>
    <row r="5835" spans="2:8" x14ac:dyDescent="0.2">
      <c r="B5835" s="3">
        <v>44976</v>
      </c>
      <c r="G5835" s="2">
        <f t="shared" si="91"/>
        <v>0</v>
      </c>
      <c r="H5835" t="s">
        <v>25</v>
      </c>
    </row>
    <row r="5836" spans="2:8" x14ac:dyDescent="0.2">
      <c r="B5836" s="3">
        <v>44976</v>
      </c>
      <c r="D5836" s="1">
        <v>1840</v>
      </c>
      <c r="E5836" s="1">
        <v>2140</v>
      </c>
      <c r="F5836" s="1">
        <v>2036</v>
      </c>
      <c r="G5836" s="2">
        <f t="shared" si="91"/>
        <v>104</v>
      </c>
      <c r="H5836" t="s">
        <v>24</v>
      </c>
    </row>
    <row r="5837" spans="2:8" x14ac:dyDescent="0.2">
      <c r="B5837" s="3">
        <v>44976</v>
      </c>
      <c r="G5837" s="2">
        <f t="shared" si="91"/>
        <v>0</v>
      </c>
      <c r="H5837" t="s">
        <v>9</v>
      </c>
    </row>
    <row r="5838" spans="2:8" x14ac:dyDescent="0.2">
      <c r="B5838" s="3">
        <v>44976</v>
      </c>
      <c r="G5838" s="2">
        <f t="shared" si="91"/>
        <v>0</v>
      </c>
      <c r="H5838" t="s">
        <v>8</v>
      </c>
    </row>
    <row r="5839" spans="2:8" x14ac:dyDescent="0.2">
      <c r="B5839" s="3">
        <v>44976</v>
      </c>
      <c r="G5839" s="2">
        <f t="shared" si="91"/>
        <v>0</v>
      </c>
      <c r="H5839" t="s">
        <v>23</v>
      </c>
    </row>
    <row r="5840" spans="2:8" x14ac:dyDescent="0.2">
      <c r="B5840" s="3">
        <v>44976</v>
      </c>
      <c r="G5840" s="2">
        <f t="shared" si="91"/>
        <v>0</v>
      </c>
      <c r="H5840" t="s">
        <v>6</v>
      </c>
    </row>
    <row r="5841" spans="2:8" x14ac:dyDescent="0.2">
      <c r="B5841" s="3">
        <v>44976</v>
      </c>
      <c r="G5841" s="2">
        <f t="shared" si="91"/>
        <v>0</v>
      </c>
      <c r="H5841" t="s">
        <v>5</v>
      </c>
    </row>
    <row r="5842" spans="2:8" x14ac:dyDescent="0.2">
      <c r="B5842" s="3">
        <v>44976</v>
      </c>
      <c r="G5842" s="2">
        <f t="shared" si="91"/>
        <v>0</v>
      </c>
      <c r="H5842" s="1"/>
    </row>
    <row r="5843" spans="2:8" x14ac:dyDescent="0.2">
      <c r="B5843" s="3">
        <v>44977</v>
      </c>
      <c r="D5843" s="1">
        <v>7800</v>
      </c>
      <c r="E5843" s="1">
        <v>8700</v>
      </c>
      <c r="F5843" s="1">
        <v>7000</v>
      </c>
      <c r="G5843" s="2">
        <f t="shared" si="91"/>
        <v>1700</v>
      </c>
      <c r="H5843" t="s">
        <v>14</v>
      </c>
    </row>
    <row r="5844" spans="2:8" x14ac:dyDescent="0.2">
      <c r="B5844" s="3">
        <v>44977</v>
      </c>
      <c r="G5844" s="2">
        <f t="shared" si="91"/>
        <v>0</v>
      </c>
      <c r="H5844" t="s">
        <v>27</v>
      </c>
    </row>
    <row r="5845" spans="2:8" x14ac:dyDescent="0.2">
      <c r="B5845" s="3">
        <v>44977</v>
      </c>
      <c r="G5845" s="2">
        <f t="shared" si="91"/>
        <v>0</v>
      </c>
      <c r="H5845" t="s">
        <v>13</v>
      </c>
    </row>
    <row r="5846" spans="2:8" x14ac:dyDescent="0.2">
      <c r="B5846" s="3">
        <v>44977</v>
      </c>
      <c r="G5846" s="2">
        <f t="shared" si="91"/>
        <v>0</v>
      </c>
      <c r="H5846" t="s">
        <v>30</v>
      </c>
    </row>
    <row r="5847" spans="2:8" x14ac:dyDescent="0.2">
      <c r="B5847" s="3">
        <v>44977</v>
      </c>
      <c r="G5847" s="2">
        <f t="shared" si="91"/>
        <v>0</v>
      </c>
      <c r="H5847" t="s">
        <v>29</v>
      </c>
    </row>
    <row r="5848" spans="2:8" x14ac:dyDescent="0.2">
      <c r="B5848" s="3">
        <v>44977</v>
      </c>
      <c r="G5848" s="2">
        <f t="shared" si="91"/>
        <v>0</v>
      </c>
      <c r="H5848" t="s">
        <v>25</v>
      </c>
    </row>
    <row r="5849" spans="2:8" x14ac:dyDescent="0.2">
      <c r="B5849" s="3">
        <v>44977</v>
      </c>
      <c r="F5849" s="1">
        <v>120</v>
      </c>
      <c r="G5849" s="2">
        <f t="shared" si="91"/>
        <v>-120</v>
      </c>
      <c r="H5849" t="s">
        <v>24</v>
      </c>
    </row>
    <row r="5850" spans="2:8" x14ac:dyDescent="0.2">
      <c r="B5850" s="3">
        <v>44977</v>
      </c>
      <c r="G5850" s="2">
        <f t="shared" si="91"/>
        <v>0</v>
      </c>
      <c r="H5850" t="s">
        <v>9</v>
      </c>
    </row>
    <row r="5851" spans="2:8" x14ac:dyDescent="0.2">
      <c r="B5851" s="3">
        <v>44977</v>
      </c>
      <c r="G5851" s="2">
        <f t="shared" si="91"/>
        <v>0</v>
      </c>
      <c r="H5851" t="s">
        <v>8</v>
      </c>
    </row>
    <row r="5852" spans="2:8" x14ac:dyDescent="0.2">
      <c r="B5852" s="3">
        <v>44977</v>
      </c>
      <c r="D5852" s="1">
        <v>24265</v>
      </c>
      <c r="E5852" s="1">
        <v>26400</v>
      </c>
      <c r="G5852" s="2">
        <f t="shared" si="91"/>
        <v>26400</v>
      </c>
      <c r="H5852" t="s">
        <v>23</v>
      </c>
    </row>
    <row r="5853" spans="2:8" x14ac:dyDescent="0.2">
      <c r="B5853" s="3">
        <v>44977</v>
      </c>
      <c r="D5853" s="1">
        <v>5925</v>
      </c>
      <c r="E5853" s="1">
        <v>6487.5</v>
      </c>
      <c r="G5853" s="2">
        <f t="shared" si="91"/>
        <v>6487.5</v>
      </c>
      <c r="H5853" t="s">
        <v>6</v>
      </c>
    </row>
    <row r="5854" spans="2:8" x14ac:dyDescent="0.2">
      <c r="B5854" s="3">
        <v>44977</v>
      </c>
      <c r="D5854" s="1">
        <v>17105</v>
      </c>
      <c r="E5854" s="1">
        <v>19425</v>
      </c>
      <c r="G5854" s="2">
        <f t="shared" si="91"/>
        <v>19425</v>
      </c>
      <c r="H5854" t="s">
        <v>5</v>
      </c>
    </row>
    <row r="5855" spans="2:8" x14ac:dyDescent="0.2">
      <c r="B5855" s="3">
        <v>44977</v>
      </c>
      <c r="G5855" s="2">
        <f t="shared" si="91"/>
        <v>0</v>
      </c>
      <c r="H5855" s="1"/>
    </row>
    <row r="5856" spans="2:8" x14ac:dyDescent="0.2">
      <c r="B5856" s="3">
        <v>44978</v>
      </c>
      <c r="G5856" s="2">
        <f t="shared" si="91"/>
        <v>0</v>
      </c>
      <c r="H5856" t="s">
        <v>14</v>
      </c>
    </row>
    <row r="5857" spans="2:8" x14ac:dyDescent="0.2">
      <c r="B5857" s="3">
        <v>44978</v>
      </c>
      <c r="G5857" s="2">
        <f t="shared" si="91"/>
        <v>0</v>
      </c>
      <c r="H5857" t="s">
        <v>27</v>
      </c>
    </row>
    <row r="5858" spans="2:8" x14ac:dyDescent="0.2">
      <c r="B5858" s="3">
        <v>44978</v>
      </c>
      <c r="G5858" s="2">
        <f t="shared" si="91"/>
        <v>0</v>
      </c>
      <c r="H5858" t="s">
        <v>13</v>
      </c>
    </row>
    <row r="5859" spans="2:8" x14ac:dyDescent="0.2">
      <c r="B5859" s="3">
        <v>44978</v>
      </c>
      <c r="G5859" s="2">
        <f t="shared" si="91"/>
        <v>0</v>
      </c>
      <c r="H5859" t="s">
        <v>30</v>
      </c>
    </row>
    <row r="5860" spans="2:8" x14ac:dyDescent="0.2">
      <c r="B5860" s="3">
        <v>44978</v>
      </c>
      <c r="G5860" s="2">
        <f t="shared" si="91"/>
        <v>0</v>
      </c>
      <c r="H5860" t="s">
        <v>29</v>
      </c>
    </row>
    <row r="5861" spans="2:8" x14ac:dyDescent="0.2">
      <c r="B5861" s="3">
        <v>44978</v>
      </c>
      <c r="G5861" s="2">
        <f t="shared" si="91"/>
        <v>0</v>
      </c>
      <c r="H5861" t="s">
        <v>25</v>
      </c>
    </row>
    <row r="5862" spans="2:8" x14ac:dyDescent="0.2">
      <c r="B5862" s="3">
        <v>44978</v>
      </c>
      <c r="G5862" s="2">
        <f t="shared" si="91"/>
        <v>0</v>
      </c>
      <c r="H5862" t="s">
        <v>24</v>
      </c>
    </row>
    <row r="5863" spans="2:8" x14ac:dyDescent="0.2">
      <c r="B5863" s="3">
        <v>44978</v>
      </c>
      <c r="G5863" s="2">
        <f t="shared" si="91"/>
        <v>0</v>
      </c>
      <c r="H5863" t="s">
        <v>9</v>
      </c>
    </row>
    <row r="5864" spans="2:8" x14ac:dyDescent="0.2">
      <c r="B5864" s="3">
        <v>44978</v>
      </c>
      <c r="G5864" s="2">
        <f t="shared" si="91"/>
        <v>0</v>
      </c>
      <c r="H5864" t="s">
        <v>8</v>
      </c>
    </row>
    <row r="5865" spans="2:8" x14ac:dyDescent="0.2">
      <c r="B5865" s="3">
        <v>44978</v>
      </c>
      <c r="G5865" s="2">
        <f t="shared" si="91"/>
        <v>0</v>
      </c>
      <c r="H5865" t="s">
        <v>23</v>
      </c>
    </row>
    <row r="5866" spans="2:8" x14ac:dyDescent="0.2">
      <c r="B5866" s="3">
        <v>44978</v>
      </c>
      <c r="G5866" s="2">
        <f t="shared" si="91"/>
        <v>0</v>
      </c>
      <c r="H5866" t="s">
        <v>6</v>
      </c>
    </row>
    <row r="5867" spans="2:8" x14ac:dyDescent="0.2">
      <c r="B5867" s="3">
        <v>44978</v>
      </c>
      <c r="G5867" s="2">
        <f t="shared" si="91"/>
        <v>0</v>
      </c>
      <c r="H5867" t="s">
        <v>5</v>
      </c>
    </row>
    <row r="5868" spans="2:8" x14ac:dyDescent="0.2">
      <c r="B5868" s="3">
        <v>44978</v>
      </c>
      <c r="G5868" s="2">
        <f t="shared" si="91"/>
        <v>0</v>
      </c>
      <c r="H5868" s="1"/>
    </row>
    <row r="5869" spans="2:8" x14ac:dyDescent="0.2">
      <c r="B5869" s="3">
        <v>44979</v>
      </c>
      <c r="D5869" s="1">
        <v>13645</v>
      </c>
      <c r="E5869" s="1">
        <v>16425</v>
      </c>
      <c r="F5869" s="1">
        <v>7000</v>
      </c>
      <c r="G5869" s="2">
        <f t="shared" si="91"/>
        <v>9425</v>
      </c>
      <c r="H5869" t="s">
        <v>14</v>
      </c>
    </row>
    <row r="5870" spans="2:8" x14ac:dyDescent="0.2">
      <c r="B5870" s="3">
        <v>44979</v>
      </c>
      <c r="F5870" s="1">
        <v>5000</v>
      </c>
      <c r="G5870" s="2">
        <f t="shared" si="91"/>
        <v>-5000</v>
      </c>
      <c r="H5870" t="s">
        <v>27</v>
      </c>
    </row>
    <row r="5871" spans="2:8" x14ac:dyDescent="0.2">
      <c r="B5871" s="3">
        <v>44979</v>
      </c>
      <c r="D5871" s="1">
        <v>4183.25</v>
      </c>
      <c r="E5871" s="1">
        <v>5531.25</v>
      </c>
      <c r="F5871" s="1">
        <v>5000</v>
      </c>
      <c r="G5871" s="2">
        <f t="shared" si="91"/>
        <v>531.25</v>
      </c>
      <c r="H5871" t="s">
        <v>13</v>
      </c>
    </row>
    <row r="5872" spans="2:8" x14ac:dyDescent="0.2">
      <c r="B5872" s="3">
        <v>44979</v>
      </c>
      <c r="G5872" s="2">
        <f t="shared" si="91"/>
        <v>0</v>
      </c>
      <c r="H5872" t="s">
        <v>30</v>
      </c>
    </row>
    <row r="5873" spans="2:8" x14ac:dyDescent="0.2">
      <c r="B5873" s="3">
        <v>44979</v>
      </c>
      <c r="G5873" s="2">
        <f t="shared" si="91"/>
        <v>0</v>
      </c>
      <c r="H5873" t="s">
        <v>29</v>
      </c>
    </row>
    <row r="5874" spans="2:8" x14ac:dyDescent="0.2">
      <c r="B5874" s="3">
        <v>44979</v>
      </c>
      <c r="G5874" s="2">
        <f t="shared" si="91"/>
        <v>0</v>
      </c>
      <c r="H5874" t="s">
        <v>25</v>
      </c>
    </row>
    <row r="5875" spans="2:8" x14ac:dyDescent="0.2">
      <c r="B5875" s="3">
        <v>44979</v>
      </c>
      <c r="G5875" s="2">
        <f t="shared" si="91"/>
        <v>0</v>
      </c>
      <c r="H5875" t="s">
        <v>24</v>
      </c>
    </row>
    <row r="5876" spans="2:8" x14ac:dyDescent="0.2">
      <c r="B5876" s="3">
        <v>44979</v>
      </c>
      <c r="G5876" s="2">
        <f t="shared" si="91"/>
        <v>0</v>
      </c>
      <c r="H5876" t="s">
        <v>9</v>
      </c>
    </row>
    <row r="5877" spans="2:8" x14ac:dyDescent="0.2">
      <c r="B5877" s="3">
        <v>44979</v>
      </c>
      <c r="G5877" s="2">
        <f t="shared" si="91"/>
        <v>0</v>
      </c>
      <c r="H5877" t="s">
        <v>8</v>
      </c>
    </row>
    <row r="5878" spans="2:8" x14ac:dyDescent="0.2">
      <c r="B5878" s="3">
        <v>44979</v>
      </c>
      <c r="G5878" s="2">
        <f t="shared" si="91"/>
        <v>0</v>
      </c>
      <c r="H5878" t="s">
        <v>23</v>
      </c>
    </row>
    <row r="5879" spans="2:8" x14ac:dyDescent="0.2">
      <c r="B5879" s="3">
        <v>44979</v>
      </c>
      <c r="G5879" s="2">
        <f t="shared" si="91"/>
        <v>0</v>
      </c>
      <c r="H5879" t="s">
        <v>6</v>
      </c>
    </row>
    <row r="5880" spans="2:8" x14ac:dyDescent="0.2">
      <c r="B5880" s="3">
        <v>44979</v>
      </c>
      <c r="G5880" s="2">
        <f t="shared" si="91"/>
        <v>0</v>
      </c>
      <c r="H5880" t="s">
        <v>5</v>
      </c>
    </row>
    <row r="5881" spans="2:8" x14ac:dyDescent="0.2">
      <c r="B5881" s="3">
        <v>44979</v>
      </c>
      <c r="G5881" s="2">
        <f t="shared" si="91"/>
        <v>0</v>
      </c>
      <c r="H5881" s="1"/>
    </row>
    <row r="5882" spans="2:8" x14ac:dyDescent="0.2">
      <c r="B5882" s="3">
        <v>44980</v>
      </c>
      <c r="D5882" s="1">
        <v>3900</v>
      </c>
      <c r="E5882" s="1">
        <v>4600</v>
      </c>
      <c r="G5882" s="2">
        <f t="shared" si="91"/>
        <v>4600</v>
      </c>
      <c r="H5882" t="s">
        <v>14</v>
      </c>
    </row>
    <row r="5883" spans="2:8" x14ac:dyDescent="0.2">
      <c r="B5883" s="3">
        <v>44980</v>
      </c>
      <c r="G5883" s="2">
        <f t="shared" si="91"/>
        <v>0</v>
      </c>
      <c r="H5883" t="s">
        <v>27</v>
      </c>
    </row>
    <row r="5884" spans="2:8" x14ac:dyDescent="0.2">
      <c r="B5884" s="3">
        <v>44980</v>
      </c>
      <c r="G5884" s="2">
        <f t="shared" si="91"/>
        <v>0</v>
      </c>
      <c r="H5884" t="s">
        <v>13</v>
      </c>
    </row>
    <row r="5885" spans="2:8" x14ac:dyDescent="0.2">
      <c r="B5885" s="3">
        <v>44980</v>
      </c>
      <c r="G5885" s="2">
        <f t="shared" si="91"/>
        <v>0</v>
      </c>
      <c r="H5885" t="s">
        <v>30</v>
      </c>
    </row>
    <row r="5886" spans="2:8" x14ac:dyDescent="0.2">
      <c r="B5886" s="3">
        <v>44980</v>
      </c>
      <c r="G5886" s="2">
        <f t="shared" si="91"/>
        <v>0</v>
      </c>
      <c r="H5886" t="s">
        <v>29</v>
      </c>
    </row>
    <row r="5887" spans="2:8" x14ac:dyDescent="0.2">
      <c r="B5887" s="3">
        <v>44980</v>
      </c>
      <c r="F5887" s="1">
        <v>2000</v>
      </c>
      <c r="G5887" s="2">
        <f t="shared" si="91"/>
        <v>-2000</v>
      </c>
      <c r="H5887" t="s">
        <v>25</v>
      </c>
    </row>
    <row r="5888" spans="2:8" x14ac:dyDescent="0.2">
      <c r="B5888" s="3">
        <v>44980</v>
      </c>
      <c r="F5888" s="1">
        <v>2000</v>
      </c>
      <c r="G5888" s="2">
        <f t="shared" si="91"/>
        <v>-2000</v>
      </c>
      <c r="H5888" t="s">
        <v>24</v>
      </c>
    </row>
    <row r="5889" spans="2:8" x14ac:dyDescent="0.2">
      <c r="B5889" s="3">
        <v>44980</v>
      </c>
      <c r="G5889" s="2">
        <f t="shared" si="91"/>
        <v>0</v>
      </c>
      <c r="H5889" t="s">
        <v>9</v>
      </c>
    </row>
    <row r="5890" spans="2:8" x14ac:dyDescent="0.2">
      <c r="B5890" s="3">
        <v>44980</v>
      </c>
      <c r="G5890" s="2">
        <f t="shared" si="91"/>
        <v>0</v>
      </c>
      <c r="H5890" t="s">
        <v>8</v>
      </c>
    </row>
    <row r="5891" spans="2:8" x14ac:dyDescent="0.2">
      <c r="B5891" s="3">
        <v>44980</v>
      </c>
      <c r="G5891" s="2">
        <f t="shared" ref="G5891:G5954" si="92">E5891-F5891</f>
        <v>0</v>
      </c>
      <c r="H5891" t="s">
        <v>23</v>
      </c>
    </row>
    <row r="5892" spans="2:8" x14ac:dyDescent="0.2">
      <c r="B5892" s="3">
        <v>44980</v>
      </c>
      <c r="F5892" s="1">
        <v>3000</v>
      </c>
      <c r="G5892" s="2">
        <f t="shared" si="92"/>
        <v>-3000</v>
      </c>
      <c r="H5892" t="s">
        <v>6</v>
      </c>
    </row>
    <row r="5893" spans="2:8" x14ac:dyDescent="0.2">
      <c r="B5893" s="3">
        <v>44980</v>
      </c>
      <c r="G5893" s="2">
        <f t="shared" si="92"/>
        <v>0</v>
      </c>
      <c r="H5893" t="s">
        <v>5</v>
      </c>
    </row>
    <row r="5894" spans="2:8" x14ac:dyDescent="0.2">
      <c r="B5894" s="3">
        <v>44980</v>
      </c>
      <c r="G5894" s="2">
        <f t="shared" si="92"/>
        <v>0</v>
      </c>
      <c r="H5894" s="1"/>
    </row>
    <row r="5895" spans="2:8" x14ac:dyDescent="0.2">
      <c r="B5895" s="3">
        <v>44981</v>
      </c>
      <c r="G5895" s="2">
        <f t="shared" si="92"/>
        <v>0</v>
      </c>
      <c r="H5895" t="s">
        <v>14</v>
      </c>
    </row>
    <row r="5896" spans="2:8" x14ac:dyDescent="0.2">
      <c r="B5896" s="3">
        <v>44981</v>
      </c>
      <c r="G5896" s="2">
        <f t="shared" si="92"/>
        <v>0</v>
      </c>
      <c r="H5896" t="s">
        <v>27</v>
      </c>
    </row>
    <row r="5897" spans="2:8" x14ac:dyDescent="0.2">
      <c r="B5897" s="3">
        <v>44981</v>
      </c>
      <c r="G5897" s="2">
        <f t="shared" si="92"/>
        <v>0</v>
      </c>
      <c r="H5897" t="s">
        <v>13</v>
      </c>
    </row>
    <row r="5898" spans="2:8" x14ac:dyDescent="0.2">
      <c r="B5898" s="3">
        <v>44981</v>
      </c>
      <c r="G5898" s="2">
        <f t="shared" si="92"/>
        <v>0</v>
      </c>
      <c r="H5898" t="s">
        <v>30</v>
      </c>
    </row>
    <row r="5899" spans="2:8" x14ac:dyDescent="0.2">
      <c r="B5899" s="3">
        <v>44981</v>
      </c>
      <c r="G5899" s="2">
        <f t="shared" si="92"/>
        <v>0</v>
      </c>
      <c r="H5899" t="s">
        <v>29</v>
      </c>
    </row>
    <row r="5900" spans="2:8" x14ac:dyDescent="0.2">
      <c r="B5900" s="3">
        <v>44981</v>
      </c>
      <c r="G5900" s="2">
        <f t="shared" si="92"/>
        <v>0</v>
      </c>
      <c r="H5900" t="s">
        <v>25</v>
      </c>
    </row>
    <row r="5901" spans="2:8" x14ac:dyDescent="0.2">
      <c r="B5901" s="3">
        <v>44981</v>
      </c>
      <c r="G5901" s="2">
        <f t="shared" si="92"/>
        <v>0</v>
      </c>
      <c r="H5901" t="s">
        <v>24</v>
      </c>
    </row>
    <row r="5902" spans="2:8" x14ac:dyDescent="0.2">
      <c r="B5902" s="3">
        <v>44981</v>
      </c>
      <c r="G5902" s="2">
        <f t="shared" si="92"/>
        <v>0</v>
      </c>
      <c r="H5902" t="s">
        <v>9</v>
      </c>
    </row>
    <row r="5903" spans="2:8" x14ac:dyDescent="0.2">
      <c r="B5903" s="3">
        <v>44981</v>
      </c>
      <c r="G5903" s="2">
        <f t="shared" si="92"/>
        <v>0</v>
      </c>
      <c r="H5903" t="s">
        <v>8</v>
      </c>
    </row>
    <row r="5904" spans="2:8" x14ac:dyDescent="0.2">
      <c r="B5904" s="3">
        <v>44981</v>
      </c>
      <c r="G5904" s="2">
        <f t="shared" si="92"/>
        <v>0</v>
      </c>
      <c r="H5904" t="s">
        <v>23</v>
      </c>
    </row>
    <row r="5905" spans="2:8" x14ac:dyDescent="0.2">
      <c r="B5905" s="3">
        <v>44981</v>
      </c>
      <c r="G5905" s="2">
        <f t="shared" si="92"/>
        <v>0</v>
      </c>
      <c r="H5905" t="s">
        <v>6</v>
      </c>
    </row>
    <row r="5906" spans="2:8" x14ac:dyDescent="0.2">
      <c r="B5906" s="3">
        <v>44981</v>
      </c>
      <c r="G5906" s="2">
        <f t="shared" si="92"/>
        <v>0</v>
      </c>
      <c r="H5906" t="s">
        <v>5</v>
      </c>
    </row>
    <row r="5907" spans="2:8" x14ac:dyDescent="0.2">
      <c r="B5907" s="3">
        <v>44981</v>
      </c>
      <c r="G5907" s="2">
        <f t="shared" si="92"/>
        <v>0</v>
      </c>
      <c r="H5907" s="1"/>
    </row>
    <row r="5908" spans="2:8" x14ac:dyDescent="0.2">
      <c r="B5908" s="3">
        <v>44982</v>
      </c>
      <c r="G5908" s="2">
        <f t="shared" si="92"/>
        <v>0</v>
      </c>
      <c r="H5908" t="s">
        <v>14</v>
      </c>
    </row>
    <row r="5909" spans="2:8" x14ac:dyDescent="0.2">
      <c r="B5909" s="3">
        <v>44982</v>
      </c>
      <c r="G5909" s="2">
        <f t="shared" si="92"/>
        <v>0</v>
      </c>
      <c r="H5909" t="s">
        <v>27</v>
      </c>
    </row>
    <row r="5910" spans="2:8" x14ac:dyDescent="0.2">
      <c r="B5910" s="3">
        <v>44982</v>
      </c>
      <c r="D5910" s="1">
        <v>8315</v>
      </c>
      <c r="E5910" s="1">
        <v>10290</v>
      </c>
      <c r="F5910" s="1">
        <v>5000</v>
      </c>
      <c r="G5910" s="2">
        <f t="shared" si="92"/>
        <v>5290</v>
      </c>
      <c r="H5910" t="s">
        <v>13</v>
      </c>
    </row>
    <row r="5911" spans="2:8" x14ac:dyDescent="0.2">
      <c r="B5911" s="3">
        <v>44982</v>
      </c>
      <c r="G5911" s="2">
        <f t="shared" si="92"/>
        <v>0</v>
      </c>
      <c r="H5911" t="s">
        <v>30</v>
      </c>
    </row>
    <row r="5912" spans="2:8" x14ac:dyDescent="0.2">
      <c r="B5912" s="3">
        <v>44982</v>
      </c>
      <c r="D5912" s="1">
        <v>432</v>
      </c>
      <c r="E5912" s="1">
        <v>480</v>
      </c>
      <c r="G5912" s="2">
        <f t="shared" si="92"/>
        <v>480</v>
      </c>
      <c r="H5912" t="s">
        <v>29</v>
      </c>
    </row>
    <row r="5913" spans="2:8" x14ac:dyDescent="0.2">
      <c r="B5913" s="3">
        <v>44982</v>
      </c>
      <c r="G5913" s="2">
        <f t="shared" si="92"/>
        <v>0</v>
      </c>
      <c r="H5913" t="s">
        <v>25</v>
      </c>
    </row>
    <row r="5914" spans="2:8" x14ac:dyDescent="0.2">
      <c r="B5914" s="3">
        <v>44982</v>
      </c>
      <c r="D5914" s="1">
        <v>3662.5</v>
      </c>
      <c r="E5914" s="1">
        <v>4258.75</v>
      </c>
      <c r="G5914" s="2">
        <f t="shared" si="92"/>
        <v>4258.75</v>
      </c>
      <c r="H5914" t="s">
        <v>24</v>
      </c>
    </row>
    <row r="5915" spans="2:8" x14ac:dyDescent="0.2">
      <c r="B5915" s="3">
        <v>44982</v>
      </c>
      <c r="D5915" s="1">
        <v>16120</v>
      </c>
      <c r="E5915" s="1">
        <v>18000</v>
      </c>
      <c r="F5915" s="1">
        <v>18000</v>
      </c>
      <c r="G5915" s="2">
        <f t="shared" si="92"/>
        <v>0</v>
      </c>
      <c r="H5915" t="s">
        <v>9</v>
      </c>
    </row>
    <row r="5916" spans="2:8" x14ac:dyDescent="0.2">
      <c r="B5916" s="3">
        <v>44982</v>
      </c>
      <c r="G5916" s="2">
        <f t="shared" si="92"/>
        <v>0</v>
      </c>
      <c r="H5916" t="s">
        <v>8</v>
      </c>
    </row>
    <row r="5917" spans="2:8" x14ac:dyDescent="0.2">
      <c r="B5917" s="3">
        <v>44982</v>
      </c>
      <c r="G5917" s="2">
        <f t="shared" si="92"/>
        <v>0</v>
      </c>
      <c r="H5917" t="s">
        <v>23</v>
      </c>
    </row>
    <row r="5918" spans="2:8" x14ac:dyDescent="0.2">
      <c r="B5918" s="3">
        <v>44982</v>
      </c>
      <c r="G5918" s="2">
        <f t="shared" si="92"/>
        <v>0</v>
      </c>
      <c r="H5918" t="s">
        <v>6</v>
      </c>
    </row>
    <row r="5919" spans="2:8" x14ac:dyDescent="0.2">
      <c r="B5919" s="3">
        <v>44982</v>
      </c>
      <c r="G5919" s="2">
        <f t="shared" si="92"/>
        <v>0</v>
      </c>
      <c r="H5919" t="s">
        <v>5</v>
      </c>
    </row>
    <row r="5920" spans="2:8" x14ac:dyDescent="0.2">
      <c r="B5920" s="3">
        <v>44982</v>
      </c>
      <c r="D5920" s="1">
        <v>496.25</v>
      </c>
      <c r="E5920" s="1">
        <v>825</v>
      </c>
      <c r="F5920" s="1">
        <v>825</v>
      </c>
      <c r="G5920" s="2">
        <f t="shared" si="92"/>
        <v>0</v>
      </c>
      <c r="H5920" s="1" t="s">
        <v>48</v>
      </c>
    </row>
    <row r="5921" spans="2:8" x14ac:dyDescent="0.2">
      <c r="B5921" s="3">
        <v>44983</v>
      </c>
      <c r="G5921" s="2">
        <f t="shared" si="92"/>
        <v>0</v>
      </c>
      <c r="H5921" t="s">
        <v>14</v>
      </c>
    </row>
    <row r="5922" spans="2:8" x14ac:dyDescent="0.2">
      <c r="B5922" s="3">
        <v>44983</v>
      </c>
      <c r="G5922" s="2">
        <f t="shared" si="92"/>
        <v>0</v>
      </c>
      <c r="H5922" t="s">
        <v>27</v>
      </c>
    </row>
    <row r="5923" spans="2:8" x14ac:dyDescent="0.2">
      <c r="B5923" s="3">
        <v>44983</v>
      </c>
      <c r="G5923" s="2">
        <f t="shared" si="92"/>
        <v>0</v>
      </c>
      <c r="H5923" t="s">
        <v>13</v>
      </c>
    </row>
    <row r="5924" spans="2:8" x14ac:dyDescent="0.2">
      <c r="B5924" s="3">
        <v>44983</v>
      </c>
      <c r="G5924" s="2">
        <f t="shared" si="92"/>
        <v>0</v>
      </c>
      <c r="H5924" t="s">
        <v>30</v>
      </c>
    </row>
    <row r="5925" spans="2:8" x14ac:dyDescent="0.2">
      <c r="B5925" s="3">
        <v>44983</v>
      </c>
      <c r="G5925" s="2">
        <f t="shared" si="92"/>
        <v>0</v>
      </c>
      <c r="H5925" t="s">
        <v>29</v>
      </c>
    </row>
    <row r="5926" spans="2:8" x14ac:dyDescent="0.2">
      <c r="B5926" s="3">
        <v>44983</v>
      </c>
      <c r="D5926" s="1">
        <v>7066</v>
      </c>
      <c r="E5926" s="1">
        <v>7768</v>
      </c>
      <c r="F5926" s="1">
        <v>7768</v>
      </c>
      <c r="G5926" s="2">
        <f t="shared" si="92"/>
        <v>0</v>
      </c>
      <c r="H5926" t="s">
        <v>25</v>
      </c>
    </row>
    <row r="5927" spans="2:8" x14ac:dyDescent="0.2">
      <c r="B5927" s="3">
        <v>44983</v>
      </c>
      <c r="F5927" s="1">
        <v>148</v>
      </c>
      <c r="G5927" s="2">
        <f t="shared" si="92"/>
        <v>-148</v>
      </c>
      <c r="H5927" t="s">
        <v>24</v>
      </c>
    </row>
    <row r="5928" spans="2:8" x14ac:dyDescent="0.2">
      <c r="B5928" s="3">
        <v>44983</v>
      </c>
      <c r="G5928" s="2">
        <f t="shared" si="92"/>
        <v>0</v>
      </c>
      <c r="H5928" t="s">
        <v>9</v>
      </c>
    </row>
    <row r="5929" spans="2:8" x14ac:dyDescent="0.2">
      <c r="B5929" s="3">
        <v>44983</v>
      </c>
      <c r="G5929" s="2">
        <f t="shared" si="92"/>
        <v>0</v>
      </c>
      <c r="H5929" t="s">
        <v>8</v>
      </c>
    </row>
    <row r="5930" spans="2:8" x14ac:dyDescent="0.2">
      <c r="B5930" s="3">
        <v>44983</v>
      </c>
      <c r="G5930" s="2">
        <f t="shared" si="92"/>
        <v>0</v>
      </c>
      <c r="H5930" t="s">
        <v>23</v>
      </c>
    </row>
    <row r="5931" spans="2:8" x14ac:dyDescent="0.2">
      <c r="B5931" s="3">
        <v>44983</v>
      </c>
      <c r="G5931" s="2">
        <f t="shared" si="92"/>
        <v>0</v>
      </c>
      <c r="H5931" t="s">
        <v>6</v>
      </c>
    </row>
    <row r="5932" spans="2:8" x14ac:dyDescent="0.2">
      <c r="B5932" s="3">
        <v>44983</v>
      </c>
      <c r="G5932" s="2">
        <f t="shared" si="92"/>
        <v>0</v>
      </c>
      <c r="H5932" t="s">
        <v>5</v>
      </c>
    </row>
    <row r="5933" spans="2:8" x14ac:dyDescent="0.2">
      <c r="B5933" s="3">
        <v>44983</v>
      </c>
      <c r="G5933" s="2">
        <f t="shared" si="92"/>
        <v>0</v>
      </c>
      <c r="H5933" s="1"/>
    </row>
    <row r="5934" spans="2:8" x14ac:dyDescent="0.2">
      <c r="B5934" s="3">
        <v>44984</v>
      </c>
      <c r="G5934" s="2">
        <f t="shared" si="92"/>
        <v>0</v>
      </c>
      <c r="H5934" t="s">
        <v>14</v>
      </c>
    </row>
    <row r="5935" spans="2:8" x14ac:dyDescent="0.2">
      <c r="B5935" s="3">
        <v>44984</v>
      </c>
      <c r="D5935" s="1">
        <v>5468</v>
      </c>
      <c r="E5935" s="1">
        <v>6873.5</v>
      </c>
      <c r="G5935" s="2">
        <f t="shared" si="92"/>
        <v>6873.5</v>
      </c>
      <c r="H5935" t="s">
        <v>27</v>
      </c>
    </row>
    <row r="5936" spans="2:8" x14ac:dyDescent="0.2">
      <c r="B5936" s="3">
        <v>44984</v>
      </c>
      <c r="G5936" s="2">
        <f t="shared" si="92"/>
        <v>0</v>
      </c>
      <c r="H5936" t="s">
        <v>13</v>
      </c>
    </row>
    <row r="5937" spans="2:8" x14ac:dyDescent="0.2">
      <c r="B5937" s="3">
        <v>44984</v>
      </c>
      <c r="G5937" s="2">
        <f t="shared" si="92"/>
        <v>0</v>
      </c>
      <c r="H5937" t="s">
        <v>30</v>
      </c>
    </row>
    <row r="5938" spans="2:8" x14ac:dyDescent="0.2">
      <c r="B5938" s="3">
        <v>44984</v>
      </c>
      <c r="G5938" s="2">
        <f t="shared" si="92"/>
        <v>0</v>
      </c>
      <c r="H5938" t="s">
        <v>29</v>
      </c>
    </row>
    <row r="5939" spans="2:8" x14ac:dyDescent="0.2">
      <c r="B5939" s="3">
        <v>44984</v>
      </c>
      <c r="G5939" s="2">
        <f t="shared" si="92"/>
        <v>0</v>
      </c>
      <c r="H5939" t="s">
        <v>25</v>
      </c>
    </row>
    <row r="5940" spans="2:8" x14ac:dyDescent="0.2">
      <c r="B5940" s="3">
        <v>44984</v>
      </c>
      <c r="F5940" s="1">
        <v>4970</v>
      </c>
      <c r="G5940" s="2">
        <f t="shared" si="92"/>
        <v>-4970</v>
      </c>
      <c r="H5940" t="s">
        <v>24</v>
      </c>
    </row>
    <row r="5941" spans="2:8" x14ac:dyDescent="0.2">
      <c r="B5941" s="3">
        <v>44984</v>
      </c>
      <c r="G5941" s="2">
        <f t="shared" si="92"/>
        <v>0</v>
      </c>
      <c r="H5941" t="s">
        <v>9</v>
      </c>
    </row>
    <row r="5942" spans="2:8" x14ac:dyDescent="0.2">
      <c r="B5942" s="3">
        <v>44984</v>
      </c>
      <c r="G5942" s="2">
        <f t="shared" si="92"/>
        <v>0</v>
      </c>
      <c r="H5942" t="s">
        <v>8</v>
      </c>
    </row>
    <row r="5943" spans="2:8" x14ac:dyDescent="0.2">
      <c r="B5943" s="3">
        <v>44984</v>
      </c>
      <c r="G5943" s="2">
        <f t="shared" si="92"/>
        <v>0</v>
      </c>
      <c r="H5943" t="s">
        <v>23</v>
      </c>
    </row>
    <row r="5944" spans="2:8" x14ac:dyDescent="0.2">
      <c r="B5944" s="3">
        <v>44984</v>
      </c>
      <c r="G5944" s="2">
        <f t="shared" si="92"/>
        <v>0</v>
      </c>
      <c r="H5944" t="s">
        <v>6</v>
      </c>
    </row>
    <row r="5945" spans="2:8" x14ac:dyDescent="0.2">
      <c r="B5945" s="3">
        <v>44984</v>
      </c>
      <c r="G5945" s="2">
        <f t="shared" si="92"/>
        <v>0</v>
      </c>
      <c r="H5945" t="s">
        <v>5</v>
      </c>
    </row>
    <row r="5946" spans="2:8" x14ac:dyDescent="0.2">
      <c r="B5946" s="3">
        <v>44984</v>
      </c>
      <c r="G5946" s="2">
        <f t="shared" si="92"/>
        <v>0</v>
      </c>
      <c r="H5946" s="1"/>
    </row>
    <row r="5947" spans="2:8" x14ac:dyDescent="0.2">
      <c r="B5947" s="3">
        <v>44985</v>
      </c>
      <c r="D5947" s="1">
        <v>26963</v>
      </c>
      <c r="E5947" s="1">
        <v>30000</v>
      </c>
      <c r="F5947" s="1">
        <v>28380</v>
      </c>
      <c r="G5947" s="2">
        <f t="shared" si="92"/>
        <v>1620</v>
      </c>
      <c r="H5947" t="s">
        <v>14</v>
      </c>
    </row>
    <row r="5948" spans="2:8" x14ac:dyDescent="0.2">
      <c r="B5948" s="3">
        <v>44985</v>
      </c>
      <c r="F5948" s="1">
        <v>229</v>
      </c>
      <c r="G5948" s="2">
        <f t="shared" si="92"/>
        <v>-229</v>
      </c>
      <c r="H5948" t="s">
        <v>27</v>
      </c>
    </row>
    <row r="5949" spans="2:8" x14ac:dyDescent="0.2">
      <c r="B5949" s="3">
        <v>44985</v>
      </c>
      <c r="G5949" s="2">
        <f t="shared" si="92"/>
        <v>0</v>
      </c>
      <c r="H5949" t="s">
        <v>13</v>
      </c>
    </row>
    <row r="5950" spans="2:8" x14ac:dyDescent="0.2">
      <c r="B5950" s="3">
        <v>44985</v>
      </c>
      <c r="G5950" s="2">
        <f t="shared" si="92"/>
        <v>0</v>
      </c>
      <c r="H5950" t="s">
        <v>30</v>
      </c>
    </row>
    <row r="5951" spans="2:8" x14ac:dyDescent="0.2">
      <c r="B5951" s="3">
        <v>44985</v>
      </c>
      <c r="D5951" s="1">
        <v>4332.5</v>
      </c>
      <c r="E5951" s="1">
        <v>4653</v>
      </c>
      <c r="G5951" s="2">
        <f t="shared" si="92"/>
        <v>4653</v>
      </c>
      <c r="H5951" t="s">
        <v>29</v>
      </c>
    </row>
    <row r="5952" spans="2:8" x14ac:dyDescent="0.2">
      <c r="B5952" s="3">
        <v>44985</v>
      </c>
      <c r="G5952" s="2">
        <f t="shared" si="92"/>
        <v>0</v>
      </c>
      <c r="H5952" t="s">
        <v>25</v>
      </c>
    </row>
    <row r="5953" spans="2:8" x14ac:dyDescent="0.2">
      <c r="B5953" s="3">
        <v>44985</v>
      </c>
      <c r="G5953" s="2">
        <f t="shared" si="92"/>
        <v>0</v>
      </c>
      <c r="H5953" t="s">
        <v>24</v>
      </c>
    </row>
    <row r="5954" spans="2:8" x14ac:dyDescent="0.2">
      <c r="B5954" s="3">
        <v>44985</v>
      </c>
      <c r="G5954" s="2">
        <f t="shared" si="92"/>
        <v>0</v>
      </c>
      <c r="H5954" t="s">
        <v>9</v>
      </c>
    </row>
    <row r="5955" spans="2:8" x14ac:dyDescent="0.2">
      <c r="B5955" s="3">
        <v>44985</v>
      </c>
      <c r="G5955" s="2">
        <f t="shared" ref="G5955:G6018" si="93">E5955-F5955</f>
        <v>0</v>
      </c>
      <c r="H5955" t="s">
        <v>8</v>
      </c>
    </row>
    <row r="5956" spans="2:8" x14ac:dyDescent="0.2">
      <c r="B5956" s="3">
        <v>44985</v>
      </c>
      <c r="G5956" s="2">
        <f t="shared" si="93"/>
        <v>0</v>
      </c>
      <c r="H5956" t="s">
        <v>23</v>
      </c>
    </row>
    <row r="5957" spans="2:8" x14ac:dyDescent="0.2">
      <c r="B5957" s="3">
        <v>44985</v>
      </c>
      <c r="G5957" s="2">
        <f t="shared" si="93"/>
        <v>0</v>
      </c>
      <c r="H5957" t="s">
        <v>6</v>
      </c>
    </row>
    <row r="5958" spans="2:8" x14ac:dyDescent="0.2">
      <c r="B5958" s="3">
        <v>44985</v>
      </c>
      <c r="G5958" s="2">
        <f t="shared" si="93"/>
        <v>0</v>
      </c>
      <c r="H5958" t="s">
        <v>5</v>
      </c>
    </row>
    <row r="5959" spans="2:8" x14ac:dyDescent="0.2">
      <c r="B5959" s="3">
        <v>44985</v>
      </c>
      <c r="G5959" s="2">
        <f t="shared" si="93"/>
        <v>0</v>
      </c>
      <c r="H5959" s="1"/>
    </row>
    <row r="5960" spans="2:8" x14ac:dyDescent="0.2">
      <c r="B5960" s="3">
        <v>44986</v>
      </c>
      <c r="G5960" s="2">
        <f t="shared" si="93"/>
        <v>0</v>
      </c>
      <c r="H5960" t="s">
        <v>14</v>
      </c>
    </row>
    <row r="5961" spans="2:8" x14ac:dyDescent="0.2">
      <c r="B5961" s="3">
        <v>44986</v>
      </c>
      <c r="F5961" s="1">
        <v>3000</v>
      </c>
      <c r="G5961" s="2">
        <f t="shared" si="93"/>
        <v>-3000</v>
      </c>
      <c r="H5961" t="s">
        <v>27</v>
      </c>
    </row>
    <row r="5962" spans="2:8" x14ac:dyDescent="0.2">
      <c r="B5962" s="3">
        <v>44986</v>
      </c>
      <c r="G5962" s="2">
        <f t="shared" si="93"/>
        <v>0</v>
      </c>
      <c r="H5962" t="s">
        <v>13</v>
      </c>
    </row>
    <row r="5963" spans="2:8" x14ac:dyDescent="0.2">
      <c r="B5963" s="3">
        <v>44986</v>
      </c>
      <c r="G5963" s="2">
        <f t="shared" si="93"/>
        <v>0</v>
      </c>
      <c r="H5963" t="s">
        <v>30</v>
      </c>
    </row>
    <row r="5964" spans="2:8" x14ac:dyDescent="0.2">
      <c r="B5964" s="3">
        <v>44986</v>
      </c>
      <c r="G5964" s="2">
        <f t="shared" si="93"/>
        <v>0</v>
      </c>
      <c r="H5964" t="s">
        <v>29</v>
      </c>
    </row>
    <row r="5965" spans="2:8" x14ac:dyDescent="0.2">
      <c r="B5965" s="3">
        <v>44986</v>
      </c>
      <c r="G5965" s="2">
        <f t="shared" si="93"/>
        <v>0</v>
      </c>
      <c r="H5965" t="s">
        <v>25</v>
      </c>
    </row>
    <row r="5966" spans="2:8" x14ac:dyDescent="0.2">
      <c r="B5966" s="3">
        <v>44986</v>
      </c>
      <c r="G5966" s="2">
        <f t="shared" si="93"/>
        <v>0</v>
      </c>
      <c r="H5966" t="s">
        <v>24</v>
      </c>
    </row>
    <row r="5967" spans="2:8" x14ac:dyDescent="0.2">
      <c r="B5967" s="3">
        <v>44986</v>
      </c>
      <c r="G5967" s="2">
        <f t="shared" si="93"/>
        <v>0</v>
      </c>
      <c r="H5967" t="s">
        <v>9</v>
      </c>
    </row>
    <row r="5968" spans="2:8" x14ac:dyDescent="0.2">
      <c r="B5968" s="3">
        <v>44986</v>
      </c>
      <c r="G5968" s="2">
        <f t="shared" si="93"/>
        <v>0</v>
      </c>
      <c r="H5968" t="s">
        <v>8</v>
      </c>
    </row>
    <row r="5969" spans="2:8" x14ac:dyDescent="0.2">
      <c r="B5969" s="3">
        <v>44986</v>
      </c>
      <c r="G5969" s="2">
        <f t="shared" si="93"/>
        <v>0</v>
      </c>
      <c r="H5969" t="s">
        <v>23</v>
      </c>
    </row>
    <row r="5970" spans="2:8" x14ac:dyDescent="0.2">
      <c r="B5970" s="3">
        <v>44986</v>
      </c>
      <c r="F5970" s="1">
        <v>5000</v>
      </c>
      <c r="G5970" s="2">
        <f t="shared" si="93"/>
        <v>-5000</v>
      </c>
      <c r="H5970" t="s">
        <v>6</v>
      </c>
    </row>
    <row r="5971" spans="2:8" x14ac:dyDescent="0.2">
      <c r="B5971" s="3">
        <v>44986</v>
      </c>
      <c r="D5971" s="1">
        <v>2037.5</v>
      </c>
      <c r="E5971" s="1">
        <v>2075</v>
      </c>
      <c r="F5971" s="1">
        <v>5000</v>
      </c>
      <c r="G5971" s="2">
        <f t="shared" si="93"/>
        <v>-2925</v>
      </c>
      <c r="H5971" t="s">
        <v>5</v>
      </c>
    </row>
    <row r="5972" spans="2:8" x14ac:dyDescent="0.2">
      <c r="B5972" s="3">
        <v>44986</v>
      </c>
      <c r="G5972" s="2">
        <f t="shared" si="93"/>
        <v>0</v>
      </c>
      <c r="H5972" s="1"/>
    </row>
    <row r="5973" spans="2:8" x14ac:dyDescent="0.2">
      <c r="B5973" s="3">
        <v>44987</v>
      </c>
      <c r="G5973" s="2">
        <f t="shared" si="93"/>
        <v>0</v>
      </c>
      <c r="H5973" t="s">
        <v>14</v>
      </c>
    </row>
    <row r="5974" spans="2:8" x14ac:dyDescent="0.2">
      <c r="B5974" s="3">
        <v>44987</v>
      </c>
      <c r="G5974" s="2">
        <f t="shared" si="93"/>
        <v>0</v>
      </c>
      <c r="H5974" t="s">
        <v>27</v>
      </c>
    </row>
    <row r="5975" spans="2:8" x14ac:dyDescent="0.2">
      <c r="B5975" s="3">
        <v>44987</v>
      </c>
      <c r="G5975" s="2">
        <f t="shared" si="93"/>
        <v>0</v>
      </c>
      <c r="H5975" t="s">
        <v>13</v>
      </c>
    </row>
    <row r="5976" spans="2:8" x14ac:dyDescent="0.2">
      <c r="B5976" s="3">
        <v>44987</v>
      </c>
      <c r="G5976" s="2">
        <f t="shared" si="93"/>
        <v>0</v>
      </c>
      <c r="H5976" t="s">
        <v>30</v>
      </c>
    </row>
    <row r="5977" spans="2:8" x14ac:dyDescent="0.2">
      <c r="B5977" s="3">
        <v>44987</v>
      </c>
      <c r="G5977" s="2">
        <f t="shared" si="93"/>
        <v>0</v>
      </c>
      <c r="H5977" t="s">
        <v>29</v>
      </c>
    </row>
    <row r="5978" spans="2:8" x14ac:dyDescent="0.2">
      <c r="B5978" s="3">
        <v>44987</v>
      </c>
      <c r="G5978" s="2">
        <f t="shared" si="93"/>
        <v>0</v>
      </c>
      <c r="H5978" t="s">
        <v>25</v>
      </c>
    </row>
    <row r="5979" spans="2:8" x14ac:dyDescent="0.2">
      <c r="B5979" s="3">
        <v>44987</v>
      </c>
      <c r="G5979" s="2">
        <f t="shared" si="93"/>
        <v>0</v>
      </c>
      <c r="H5979" t="s">
        <v>24</v>
      </c>
    </row>
    <row r="5980" spans="2:8" x14ac:dyDescent="0.2">
      <c r="B5980" s="3">
        <v>44987</v>
      </c>
      <c r="G5980" s="2">
        <f t="shared" si="93"/>
        <v>0</v>
      </c>
      <c r="H5980" t="s">
        <v>9</v>
      </c>
    </row>
    <row r="5981" spans="2:8" x14ac:dyDescent="0.2">
      <c r="B5981" s="3">
        <v>44987</v>
      </c>
      <c r="G5981" s="2">
        <f t="shared" si="93"/>
        <v>0</v>
      </c>
      <c r="H5981" t="s">
        <v>8</v>
      </c>
    </row>
    <row r="5982" spans="2:8" x14ac:dyDescent="0.2">
      <c r="B5982" s="3">
        <v>44987</v>
      </c>
      <c r="G5982" s="2">
        <f t="shared" si="93"/>
        <v>0</v>
      </c>
      <c r="H5982" t="s">
        <v>23</v>
      </c>
    </row>
    <row r="5983" spans="2:8" x14ac:dyDescent="0.2">
      <c r="B5983" s="3">
        <v>44987</v>
      </c>
      <c r="G5983" s="2">
        <f t="shared" si="93"/>
        <v>0</v>
      </c>
      <c r="H5983" t="s">
        <v>6</v>
      </c>
    </row>
    <row r="5984" spans="2:8" x14ac:dyDescent="0.2">
      <c r="B5984" s="3">
        <v>44987</v>
      </c>
      <c r="G5984" s="2">
        <f t="shared" si="93"/>
        <v>0</v>
      </c>
      <c r="H5984" t="s">
        <v>5</v>
      </c>
    </row>
    <row r="5985" spans="2:8" x14ac:dyDescent="0.2">
      <c r="B5985" s="3">
        <v>44987</v>
      </c>
      <c r="G5985" s="2">
        <f t="shared" si="93"/>
        <v>0</v>
      </c>
      <c r="H5985" s="1"/>
    </row>
    <row r="5986" spans="2:8" x14ac:dyDescent="0.2">
      <c r="B5986" s="3">
        <v>44988</v>
      </c>
      <c r="G5986" s="2">
        <f t="shared" si="93"/>
        <v>0</v>
      </c>
      <c r="H5986" t="s">
        <v>14</v>
      </c>
    </row>
    <row r="5987" spans="2:8" x14ac:dyDescent="0.2">
      <c r="B5987" s="3">
        <v>44988</v>
      </c>
      <c r="G5987" s="2">
        <f t="shared" si="93"/>
        <v>0</v>
      </c>
      <c r="H5987" t="s">
        <v>27</v>
      </c>
    </row>
    <row r="5988" spans="2:8" x14ac:dyDescent="0.2">
      <c r="B5988" s="3">
        <v>44988</v>
      </c>
      <c r="G5988" s="2">
        <f t="shared" si="93"/>
        <v>0</v>
      </c>
      <c r="H5988" t="s">
        <v>13</v>
      </c>
    </row>
    <row r="5989" spans="2:8" x14ac:dyDescent="0.2">
      <c r="B5989" s="3">
        <v>44988</v>
      </c>
      <c r="G5989" s="2">
        <f t="shared" si="93"/>
        <v>0</v>
      </c>
      <c r="H5989" t="s">
        <v>30</v>
      </c>
    </row>
    <row r="5990" spans="2:8" x14ac:dyDescent="0.2">
      <c r="B5990" s="3">
        <v>44988</v>
      </c>
      <c r="G5990" s="2">
        <f t="shared" si="93"/>
        <v>0</v>
      </c>
      <c r="H5990" t="s">
        <v>29</v>
      </c>
    </row>
    <row r="5991" spans="2:8" x14ac:dyDescent="0.2">
      <c r="B5991" s="3">
        <v>44988</v>
      </c>
      <c r="G5991" s="2">
        <f t="shared" si="93"/>
        <v>0</v>
      </c>
      <c r="H5991" t="s">
        <v>25</v>
      </c>
    </row>
    <row r="5992" spans="2:8" x14ac:dyDescent="0.2">
      <c r="B5992" s="3">
        <v>44988</v>
      </c>
      <c r="G5992" s="2">
        <f t="shared" si="93"/>
        <v>0</v>
      </c>
      <c r="H5992" t="s">
        <v>24</v>
      </c>
    </row>
    <row r="5993" spans="2:8" x14ac:dyDescent="0.2">
      <c r="B5993" s="3">
        <v>44988</v>
      </c>
      <c r="G5993" s="2">
        <f t="shared" si="93"/>
        <v>0</v>
      </c>
      <c r="H5993" t="s">
        <v>9</v>
      </c>
    </row>
    <row r="5994" spans="2:8" x14ac:dyDescent="0.2">
      <c r="B5994" s="3">
        <v>44988</v>
      </c>
      <c r="G5994" s="2">
        <f t="shared" si="93"/>
        <v>0</v>
      </c>
      <c r="H5994" t="s">
        <v>8</v>
      </c>
    </row>
    <row r="5995" spans="2:8" x14ac:dyDescent="0.2">
      <c r="B5995" s="3">
        <v>44988</v>
      </c>
      <c r="G5995" s="2">
        <f t="shared" si="93"/>
        <v>0</v>
      </c>
      <c r="H5995" t="s">
        <v>23</v>
      </c>
    </row>
    <row r="5996" spans="2:8" x14ac:dyDescent="0.2">
      <c r="B5996" s="3">
        <v>44988</v>
      </c>
      <c r="G5996" s="2">
        <f t="shared" si="93"/>
        <v>0</v>
      </c>
      <c r="H5996" t="s">
        <v>6</v>
      </c>
    </row>
    <row r="5997" spans="2:8" x14ac:dyDescent="0.2">
      <c r="B5997" s="3">
        <v>44988</v>
      </c>
      <c r="G5997" s="2">
        <f t="shared" si="93"/>
        <v>0</v>
      </c>
      <c r="H5997" t="s">
        <v>5</v>
      </c>
    </row>
    <row r="5998" spans="2:8" x14ac:dyDescent="0.2">
      <c r="B5998" s="3">
        <v>44988</v>
      </c>
      <c r="G5998" s="2">
        <f t="shared" si="93"/>
        <v>0</v>
      </c>
      <c r="H5998" s="1"/>
    </row>
    <row r="5999" spans="2:8" x14ac:dyDescent="0.2">
      <c r="B5999" s="3">
        <v>44989</v>
      </c>
      <c r="D5999" s="1">
        <v>6127.75</v>
      </c>
      <c r="E5999" s="1">
        <v>6660</v>
      </c>
      <c r="F5999" s="1">
        <v>5000</v>
      </c>
      <c r="G5999" s="2">
        <f t="shared" si="93"/>
        <v>1660</v>
      </c>
      <c r="H5999" t="s">
        <v>14</v>
      </c>
    </row>
    <row r="6000" spans="2:8" x14ac:dyDescent="0.2">
      <c r="B6000" s="3">
        <v>44989</v>
      </c>
      <c r="G6000" s="2">
        <f t="shared" si="93"/>
        <v>0</v>
      </c>
      <c r="H6000" t="s">
        <v>27</v>
      </c>
    </row>
    <row r="6001" spans="2:8" x14ac:dyDescent="0.2">
      <c r="B6001" s="3">
        <v>44989</v>
      </c>
      <c r="D6001" s="1">
        <v>8253.5</v>
      </c>
      <c r="E6001" s="1">
        <v>9625</v>
      </c>
      <c r="F6001" s="1">
        <v>12000</v>
      </c>
      <c r="G6001" s="2">
        <f t="shared" si="93"/>
        <v>-2375</v>
      </c>
      <c r="H6001" t="s">
        <v>13</v>
      </c>
    </row>
    <row r="6002" spans="2:8" x14ac:dyDescent="0.2">
      <c r="B6002" s="3">
        <v>44989</v>
      </c>
      <c r="G6002" s="2">
        <f t="shared" si="93"/>
        <v>0</v>
      </c>
      <c r="H6002" t="s">
        <v>30</v>
      </c>
    </row>
    <row r="6003" spans="2:8" x14ac:dyDescent="0.2">
      <c r="B6003" s="3">
        <v>44989</v>
      </c>
      <c r="G6003" s="2">
        <f t="shared" si="93"/>
        <v>0</v>
      </c>
      <c r="H6003" t="s">
        <v>29</v>
      </c>
    </row>
    <row r="6004" spans="2:8" x14ac:dyDescent="0.2">
      <c r="B6004" s="3">
        <v>44989</v>
      </c>
      <c r="G6004" s="2">
        <f t="shared" si="93"/>
        <v>0</v>
      </c>
      <c r="H6004" t="s">
        <v>25</v>
      </c>
    </row>
    <row r="6005" spans="2:8" x14ac:dyDescent="0.2">
      <c r="B6005" s="3">
        <v>44989</v>
      </c>
      <c r="G6005" s="2">
        <f t="shared" si="93"/>
        <v>0</v>
      </c>
      <c r="H6005" t="s">
        <v>24</v>
      </c>
    </row>
    <row r="6006" spans="2:8" x14ac:dyDescent="0.2">
      <c r="B6006" s="3">
        <v>44989</v>
      </c>
      <c r="G6006" s="2">
        <f t="shared" si="93"/>
        <v>0</v>
      </c>
      <c r="H6006" t="s">
        <v>9</v>
      </c>
    </row>
    <row r="6007" spans="2:8" x14ac:dyDescent="0.2">
      <c r="B6007" s="3">
        <v>44989</v>
      </c>
      <c r="G6007" s="2">
        <f t="shared" si="93"/>
        <v>0</v>
      </c>
      <c r="H6007" t="s">
        <v>8</v>
      </c>
    </row>
    <row r="6008" spans="2:8" x14ac:dyDescent="0.2">
      <c r="B6008" s="3">
        <v>44989</v>
      </c>
      <c r="G6008" s="2">
        <f t="shared" si="93"/>
        <v>0</v>
      </c>
      <c r="H6008" t="s">
        <v>23</v>
      </c>
    </row>
    <row r="6009" spans="2:8" x14ac:dyDescent="0.2">
      <c r="B6009" s="3">
        <v>44989</v>
      </c>
      <c r="G6009" s="2">
        <f t="shared" si="93"/>
        <v>0</v>
      </c>
      <c r="H6009" t="s">
        <v>6</v>
      </c>
    </row>
    <row r="6010" spans="2:8" x14ac:dyDescent="0.2">
      <c r="B6010" s="3">
        <v>44989</v>
      </c>
      <c r="G6010" s="2">
        <f t="shared" si="93"/>
        <v>0</v>
      </c>
      <c r="H6010" t="s">
        <v>5</v>
      </c>
    </row>
    <row r="6011" spans="2:8" x14ac:dyDescent="0.2">
      <c r="B6011" s="3">
        <v>44989</v>
      </c>
      <c r="G6011" s="2">
        <f t="shared" si="93"/>
        <v>0</v>
      </c>
      <c r="H6011" s="1"/>
    </row>
    <row r="6012" spans="2:8" x14ac:dyDescent="0.2">
      <c r="B6012" s="3">
        <v>44990</v>
      </c>
      <c r="G6012" s="2">
        <f t="shared" si="93"/>
        <v>0</v>
      </c>
      <c r="H6012" t="s">
        <v>14</v>
      </c>
    </row>
    <row r="6013" spans="2:8" x14ac:dyDescent="0.2">
      <c r="B6013" s="3">
        <v>44990</v>
      </c>
      <c r="G6013" s="2">
        <f t="shared" si="93"/>
        <v>0</v>
      </c>
      <c r="H6013" t="s">
        <v>27</v>
      </c>
    </row>
    <row r="6014" spans="2:8" x14ac:dyDescent="0.2">
      <c r="B6014" s="3">
        <v>44990</v>
      </c>
      <c r="G6014" s="2">
        <f t="shared" si="93"/>
        <v>0</v>
      </c>
      <c r="H6014" t="s">
        <v>13</v>
      </c>
    </row>
    <row r="6015" spans="2:8" x14ac:dyDescent="0.2">
      <c r="B6015" s="3">
        <v>44990</v>
      </c>
      <c r="G6015" s="2">
        <f t="shared" si="93"/>
        <v>0</v>
      </c>
      <c r="H6015" t="s">
        <v>30</v>
      </c>
    </row>
    <row r="6016" spans="2:8" x14ac:dyDescent="0.2">
      <c r="B6016" s="3">
        <v>44990</v>
      </c>
      <c r="G6016" s="2">
        <f t="shared" si="93"/>
        <v>0</v>
      </c>
      <c r="H6016" t="s">
        <v>29</v>
      </c>
    </row>
    <row r="6017" spans="2:8" x14ac:dyDescent="0.2">
      <c r="B6017" s="3">
        <v>44990</v>
      </c>
      <c r="G6017" s="2">
        <f t="shared" si="93"/>
        <v>0</v>
      </c>
      <c r="H6017" t="s">
        <v>25</v>
      </c>
    </row>
    <row r="6018" spans="2:8" x14ac:dyDescent="0.2">
      <c r="B6018" s="3">
        <v>44990</v>
      </c>
      <c r="G6018" s="2">
        <f t="shared" si="93"/>
        <v>0</v>
      </c>
      <c r="H6018" t="s">
        <v>24</v>
      </c>
    </row>
    <row r="6019" spans="2:8" x14ac:dyDescent="0.2">
      <c r="B6019" s="3">
        <v>44990</v>
      </c>
      <c r="G6019" s="2">
        <f t="shared" ref="G6019:G6082" si="94">E6019-F6019</f>
        <v>0</v>
      </c>
      <c r="H6019" t="s">
        <v>9</v>
      </c>
    </row>
    <row r="6020" spans="2:8" x14ac:dyDescent="0.2">
      <c r="B6020" s="3">
        <v>44990</v>
      </c>
      <c r="G6020" s="2">
        <f t="shared" si="94"/>
        <v>0</v>
      </c>
      <c r="H6020" t="s">
        <v>8</v>
      </c>
    </row>
    <row r="6021" spans="2:8" x14ac:dyDescent="0.2">
      <c r="B6021" s="3">
        <v>44990</v>
      </c>
      <c r="G6021" s="2">
        <f t="shared" si="94"/>
        <v>0</v>
      </c>
      <c r="H6021" t="s">
        <v>23</v>
      </c>
    </row>
    <row r="6022" spans="2:8" x14ac:dyDescent="0.2">
      <c r="B6022" s="3">
        <v>44990</v>
      </c>
      <c r="G6022" s="2">
        <f t="shared" si="94"/>
        <v>0</v>
      </c>
      <c r="H6022" t="s">
        <v>6</v>
      </c>
    </row>
    <row r="6023" spans="2:8" x14ac:dyDescent="0.2">
      <c r="B6023" s="3">
        <v>44990</v>
      </c>
      <c r="G6023" s="2">
        <f t="shared" si="94"/>
        <v>0</v>
      </c>
      <c r="H6023" t="s">
        <v>5</v>
      </c>
    </row>
    <row r="6024" spans="2:8" x14ac:dyDescent="0.2">
      <c r="B6024" s="3">
        <v>44990</v>
      </c>
      <c r="G6024" s="2">
        <f t="shared" si="94"/>
        <v>0</v>
      </c>
      <c r="H6024" s="1"/>
    </row>
    <row r="6025" spans="2:8" x14ac:dyDescent="0.2">
      <c r="B6025" s="3">
        <v>44991</v>
      </c>
      <c r="G6025" s="2">
        <f t="shared" si="94"/>
        <v>0</v>
      </c>
      <c r="H6025" t="s">
        <v>14</v>
      </c>
    </row>
    <row r="6026" spans="2:8" x14ac:dyDescent="0.2">
      <c r="B6026" s="3">
        <v>44991</v>
      </c>
      <c r="G6026" s="2">
        <f t="shared" si="94"/>
        <v>0</v>
      </c>
      <c r="H6026" t="s">
        <v>27</v>
      </c>
    </row>
    <row r="6027" spans="2:8" x14ac:dyDescent="0.2">
      <c r="B6027" s="3">
        <v>44991</v>
      </c>
      <c r="G6027" s="2">
        <f t="shared" si="94"/>
        <v>0</v>
      </c>
      <c r="H6027" t="s">
        <v>13</v>
      </c>
    </row>
    <row r="6028" spans="2:8" x14ac:dyDescent="0.2">
      <c r="B6028" s="3">
        <v>44991</v>
      </c>
      <c r="G6028" s="2">
        <f t="shared" si="94"/>
        <v>0</v>
      </c>
      <c r="H6028" t="s">
        <v>30</v>
      </c>
    </row>
    <row r="6029" spans="2:8" x14ac:dyDescent="0.2">
      <c r="B6029" s="3">
        <v>44991</v>
      </c>
      <c r="G6029" s="2">
        <f t="shared" si="94"/>
        <v>0</v>
      </c>
      <c r="H6029" t="s">
        <v>29</v>
      </c>
    </row>
    <row r="6030" spans="2:8" x14ac:dyDescent="0.2">
      <c r="B6030" s="3">
        <v>44991</v>
      </c>
      <c r="G6030" s="2">
        <f t="shared" si="94"/>
        <v>0</v>
      </c>
      <c r="H6030" t="s">
        <v>25</v>
      </c>
    </row>
    <row r="6031" spans="2:8" x14ac:dyDescent="0.2">
      <c r="B6031" s="3">
        <v>44991</v>
      </c>
      <c r="G6031" s="2">
        <f t="shared" si="94"/>
        <v>0</v>
      </c>
      <c r="H6031" t="s">
        <v>24</v>
      </c>
    </row>
    <row r="6032" spans="2:8" x14ac:dyDescent="0.2">
      <c r="B6032" s="3">
        <v>44991</v>
      </c>
      <c r="G6032" s="2">
        <f t="shared" si="94"/>
        <v>0</v>
      </c>
      <c r="H6032" t="s">
        <v>9</v>
      </c>
    </row>
    <row r="6033" spans="2:8" x14ac:dyDescent="0.2">
      <c r="B6033" s="3">
        <v>44991</v>
      </c>
      <c r="G6033" s="2">
        <f t="shared" si="94"/>
        <v>0</v>
      </c>
      <c r="H6033" t="s">
        <v>8</v>
      </c>
    </row>
    <row r="6034" spans="2:8" x14ac:dyDescent="0.2">
      <c r="B6034" s="3">
        <v>44991</v>
      </c>
      <c r="G6034" s="2">
        <f t="shared" si="94"/>
        <v>0</v>
      </c>
      <c r="H6034" t="s">
        <v>23</v>
      </c>
    </row>
    <row r="6035" spans="2:8" x14ac:dyDescent="0.2">
      <c r="B6035" s="3">
        <v>44991</v>
      </c>
      <c r="G6035" s="2">
        <f t="shared" si="94"/>
        <v>0</v>
      </c>
      <c r="H6035" t="s">
        <v>6</v>
      </c>
    </row>
    <row r="6036" spans="2:8" x14ac:dyDescent="0.2">
      <c r="B6036" s="3">
        <v>44991</v>
      </c>
      <c r="G6036" s="2">
        <f t="shared" si="94"/>
        <v>0</v>
      </c>
      <c r="H6036" t="s">
        <v>5</v>
      </c>
    </row>
    <row r="6037" spans="2:8" x14ac:dyDescent="0.2">
      <c r="B6037" s="3">
        <v>44991</v>
      </c>
      <c r="G6037" s="2">
        <f t="shared" si="94"/>
        <v>0</v>
      </c>
      <c r="H6037" s="1"/>
    </row>
    <row r="6038" spans="2:8" x14ac:dyDescent="0.2">
      <c r="B6038" s="3">
        <v>44992</v>
      </c>
      <c r="G6038" s="2">
        <f t="shared" si="94"/>
        <v>0</v>
      </c>
      <c r="H6038" t="s">
        <v>14</v>
      </c>
    </row>
    <row r="6039" spans="2:8" x14ac:dyDescent="0.2">
      <c r="B6039" s="3">
        <v>44992</v>
      </c>
      <c r="G6039" s="2">
        <f t="shared" si="94"/>
        <v>0</v>
      </c>
      <c r="H6039" t="s">
        <v>27</v>
      </c>
    </row>
    <row r="6040" spans="2:8" x14ac:dyDescent="0.2">
      <c r="B6040" s="3">
        <v>44992</v>
      </c>
      <c r="G6040" s="2">
        <f t="shared" si="94"/>
        <v>0</v>
      </c>
      <c r="H6040" t="s">
        <v>13</v>
      </c>
    </row>
    <row r="6041" spans="2:8" x14ac:dyDescent="0.2">
      <c r="B6041" s="3">
        <v>44992</v>
      </c>
      <c r="G6041" s="2">
        <f t="shared" si="94"/>
        <v>0</v>
      </c>
      <c r="H6041" t="s">
        <v>30</v>
      </c>
    </row>
    <row r="6042" spans="2:8" x14ac:dyDescent="0.2">
      <c r="B6042" s="3">
        <v>44992</v>
      </c>
      <c r="G6042" s="2">
        <f t="shared" si="94"/>
        <v>0</v>
      </c>
      <c r="H6042" t="s">
        <v>29</v>
      </c>
    </row>
    <row r="6043" spans="2:8" x14ac:dyDescent="0.2">
      <c r="B6043" s="3">
        <v>44992</v>
      </c>
      <c r="G6043" s="2">
        <f t="shared" si="94"/>
        <v>0</v>
      </c>
      <c r="H6043" t="s">
        <v>25</v>
      </c>
    </row>
    <row r="6044" spans="2:8" x14ac:dyDescent="0.2">
      <c r="B6044" s="3">
        <v>44992</v>
      </c>
      <c r="D6044" s="1">
        <v>1600</v>
      </c>
      <c r="E6044" s="1">
        <v>1900</v>
      </c>
      <c r="F6044" s="1">
        <v>1500</v>
      </c>
      <c r="G6044" s="2">
        <f t="shared" si="94"/>
        <v>400</v>
      </c>
      <c r="H6044" t="s">
        <v>24</v>
      </c>
    </row>
    <row r="6045" spans="2:8" x14ac:dyDescent="0.2">
      <c r="B6045" s="3">
        <v>44992</v>
      </c>
      <c r="G6045" s="2">
        <f t="shared" si="94"/>
        <v>0</v>
      </c>
      <c r="H6045" t="s">
        <v>9</v>
      </c>
    </row>
    <row r="6046" spans="2:8" x14ac:dyDescent="0.2">
      <c r="B6046" s="3">
        <v>44992</v>
      </c>
      <c r="G6046" s="2">
        <f t="shared" si="94"/>
        <v>0</v>
      </c>
      <c r="H6046" t="s">
        <v>8</v>
      </c>
    </row>
    <row r="6047" spans="2:8" x14ac:dyDescent="0.2">
      <c r="B6047" s="3">
        <v>44992</v>
      </c>
      <c r="G6047" s="2">
        <f t="shared" si="94"/>
        <v>0</v>
      </c>
      <c r="H6047" t="s">
        <v>23</v>
      </c>
    </row>
    <row r="6048" spans="2:8" x14ac:dyDescent="0.2">
      <c r="B6048" s="3">
        <v>44992</v>
      </c>
      <c r="G6048" s="2">
        <f t="shared" si="94"/>
        <v>0</v>
      </c>
      <c r="H6048" t="s">
        <v>6</v>
      </c>
    </row>
    <row r="6049" spans="2:8" x14ac:dyDescent="0.2">
      <c r="B6049" s="3">
        <v>44992</v>
      </c>
      <c r="G6049" s="2">
        <f t="shared" si="94"/>
        <v>0</v>
      </c>
      <c r="H6049" t="s">
        <v>5</v>
      </c>
    </row>
    <row r="6050" spans="2:8" x14ac:dyDescent="0.2">
      <c r="B6050" s="3">
        <v>44992</v>
      </c>
      <c r="G6050" s="2">
        <f t="shared" si="94"/>
        <v>0</v>
      </c>
      <c r="H6050" s="1"/>
    </row>
    <row r="6051" spans="2:8" x14ac:dyDescent="0.2">
      <c r="B6051" s="3">
        <v>44993</v>
      </c>
      <c r="G6051" s="2">
        <f t="shared" si="94"/>
        <v>0</v>
      </c>
      <c r="H6051" t="s">
        <v>14</v>
      </c>
    </row>
    <row r="6052" spans="2:8" x14ac:dyDescent="0.2">
      <c r="B6052" s="3">
        <v>44993</v>
      </c>
      <c r="F6052" s="1">
        <v>3000</v>
      </c>
      <c r="G6052" s="2">
        <f t="shared" si="94"/>
        <v>-3000</v>
      </c>
      <c r="H6052" t="s">
        <v>27</v>
      </c>
    </row>
    <row r="6053" spans="2:8" x14ac:dyDescent="0.2">
      <c r="B6053" s="3">
        <v>44993</v>
      </c>
      <c r="D6053" s="1">
        <v>8075</v>
      </c>
      <c r="E6053" s="1">
        <v>9420</v>
      </c>
      <c r="F6053" s="1">
        <v>3000</v>
      </c>
      <c r="G6053" s="2">
        <f t="shared" si="94"/>
        <v>6420</v>
      </c>
      <c r="H6053" t="s">
        <v>13</v>
      </c>
    </row>
    <row r="6054" spans="2:8" x14ac:dyDescent="0.2">
      <c r="B6054" s="3">
        <v>44993</v>
      </c>
      <c r="G6054" s="2">
        <f t="shared" si="94"/>
        <v>0</v>
      </c>
      <c r="H6054" t="s">
        <v>30</v>
      </c>
    </row>
    <row r="6055" spans="2:8" x14ac:dyDescent="0.2">
      <c r="B6055" s="3">
        <v>44993</v>
      </c>
      <c r="G6055" s="2">
        <f t="shared" si="94"/>
        <v>0</v>
      </c>
      <c r="H6055" t="s">
        <v>29</v>
      </c>
    </row>
    <row r="6056" spans="2:8" x14ac:dyDescent="0.2">
      <c r="B6056" s="3">
        <v>44993</v>
      </c>
      <c r="G6056" s="2">
        <f t="shared" si="94"/>
        <v>0</v>
      </c>
      <c r="H6056" t="s">
        <v>25</v>
      </c>
    </row>
    <row r="6057" spans="2:8" x14ac:dyDescent="0.2">
      <c r="B6057" s="3">
        <v>44993</v>
      </c>
      <c r="F6057" s="1">
        <v>100</v>
      </c>
      <c r="G6057" s="2">
        <f t="shared" si="94"/>
        <v>-100</v>
      </c>
      <c r="H6057" t="s">
        <v>24</v>
      </c>
    </row>
    <row r="6058" spans="2:8" x14ac:dyDescent="0.2">
      <c r="B6058" s="3">
        <v>44993</v>
      </c>
      <c r="G6058" s="2">
        <f t="shared" si="94"/>
        <v>0</v>
      </c>
      <c r="H6058" t="s">
        <v>9</v>
      </c>
    </row>
    <row r="6059" spans="2:8" x14ac:dyDescent="0.2">
      <c r="B6059" s="3">
        <v>44993</v>
      </c>
      <c r="G6059" s="2">
        <f t="shared" si="94"/>
        <v>0</v>
      </c>
      <c r="H6059" t="s">
        <v>8</v>
      </c>
    </row>
    <row r="6060" spans="2:8" x14ac:dyDescent="0.2">
      <c r="B6060" s="3">
        <v>44993</v>
      </c>
      <c r="G6060" s="2">
        <f t="shared" si="94"/>
        <v>0</v>
      </c>
      <c r="H6060" t="s">
        <v>23</v>
      </c>
    </row>
    <row r="6061" spans="2:8" x14ac:dyDescent="0.2">
      <c r="B6061" s="3">
        <v>44993</v>
      </c>
      <c r="G6061" s="2">
        <f t="shared" si="94"/>
        <v>0</v>
      </c>
      <c r="H6061" t="s">
        <v>6</v>
      </c>
    </row>
    <row r="6062" spans="2:8" x14ac:dyDescent="0.2">
      <c r="B6062" s="3">
        <v>44993</v>
      </c>
      <c r="G6062" s="2">
        <f t="shared" si="94"/>
        <v>0</v>
      </c>
      <c r="H6062" t="s">
        <v>5</v>
      </c>
    </row>
    <row r="6063" spans="2:8" x14ac:dyDescent="0.2">
      <c r="B6063" s="3">
        <v>44993</v>
      </c>
      <c r="G6063" s="2">
        <f t="shared" si="94"/>
        <v>0</v>
      </c>
      <c r="H6063" s="1"/>
    </row>
    <row r="6064" spans="2:8" x14ac:dyDescent="0.2">
      <c r="B6064" s="3">
        <v>44994</v>
      </c>
      <c r="G6064" s="2">
        <f t="shared" si="94"/>
        <v>0</v>
      </c>
      <c r="H6064" t="s">
        <v>14</v>
      </c>
    </row>
    <row r="6065" spans="2:8" x14ac:dyDescent="0.2">
      <c r="B6065" s="3">
        <v>44994</v>
      </c>
      <c r="G6065" s="2">
        <f t="shared" si="94"/>
        <v>0</v>
      </c>
      <c r="H6065" t="s">
        <v>27</v>
      </c>
    </row>
    <row r="6066" spans="2:8" x14ac:dyDescent="0.2">
      <c r="B6066" s="3">
        <v>44994</v>
      </c>
      <c r="G6066" s="2">
        <f t="shared" si="94"/>
        <v>0</v>
      </c>
      <c r="H6066" t="s">
        <v>13</v>
      </c>
    </row>
    <row r="6067" spans="2:8" x14ac:dyDescent="0.2">
      <c r="B6067" s="3">
        <v>44994</v>
      </c>
      <c r="G6067" s="2">
        <f t="shared" si="94"/>
        <v>0</v>
      </c>
      <c r="H6067" t="s">
        <v>30</v>
      </c>
    </row>
    <row r="6068" spans="2:8" x14ac:dyDescent="0.2">
      <c r="B6068" s="3">
        <v>44994</v>
      </c>
      <c r="D6068" s="1">
        <v>4351</v>
      </c>
      <c r="E6068" s="1">
        <v>4526</v>
      </c>
      <c r="G6068" s="2">
        <f t="shared" si="94"/>
        <v>4526</v>
      </c>
      <c r="H6068" t="s">
        <v>29</v>
      </c>
    </row>
    <row r="6069" spans="2:8" x14ac:dyDescent="0.2">
      <c r="B6069" s="3">
        <v>44994</v>
      </c>
      <c r="G6069" s="2">
        <f t="shared" si="94"/>
        <v>0</v>
      </c>
      <c r="H6069" t="s">
        <v>25</v>
      </c>
    </row>
    <row r="6070" spans="2:8" x14ac:dyDescent="0.2">
      <c r="B6070" s="3">
        <v>44994</v>
      </c>
      <c r="D6070" s="1">
        <v>3936.5</v>
      </c>
      <c r="E6070" s="1">
        <v>4575</v>
      </c>
      <c r="F6070" s="1">
        <v>50</v>
      </c>
      <c r="G6070" s="2">
        <f t="shared" si="94"/>
        <v>4525</v>
      </c>
      <c r="H6070" t="s">
        <v>24</v>
      </c>
    </row>
    <row r="6071" spans="2:8" x14ac:dyDescent="0.2">
      <c r="B6071" s="3">
        <v>44994</v>
      </c>
      <c r="G6071" s="2">
        <f t="shared" si="94"/>
        <v>0</v>
      </c>
      <c r="H6071" t="s">
        <v>9</v>
      </c>
    </row>
    <row r="6072" spans="2:8" x14ac:dyDescent="0.2">
      <c r="B6072" s="3">
        <v>44994</v>
      </c>
      <c r="G6072" s="2">
        <f t="shared" si="94"/>
        <v>0</v>
      </c>
      <c r="H6072" t="s">
        <v>8</v>
      </c>
    </row>
    <row r="6073" spans="2:8" x14ac:dyDescent="0.2">
      <c r="B6073" s="3">
        <v>44994</v>
      </c>
      <c r="G6073" s="2">
        <f t="shared" si="94"/>
        <v>0</v>
      </c>
      <c r="H6073" t="s">
        <v>23</v>
      </c>
    </row>
    <row r="6074" spans="2:8" x14ac:dyDescent="0.2">
      <c r="B6074" s="3">
        <v>44994</v>
      </c>
      <c r="F6074" s="1">
        <v>5000</v>
      </c>
      <c r="G6074" s="2">
        <f t="shared" si="94"/>
        <v>-5000</v>
      </c>
      <c r="H6074" t="s">
        <v>6</v>
      </c>
    </row>
    <row r="6075" spans="2:8" x14ac:dyDescent="0.2">
      <c r="B6075" s="3">
        <v>44994</v>
      </c>
      <c r="G6075" s="2">
        <f t="shared" si="94"/>
        <v>0</v>
      </c>
      <c r="H6075" t="s">
        <v>5</v>
      </c>
    </row>
    <row r="6076" spans="2:8" x14ac:dyDescent="0.2">
      <c r="B6076" s="3">
        <v>44994</v>
      </c>
      <c r="D6076" s="1">
        <v>1091.75</v>
      </c>
      <c r="E6076" s="1">
        <v>1828.75</v>
      </c>
      <c r="F6076" s="1">
        <v>1828.75</v>
      </c>
      <c r="G6076" s="2">
        <f t="shared" si="94"/>
        <v>0</v>
      </c>
      <c r="H6076" s="1" t="s">
        <v>48</v>
      </c>
    </row>
    <row r="6077" spans="2:8" x14ac:dyDescent="0.2">
      <c r="B6077" s="3">
        <v>44995</v>
      </c>
      <c r="G6077" s="2">
        <f t="shared" si="94"/>
        <v>0</v>
      </c>
      <c r="H6077" t="s">
        <v>14</v>
      </c>
    </row>
    <row r="6078" spans="2:8" x14ac:dyDescent="0.2">
      <c r="B6078" s="3">
        <v>44995</v>
      </c>
      <c r="G6078" s="2">
        <f t="shared" si="94"/>
        <v>0</v>
      </c>
      <c r="H6078" t="s">
        <v>27</v>
      </c>
    </row>
    <row r="6079" spans="2:8" x14ac:dyDescent="0.2">
      <c r="B6079" s="3">
        <v>44995</v>
      </c>
      <c r="G6079" s="2">
        <f t="shared" si="94"/>
        <v>0</v>
      </c>
      <c r="H6079" t="s">
        <v>13</v>
      </c>
    </row>
    <row r="6080" spans="2:8" x14ac:dyDescent="0.2">
      <c r="B6080" s="3">
        <v>44995</v>
      </c>
      <c r="G6080" s="2">
        <f t="shared" si="94"/>
        <v>0</v>
      </c>
      <c r="H6080" t="s">
        <v>30</v>
      </c>
    </row>
    <row r="6081" spans="2:8" x14ac:dyDescent="0.2">
      <c r="B6081" s="3">
        <v>44995</v>
      </c>
      <c r="G6081" s="2">
        <f t="shared" si="94"/>
        <v>0</v>
      </c>
      <c r="H6081" t="s">
        <v>29</v>
      </c>
    </row>
    <row r="6082" spans="2:8" x14ac:dyDescent="0.2">
      <c r="B6082" s="3">
        <v>44995</v>
      </c>
      <c r="G6082" s="2">
        <f t="shared" si="94"/>
        <v>0</v>
      </c>
      <c r="H6082" t="s">
        <v>25</v>
      </c>
    </row>
    <row r="6083" spans="2:8" x14ac:dyDescent="0.2">
      <c r="B6083" s="3">
        <v>44995</v>
      </c>
      <c r="G6083" s="2">
        <f t="shared" ref="G6083:G6146" si="95">E6083-F6083</f>
        <v>0</v>
      </c>
      <c r="H6083" t="s">
        <v>24</v>
      </c>
    </row>
    <row r="6084" spans="2:8" x14ac:dyDescent="0.2">
      <c r="B6084" s="3">
        <v>44995</v>
      </c>
      <c r="G6084" s="2">
        <f t="shared" si="95"/>
        <v>0</v>
      </c>
      <c r="H6084" t="s">
        <v>9</v>
      </c>
    </row>
    <row r="6085" spans="2:8" x14ac:dyDescent="0.2">
      <c r="B6085" s="3">
        <v>44995</v>
      </c>
      <c r="G6085" s="2">
        <f t="shared" si="95"/>
        <v>0</v>
      </c>
      <c r="H6085" t="s">
        <v>8</v>
      </c>
    </row>
    <row r="6086" spans="2:8" x14ac:dyDescent="0.2">
      <c r="B6086" s="3">
        <v>44995</v>
      </c>
      <c r="G6086" s="2">
        <f t="shared" si="95"/>
        <v>0</v>
      </c>
      <c r="H6086" t="s">
        <v>23</v>
      </c>
    </row>
    <row r="6087" spans="2:8" x14ac:dyDescent="0.2">
      <c r="B6087" s="3">
        <v>44995</v>
      </c>
      <c r="G6087" s="2">
        <f t="shared" si="95"/>
        <v>0</v>
      </c>
      <c r="H6087" t="s">
        <v>6</v>
      </c>
    </row>
    <row r="6088" spans="2:8" x14ac:dyDescent="0.2">
      <c r="B6088" s="3">
        <v>44995</v>
      </c>
      <c r="G6088" s="2">
        <f t="shared" si="95"/>
        <v>0</v>
      </c>
      <c r="H6088" t="s">
        <v>5</v>
      </c>
    </row>
    <row r="6089" spans="2:8" x14ac:dyDescent="0.2">
      <c r="B6089" s="3">
        <v>44995</v>
      </c>
      <c r="G6089" s="2">
        <f t="shared" si="95"/>
        <v>0</v>
      </c>
      <c r="H6089" s="1"/>
    </row>
    <row r="6090" spans="2:8" x14ac:dyDescent="0.2">
      <c r="B6090" s="3">
        <v>44996</v>
      </c>
      <c r="D6090" s="1">
        <v>9650</v>
      </c>
      <c r="E6090" s="1">
        <v>11675</v>
      </c>
      <c r="F6090" s="1">
        <v>9750</v>
      </c>
      <c r="G6090" s="2">
        <f t="shared" si="95"/>
        <v>1925</v>
      </c>
      <c r="H6090" t="s">
        <v>14</v>
      </c>
    </row>
    <row r="6091" spans="2:8" x14ac:dyDescent="0.2">
      <c r="B6091" s="3">
        <v>44996</v>
      </c>
      <c r="G6091" s="2">
        <f t="shared" si="95"/>
        <v>0</v>
      </c>
      <c r="H6091" t="s">
        <v>27</v>
      </c>
    </row>
    <row r="6092" spans="2:8" x14ac:dyDescent="0.2">
      <c r="B6092" s="3">
        <v>44996</v>
      </c>
      <c r="G6092" s="2">
        <f t="shared" si="95"/>
        <v>0</v>
      </c>
      <c r="H6092" t="s">
        <v>13</v>
      </c>
    </row>
    <row r="6093" spans="2:8" x14ac:dyDescent="0.2">
      <c r="B6093" s="3">
        <v>44996</v>
      </c>
      <c r="G6093" s="2">
        <f t="shared" si="95"/>
        <v>0</v>
      </c>
      <c r="H6093" t="s">
        <v>30</v>
      </c>
    </row>
    <row r="6094" spans="2:8" x14ac:dyDescent="0.2">
      <c r="B6094" s="3">
        <v>44996</v>
      </c>
      <c r="D6094" s="1">
        <v>4572.5</v>
      </c>
      <c r="E6094" s="1">
        <v>5205</v>
      </c>
      <c r="F6094" s="1">
        <v>10600</v>
      </c>
      <c r="G6094" s="2">
        <f t="shared" si="95"/>
        <v>-5395</v>
      </c>
      <c r="H6094" t="s">
        <v>29</v>
      </c>
    </row>
    <row r="6095" spans="2:8" x14ac:dyDescent="0.2">
      <c r="B6095" s="3">
        <v>44996</v>
      </c>
      <c r="G6095" s="2">
        <f t="shared" si="95"/>
        <v>0</v>
      </c>
      <c r="H6095" t="s">
        <v>25</v>
      </c>
    </row>
    <row r="6096" spans="2:8" x14ac:dyDescent="0.2">
      <c r="B6096" s="3">
        <v>44996</v>
      </c>
      <c r="G6096" s="2">
        <f t="shared" si="95"/>
        <v>0</v>
      </c>
      <c r="H6096" t="s">
        <v>24</v>
      </c>
    </row>
    <row r="6097" spans="2:8" x14ac:dyDescent="0.2">
      <c r="B6097" s="3">
        <v>44996</v>
      </c>
      <c r="G6097" s="2">
        <f t="shared" si="95"/>
        <v>0</v>
      </c>
      <c r="H6097" t="s">
        <v>9</v>
      </c>
    </row>
    <row r="6098" spans="2:8" x14ac:dyDescent="0.2">
      <c r="B6098" s="3">
        <v>44996</v>
      </c>
      <c r="G6098" s="2">
        <f t="shared" si="95"/>
        <v>0</v>
      </c>
      <c r="H6098" t="s">
        <v>8</v>
      </c>
    </row>
    <row r="6099" spans="2:8" x14ac:dyDescent="0.2">
      <c r="B6099" s="3">
        <v>44996</v>
      </c>
      <c r="G6099" s="2">
        <f t="shared" si="95"/>
        <v>0</v>
      </c>
      <c r="H6099" t="s">
        <v>23</v>
      </c>
    </row>
    <row r="6100" spans="2:8" x14ac:dyDescent="0.2">
      <c r="B6100" s="3">
        <v>44996</v>
      </c>
      <c r="G6100" s="2">
        <f t="shared" si="95"/>
        <v>0</v>
      </c>
      <c r="H6100" t="s">
        <v>6</v>
      </c>
    </row>
    <row r="6101" spans="2:8" x14ac:dyDescent="0.2">
      <c r="B6101" s="3">
        <v>44996</v>
      </c>
      <c r="G6101" s="2">
        <f t="shared" si="95"/>
        <v>0</v>
      </c>
      <c r="H6101" t="s">
        <v>5</v>
      </c>
    </row>
    <row r="6102" spans="2:8" x14ac:dyDescent="0.2">
      <c r="B6102" s="3">
        <v>44996</v>
      </c>
      <c r="G6102" s="2">
        <f t="shared" si="95"/>
        <v>0</v>
      </c>
      <c r="H6102" s="1"/>
    </row>
    <row r="6103" spans="2:8" x14ac:dyDescent="0.2">
      <c r="B6103" s="3">
        <v>44997</v>
      </c>
      <c r="G6103" s="2">
        <f t="shared" si="95"/>
        <v>0</v>
      </c>
      <c r="H6103" t="s">
        <v>14</v>
      </c>
    </row>
    <row r="6104" spans="2:8" x14ac:dyDescent="0.2">
      <c r="B6104" s="3">
        <v>44997</v>
      </c>
      <c r="G6104" s="2">
        <f t="shared" si="95"/>
        <v>0</v>
      </c>
      <c r="H6104" t="s">
        <v>27</v>
      </c>
    </row>
    <row r="6105" spans="2:8" x14ac:dyDescent="0.2">
      <c r="B6105" s="3">
        <v>44997</v>
      </c>
      <c r="G6105" s="2">
        <f t="shared" si="95"/>
        <v>0</v>
      </c>
      <c r="H6105" t="s">
        <v>13</v>
      </c>
    </row>
    <row r="6106" spans="2:8" x14ac:dyDescent="0.2">
      <c r="B6106" s="3">
        <v>44997</v>
      </c>
      <c r="G6106" s="2">
        <f t="shared" si="95"/>
        <v>0</v>
      </c>
      <c r="H6106" t="s">
        <v>30</v>
      </c>
    </row>
    <row r="6107" spans="2:8" x14ac:dyDescent="0.2">
      <c r="B6107" s="3">
        <v>44997</v>
      </c>
      <c r="G6107" s="2">
        <f t="shared" si="95"/>
        <v>0</v>
      </c>
      <c r="H6107" t="s">
        <v>29</v>
      </c>
    </row>
    <row r="6108" spans="2:8" x14ac:dyDescent="0.2">
      <c r="B6108" s="3">
        <v>44997</v>
      </c>
      <c r="D6108" s="1">
        <v>893.25</v>
      </c>
      <c r="E6108" s="1">
        <v>1552.5</v>
      </c>
      <c r="F6108" s="1">
        <v>1552.5</v>
      </c>
      <c r="G6108" s="2">
        <f t="shared" si="95"/>
        <v>0</v>
      </c>
      <c r="H6108" t="s">
        <v>25</v>
      </c>
    </row>
    <row r="6109" spans="2:8" x14ac:dyDescent="0.2">
      <c r="B6109" s="3">
        <v>44997</v>
      </c>
      <c r="G6109" s="2">
        <f t="shared" si="95"/>
        <v>0</v>
      </c>
      <c r="H6109" t="s">
        <v>24</v>
      </c>
    </row>
    <row r="6110" spans="2:8" x14ac:dyDescent="0.2">
      <c r="B6110" s="3">
        <v>44997</v>
      </c>
      <c r="G6110" s="2">
        <f t="shared" si="95"/>
        <v>0</v>
      </c>
      <c r="H6110" t="s">
        <v>9</v>
      </c>
    </row>
    <row r="6111" spans="2:8" x14ac:dyDescent="0.2">
      <c r="B6111" s="3">
        <v>44997</v>
      </c>
      <c r="G6111" s="2">
        <f t="shared" si="95"/>
        <v>0</v>
      </c>
      <c r="H6111" t="s">
        <v>8</v>
      </c>
    </row>
    <row r="6112" spans="2:8" x14ac:dyDescent="0.2">
      <c r="B6112" s="3">
        <v>44997</v>
      </c>
      <c r="G6112" s="2">
        <f t="shared" si="95"/>
        <v>0</v>
      </c>
      <c r="H6112" t="s">
        <v>23</v>
      </c>
    </row>
    <row r="6113" spans="2:8" x14ac:dyDescent="0.2">
      <c r="B6113" s="3">
        <v>44997</v>
      </c>
      <c r="G6113" s="2">
        <f t="shared" si="95"/>
        <v>0</v>
      </c>
      <c r="H6113" t="s">
        <v>6</v>
      </c>
    </row>
    <row r="6114" spans="2:8" x14ac:dyDescent="0.2">
      <c r="B6114" s="3">
        <v>44997</v>
      </c>
      <c r="F6114" s="1">
        <v>4425</v>
      </c>
      <c r="G6114" s="2">
        <f t="shared" si="95"/>
        <v>-4425</v>
      </c>
      <c r="H6114" t="s">
        <v>5</v>
      </c>
    </row>
    <row r="6115" spans="2:8" x14ac:dyDescent="0.2">
      <c r="B6115" s="3">
        <v>44997</v>
      </c>
      <c r="G6115" s="2">
        <f t="shared" si="95"/>
        <v>0</v>
      </c>
      <c r="H6115" s="1"/>
    </row>
    <row r="6116" spans="2:8" x14ac:dyDescent="0.2">
      <c r="B6116" s="3">
        <v>44998</v>
      </c>
      <c r="G6116" s="2">
        <f t="shared" si="95"/>
        <v>0</v>
      </c>
      <c r="H6116" t="s">
        <v>14</v>
      </c>
    </row>
    <row r="6117" spans="2:8" x14ac:dyDescent="0.2">
      <c r="B6117" s="3">
        <v>44998</v>
      </c>
      <c r="G6117" s="2">
        <f t="shared" si="95"/>
        <v>0</v>
      </c>
      <c r="H6117" t="s">
        <v>27</v>
      </c>
    </row>
    <row r="6118" spans="2:8" x14ac:dyDescent="0.2">
      <c r="B6118" s="3">
        <v>44998</v>
      </c>
      <c r="G6118" s="2">
        <f t="shared" si="95"/>
        <v>0</v>
      </c>
      <c r="H6118" t="s">
        <v>13</v>
      </c>
    </row>
    <row r="6119" spans="2:8" x14ac:dyDescent="0.2">
      <c r="B6119" s="3">
        <v>44998</v>
      </c>
      <c r="G6119" s="2">
        <f t="shared" si="95"/>
        <v>0</v>
      </c>
      <c r="H6119" t="s">
        <v>30</v>
      </c>
    </row>
    <row r="6120" spans="2:8" x14ac:dyDescent="0.2">
      <c r="B6120" s="3">
        <v>44998</v>
      </c>
      <c r="G6120" s="2">
        <f t="shared" si="95"/>
        <v>0</v>
      </c>
      <c r="H6120" t="s">
        <v>29</v>
      </c>
    </row>
    <row r="6121" spans="2:8" x14ac:dyDescent="0.2">
      <c r="B6121" s="3">
        <v>44998</v>
      </c>
      <c r="G6121" s="2">
        <f t="shared" si="95"/>
        <v>0</v>
      </c>
      <c r="H6121" t="s">
        <v>25</v>
      </c>
    </row>
    <row r="6122" spans="2:8" x14ac:dyDescent="0.2">
      <c r="B6122" s="3">
        <v>44998</v>
      </c>
      <c r="G6122" s="2">
        <f t="shared" si="95"/>
        <v>0</v>
      </c>
      <c r="H6122" t="s">
        <v>24</v>
      </c>
    </row>
    <row r="6123" spans="2:8" x14ac:dyDescent="0.2">
      <c r="B6123" s="3">
        <v>44998</v>
      </c>
      <c r="G6123" s="2">
        <f t="shared" si="95"/>
        <v>0</v>
      </c>
      <c r="H6123" t="s">
        <v>9</v>
      </c>
    </row>
    <row r="6124" spans="2:8" x14ac:dyDescent="0.2">
      <c r="B6124" s="3">
        <v>44998</v>
      </c>
      <c r="G6124" s="2">
        <f t="shared" si="95"/>
        <v>0</v>
      </c>
      <c r="H6124" t="s">
        <v>8</v>
      </c>
    </row>
    <row r="6125" spans="2:8" x14ac:dyDescent="0.2">
      <c r="B6125" s="3">
        <v>44998</v>
      </c>
      <c r="G6125" s="2">
        <f t="shared" si="95"/>
        <v>0</v>
      </c>
      <c r="H6125" t="s">
        <v>23</v>
      </c>
    </row>
    <row r="6126" spans="2:8" x14ac:dyDescent="0.2">
      <c r="B6126" s="3">
        <v>44998</v>
      </c>
      <c r="G6126" s="2">
        <f t="shared" si="95"/>
        <v>0</v>
      </c>
      <c r="H6126" t="s">
        <v>6</v>
      </c>
    </row>
    <row r="6127" spans="2:8" x14ac:dyDescent="0.2">
      <c r="B6127" s="3">
        <v>44998</v>
      </c>
      <c r="G6127" s="2">
        <f t="shared" si="95"/>
        <v>0</v>
      </c>
      <c r="H6127" t="s">
        <v>5</v>
      </c>
    </row>
    <row r="6128" spans="2:8" x14ac:dyDescent="0.2">
      <c r="B6128" s="3">
        <v>44998</v>
      </c>
      <c r="G6128" s="2">
        <f t="shared" si="95"/>
        <v>0</v>
      </c>
      <c r="H6128" s="1"/>
    </row>
    <row r="6129" spans="2:8" x14ac:dyDescent="0.2">
      <c r="B6129" s="3">
        <v>44999</v>
      </c>
      <c r="G6129" s="2">
        <f t="shared" si="95"/>
        <v>0</v>
      </c>
      <c r="H6129" t="s">
        <v>14</v>
      </c>
    </row>
    <row r="6130" spans="2:8" x14ac:dyDescent="0.2">
      <c r="B6130" s="3">
        <v>44999</v>
      </c>
      <c r="F6130" s="1">
        <v>5000</v>
      </c>
      <c r="G6130" s="2">
        <f t="shared" si="95"/>
        <v>-5000</v>
      </c>
      <c r="H6130" t="s">
        <v>27</v>
      </c>
    </row>
    <row r="6131" spans="2:8" x14ac:dyDescent="0.2">
      <c r="B6131" s="3">
        <v>44999</v>
      </c>
      <c r="D6131" s="1">
        <v>6028.1</v>
      </c>
      <c r="E6131" s="1">
        <v>7277.5</v>
      </c>
      <c r="F6131" s="1">
        <v>8000</v>
      </c>
      <c r="G6131" s="2">
        <f t="shared" si="95"/>
        <v>-722.5</v>
      </c>
      <c r="H6131" t="s">
        <v>13</v>
      </c>
    </row>
    <row r="6132" spans="2:8" x14ac:dyDescent="0.2">
      <c r="B6132" s="3">
        <v>44999</v>
      </c>
      <c r="G6132" s="2">
        <f t="shared" si="95"/>
        <v>0</v>
      </c>
      <c r="H6132" t="s">
        <v>30</v>
      </c>
    </row>
    <row r="6133" spans="2:8" x14ac:dyDescent="0.2">
      <c r="B6133" s="3">
        <v>44999</v>
      </c>
      <c r="G6133" s="2">
        <f t="shared" si="95"/>
        <v>0</v>
      </c>
      <c r="H6133" t="s">
        <v>29</v>
      </c>
    </row>
    <row r="6134" spans="2:8" x14ac:dyDescent="0.2">
      <c r="B6134" s="3">
        <v>44999</v>
      </c>
      <c r="G6134" s="2">
        <f t="shared" si="95"/>
        <v>0</v>
      </c>
      <c r="H6134" t="s">
        <v>25</v>
      </c>
    </row>
    <row r="6135" spans="2:8" x14ac:dyDescent="0.2">
      <c r="B6135" s="3">
        <v>44999</v>
      </c>
      <c r="G6135" s="2">
        <f t="shared" si="95"/>
        <v>0</v>
      </c>
      <c r="H6135" t="s">
        <v>24</v>
      </c>
    </row>
    <row r="6136" spans="2:8" x14ac:dyDescent="0.2">
      <c r="B6136" s="3">
        <v>44999</v>
      </c>
      <c r="F6136" s="1">
        <v>2000</v>
      </c>
      <c r="G6136" s="2">
        <f t="shared" si="95"/>
        <v>-2000</v>
      </c>
      <c r="H6136" t="s">
        <v>9</v>
      </c>
    </row>
    <row r="6137" spans="2:8" x14ac:dyDescent="0.2">
      <c r="B6137" s="3">
        <v>44999</v>
      </c>
      <c r="G6137" s="2">
        <f t="shared" si="95"/>
        <v>0</v>
      </c>
      <c r="H6137" t="s">
        <v>8</v>
      </c>
    </row>
    <row r="6138" spans="2:8" x14ac:dyDescent="0.2">
      <c r="B6138" s="3">
        <v>44999</v>
      </c>
      <c r="G6138" s="2">
        <f t="shared" si="95"/>
        <v>0</v>
      </c>
      <c r="H6138" t="s">
        <v>23</v>
      </c>
    </row>
    <row r="6139" spans="2:8" x14ac:dyDescent="0.2">
      <c r="B6139" s="3">
        <v>44999</v>
      </c>
      <c r="G6139" s="2">
        <f t="shared" si="95"/>
        <v>0</v>
      </c>
      <c r="H6139" t="s">
        <v>6</v>
      </c>
    </row>
    <row r="6140" spans="2:8" x14ac:dyDescent="0.2">
      <c r="B6140" s="3">
        <v>44999</v>
      </c>
      <c r="G6140" s="2">
        <f t="shared" si="95"/>
        <v>0</v>
      </c>
      <c r="H6140" t="s">
        <v>5</v>
      </c>
    </row>
    <row r="6141" spans="2:8" x14ac:dyDescent="0.2">
      <c r="B6141" s="3">
        <v>44999</v>
      </c>
      <c r="D6141" s="1">
        <v>810</v>
      </c>
      <c r="E6141" s="1">
        <v>870</v>
      </c>
      <c r="F6141" s="1">
        <v>500</v>
      </c>
      <c r="G6141" s="2">
        <f t="shared" si="95"/>
        <v>370</v>
      </c>
      <c r="H6141" s="1" t="s">
        <v>78</v>
      </c>
    </row>
    <row r="6142" spans="2:8" x14ac:dyDescent="0.2">
      <c r="B6142" s="3">
        <v>45000</v>
      </c>
      <c r="G6142" s="2">
        <f t="shared" si="95"/>
        <v>0</v>
      </c>
      <c r="H6142" t="s">
        <v>14</v>
      </c>
    </row>
    <row r="6143" spans="2:8" x14ac:dyDescent="0.2">
      <c r="B6143" s="3">
        <v>45000</v>
      </c>
      <c r="G6143" s="2">
        <f t="shared" si="95"/>
        <v>0</v>
      </c>
      <c r="H6143" t="s">
        <v>27</v>
      </c>
    </row>
    <row r="6144" spans="2:8" x14ac:dyDescent="0.2">
      <c r="B6144" s="3">
        <v>45000</v>
      </c>
      <c r="G6144" s="2">
        <f t="shared" si="95"/>
        <v>0</v>
      </c>
      <c r="H6144" t="s">
        <v>13</v>
      </c>
    </row>
    <row r="6145" spans="2:8" x14ac:dyDescent="0.2">
      <c r="B6145" s="3">
        <v>45000</v>
      </c>
      <c r="G6145" s="2">
        <f t="shared" si="95"/>
        <v>0</v>
      </c>
      <c r="H6145" t="s">
        <v>30</v>
      </c>
    </row>
    <row r="6146" spans="2:8" x14ac:dyDescent="0.2">
      <c r="B6146" s="3">
        <v>45000</v>
      </c>
      <c r="G6146" s="2">
        <f t="shared" si="95"/>
        <v>0</v>
      </c>
      <c r="H6146" t="s">
        <v>29</v>
      </c>
    </row>
    <row r="6147" spans="2:8" x14ac:dyDescent="0.2">
      <c r="B6147" s="3">
        <v>45000</v>
      </c>
      <c r="G6147" s="2">
        <f t="shared" ref="G6147:G6210" si="96">E6147-F6147</f>
        <v>0</v>
      </c>
      <c r="H6147" t="s">
        <v>25</v>
      </c>
    </row>
    <row r="6148" spans="2:8" x14ac:dyDescent="0.2">
      <c r="B6148" s="3">
        <v>45000</v>
      </c>
      <c r="G6148" s="2">
        <f t="shared" si="96"/>
        <v>0</v>
      </c>
      <c r="H6148" t="s">
        <v>24</v>
      </c>
    </row>
    <row r="6149" spans="2:8" x14ac:dyDescent="0.2">
      <c r="B6149" s="3">
        <v>45000</v>
      </c>
      <c r="G6149" s="2">
        <f t="shared" si="96"/>
        <v>0</v>
      </c>
      <c r="H6149" t="s">
        <v>9</v>
      </c>
    </row>
    <row r="6150" spans="2:8" x14ac:dyDescent="0.2">
      <c r="B6150" s="3">
        <v>45000</v>
      </c>
      <c r="G6150" s="2">
        <f t="shared" si="96"/>
        <v>0</v>
      </c>
      <c r="H6150" t="s">
        <v>8</v>
      </c>
    </row>
    <row r="6151" spans="2:8" x14ac:dyDescent="0.2">
      <c r="B6151" s="3">
        <v>45000</v>
      </c>
      <c r="G6151" s="2">
        <f t="shared" si="96"/>
        <v>0</v>
      </c>
      <c r="H6151" t="s">
        <v>23</v>
      </c>
    </row>
    <row r="6152" spans="2:8" x14ac:dyDescent="0.2">
      <c r="B6152" s="3">
        <v>45000</v>
      </c>
      <c r="G6152" s="2">
        <f t="shared" si="96"/>
        <v>0</v>
      </c>
      <c r="H6152" t="s">
        <v>6</v>
      </c>
    </row>
    <row r="6153" spans="2:8" x14ac:dyDescent="0.2">
      <c r="B6153" s="3">
        <v>45000</v>
      </c>
      <c r="G6153" s="2">
        <f t="shared" si="96"/>
        <v>0</v>
      </c>
      <c r="H6153" t="s">
        <v>5</v>
      </c>
    </row>
    <row r="6154" spans="2:8" x14ac:dyDescent="0.2">
      <c r="B6154" s="3">
        <v>45000</v>
      </c>
      <c r="G6154" s="2">
        <f t="shared" si="96"/>
        <v>0</v>
      </c>
      <c r="H6154" s="1"/>
    </row>
    <row r="6155" spans="2:8" x14ac:dyDescent="0.2">
      <c r="B6155" s="3">
        <v>45001</v>
      </c>
      <c r="G6155" s="2">
        <f t="shared" si="96"/>
        <v>0</v>
      </c>
      <c r="H6155" t="s">
        <v>14</v>
      </c>
    </row>
    <row r="6156" spans="2:8" x14ac:dyDescent="0.2">
      <c r="B6156" s="3">
        <v>45001</v>
      </c>
      <c r="D6156" s="1">
        <v>5400</v>
      </c>
      <c r="E6156" s="1">
        <v>7300</v>
      </c>
      <c r="G6156" s="2">
        <f t="shared" si="96"/>
        <v>7300</v>
      </c>
      <c r="H6156" t="s">
        <v>27</v>
      </c>
    </row>
    <row r="6157" spans="2:8" x14ac:dyDescent="0.2">
      <c r="B6157" s="3">
        <v>45001</v>
      </c>
      <c r="G6157" s="2">
        <f t="shared" si="96"/>
        <v>0</v>
      </c>
      <c r="H6157" t="s">
        <v>13</v>
      </c>
    </row>
    <row r="6158" spans="2:8" x14ac:dyDescent="0.2">
      <c r="B6158" s="3">
        <v>45001</v>
      </c>
      <c r="G6158" s="2">
        <f t="shared" si="96"/>
        <v>0</v>
      </c>
      <c r="H6158" t="s">
        <v>30</v>
      </c>
    </row>
    <row r="6159" spans="2:8" x14ac:dyDescent="0.2">
      <c r="B6159" s="3">
        <v>45001</v>
      </c>
      <c r="G6159" s="2">
        <f t="shared" si="96"/>
        <v>0</v>
      </c>
      <c r="H6159" t="s">
        <v>29</v>
      </c>
    </row>
    <row r="6160" spans="2:8" x14ac:dyDescent="0.2">
      <c r="B6160" s="3">
        <v>45001</v>
      </c>
      <c r="G6160" s="2">
        <f t="shared" si="96"/>
        <v>0</v>
      </c>
      <c r="H6160" t="s">
        <v>25</v>
      </c>
    </row>
    <row r="6161" spans="2:8" x14ac:dyDescent="0.2">
      <c r="B6161" s="3">
        <v>45001</v>
      </c>
      <c r="G6161" s="2">
        <f t="shared" si="96"/>
        <v>0</v>
      </c>
      <c r="H6161" t="s">
        <v>24</v>
      </c>
    </row>
    <row r="6162" spans="2:8" x14ac:dyDescent="0.2">
      <c r="B6162" s="3">
        <v>45001</v>
      </c>
      <c r="G6162" s="2">
        <f t="shared" si="96"/>
        <v>0</v>
      </c>
      <c r="H6162" t="s">
        <v>9</v>
      </c>
    </row>
    <row r="6163" spans="2:8" x14ac:dyDescent="0.2">
      <c r="B6163" s="3">
        <v>45001</v>
      </c>
      <c r="G6163" s="2">
        <f t="shared" si="96"/>
        <v>0</v>
      </c>
      <c r="H6163" t="s">
        <v>8</v>
      </c>
    </row>
    <row r="6164" spans="2:8" x14ac:dyDescent="0.2">
      <c r="B6164" s="3">
        <v>45001</v>
      </c>
      <c r="G6164" s="2">
        <f t="shared" si="96"/>
        <v>0</v>
      </c>
      <c r="H6164" t="s">
        <v>23</v>
      </c>
    </row>
    <row r="6165" spans="2:8" x14ac:dyDescent="0.2">
      <c r="B6165" s="3">
        <v>45001</v>
      </c>
      <c r="F6165" s="1">
        <v>5000</v>
      </c>
      <c r="G6165" s="2">
        <f t="shared" si="96"/>
        <v>-5000</v>
      </c>
      <c r="H6165" t="s">
        <v>6</v>
      </c>
    </row>
    <row r="6166" spans="2:8" x14ac:dyDescent="0.2">
      <c r="B6166" s="3">
        <v>45001</v>
      </c>
      <c r="G6166" s="2">
        <f t="shared" si="96"/>
        <v>0</v>
      </c>
      <c r="H6166" t="s">
        <v>5</v>
      </c>
    </row>
    <row r="6167" spans="2:8" x14ac:dyDescent="0.2">
      <c r="B6167" s="3">
        <v>45001</v>
      </c>
      <c r="G6167" s="2">
        <f t="shared" si="96"/>
        <v>0</v>
      </c>
      <c r="H6167" s="1"/>
    </row>
    <row r="6168" spans="2:8" x14ac:dyDescent="0.2">
      <c r="B6168" s="3">
        <v>45002</v>
      </c>
      <c r="G6168" s="2">
        <f t="shared" si="96"/>
        <v>0</v>
      </c>
      <c r="H6168" t="s">
        <v>14</v>
      </c>
    </row>
    <row r="6169" spans="2:8" x14ac:dyDescent="0.2">
      <c r="B6169" s="3">
        <v>45002</v>
      </c>
      <c r="G6169" s="2">
        <f t="shared" si="96"/>
        <v>0</v>
      </c>
      <c r="H6169" t="s">
        <v>27</v>
      </c>
    </row>
    <row r="6170" spans="2:8" x14ac:dyDescent="0.2">
      <c r="B6170" s="3">
        <v>45002</v>
      </c>
      <c r="G6170" s="2">
        <f t="shared" si="96"/>
        <v>0</v>
      </c>
      <c r="H6170" t="s">
        <v>13</v>
      </c>
    </row>
    <row r="6171" spans="2:8" x14ac:dyDescent="0.2">
      <c r="B6171" s="3">
        <v>45002</v>
      </c>
      <c r="G6171" s="2">
        <f t="shared" si="96"/>
        <v>0</v>
      </c>
      <c r="H6171" t="s">
        <v>30</v>
      </c>
    </row>
    <row r="6172" spans="2:8" x14ac:dyDescent="0.2">
      <c r="B6172" s="3">
        <v>45002</v>
      </c>
      <c r="G6172" s="2">
        <f t="shared" si="96"/>
        <v>0</v>
      </c>
      <c r="H6172" t="s">
        <v>29</v>
      </c>
    </row>
    <row r="6173" spans="2:8" x14ac:dyDescent="0.2">
      <c r="B6173" s="3">
        <v>45002</v>
      </c>
      <c r="G6173" s="2">
        <f t="shared" si="96"/>
        <v>0</v>
      </c>
      <c r="H6173" t="s">
        <v>25</v>
      </c>
    </row>
    <row r="6174" spans="2:8" x14ac:dyDescent="0.2">
      <c r="B6174" s="3">
        <v>45002</v>
      </c>
      <c r="G6174" s="2">
        <f t="shared" si="96"/>
        <v>0</v>
      </c>
      <c r="H6174" t="s">
        <v>24</v>
      </c>
    </row>
    <row r="6175" spans="2:8" x14ac:dyDescent="0.2">
      <c r="B6175" s="3">
        <v>45002</v>
      </c>
      <c r="G6175" s="2">
        <f t="shared" si="96"/>
        <v>0</v>
      </c>
      <c r="H6175" t="s">
        <v>9</v>
      </c>
    </row>
    <row r="6176" spans="2:8" x14ac:dyDescent="0.2">
      <c r="B6176" s="3">
        <v>45002</v>
      </c>
      <c r="G6176" s="2">
        <f t="shared" si="96"/>
        <v>0</v>
      </c>
      <c r="H6176" t="s">
        <v>8</v>
      </c>
    </row>
    <row r="6177" spans="2:8" x14ac:dyDescent="0.2">
      <c r="B6177" s="3">
        <v>45002</v>
      </c>
      <c r="G6177" s="2">
        <f t="shared" si="96"/>
        <v>0</v>
      </c>
      <c r="H6177" t="s">
        <v>23</v>
      </c>
    </row>
    <row r="6178" spans="2:8" x14ac:dyDescent="0.2">
      <c r="B6178" s="3">
        <v>45002</v>
      </c>
      <c r="G6178" s="2">
        <f t="shared" si="96"/>
        <v>0</v>
      </c>
      <c r="H6178" t="s">
        <v>6</v>
      </c>
    </row>
    <row r="6179" spans="2:8" x14ac:dyDescent="0.2">
      <c r="B6179" s="3">
        <v>45002</v>
      </c>
      <c r="G6179" s="2">
        <f t="shared" si="96"/>
        <v>0</v>
      </c>
      <c r="H6179" t="s">
        <v>5</v>
      </c>
    </row>
    <row r="6180" spans="2:8" x14ac:dyDescent="0.2">
      <c r="B6180" s="3">
        <v>45002</v>
      </c>
      <c r="G6180" s="2">
        <f t="shared" si="96"/>
        <v>0</v>
      </c>
      <c r="H6180" s="1"/>
    </row>
    <row r="6181" spans="2:8" x14ac:dyDescent="0.2">
      <c r="B6181" s="3">
        <v>45003</v>
      </c>
      <c r="G6181" s="2">
        <f t="shared" si="96"/>
        <v>0</v>
      </c>
      <c r="H6181" t="s">
        <v>14</v>
      </c>
    </row>
    <row r="6182" spans="2:8" x14ac:dyDescent="0.2">
      <c r="B6182" s="3">
        <v>45003</v>
      </c>
      <c r="G6182" s="2">
        <f t="shared" si="96"/>
        <v>0</v>
      </c>
      <c r="H6182" t="s">
        <v>27</v>
      </c>
    </row>
    <row r="6183" spans="2:8" x14ac:dyDescent="0.2">
      <c r="B6183" s="3">
        <v>45003</v>
      </c>
      <c r="G6183" s="2">
        <f t="shared" si="96"/>
        <v>0</v>
      </c>
      <c r="H6183" t="s">
        <v>13</v>
      </c>
    </row>
    <row r="6184" spans="2:8" x14ac:dyDescent="0.2">
      <c r="B6184" s="3">
        <v>45003</v>
      </c>
      <c r="G6184" s="2">
        <f t="shared" si="96"/>
        <v>0</v>
      </c>
      <c r="H6184" t="s">
        <v>30</v>
      </c>
    </row>
    <row r="6185" spans="2:8" x14ac:dyDescent="0.2">
      <c r="B6185" s="3">
        <v>45003</v>
      </c>
      <c r="G6185" s="2">
        <f t="shared" si="96"/>
        <v>0</v>
      </c>
      <c r="H6185" t="s">
        <v>29</v>
      </c>
    </row>
    <row r="6186" spans="2:8" x14ac:dyDescent="0.2">
      <c r="B6186" s="3">
        <v>45003</v>
      </c>
      <c r="G6186" s="2">
        <f t="shared" si="96"/>
        <v>0</v>
      </c>
      <c r="H6186" t="s">
        <v>25</v>
      </c>
    </row>
    <row r="6187" spans="2:8" x14ac:dyDescent="0.2">
      <c r="B6187" s="3">
        <v>45003</v>
      </c>
      <c r="G6187" s="2">
        <f t="shared" si="96"/>
        <v>0</v>
      </c>
      <c r="H6187" t="s">
        <v>24</v>
      </c>
    </row>
    <row r="6188" spans="2:8" x14ac:dyDescent="0.2">
      <c r="B6188" s="3">
        <v>45003</v>
      </c>
      <c r="G6188" s="2">
        <f t="shared" si="96"/>
        <v>0</v>
      </c>
      <c r="H6188" t="s">
        <v>9</v>
      </c>
    </row>
    <row r="6189" spans="2:8" x14ac:dyDescent="0.2">
      <c r="B6189" s="3">
        <v>45003</v>
      </c>
      <c r="G6189" s="2">
        <f t="shared" si="96"/>
        <v>0</v>
      </c>
      <c r="H6189" t="s">
        <v>8</v>
      </c>
    </row>
    <row r="6190" spans="2:8" x14ac:dyDescent="0.2">
      <c r="B6190" s="3">
        <v>45003</v>
      </c>
      <c r="G6190" s="2">
        <f t="shared" si="96"/>
        <v>0</v>
      </c>
      <c r="H6190" t="s">
        <v>23</v>
      </c>
    </row>
    <row r="6191" spans="2:8" x14ac:dyDescent="0.2">
      <c r="B6191" s="3">
        <v>45003</v>
      </c>
      <c r="G6191" s="2">
        <f t="shared" si="96"/>
        <v>0</v>
      </c>
      <c r="H6191" t="s">
        <v>6</v>
      </c>
    </row>
    <row r="6192" spans="2:8" x14ac:dyDescent="0.2">
      <c r="B6192" s="3">
        <v>45003</v>
      </c>
      <c r="D6192" s="1">
        <v>6700</v>
      </c>
      <c r="E6192" s="1">
        <v>6975</v>
      </c>
      <c r="G6192" s="2">
        <f t="shared" si="96"/>
        <v>6975</v>
      </c>
      <c r="H6192" t="s">
        <v>5</v>
      </c>
    </row>
    <row r="6193" spans="2:8" x14ac:dyDescent="0.2">
      <c r="B6193" s="3">
        <v>45003</v>
      </c>
      <c r="G6193" s="2">
        <f t="shared" si="96"/>
        <v>0</v>
      </c>
      <c r="H6193" s="1"/>
    </row>
    <row r="6194" spans="2:8" x14ac:dyDescent="0.2">
      <c r="B6194" s="3">
        <v>45004</v>
      </c>
      <c r="F6194" s="1">
        <v>5000</v>
      </c>
      <c r="G6194" s="2">
        <f t="shared" si="96"/>
        <v>-5000</v>
      </c>
      <c r="H6194" t="s">
        <v>14</v>
      </c>
    </row>
    <row r="6195" spans="2:8" x14ac:dyDescent="0.2">
      <c r="B6195" s="3">
        <v>45004</v>
      </c>
      <c r="G6195" s="2">
        <f t="shared" si="96"/>
        <v>0</v>
      </c>
      <c r="H6195" t="s">
        <v>27</v>
      </c>
    </row>
    <row r="6196" spans="2:8" x14ac:dyDescent="0.2">
      <c r="B6196" s="3">
        <v>45004</v>
      </c>
      <c r="G6196" s="2">
        <f t="shared" si="96"/>
        <v>0</v>
      </c>
      <c r="H6196" t="s">
        <v>13</v>
      </c>
    </row>
    <row r="6197" spans="2:8" x14ac:dyDescent="0.2">
      <c r="B6197" s="3">
        <v>45004</v>
      </c>
      <c r="G6197" s="2">
        <f t="shared" si="96"/>
        <v>0</v>
      </c>
      <c r="H6197" t="s">
        <v>30</v>
      </c>
    </row>
    <row r="6198" spans="2:8" x14ac:dyDescent="0.2">
      <c r="B6198" s="3">
        <v>45004</v>
      </c>
      <c r="G6198" s="2">
        <f t="shared" si="96"/>
        <v>0</v>
      </c>
      <c r="H6198" t="s">
        <v>29</v>
      </c>
    </row>
    <row r="6199" spans="2:8" x14ac:dyDescent="0.2">
      <c r="B6199" s="3">
        <v>45004</v>
      </c>
      <c r="D6199" s="1">
        <v>405</v>
      </c>
      <c r="E6199" s="1">
        <v>720</v>
      </c>
      <c r="F6199" s="1">
        <v>720</v>
      </c>
      <c r="G6199" s="2">
        <f t="shared" si="96"/>
        <v>0</v>
      </c>
      <c r="H6199" t="s">
        <v>25</v>
      </c>
    </row>
    <row r="6200" spans="2:8" x14ac:dyDescent="0.2">
      <c r="B6200" s="3">
        <v>45004</v>
      </c>
      <c r="F6200" s="1">
        <v>2000</v>
      </c>
      <c r="G6200" s="2">
        <f t="shared" si="96"/>
        <v>-2000</v>
      </c>
      <c r="H6200" t="s">
        <v>24</v>
      </c>
    </row>
    <row r="6201" spans="2:8" x14ac:dyDescent="0.2">
      <c r="B6201" s="3">
        <v>45004</v>
      </c>
      <c r="G6201" s="2">
        <f t="shared" si="96"/>
        <v>0</v>
      </c>
      <c r="H6201" t="s">
        <v>9</v>
      </c>
    </row>
    <row r="6202" spans="2:8" x14ac:dyDescent="0.2">
      <c r="B6202" s="3">
        <v>45004</v>
      </c>
      <c r="G6202" s="2">
        <f t="shared" si="96"/>
        <v>0</v>
      </c>
      <c r="H6202" t="s">
        <v>8</v>
      </c>
    </row>
    <row r="6203" spans="2:8" x14ac:dyDescent="0.2">
      <c r="B6203" s="3">
        <v>45004</v>
      </c>
      <c r="G6203" s="2">
        <f t="shared" si="96"/>
        <v>0</v>
      </c>
      <c r="H6203" t="s">
        <v>23</v>
      </c>
    </row>
    <row r="6204" spans="2:8" x14ac:dyDescent="0.2">
      <c r="B6204" s="3">
        <v>45004</v>
      </c>
      <c r="G6204" s="2">
        <f t="shared" si="96"/>
        <v>0</v>
      </c>
      <c r="H6204" t="s">
        <v>6</v>
      </c>
    </row>
    <row r="6205" spans="2:8" x14ac:dyDescent="0.2">
      <c r="B6205" s="3">
        <v>45004</v>
      </c>
      <c r="D6205" s="1">
        <v>575</v>
      </c>
      <c r="E6205" s="1">
        <v>600</v>
      </c>
      <c r="G6205" s="2">
        <f t="shared" si="96"/>
        <v>600</v>
      </c>
      <c r="H6205" t="s">
        <v>5</v>
      </c>
    </row>
    <row r="6206" spans="2:8" x14ac:dyDescent="0.2">
      <c r="B6206" s="3">
        <v>45004</v>
      </c>
      <c r="G6206" s="2">
        <f t="shared" si="96"/>
        <v>0</v>
      </c>
      <c r="H6206" s="1"/>
    </row>
    <row r="6207" spans="2:8" x14ac:dyDescent="0.2">
      <c r="B6207" s="3">
        <v>45005</v>
      </c>
      <c r="G6207" s="2">
        <f t="shared" si="96"/>
        <v>0</v>
      </c>
      <c r="H6207" t="s">
        <v>14</v>
      </c>
    </row>
    <row r="6208" spans="2:8" x14ac:dyDescent="0.2">
      <c r="B6208" s="3">
        <v>45005</v>
      </c>
      <c r="G6208" s="2">
        <f t="shared" si="96"/>
        <v>0</v>
      </c>
      <c r="H6208" t="s">
        <v>27</v>
      </c>
    </row>
    <row r="6209" spans="2:8" x14ac:dyDescent="0.2">
      <c r="B6209" s="3">
        <v>45005</v>
      </c>
      <c r="D6209" s="1">
        <v>7367.5</v>
      </c>
      <c r="E6209" s="1">
        <v>8747.5</v>
      </c>
      <c r="G6209" s="2">
        <f t="shared" si="96"/>
        <v>8747.5</v>
      </c>
      <c r="H6209" t="s">
        <v>13</v>
      </c>
    </row>
    <row r="6210" spans="2:8" x14ac:dyDescent="0.2">
      <c r="B6210" s="3">
        <v>45005</v>
      </c>
      <c r="G6210" s="2">
        <f t="shared" si="96"/>
        <v>0</v>
      </c>
      <c r="H6210" t="s">
        <v>30</v>
      </c>
    </row>
    <row r="6211" spans="2:8" x14ac:dyDescent="0.2">
      <c r="B6211" s="3">
        <v>45005</v>
      </c>
      <c r="G6211" s="2">
        <f t="shared" ref="G6211:G6274" si="97">E6211-F6211</f>
        <v>0</v>
      </c>
      <c r="H6211" t="s">
        <v>29</v>
      </c>
    </row>
    <row r="6212" spans="2:8" x14ac:dyDescent="0.2">
      <c r="B6212" s="3">
        <v>45005</v>
      </c>
      <c r="G6212" s="2">
        <f t="shared" si="97"/>
        <v>0</v>
      </c>
      <c r="H6212" t="s">
        <v>25</v>
      </c>
    </row>
    <row r="6213" spans="2:8" x14ac:dyDescent="0.2">
      <c r="B6213" s="3">
        <v>45005</v>
      </c>
      <c r="G6213" s="2">
        <f t="shared" si="97"/>
        <v>0</v>
      </c>
      <c r="H6213" t="s">
        <v>24</v>
      </c>
    </row>
    <row r="6214" spans="2:8" x14ac:dyDescent="0.2">
      <c r="B6214" s="3">
        <v>45005</v>
      </c>
      <c r="G6214" s="2">
        <f t="shared" si="97"/>
        <v>0</v>
      </c>
      <c r="H6214" t="s">
        <v>9</v>
      </c>
    </row>
    <row r="6215" spans="2:8" x14ac:dyDescent="0.2">
      <c r="B6215" s="3">
        <v>45005</v>
      </c>
      <c r="G6215" s="2">
        <f t="shared" si="97"/>
        <v>0</v>
      </c>
      <c r="H6215" t="s">
        <v>8</v>
      </c>
    </row>
    <row r="6216" spans="2:8" x14ac:dyDescent="0.2">
      <c r="B6216" s="3">
        <v>45005</v>
      </c>
      <c r="G6216" s="2">
        <f t="shared" si="97"/>
        <v>0</v>
      </c>
      <c r="H6216" t="s">
        <v>23</v>
      </c>
    </row>
    <row r="6217" spans="2:8" x14ac:dyDescent="0.2">
      <c r="B6217" s="3">
        <v>45005</v>
      </c>
      <c r="G6217" s="2">
        <f t="shared" si="97"/>
        <v>0</v>
      </c>
      <c r="H6217" t="s">
        <v>6</v>
      </c>
    </row>
    <row r="6218" spans="2:8" x14ac:dyDescent="0.2">
      <c r="B6218" s="3">
        <v>45005</v>
      </c>
      <c r="G6218" s="2">
        <f t="shared" si="97"/>
        <v>0</v>
      </c>
      <c r="H6218" t="s">
        <v>5</v>
      </c>
    </row>
    <row r="6219" spans="2:8" x14ac:dyDescent="0.2">
      <c r="B6219" s="3">
        <v>45005</v>
      </c>
      <c r="G6219" s="2">
        <f t="shared" si="97"/>
        <v>0</v>
      </c>
      <c r="H6219" s="1"/>
    </row>
    <row r="6220" spans="2:8" x14ac:dyDescent="0.2">
      <c r="B6220" s="3">
        <v>45006</v>
      </c>
      <c r="G6220" s="2">
        <f t="shared" si="97"/>
        <v>0</v>
      </c>
      <c r="H6220" t="s">
        <v>14</v>
      </c>
    </row>
    <row r="6221" spans="2:8" x14ac:dyDescent="0.2">
      <c r="B6221" s="3">
        <v>45006</v>
      </c>
      <c r="F6221" s="1">
        <v>5000</v>
      </c>
      <c r="G6221" s="2">
        <f t="shared" si="97"/>
        <v>-5000</v>
      </c>
      <c r="H6221" t="s">
        <v>27</v>
      </c>
    </row>
    <row r="6222" spans="2:8" x14ac:dyDescent="0.2">
      <c r="B6222" s="3">
        <v>45006</v>
      </c>
      <c r="G6222" s="2">
        <f t="shared" si="97"/>
        <v>0</v>
      </c>
      <c r="H6222" t="s">
        <v>13</v>
      </c>
    </row>
    <row r="6223" spans="2:8" x14ac:dyDescent="0.2">
      <c r="B6223" s="3">
        <v>45006</v>
      </c>
      <c r="G6223" s="2">
        <f t="shared" si="97"/>
        <v>0</v>
      </c>
      <c r="H6223" t="s">
        <v>30</v>
      </c>
    </row>
    <row r="6224" spans="2:8" x14ac:dyDescent="0.2">
      <c r="B6224" s="3">
        <v>45006</v>
      </c>
      <c r="G6224" s="2">
        <f t="shared" si="97"/>
        <v>0</v>
      </c>
      <c r="H6224" t="s">
        <v>29</v>
      </c>
    </row>
    <row r="6225" spans="2:8" x14ac:dyDescent="0.2">
      <c r="B6225" s="3">
        <v>45006</v>
      </c>
      <c r="G6225" s="2">
        <f t="shared" si="97"/>
        <v>0</v>
      </c>
      <c r="H6225" t="s">
        <v>25</v>
      </c>
    </row>
    <row r="6226" spans="2:8" x14ac:dyDescent="0.2">
      <c r="B6226" s="3">
        <v>45006</v>
      </c>
      <c r="G6226" s="2">
        <f t="shared" si="97"/>
        <v>0</v>
      </c>
      <c r="H6226" t="s">
        <v>24</v>
      </c>
    </row>
    <row r="6227" spans="2:8" x14ac:dyDescent="0.2">
      <c r="B6227" s="3">
        <v>45006</v>
      </c>
      <c r="G6227" s="2">
        <f t="shared" si="97"/>
        <v>0</v>
      </c>
      <c r="H6227" t="s">
        <v>9</v>
      </c>
    </row>
    <row r="6228" spans="2:8" x14ac:dyDescent="0.2">
      <c r="B6228" s="3">
        <v>45006</v>
      </c>
      <c r="D6228" s="1">
        <v>14280</v>
      </c>
      <c r="E6228" s="1">
        <v>15200</v>
      </c>
      <c r="G6228" s="2">
        <f t="shared" si="97"/>
        <v>15200</v>
      </c>
      <c r="H6228" t="s">
        <v>8</v>
      </c>
    </row>
    <row r="6229" spans="2:8" x14ac:dyDescent="0.2">
      <c r="B6229" s="3">
        <v>45006</v>
      </c>
      <c r="G6229" s="2">
        <f t="shared" si="97"/>
        <v>0</v>
      </c>
      <c r="H6229" t="s">
        <v>23</v>
      </c>
    </row>
    <row r="6230" spans="2:8" x14ac:dyDescent="0.2">
      <c r="B6230" s="3">
        <v>45006</v>
      </c>
      <c r="D6230" s="1">
        <v>16120</v>
      </c>
      <c r="E6230" s="1">
        <v>18200</v>
      </c>
      <c r="G6230" s="2">
        <f t="shared" si="97"/>
        <v>18200</v>
      </c>
      <c r="H6230" t="s">
        <v>6</v>
      </c>
    </row>
    <row r="6231" spans="2:8" x14ac:dyDescent="0.2">
      <c r="B6231" s="3">
        <v>45006</v>
      </c>
      <c r="G6231" s="2">
        <f t="shared" si="97"/>
        <v>0</v>
      </c>
      <c r="H6231" t="s">
        <v>5</v>
      </c>
    </row>
    <row r="6232" spans="2:8" x14ac:dyDescent="0.2">
      <c r="B6232" s="3">
        <v>45006</v>
      </c>
      <c r="G6232" s="2">
        <f t="shared" si="97"/>
        <v>0</v>
      </c>
      <c r="H6232" s="1"/>
    </row>
    <row r="6233" spans="2:8" x14ac:dyDescent="0.2">
      <c r="B6233" s="3">
        <v>45007</v>
      </c>
      <c r="D6233" s="1">
        <v>1460</v>
      </c>
      <c r="E6233" s="1">
        <v>1640</v>
      </c>
      <c r="G6233" s="2">
        <f t="shared" si="97"/>
        <v>1640</v>
      </c>
      <c r="H6233" t="s">
        <v>14</v>
      </c>
    </row>
    <row r="6234" spans="2:8" x14ac:dyDescent="0.2">
      <c r="B6234" s="3">
        <v>45007</v>
      </c>
      <c r="G6234" s="2">
        <f t="shared" si="97"/>
        <v>0</v>
      </c>
      <c r="H6234" t="s">
        <v>27</v>
      </c>
    </row>
    <row r="6235" spans="2:8" x14ac:dyDescent="0.2">
      <c r="B6235" s="3">
        <v>45007</v>
      </c>
      <c r="F6235" s="1">
        <v>8000</v>
      </c>
      <c r="G6235" s="2">
        <f t="shared" si="97"/>
        <v>-8000</v>
      </c>
      <c r="H6235" t="s">
        <v>13</v>
      </c>
    </row>
    <row r="6236" spans="2:8" x14ac:dyDescent="0.2">
      <c r="B6236" s="3">
        <v>45007</v>
      </c>
      <c r="G6236" s="2">
        <f t="shared" si="97"/>
        <v>0</v>
      </c>
      <c r="H6236" t="s">
        <v>30</v>
      </c>
    </row>
    <row r="6237" spans="2:8" x14ac:dyDescent="0.2">
      <c r="B6237" s="3">
        <v>45007</v>
      </c>
      <c r="F6237" s="1">
        <v>2065</v>
      </c>
      <c r="G6237" s="2">
        <f t="shared" si="97"/>
        <v>-2065</v>
      </c>
      <c r="H6237" t="s">
        <v>29</v>
      </c>
    </row>
    <row r="6238" spans="2:8" x14ac:dyDescent="0.2">
      <c r="B6238" s="3">
        <v>45007</v>
      </c>
      <c r="G6238" s="2">
        <f t="shared" si="97"/>
        <v>0</v>
      </c>
      <c r="H6238" t="s">
        <v>25</v>
      </c>
    </row>
    <row r="6239" spans="2:8" x14ac:dyDescent="0.2">
      <c r="B6239" s="3">
        <v>45007</v>
      </c>
      <c r="F6239" s="1">
        <v>1000</v>
      </c>
      <c r="G6239" s="2">
        <f t="shared" si="97"/>
        <v>-1000</v>
      </c>
      <c r="H6239" t="s">
        <v>24</v>
      </c>
    </row>
    <row r="6240" spans="2:8" x14ac:dyDescent="0.2">
      <c r="B6240" s="3">
        <v>45007</v>
      </c>
      <c r="G6240" s="2">
        <f t="shared" si="97"/>
        <v>0</v>
      </c>
      <c r="H6240" t="s">
        <v>9</v>
      </c>
    </row>
    <row r="6241" spans="2:8" x14ac:dyDescent="0.2">
      <c r="B6241" s="3">
        <v>45007</v>
      </c>
      <c r="G6241" s="2">
        <f t="shared" si="97"/>
        <v>0</v>
      </c>
      <c r="H6241" t="s">
        <v>8</v>
      </c>
    </row>
    <row r="6242" spans="2:8" x14ac:dyDescent="0.2">
      <c r="B6242" s="3">
        <v>45007</v>
      </c>
      <c r="G6242" s="2">
        <f t="shared" si="97"/>
        <v>0</v>
      </c>
      <c r="H6242" t="s">
        <v>23</v>
      </c>
    </row>
    <row r="6243" spans="2:8" x14ac:dyDescent="0.2">
      <c r="B6243" s="3">
        <v>45007</v>
      </c>
      <c r="F6243" s="1">
        <v>5000</v>
      </c>
      <c r="G6243" s="2">
        <f t="shared" si="97"/>
        <v>-5000</v>
      </c>
      <c r="H6243" t="s">
        <v>6</v>
      </c>
    </row>
    <row r="6244" spans="2:8" x14ac:dyDescent="0.2">
      <c r="B6244" s="3">
        <v>45007</v>
      </c>
      <c r="G6244" s="2">
        <f t="shared" si="97"/>
        <v>0</v>
      </c>
      <c r="H6244" t="s">
        <v>5</v>
      </c>
    </row>
    <row r="6245" spans="2:8" x14ac:dyDescent="0.2">
      <c r="B6245" s="3">
        <v>45007</v>
      </c>
      <c r="G6245" s="2">
        <f t="shared" si="97"/>
        <v>0</v>
      </c>
      <c r="H6245" s="1"/>
    </row>
    <row r="6246" spans="2:8" x14ac:dyDescent="0.2">
      <c r="B6246" s="3">
        <v>45008</v>
      </c>
      <c r="G6246" s="2">
        <f t="shared" si="97"/>
        <v>0</v>
      </c>
      <c r="H6246" t="s">
        <v>14</v>
      </c>
    </row>
    <row r="6247" spans="2:8" x14ac:dyDescent="0.2">
      <c r="B6247" s="3">
        <v>45008</v>
      </c>
      <c r="G6247" s="2">
        <f t="shared" si="97"/>
        <v>0</v>
      </c>
      <c r="H6247" t="s">
        <v>27</v>
      </c>
    </row>
    <row r="6248" spans="2:8" x14ac:dyDescent="0.2">
      <c r="B6248" s="3">
        <v>45008</v>
      </c>
      <c r="G6248" s="2">
        <f t="shared" si="97"/>
        <v>0</v>
      </c>
      <c r="H6248" t="s">
        <v>13</v>
      </c>
    </row>
    <row r="6249" spans="2:8" x14ac:dyDescent="0.2">
      <c r="B6249" s="3">
        <v>45008</v>
      </c>
      <c r="G6249" s="2">
        <f t="shared" si="97"/>
        <v>0</v>
      </c>
      <c r="H6249" t="s">
        <v>30</v>
      </c>
    </row>
    <row r="6250" spans="2:8" x14ac:dyDescent="0.2">
      <c r="B6250" s="3">
        <v>45008</v>
      </c>
      <c r="G6250" s="2">
        <f t="shared" si="97"/>
        <v>0</v>
      </c>
      <c r="H6250" t="s">
        <v>29</v>
      </c>
    </row>
    <row r="6251" spans="2:8" x14ac:dyDescent="0.2">
      <c r="B6251" s="3">
        <v>45008</v>
      </c>
      <c r="G6251" s="2">
        <f t="shared" si="97"/>
        <v>0</v>
      </c>
      <c r="H6251" t="s">
        <v>25</v>
      </c>
    </row>
    <row r="6252" spans="2:8" x14ac:dyDescent="0.2">
      <c r="B6252" s="3">
        <v>45008</v>
      </c>
      <c r="G6252" s="2">
        <f t="shared" si="97"/>
        <v>0</v>
      </c>
      <c r="H6252" t="s">
        <v>24</v>
      </c>
    </row>
    <row r="6253" spans="2:8" x14ac:dyDescent="0.2">
      <c r="B6253" s="3">
        <v>45008</v>
      </c>
      <c r="G6253" s="2">
        <f t="shared" si="97"/>
        <v>0</v>
      </c>
      <c r="H6253" t="s">
        <v>9</v>
      </c>
    </row>
    <row r="6254" spans="2:8" x14ac:dyDescent="0.2">
      <c r="B6254" s="3">
        <v>45008</v>
      </c>
      <c r="G6254" s="2">
        <f t="shared" si="97"/>
        <v>0</v>
      </c>
      <c r="H6254" t="s">
        <v>8</v>
      </c>
    </row>
    <row r="6255" spans="2:8" x14ac:dyDescent="0.2">
      <c r="B6255" s="3">
        <v>45008</v>
      </c>
      <c r="G6255" s="2">
        <f t="shared" si="97"/>
        <v>0</v>
      </c>
      <c r="H6255" t="s">
        <v>23</v>
      </c>
    </row>
    <row r="6256" spans="2:8" x14ac:dyDescent="0.2">
      <c r="B6256" s="3">
        <v>45008</v>
      </c>
      <c r="G6256" s="2">
        <f t="shared" si="97"/>
        <v>0</v>
      </c>
      <c r="H6256" t="s">
        <v>6</v>
      </c>
    </row>
    <row r="6257" spans="2:8" x14ac:dyDescent="0.2">
      <c r="B6257" s="3">
        <v>45008</v>
      </c>
      <c r="D6257" s="1">
        <v>1895</v>
      </c>
      <c r="E6257" s="1">
        <v>2005.5000000000002</v>
      </c>
      <c r="G6257" s="2">
        <f t="shared" si="97"/>
        <v>2005.5000000000002</v>
      </c>
      <c r="H6257" t="s">
        <v>5</v>
      </c>
    </row>
    <row r="6258" spans="2:8" x14ac:dyDescent="0.2">
      <c r="B6258" s="3">
        <v>45008</v>
      </c>
      <c r="G6258" s="2">
        <f t="shared" si="97"/>
        <v>0</v>
      </c>
      <c r="H6258" s="1"/>
    </row>
    <row r="6259" spans="2:8" x14ac:dyDescent="0.2">
      <c r="B6259" s="3">
        <v>45009</v>
      </c>
      <c r="G6259" s="2">
        <f t="shared" si="97"/>
        <v>0</v>
      </c>
      <c r="H6259" t="s">
        <v>14</v>
      </c>
    </row>
    <row r="6260" spans="2:8" x14ac:dyDescent="0.2">
      <c r="B6260" s="3">
        <v>45009</v>
      </c>
      <c r="G6260" s="2">
        <f t="shared" si="97"/>
        <v>0</v>
      </c>
      <c r="H6260" t="s">
        <v>27</v>
      </c>
    </row>
    <row r="6261" spans="2:8" x14ac:dyDescent="0.2">
      <c r="B6261" s="3">
        <v>45009</v>
      </c>
      <c r="G6261" s="2">
        <f t="shared" si="97"/>
        <v>0</v>
      </c>
      <c r="H6261" t="s">
        <v>13</v>
      </c>
    </row>
    <row r="6262" spans="2:8" x14ac:dyDescent="0.2">
      <c r="B6262" s="3">
        <v>45009</v>
      </c>
      <c r="F6262" s="1">
        <v>23060</v>
      </c>
      <c r="G6262" s="2">
        <f t="shared" si="97"/>
        <v>-23060</v>
      </c>
      <c r="H6262" t="s">
        <v>30</v>
      </c>
    </row>
    <row r="6263" spans="2:8" x14ac:dyDescent="0.2">
      <c r="B6263" s="3">
        <v>45009</v>
      </c>
      <c r="G6263" s="2">
        <f t="shared" si="97"/>
        <v>0</v>
      </c>
      <c r="H6263" t="s">
        <v>29</v>
      </c>
    </row>
    <row r="6264" spans="2:8" x14ac:dyDescent="0.2">
      <c r="B6264" s="3">
        <v>45009</v>
      </c>
      <c r="G6264" s="2">
        <f t="shared" si="97"/>
        <v>0</v>
      </c>
      <c r="H6264" t="s">
        <v>25</v>
      </c>
    </row>
    <row r="6265" spans="2:8" x14ac:dyDescent="0.2">
      <c r="B6265" s="3">
        <v>45009</v>
      </c>
      <c r="G6265" s="2">
        <f t="shared" si="97"/>
        <v>0</v>
      </c>
      <c r="H6265" t="s">
        <v>24</v>
      </c>
    </row>
    <row r="6266" spans="2:8" x14ac:dyDescent="0.2">
      <c r="B6266" s="3">
        <v>45009</v>
      </c>
      <c r="G6266" s="2">
        <f t="shared" si="97"/>
        <v>0</v>
      </c>
      <c r="H6266" t="s">
        <v>9</v>
      </c>
    </row>
    <row r="6267" spans="2:8" x14ac:dyDescent="0.2">
      <c r="B6267" s="3">
        <v>45009</v>
      </c>
      <c r="G6267" s="2">
        <f t="shared" si="97"/>
        <v>0</v>
      </c>
      <c r="H6267" t="s">
        <v>8</v>
      </c>
    </row>
    <row r="6268" spans="2:8" x14ac:dyDescent="0.2">
      <c r="B6268" s="3">
        <v>45009</v>
      </c>
      <c r="G6268" s="2">
        <f t="shared" si="97"/>
        <v>0</v>
      </c>
      <c r="H6268" t="s">
        <v>23</v>
      </c>
    </row>
    <row r="6269" spans="2:8" x14ac:dyDescent="0.2">
      <c r="B6269" s="3">
        <v>45009</v>
      </c>
      <c r="G6269" s="2">
        <f t="shared" si="97"/>
        <v>0</v>
      </c>
      <c r="H6269" t="s">
        <v>6</v>
      </c>
    </row>
    <row r="6270" spans="2:8" x14ac:dyDescent="0.2">
      <c r="B6270" s="3">
        <v>45009</v>
      </c>
      <c r="G6270" s="2">
        <f t="shared" si="97"/>
        <v>0</v>
      </c>
      <c r="H6270" t="s">
        <v>5</v>
      </c>
    </row>
    <row r="6271" spans="2:8" x14ac:dyDescent="0.2">
      <c r="B6271" s="3">
        <v>45009</v>
      </c>
      <c r="G6271" s="2">
        <f t="shared" si="97"/>
        <v>0</v>
      </c>
      <c r="H6271" s="1"/>
    </row>
    <row r="6272" spans="2:8" x14ac:dyDescent="0.2">
      <c r="B6272" s="3">
        <v>45010</v>
      </c>
      <c r="G6272" s="2">
        <f t="shared" si="97"/>
        <v>0</v>
      </c>
      <c r="H6272" t="s">
        <v>14</v>
      </c>
    </row>
    <row r="6273" spans="2:8" x14ac:dyDescent="0.2">
      <c r="B6273" s="3">
        <v>45010</v>
      </c>
      <c r="G6273" s="2">
        <f t="shared" si="97"/>
        <v>0</v>
      </c>
      <c r="H6273" t="s">
        <v>27</v>
      </c>
    </row>
    <row r="6274" spans="2:8" x14ac:dyDescent="0.2">
      <c r="B6274" s="3">
        <v>45010</v>
      </c>
      <c r="G6274" s="2">
        <f t="shared" si="97"/>
        <v>0</v>
      </c>
      <c r="H6274" t="s">
        <v>13</v>
      </c>
    </row>
    <row r="6275" spans="2:8" x14ac:dyDescent="0.2">
      <c r="B6275" s="3">
        <v>45010</v>
      </c>
      <c r="G6275" s="2">
        <f t="shared" ref="G6275:G6338" si="98">E6275-F6275</f>
        <v>0</v>
      </c>
      <c r="H6275" t="s">
        <v>30</v>
      </c>
    </row>
    <row r="6276" spans="2:8" x14ac:dyDescent="0.2">
      <c r="B6276" s="3">
        <v>45010</v>
      </c>
      <c r="G6276" s="2">
        <f t="shared" si="98"/>
        <v>0</v>
      </c>
      <c r="H6276" t="s">
        <v>29</v>
      </c>
    </row>
    <row r="6277" spans="2:8" x14ac:dyDescent="0.2">
      <c r="B6277" s="3">
        <v>45010</v>
      </c>
      <c r="G6277" s="2">
        <f t="shared" si="98"/>
        <v>0</v>
      </c>
      <c r="H6277" t="s">
        <v>25</v>
      </c>
    </row>
    <row r="6278" spans="2:8" x14ac:dyDescent="0.2">
      <c r="B6278" s="3">
        <v>45010</v>
      </c>
      <c r="D6278" s="1">
        <v>422.5</v>
      </c>
      <c r="E6278" s="1">
        <v>455</v>
      </c>
      <c r="G6278" s="2">
        <f t="shared" si="98"/>
        <v>455</v>
      </c>
      <c r="H6278" t="s">
        <v>24</v>
      </c>
    </row>
    <row r="6279" spans="2:8" x14ac:dyDescent="0.2">
      <c r="B6279" s="3">
        <v>45010</v>
      </c>
      <c r="G6279" s="2">
        <f t="shared" si="98"/>
        <v>0</v>
      </c>
      <c r="H6279" t="s">
        <v>9</v>
      </c>
    </row>
    <row r="6280" spans="2:8" x14ac:dyDescent="0.2">
      <c r="B6280" s="3">
        <v>45010</v>
      </c>
      <c r="G6280" s="2">
        <f t="shared" si="98"/>
        <v>0</v>
      </c>
      <c r="H6280" t="s">
        <v>8</v>
      </c>
    </row>
    <row r="6281" spans="2:8" x14ac:dyDescent="0.2">
      <c r="B6281" s="3">
        <v>45010</v>
      </c>
      <c r="G6281" s="2">
        <f t="shared" si="98"/>
        <v>0</v>
      </c>
      <c r="H6281" t="s">
        <v>23</v>
      </c>
    </row>
    <row r="6282" spans="2:8" x14ac:dyDescent="0.2">
      <c r="B6282" s="3">
        <v>45010</v>
      </c>
      <c r="G6282" s="2">
        <f t="shared" si="98"/>
        <v>0</v>
      </c>
      <c r="H6282" t="s">
        <v>6</v>
      </c>
    </row>
    <row r="6283" spans="2:8" x14ac:dyDescent="0.2">
      <c r="B6283" s="3">
        <v>45010</v>
      </c>
      <c r="D6283" s="1">
        <v>1505</v>
      </c>
      <c r="E6283" s="1">
        <v>2000</v>
      </c>
      <c r="G6283" s="2">
        <f t="shared" si="98"/>
        <v>2000</v>
      </c>
      <c r="H6283" t="s">
        <v>5</v>
      </c>
    </row>
    <row r="6284" spans="2:8" x14ac:dyDescent="0.2">
      <c r="B6284" s="3">
        <v>45010</v>
      </c>
      <c r="G6284" s="2">
        <f t="shared" si="98"/>
        <v>0</v>
      </c>
      <c r="H6284" s="1"/>
    </row>
    <row r="6285" spans="2:8" x14ac:dyDescent="0.2">
      <c r="B6285" s="3">
        <v>45011</v>
      </c>
      <c r="G6285" s="2">
        <f t="shared" si="98"/>
        <v>0</v>
      </c>
      <c r="H6285" t="s">
        <v>14</v>
      </c>
    </row>
    <row r="6286" spans="2:8" x14ac:dyDescent="0.2">
      <c r="B6286" s="3">
        <v>45011</v>
      </c>
      <c r="G6286" s="2">
        <f t="shared" si="98"/>
        <v>0</v>
      </c>
      <c r="H6286" t="s">
        <v>27</v>
      </c>
    </row>
    <row r="6287" spans="2:8" x14ac:dyDescent="0.2">
      <c r="B6287" s="3">
        <v>45011</v>
      </c>
      <c r="G6287" s="2">
        <f t="shared" si="98"/>
        <v>0</v>
      </c>
      <c r="H6287" t="s">
        <v>13</v>
      </c>
    </row>
    <row r="6288" spans="2:8" x14ac:dyDescent="0.2">
      <c r="B6288" s="3">
        <v>45011</v>
      </c>
      <c r="G6288" s="2">
        <f t="shared" si="98"/>
        <v>0</v>
      </c>
      <c r="H6288" t="s">
        <v>30</v>
      </c>
    </row>
    <row r="6289" spans="2:8" x14ac:dyDescent="0.2">
      <c r="B6289" s="3">
        <v>45011</v>
      </c>
      <c r="G6289" s="2">
        <f t="shared" si="98"/>
        <v>0</v>
      </c>
      <c r="H6289" t="s">
        <v>29</v>
      </c>
    </row>
    <row r="6290" spans="2:8" x14ac:dyDescent="0.2">
      <c r="B6290" s="3">
        <v>45011</v>
      </c>
      <c r="G6290" s="2">
        <f t="shared" si="98"/>
        <v>0</v>
      </c>
      <c r="H6290" t="s">
        <v>25</v>
      </c>
    </row>
    <row r="6291" spans="2:8" x14ac:dyDescent="0.2">
      <c r="B6291" s="3">
        <v>45011</v>
      </c>
      <c r="F6291" s="1">
        <v>2000</v>
      </c>
      <c r="G6291" s="2">
        <f t="shared" si="98"/>
        <v>-2000</v>
      </c>
      <c r="H6291" t="s">
        <v>24</v>
      </c>
    </row>
    <row r="6292" spans="2:8" x14ac:dyDescent="0.2">
      <c r="B6292" s="3">
        <v>45011</v>
      </c>
      <c r="G6292" s="2">
        <f t="shared" si="98"/>
        <v>0</v>
      </c>
      <c r="H6292" t="s">
        <v>9</v>
      </c>
    </row>
    <row r="6293" spans="2:8" x14ac:dyDescent="0.2">
      <c r="B6293" s="3">
        <v>45011</v>
      </c>
      <c r="F6293" s="1">
        <v>4900</v>
      </c>
      <c r="G6293" s="2">
        <f t="shared" si="98"/>
        <v>-4900</v>
      </c>
      <c r="H6293" t="s">
        <v>8</v>
      </c>
    </row>
    <row r="6294" spans="2:8" x14ac:dyDescent="0.2">
      <c r="B6294" s="3">
        <v>45011</v>
      </c>
      <c r="G6294" s="2">
        <f t="shared" si="98"/>
        <v>0</v>
      </c>
      <c r="H6294" t="s">
        <v>23</v>
      </c>
    </row>
    <row r="6295" spans="2:8" x14ac:dyDescent="0.2">
      <c r="B6295" s="3">
        <v>45011</v>
      </c>
      <c r="G6295" s="2">
        <f t="shared" si="98"/>
        <v>0</v>
      </c>
      <c r="H6295" t="s">
        <v>6</v>
      </c>
    </row>
    <row r="6296" spans="2:8" x14ac:dyDescent="0.2">
      <c r="B6296" s="3">
        <v>45011</v>
      </c>
      <c r="G6296" s="2">
        <f t="shared" si="98"/>
        <v>0</v>
      </c>
      <c r="H6296" t="s">
        <v>5</v>
      </c>
    </row>
    <row r="6297" spans="2:8" x14ac:dyDescent="0.2">
      <c r="B6297" s="3">
        <v>45011</v>
      </c>
      <c r="G6297" s="2">
        <f t="shared" si="98"/>
        <v>0</v>
      </c>
      <c r="H6297" s="1"/>
    </row>
    <row r="6298" spans="2:8" x14ac:dyDescent="0.2">
      <c r="B6298" s="3">
        <v>45012</v>
      </c>
      <c r="D6298" s="1">
        <v>320</v>
      </c>
      <c r="E6298" s="1">
        <v>360</v>
      </c>
      <c r="G6298" s="2">
        <f t="shared" si="98"/>
        <v>360</v>
      </c>
      <c r="H6298" t="s">
        <v>14</v>
      </c>
    </row>
    <row r="6299" spans="2:8" x14ac:dyDescent="0.2">
      <c r="B6299" s="3">
        <v>45012</v>
      </c>
      <c r="G6299" s="2">
        <f t="shared" si="98"/>
        <v>0</v>
      </c>
      <c r="H6299" t="s">
        <v>27</v>
      </c>
    </row>
    <row r="6300" spans="2:8" x14ac:dyDescent="0.2">
      <c r="B6300" s="3">
        <v>45012</v>
      </c>
      <c r="G6300" s="2">
        <f t="shared" si="98"/>
        <v>0</v>
      </c>
      <c r="H6300" t="s">
        <v>13</v>
      </c>
    </row>
    <row r="6301" spans="2:8" x14ac:dyDescent="0.2">
      <c r="B6301" s="3">
        <v>45012</v>
      </c>
      <c r="G6301" s="2">
        <f t="shared" si="98"/>
        <v>0</v>
      </c>
      <c r="H6301" t="s">
        <v>30</v>
      </c>
    </row>
    <row r="6302" spans="2:8" x14ac:dyDescent="0.2">
      <c r="B6302" s="3">
        <v>45012</v>
      </c>
      <c r="G6302" s="2">
        <f t="shared" si="98"/>
        <v>0</v>
      </c>
      <c r="H6302" t="s">
        <v>29</v>
      </c>
    </row>
    <row r="6303" spans="2:8" x14ac:dyDescent="0.2">
      <c r="B6303" s="3">
        <v>45012</v>
      </c>
      <c r="G6303" s="2">
        <f t="shared" si="98"/>
        <v>0</v>
      </c>
      <c r="H6303" t="s">
        <v>25</v>
      </c>
    </row>
    <row r="6304" spans="2:8" x14ac:dyDescent="0.2">
      <c r="B6304" s="3">
        <v>45012</v>
      </c>
      <c r="D6304" s="1">
        <v>1610</v>
      </c>
      <c r="E6304" s="1">
        <v>1900</v>
      </c>
      <c r="G6304" s="2">
        <f t="shared" si="98"/>
        <v>1900</v>
      </c>
      <c r="H6304" t="s">
        <v>24</v>
      </c>
    </row>
    <row r="6305" spans="2:8" x14ac:dyDescent="0.2">
      <c r="B6305" s="3">
        <v>45012</v>
      </c>
      <c r="G6305" s="2">
        <f t="shared" si="98"/>
        <v>0</v>
      </c>
      <c r="H6305" t="s">
        <v>9</v>
      </c>
    </row>
    <row r="6306" spans="2:8" x14ac:dyDescent="0.2">
      <c r="B6306" s="3">
        <v>45012</v>
      </c>
      <c r="D6306" s="1">
        <v>14438</v>
      </c>
      <c r="E6306" s="1">
        <v>15692.5</v>
      </c>
      <c r="G6306" s="2">
        <f t="shared" si="98"/>
        <v>15692.5</v>
      </c>
      <c r="H6306" t="s">
        <v>8</v>
      </c>
    </row>
    <row r="6307" spans="2:8" x14ac:dyDescent="0.2">
      <c r="B6307" s="3">
        <v>45012</v>
      </c>
      <c r="G6307" s="2">
        <f t="shared" si="98"/>
        <v>0</v>
      </c>
      <c r="H6307" t="s">
        <v>23</v>
      </c>
    </row>
    <row r="6308" spans="2:8" x14ac:dyDescent="0.2">
      <c r="B6308" s="3">
        <v>45012</v>
      </c>
      <c r="G6308" s="2">
        <f t="shared" si="98"/>
        <v>0</v>
      </c>
      <c r="H6308" t="s">
        <v>6</v>
      </c>
    </row>
    <row r="6309" spans="2:8" x14ac:dyDescent="0.2">
      <c r="B6309" s="3">
        <v>45012</v>
      </c>
      <c r="G6309" s="2">
        <f t="shared" si="98"/>
        <v>0</v>
      </c>
      <c r="H6309" t="s">
        <v>5</v>
      </c>
    </row>
    <row r="6310" spans="2:8" x14ac:dyDescent="0.2">
      <c r="B6310" s="3">
        <v>45012</v>
      </c>
      <c r="G6310" s="2">
        <f t="shared" si="98"/>
        <v>0</v>
      </c>
      <c r="H6310" s="1"/>
    </row>
    <row r="6311" spans="2:8" x14ac:dyDescent="0.2">
      <c r="B6311" s="3">
        <v>45013</v>
      </c>
      <c r="G6311" s="2">
        <f t="shared" si="98"/>
        <v>0</v>
      </c>
      <c r="H6311" t="s">
        <v>14</v>
      </c>
    </row>
    <row r="6312" spans="2:8" x14ac:dyDescent="0.2">
      <c r="B6312" s="3">
        <v>45013</v>
      </c>
      <c r="F6312" s="1">
        <v>4000</v>
      </c>
      <c r="G6312" s="2">
        <f t="shared" si="98"/>
        <v>-4000</v>
      </c>
      <c r="H6312" t="s">
        <v>27</v>
      </c>
    </row>
    <row r="6313" spans="2:8" x14ac:dyDescent="0.2">
      <c r="B6313" s="3">
        <v>45013</v>
      </c>
      <c r="D6313" s="1">
        <v>8036.9</v>
      </c>
      <c r="E6313" s="1">
        <v>9600</v>
      </c>
      <c r="G6313" s="2">
        <f t="shared" si="98"/>
        <v>9600</v>
      </c>
      <c r="H6313" t="s">
        <v>13</v>
      </c>
    </row>
    <row r="6314" spans="2:8" x14ac:dyDescent="0.2">
      <c r="B6314" s="3">
        <v>45013</v>
      </c>
      <c r="G6314" s="2">
        <f t="shared" si="98"/>
        <v>0</v>
      </c>
      <c r="H6314" t="s">
        <v>30</v>
      </c>
    </row>
    <row r="6315" spans="2:8" x14ac:dyDescent="0.2">
      <c r="B6315" s="3">
        <v>45013</v>
      </c>
      <c r="G6315" s="2">
        <f t="shared" si="98"/>
        <v>0</v>
      </c>
      <c r="H6315" t="s">
        <v>29</v>
      </c>
    </row>
    <row r="6316" spans="2:8" x14ac:dyDescent="0.2">
      <c r="B6316" s="3">
        <v>45013</v>
      </c>
      <c r="G6316" s="2">
        <f t="shared" si="98"/>
        <v>0</v>
      </c>
      <c r="H6316" t="s">
        <v>25</v>
      </c>
    </row>
    <row r="6317" spans="2:8" x14ac:dyDescent="0.2">
      <c r="B6317" s="3">
        <v>45013</v>
      </c>
      <c r="G6317" s="2">
        <f t="shared" si="98"/>
        <v>0</v>
      </c>
      <c r="H6317" t="s">
        <v>24</v>
      </c>
    </row>
    <row r="6318" spans="2:8" x14ac:dyDescent="0.2">
      <c r="B6318" s="3">
        <v>45013</v>
      </c>
      <c r="G6318" s="2">
        <f t="shared" si="98"/>
        <v>0</v>
      </c>
      <c r="H6318" t="s">
        <v>9</v>
      </c>
    </row>
    <row r="6319" spans="2:8" x14ac:dyDescent="0.2">
      <c r="B6319" s="3">
        <v>45013</v>
      </c>
      <c r="G6319" s="2">
        <f t="shared" si="98"/>
        <v>0</v>
      </c>
      <c r="H6319" t="s">
        <v>8</v>
      </c>
    </row>
    <row r="6320" spans="2:8" x14ac:dyDescent="0.2">
      <c r="B6320" s="3">
        <v>45013</v>
      </c>
      <c r="G6320" s="2">
        <f t="shared" si="98"/>
        <v>0</v>
      </c>
      <c r="H6320" t="s">
        <v>23</v>
      </c>
    </row>
    <row r="6321" spans="2:8" x14ac:dyDescent="0.2">
      <c r="B6321" s="3">
        <v>45013</v>
      </c>
      <c r="G6321" s="2">
        <f t="shared" si="98"/>
        <v>0</v>
      </c>
      <c r="H6321" t="s">
        <v>6</v>
      </c>
    </row>
    <row r="6322" spans="2:8" x14ac:dyDescent="0.2">
      <c r="B6322" s="3">
        <v>45013</v>
      </c>
      <c r="G6322" s="2">
        <f t="shared" si="98"/>
        <v>0</v>
      </c>
      <c r="H6322" t="s">
        <v>5</v>
      </c>
    </row>
    <row r="6323" spans="2:8" x14ac:dyDescent="0.2">
      <c r="B6323" s="3">
        <v>45013</v>
      </c>
      <c r="G6323" s="2">
        <f t="shared" si="98"/>
        <v>0</v>
      </c>
      <c r="H6323" s="1"/>
    </row>
    <row r="6324" spans="2:8" x14ac:dyDescent="0.2">
      <c r="B6324" s="3">
        <v>45014</v>
      </c>
      <c r="G6324" s="2">
        <f t="shared" si="98"/>
        <v>0</v>
      </c>
      <c r="H6324" t="s">
        <v>14</v>
      </c>
    </row>
    <row r="6325" spans="2:8" x14ac:dyDescent="0.2">
      <c r="B6325" s="3">
        <v>45014</v>
      </c>
      <c r="G6325" s="2">
        <f t="shared" si="98"/>
        <v>0</v>
      </c>
      <c r="H6325" t="s">
        <v>27</v>
      </c>
    </row>
    <row r="6326" spans="2:8" x14ac:dyDescent="0.2">
      <c r="B6326" s="3">
        <v>45014</v>
      </c>
      <c r="G6326" s="2">
        <f t="shared" si="98"/>
        <v>0</v>
      </c>
      <c r="H6326" t="s">
        <v>13</v>
      </c>
    </row>
    <row r="6327" spans="2:8" x14ac:dyDescent="0.2">
      <c r="B6327" s="3">
        <v>45014</v>
      </c>
      <c r="G6327" s="2">
        <f t="shared" si="98"/>
        <v>0</v>
      </c>
      <c r="H6327" t="s">
        <v>30</v>
      </c>
    </row>
    <row r="6328" spans="2:8" x14ac:dyDescent="0.2">
      <c r="B6328" s="3">
        <v>45014</v>
      </c>
      <c r="G6328" s="2">
        <f t="shared" si="98"/>
        <v>0</v>
      </c>
      <c r="H6328" t="s">
        <v>29</v>
      </c>
    </row>
    <row r="6329" spans="2:8" x14ac:dyDescent="0.2">
      <c r="B6329" s="3">
        <v>45014</v>
      </c>
      <c r="G6329" s="2">
        <f t="shared" si="98"/>
        <v>0</v>
      </c>
      <c r="H6329" t="s">
        <v>25</v>
      </c>
    </row>
    <row r="6330" spans="2:8" x14ac:dyDescent="0.2">
      <c r="B6330" s="3">
        <v>45014</v>
      </c>
      <c r="G6330" s="2">
        <f t="shared" si="98"/>
        <v>0</v>
      </c>
      <c r="H6330" t="s">
        <v>24</v>
      </c>
    </row>
    <row r="6331" spans="2:8" x14ac:dyDescent="0.2">
      <c r="B6331" s="3">
        <v>45014</v>
      </c>
      <c r="G6331" s="2">
        <f t="shared" si="98"/>
        <v>0</v>
      </c>
      <c r="H6331" t="s">
        <v>9</v>
      </c>
    </row>
    <row r="6332" spans="2:8" x14ac:dyDescent="0.2">
      <c r="B6332" s="3">
        <v>45014</v>
      </c>
      <c r="G6332" s="2">
        <f t="shared" si="98"/>
        <v>0</v>
      </c>
      <c r="H6332" t="s">
        <v>8</v>
      </c>
    </row>
    <row r="6333" spans="2:8" x14ac:dyDescent="0.2">
      <c r="B6333" s="3">
        <v>45014</v>
      </c>
      <c r="G6333" s="2">
        <f t="shared" si="98"/>
        <v>0</v>
      </c>
      <c r="H6333" t="s">
        <v>23</v>
      </c>
    </row>
    <row r="6334" spans="2:8" x14ac:dyDescent="0.2">
      <c r="B6334" s="3">
        <v>45014</v>
      </c>
      <c r="G6334" s="2">
        <f t="shared" si="98"/>
        <v>0</v>
      </c>
      <c r="H6334" t="s">
        <v>6</v>
      </c>
    </row>
    <row r="6335" spans="2:8" x14ac:dyDescent="0.2">
      <c r="B6335" s="3">
        <v>45014</v>
      </c>
      <c r="G6335" s="2">
        <f t="shared" si="98"/>
        <v>0</v>
      </c>
      <c r="H6335" t="s">
        <v>5</v>
      </c>
    </row>
    <row r="6336" spans="2:8" x14ac:dyDescent="0.2">
      <c r="B6336" s="3">
        <v>45014</v>
      </c>
      <c r="G6336" s="2">
        <f t="shared" si="98"/>
        <v>0</v>
      </c>
      <c r="H6336" s="1"/>
    </row>
    <row r="6337" spans="2:8" x14ac:dyDescent="0.2">
      <c r="B6337" s="3">
        <v>45015</v>
      </c>
      <c r="G6337" s="2">
        <f t="shared" si="98"/>
        <v>0</v>
      </c>
      <c r="H6337" t="s">
        <v>14</v>
      </c>
    </row>
    <row r="6338" spans="2:8" x14ac:dyDescent="0.2">
      <c r="B6338" s="3">
        <v>45015</v>
      </c>
      <c r="G6338" s="2">
        <f t="shared" si="98"/>
        <v>0</v>
      </c>
      <c r="H6338" t="s">
        <v>27</v>
      </c>
    </row>
    <row r="6339" spans="2:8" x14ac:dyDescent="0.2">
      <c r="B6339" s="3">
        <v>45015</v>
      </c>
      <c r="F6339" s="1">
        <v>3000</v>
      </c>
      <c r="G6339" s="2">
        <f t="shared" ref="G6339:G6402" si="99">E6339-F6339</f>
        <v>-3000</v>
      </c>
      <c r="H6339" t="s">
        <v>13</v>
      </c>
    </row>
    <row r="6340" spans="2:8" x14ac:dyDescent="0.2">
      <c r="B6340" s="3">
        <v>45015</v>
      </c>
      <c r="G6340" s="2">
        <f t="shared" si="99"/>
        <v>0</v>
      </c>
      <c r="H6340" t="s">
        <v>30</v>
      </c>
    </row>
    <row r="6341" spans="2:8" x14ac:dyDescent="0.2">
      <c r="B6341" s="3">
        <v>45015</v>
      </c>
      <c r="G6341" s="2">
        <f t="shared" si="99"/>
        <v>0</v>
      </c>
      <c r="H6341" t="s">
        <v>29</v>
      </c>
    </row>
    <row r="6342" spans="2:8" x14ac:dyDescent="0.2">
      <c r="B6342" s="3">
        <v>45015</v>
      </c>
      <c r="G6342" s="2">
        <f t="shared" si="99"/>
        <v>0</v>
      </c>
      <c r="H6342" t="s">
        <v>25</v>
      </c>
    </row>
    <row r="6343" spans="2:8" x14ac:dyDescent="0.2">
      <c r="B6343" s="3">
        <v>45015</v>
      </c>
      <c r="D6343" s="1">
        <v>1853</v>
      </c>
      <c r="E6343" s="1">
        <v>2065</v>
      </c>
      <c r="G6343" s="2">
        <f t="shared" si="99"/>
        <v>2065</v>
      </c>
      <c r="H6343" t="s">
        <v>24</v>
      </c>
    </row>
    <row r="6344" spans="2:8" x14ac:dyDescent="0.2">
      <c r="B6344" s="3">
        <v>45015</v>
      </c>
      <c r="G6344" s="2">
        <f t="shared" si="99"/>
        <v>0</v>
      </c>
      <c r="H6344" t="s">
        <v>9</v>
      </c>
    </row>
    <row r="6345" spans="2:8" x14ac:dyDescent="0.2">
      <c r="B6345" s="3">
        <v>45015</v>
      </c>
      <c r="G6345" s="2">
        <f t="shared" si="99"/>
        <v>0</v>
      </c>
      <c r="H6345" t="s">
        <v>8</v>
      </c>
    </row>
    <row r="6346" spans="2:8" x14ac:dyDescent="0.2">
      <c r="B6346" s="3">
        <v>45015</v>
      </c>
      <c r="G6346" s="2">
        <f t="shared" si="99"/>
        <v>0</v>
      </c>
      <c r="H6346" t="s">
        <v>23</v>
      </c>
    </row>
    <row r="6347" spans="2:8" x14ac:dyDescent="0.2">
      <c r="B6347" s="3">
        <v>45015</v>
      </c>
      <c r="F6347" s="1">
        <v>2000</v>
      </c>
      <c r="G6347" s="2">
        <f t="shared" si="99"/>
        <v>-2000</v>
      </c>
      <c r="H6347" t="s">
        <v>6</v>
      </c>
    </row>
    <row r="6348" spans="2:8" x14ac:dyDescent="0.2">
      <c r="B6348" s="3">
        <v>45015</v>
      </c>
      <c r="F6348" s="1">
        <v>3000</v>
      </c>
      <c r="G6348" s="2">
        <f t="shared" si="99"/>
        <v>-3000</v>
      </c>
      <c r="H6348" t="s">
        <v>5</v>
      </c>
    </row>
    <row r="6349" spans="2:8" x14ac:dyDescent="0.2">
      <c r="B6349" s="3">
        <v>45015</v>
      </c>
      <c r="G6349" s="2">
        <f t="shared" si="99"/>
        <v>0</v>
      </c>
      <c r="H6349" s="1"/>
    </row>
    <row r="6350" spans="2:8" x14ac:dyDescent="0.2">
      <c r="B6350" s="3">
        <v>45016</v>
      </c>
      <c r="G6350" s="2">
        <f t="shared" si="99"/>
        <v>0</v>
      </c>
      <c r="H6350" t="s">
        <v>14</v>
      </c>
    </row>
    <row r="6351" spans="2:8" x14ac:dyDescent="0.2">
      <c r="B6351" s="3">
        <v>45016</v>
      </c>
      <c r="G6351" s="2">
        <f t="shared" si="99"/>
        <v>0</v>
      </c>
      <c r="H6351" t="s">
        <v>27</v>
      </c>
    </row>
    <row r="6352" spans="2:8" x14ac:dyDescent="0.2">
      <c r="B6352" s="3">
        <v>45016</v>
      </c>
      <c r="G6352" s="2">
        <f t="shared" si="99"/>
        <v>0</v>
      </c>
      <c r="H6352" t="s">
        <v>13</v>
      </c>
    </row>
    <row r="6353" spans="2:8" x14ac:dyDescent="0.2">
      <c r="B6353" s="3">
        <v>45016</v>
      </c>
      <c r="G6353" s="2">
        <f t="shared" si="99"/>
        <v>0</v>
      </c>
      <c r="H6353" t="s">
        <v>30</v>
      </c>
    </row>
    <row r="6354" spans="2:8" x14ac:dyDescent="0.2">
      <c r="B6354" s="3">
        <v>45016</v>
      </c>
      <c r="G6354" s="2">
        <f t="shared" si="99"/>
        <v>0</v>
      </c>
      <c r="H6354" t="s">
        <v>29</v>
      </c>
    </row>
    <row r="6355" spans="2:8" x14ac:dyDescent="0.2">
      <c r="B6355" s="3">
        <v>45016</v>
      </c>
      <c r="G6355" s="2">
        <f t="shared" si="99"/>
        <v>0</v>
      </c>
      <c r="H6355" t="s">
        <v>25</v>
      </c>
    </row>
    <row r="6356" spans="2:8" x14ac:dyDescent="0.2">
      <c r="B6356" s="3">
        <v>45016</v>
      </c>
      <c r="G6356" s="2">
        <f t="shared" si="99"/>
        <v>0</v>
      </c>
      <c r="H6356" t="s">
        <v>24</v>
      </c>
    </row>
    <row r="6357" spans="2:8" x14ac:dyDescent="0.2">
      <c r="B6357" s="3">
        <v>45016</v>
      </c>
      <c r="G6357" s="2">
        <f t="shared" si="99"/>
        <v>0</v>
      </c>
      <c r="H6357" t="s">
        <v>9</v>
      </c>
    </row>
    <row r="6358" spans="2:8" x14ac:dyDescent="0.2">
      <c r="B6358" s="3">
        <v>45016</v>
      </c>
      <c r="G6358" s="2">
        <f t="shared" si="99"/>
        <v>0</v>
      </c>
      <c r="H6358" t="s">
        <v>8</v>
      </c>
    </row>
    <row r="6359" spans="2:8" x14ac:dyDescent="0.2">
      <c r="B6359" s="3">
        <v>45016</v>
      </c>
      <c r="G6359" s="2">
        <f t="shared" si="99"/>
        <v>0</v>
      </c>
      <c r="H6359" t="s">
        <v>23</v>
      </c>
    </row>
    <row r="6360" spans="2:8" x14ac:dyDescent="0.2">
      <c r="B6360" s="3">
        <v>45016</v>
      </c>
      <c r="G6360" s="2">
        <f t="shared" si="99"/>
        <v>0</v>
      </c>
      <c r="H6360" t="s">
        <v>6</v>
      </c>
    </row>
    <row r="6361" spans="2:8" x14ac:dyDescent="0.2">
      <c r="B6361" s="3">
        <v>45016</v>
      </c>
      <c r="G6361" s="2">
        <f t="shared" si="99"/>
        <v>0</v>
      </c>
      <c r="H6361" t="s">
        <v>5</v>
      </c>
    </row>
    <row r="6362" spans="2:8" x14ac:dyDescent="0.2">
      <c r="B6362" s="3">
        <v>45016</v>
      </c>
      <c r="G6362" s="2">
        <f t="shared" si="99"/>
        <v>0</v>
      </c>
      <c r="H6362" s="1"/>
    </row>
    <row r="6363" spans="2:8" x14ac:dyDescent="0.2">
      <c r="B6363" s="3">
        <v>45017</v>
      </c>
      <c r="F6363" s="1">
        <v>7000</v>
      </c>
      <c r="G6363" s="2">
        <f t="shared" si="99"/>
        <v>-7000</v>
      </c>
      <c r="H6363" t="s">
        <v>14</v>
      </c>
    </row>
    <row r="6364" spans="2:8" x14ac:dyDescent="0.2">
      <c r="B6364" s="3">
        <v>45017</v>
      </c>
      <c r="G6364" s="2">
        <f t="shared" si="99"/>
        <v>0</v>
      </c>
      <c r="H6364" t="s">
        <v>27</v>
      </c>
    </row>
    <row r="6365" spans="2:8" x14ac:dyDescent="0.2">
      <c r="B6365" s="3">
        <v>45017</v>
      </c>
      <c r="G6365" s="2">
        <f t="shared" si="99"/>
        <v>0</v>
      </c>
      <c r="H6365" t="s">
        <v>13</v>
      </c>
    </row>
    <row r="6366" spans="2:8" x14ac:dyDescent="0.2">
      <c r="B6366" s="3">
        <v>45017</v>
      </c>
      <c r="G6366" s="2">
        <f t="shared" si="99"/>
        <v>0</v>
      </c>
      <c r="H6366" t="s">
        <v>30</v>
      </c>
    </row>
    <row r="6367" spans="2:8" x14ac:dyDescent="0.2">
      <c r="B6367" s="3">
        <v>45017</v>
      </c>
      <c r="G6367" s="2">
        <f t="shared" si="99"/>
        <v>0</v>
      </c>
      <c r="H6367" t="s">
        <v>29</v>
      </c>
    </row>
    <row r="6368" spans="2:8" x14ac:dyDescent="0.2">
      <c r="B6368" s="3">
        <v>45017</v>
      </c>
      <c r="G6368" s="2">
        <f t="shared" si="99"/>
        <v>0</v>
      </c>
      <c r="H6368" t="s">
        <v>25</v>
      </c>
    </row>
    <row r="6369" spans="2:8" x14ac:dyDescent="0.2">
      <c r="B6369" s="3">
        <v>45017</v>
      </c>
      <c r="G6369" s="2">
        <f t="shared" si="99"/>
        <v>0</v>
      </c>
      <c r="H6369" t="s">
        <v>24</v>
      </c>
    </row>
    <row r="6370" spans="2:8" x14ac:dyDescent="0.2">
      <c r="B6370" s="3">
        <v>45017</v>
      </c>
      <c r="G6370" s="2">
        <f t="shared" si="99"/>
        <v>0</v>
      </c>
      <c r="H6370" t="s">
        <v>9</v>
      </c>
    </row>
    <row r="6371" spans="2:8" x14ac:dyDescent="0.2">
      <c r="B6371" s="3">
        <v>45017</v>
      </c>
      <c r="G6371" s="2">
        <f t="shared" si="99"/>
        <v>0</v>
      </c>
      <c r="H6371" t="s">
        <v>8</v>
      </c>
    </row>
    <row r="6372" spans="2:8" x14ac:dyDescent="0.2">
      <c r="B6372" s="3">
        <v>45017</v>
      </c>
      <c r="G6372" s="2">
        <f t="shared" si="99"/>
        <v>0</v>
      </c>
      <c r="H6372" t="s">
        <v>23</v>
      </c>
    </row>
    <row r="6373" spans="2:8" x14ac:dyDescent="0.2">
      <c r="B6373" s="3">
        <v>45017</v>
      </c>
      <c r="G6373" s="2">
        <f t="shared" si="99"/>
        <v>0</v>
      </c>
      <c r="H6373" t="s">
        <v>6</v>
      </c>
    </row>
    <row r="6374" spans="2:8" x14ac:dyDescent="0.2">
      <c r="B6374" s="3">
        <v>45017</v>
      </c>
      <c r="G6374" s="2">
        <f t="shared" si="99"/>
        <v>0</v>
      </c>
      <c r="H6374" t="s">
        <v>5</v>
      </c>
    </row>
    <row r="6375" spans="2:8" x14ac:dyDescent="0.2">
      <c r="B6375" s="3">
        <v>45017</v>
      </c>
      <c r="G6375" s="2">
        <f t="shared" si="99"/>
        <v>0</v>
      </c>
      <c r="H6375" s="1"/>
    </row>
    <row r="6376" spans="2:8" x14ac:dyDescent="0.2">
      <c r="B6376" s="3">
        <v>45018</v>
      </c>
      <c r="G6376" s="2">
        <f t="shared" si="99"/>
        <v>0</v>
      </c>
      <c r="H6376" t="s">
        <v>14</v>
      </c>
    </row>
    <row r="6377" spans="2:8" x14ac:dyDescent="0.2">
      <c r="B6377" s="3">
        <v>45018</v>
      </c>
      <c r="G6377" s="2">
        <f t="shared" si="99"/>
        <v>0</v>
      </c>
      <c r="H6377" t="s">
        <v>27</v>
      </c>
    </row>
    <row r="6378" spans="2:8" x14ac:dyDescent="0.2">
      <c r="B6378" s="3">
        <v>45018</v>
      </c>
      <c r="G6378" s="2">
        <f t="shared" si="99"/>
        <v>0</v>
      </c>
      <c r="H6378" t="s">
        <v>13</v>
      </c>
    </row>
    <row r="6379" spans="2:8" x14ac:dyDescent="0.2">
      <c r="B6379" s="3">
        <v>45018</v>
      </c>
      <c r="G6379" s="2">
        <f t="shared" si="99"/>
        <v>0</v>
      </c>
      <c r="H6379" t="s">
        <v>30</v>
      </c>
    </row>
    <row r="6380" spans="2:8" x14ac:dyDescent="0.2">
      <c r="B6380" s="3">
        <v>45018</v>
      </c>
      <c r="F6380" s="1">
        <v>3000</v>
      </c>
      <c r="G6380" s="2">
        <f t="shared" si="99"/>
        <v>-3000</v>
      </c>
      <c r="H6380" t="s">
        <v>29</v>
      </c>
    </row>
    <row r="6381" spans="2:8" x14ac:dyDescent="0.2">
      <c r="B6381" s="3">
        <v>45018</v>
      </c>
      <c r="G6381" s="2">
        <f t="shared" si="99"/>
        <v>0</v>
      </c>
      <c r="H6381" t="s">
        <v>25</v>
      </c>
    </row>
    <row r="6382" spans="2:8" x14ac:dyDescent="0.2">
      <c r="B6382" s="3">
        <v>45018</v>
      </c>
      <c r="G6382" s="2">
        <f t="shared" si="99"/>
        <v>0</v>
      </c>
      <c r="H6382" t="s">
        <v>24</v>
      </c>
    </row>
    <row r="6383" spans="2:8" x14ac:dyDescent="0.2">
      <c r="B6383" s="3">
        <v>45018</v>
      </c>
      <c r="G6383" s="2">
        <f t="shared" si="99"/>
        <v>0</v>
      </c>
      <c r="H6383" t="s">
        <v>9</v>
      </c>
    </row>
    <row r="6384" spans="2:8" x14ac:dyDescent="0.2">
      <c r="B6384" s="3">
        <v>45018</v>
      </c>
      <c r="G6384" s="2">
        <f t="shared" si="99"/>
        <v>0</v>
      </c>
      <c r="H6384" t="s">
        <v>8</v>
      </c>
    </row>
    <row r="6385" spans="2:8" x14ac:dyDescent="0.2">
      <c r="B6385" s="3">
        <v>45018</v>
      </c>
      <c r="G6385" s="2">
        <f t="shared" si="99"/>
        <v>0</v>
      </c>
      <c r="H6385" t="s">
        <v>23</v>
      </c>
    </row>
    <row r="6386" spans="2:8" x14ac:dyDescent="0.2">
      <c r="B6386" s="3">
        <v>45018</v>
      </c>
      <c r="G6386" s="2">
        <f t="shared" si="99"/>
        <v>0</v>
      </c>
      <c r="H6386" t="s">
        <v>6</v>
      </c>
    </row>
    <row r="6387" spans="2:8" x14ac:dyDescent="0.2">
      <c r="B6387" s="3">
        <v>45018</v>
      </c>
      <c r="G6387" s="2">
        <f t="shared" si="99"/>
        <v>0</v>
      </c>
      <c r="H6387" t="s">
        <v>5</v>
      </c>
    </row>
    <row r="6388" spans="2:8" x14ac:dyDescent="0.2">
      <c r="B6388" s="3">
        <v>45018</v>
      </c>
      <c r="D6388" s="1">
        <v>2664</v>
      </c>
      <c r="E6388" s="1">
        <v>3460</v>
      </c>
      <c r="F6388" s="1">
        <v>3460</v>
      </c>
      <c r="G6388" s="2">
        <f t="shared" si="99"/>
        <v>0</v>
      </c>
      <c r="H6388" t="s">
        <v>39</v>
      </c>
    </row>
    <row r="6389" spans="2:8" x14ac:dyDescent="0.2">
      <c r="B6389" s="3">
        <v>45019</v>
      </c>
      <c r="G6389" s="2">
        <f t="shared" si="99"/>
        <v>0</v>
      </c>
      <c r="H6389" t="s">
        <v>14</v>
      </c>
    </row>
    <row r="6390" spans="2:8" x14ac:dyDescent="0.2">
      <c r="B6390" s="3">
        <v>45019</v>
      </c>
      <c r="G6390" s="2">
        <f t="shared" si="99"/>
        <v>0</v>
      </c>
      <c r="H6390" t="s">
        <v>27</v>
      </c>
    </row>
    <row r="6391" spans="2:8" x14ac:dyDescent="0.2">
      <c r="B6391" s="3">
        <v>45019</v>
      </c>
      <c r="G6391" s="2">
        <f t="shared" si="99"/>
        <v>0</v>
      </c>
      <c r="H6391" t="s">
        <v>13</v>
      </c>
    </row>
    <row r="6392" spans="2:8" x14ac:dyDescent="0.2">
      <c r="B6392" s="3">
        <v>45019</v>
      </c>
      <c r="G6392" s="2">
        <f t="shared" si="99"/>
        <v>0</v>
      </c>
      <c r="H6392" t="s">
        <v>30</v>
      </c>
    </row>
    <row r="6393" spans="2:8" x14ac:dyDescent="0.2">
      <c r="B6393" s="3">
        <v>45019</v>
      </c>
      <c r="G6393" s="2">
        <f t="shared" si="99"/>
        <v>0</v>
      </c>
      <c r="H6393" t="s">
        <v>29</v>
      </c>
    </row>
    <row r="6394" spans="2:8" x14ac:dyDescent="0.2">
      <c r="B6394" s="3">
        <v>45019</v>
      </c>
      <c r="G6394" s="2">
        <f t="shared" si="99"/>
        <v>0</v>
      </c>
      <c r="H6394" t="s">
        <v>25</v>
      </c>
    </row>
    <row r="6395" spans="2:8" x14ac:dyDescent="0.2">
      <c r="B6395" s="3">
        <v>45019</v>
      </c>
      <c r="D6395" s="1">
        <v>965</v>
      </c>
      <c r="E6395" s="1">
        <v>1052.5</v>
      </c>
      <c r="G6395" s="2">
        <f t="shared" si="99"/>
        <v>1052.5</v>
      </c>
      <c r="H6395" t="s">
        <v>24</v>
      </c>
    </row>
    <row r="6396" spans="2:8" x14ac:dyDescent="0.2">
      <c r="B6396" s="3">
        <v>45019</v>
      </c>
      <c r="D6396" s="1">
        <v>15690</v>
      </c>
      <c r="E6396" s="1">
        <v>17910</v>
      </c>
      <c r="G6396" s="2">
        <f t="shared" si="99"/>
        <v>17910</v>
      </c>
      <c r="H6396" t="s">
        <v>9</v>
      </c>
    </row>
    <row r="6397" spans="2:8" x14ac:dyDescent="0.2">
      <c r="B6397" s="3">
        <v>45019</v>
      </c>
      <c r="G6397" s="2">
        <f t="shared" si="99"/>
        <v>0</v>
      </c>
      <c r="H6397" t="s">
        <v>8</v>
      </c>
    </row>
    <row r="6398" spans="2:8" x14ac:dyDescent="0.2">
      <c r="B6398" s="3">
        <v>45019</v>
      </c>
      <c r="G6398" s="2">
        <f t="shared" si="99"/>
        <v>0</v>
      </c>
      <c r="H6398" t="s">
        <v>23</v>
      </c>
    </row>
    <row r="6399" spans="2:8" x14ac:dyDescent="0.2">
      <c r="B6399" s="3">
        <v>45019</v>
      </c>
      <c r="G6399" s="2">
        <f t="shared" si="99"/>
        <v>0</v>
      </c>
      <c r="H6399" t="s">
        <v>6</v>
      </c>
    </row>
    <row r="6400" spans="2:8" x14ac:dyDescent="0.2">
      <c r="B6400" s="3">
        <v>45019</v>
      </c>
      <c r="G6400" s="2">
        <f t="shared" si="99"/>
        <v>0</v>
      </c>
      <c r="H6400" t="s">
        <v>5</v>
      </c>
    </row>
    <row r="6401" spans="2:8" x14ac:dyDescent="0.2">
      <c r="B6401" s="3">
        <v>45019</v>
      </c>
      <c r="G6401" s="2">
        <f t="shared" si="99"/>
        <v>0</v>
      </c>
      <c r="H6401" s="1"/>
    </row>
    <row r="6402" spans="2:8" x14ac:dyDescent="0.2">
      <c r="B6402" s="3">
        <v>45020</v>
      </c>
      <c r="G6402" s="2">
        <f t="shared" si="99"/>
        <v>0</v>
      </c>
      <c r="H6402" t="s">
        <v>14</v>
      </c>
    </row>
    <row r="6403" spans="2:8" x14ac:dyDescent="0.2">
      <c r="B6403" s="3">
        <v>45020</v>
      </c>
      <c r="G6403" s="2">
        <f t="shared" ref="G6403:G6466" si="100">E6403-F6403</f>
        <v>0</v>
      </c>
      <c r="H6403" t="s">
        <v>27</v>
      </c>
    </row>
    <row r="6404" spans="2:8" x14ac:dyDescent="0.2">
      <c r="B6404" s="3">
        <v>45020</v>
      </c>
      <c r="G6404" s="2">
        <f t="shared" si="100"/>
        <v>0</v>
      </c>
      <c r="H6404" t="s">
        <v>13</v>
      </c>
    </row>
    <row r="6405" spans="2:8" x14ac:dyDescent="0.2">
      <c r="B6405" s="3">
        <v>45020</v>
      </c>
      <c r="G6405" s="2">
        <f t="shared" si="100"/>
        <v>0</v>
      </c>
      <c r="H6405" t="s">
        <v>30</v>
      </c>
    </row>
    <row r="6406" spans="2:8" x14ac:dyDescent="0.2">
      <c r="B6406" s="3">
        <v>45020</v>
      </c>
      <c r="G6406" s="2">
        <f t="shared" si="100"/>
        <v>0</v>
      </c>
      <c r="H6406" t="s">
        <v>29</v>
      </c>
    </row>
    <row r="6407" spans="2:8" x14ac:dyDescent="0.2">
      <c r="B6407" s="3">
        <v>45020</v>
      </c>
      <c r="G6407" s="2">
        <f t="shared" si="100"/>
        <v>0</v>
      </c>
      <c r="H6407" t="s">
        <v>25</v>
      </c>
    </row>
    <row r="6408" spans="2:8" x14ac:dyDescent="0.2">
      <c r="B6408" s="3">
        <v>45020</v>
      </c>
      <c r="G6408" s="2">
        <f t="shared" si="100"/>
        <v>0</v>
      </c>
      <c r="H6408" t="s">
        <v>24</v>
      </c>
    </row>
    <row r="6409" spans="2:8" x14ac:dyDescent="0.2">
      <c r="B6409" s="3">
        <v>45020</v>
      </c>
      <c r="G6409" s="2">
        <f t="shared" si="100"/>
        <v>0</v>
      </c>
      <c r="H6409" t="s">
        <v>9</v>
      </c>
    </row>
    <row r="6410" spans="2:8" x14ac:dyDescent="0.2">
      <c r="B6410" s="3">
        <v>45020</v>
      </c>
      <c r="G6410" s="2">
        <f t="shared" si="100"/>
        <v>0</v>
      </c>
      <c r="H6410" t="s">
        <v>8</v>
      </c>
    </row>
    <row r="6411" spans="2:8" x14ac:dyDescent="0.2">
      <c r="B6411" s="3">
        <v>45020</v>
      </c>
      <c r="G6411" s="2">
        <f t="shared" si="100"/>
        <v>0</v>
      </c>
      <c r="H6411" t="s">
        <v>23</v>
      </c>
    </row>
    <row r="6412" spans="2:8" x14ac:dyDescent="0.2">
      <c r="B6412" s="3">
        <v>45020</v>
      </c>
      <c r="D6412" s="1">
        <v>1800</v>
      </c>
      <c r="E6412" s="1">
        <v>1900</v>
      </c>
      <c r="G6412" s="2">
        <f t="shared" si="100"/>
        <v>1900</v>
      </c>
      <c r="H6412" t="s">
        <v>6</v>
      </c>
    </row>
    <row r="6413" spans="2:8" x14ac:dyDescent="0.2">
      <c r="B6413" s="3">
        <v>45020</v>
      </c>
      <c r="G6413" s="2">
        <f t="shared" si="100"/>
        <v>0</v>
      </c>
      <c r="H6413" t="s">
        <v>5</v>
      </c>
    </row>
    <row r="6414" spans="2:8" x14ac:dyDescent="0.2">
      <c r="B6414" s="3">
        <v>45020</v>
      </c>
      <c r="G6414" s="2">
        <f t="shared" si="100"/>
        <v>0</v>
      </c>
      <c r="H6414" s="1"/>
    </row>
    <row r="6415" spans="2:8" x14ac:dyDescent="0.2">
      <c r="B6415" s="3">
        <v>45021</v>
      </c>
      <c r="G6415" s="2">
        <f t="shared" si="100"/>
        <v>0</v>
      </c>
      <c r="H6415" t="s">
        <v>14</v>
      </c>
    </row>
    <row r="6416" spans="2:8" x14ac:dyDescent="0.2">
      <c r="B6416" s="3">
        <v>45021</v>
      </c>
      <c r="G6416" s="2">
        <f t="shared" si="100"/>
        <v>0</v>
      </c>
      <c r="H6416" t="s">
        <v>27</v>
      </c>
    </row>
    <row r="6417" spans="2:8" x14ac:dyDescent="0.2">
      <c r="B6417" s="3">
        <v>45021</v>
      </c>
      <c r="G6417" s="2">
        <f t="shared" si="100"/>
        <v>0</v>
      </c>
      <c r="H6417" t="s">
        <v>13</v>
      </c>
    </row>
    <row r="6418" spans="2:8" x14ac:dyDescent="0.2">
      <c r="B6418" s="3">
        <v>45021</v>
      </c>
      <c r="G6418" s="2">
        <f t="shared" si="100"/>
        <v>0</v>
      </c>
      <c r="H6418" t="s">
        <v>30</v>
      </c>
    </row>
    <row r="6419" spans="2:8" x14ac:dyDescent="0.2">
      <c r="B6419" s="3">
        <v>45021</v>
      </c>
      <c r="F6419" s="1">
        <v>205.75</v>
      </c>
      <c r="G6419" s="2">
        <f t="shared" si="100"/>
        <v>-205.75</v>
      </c>
      <c r="H6419" t="s">
        <v>29</v>
      </c>
    </row>
    <row r="6420" spans="2:8" x14ac:dyDescent="0.2">
      <c r="B6420" s="3">
        <v>45021</v>
      </c>
      <c r="G6420" s="2">
        <f t="shared" si="100"/>
        <v>0</v>
      </c>
      <c r="H6420" t="s">
        <v>25</v>
      </c>
    </row>
    <row r="6421" spans="2:8" x14ac:dyDescent="0.2">
      <c r="B6421" s="3">
        <v>45021</v>
      </c>
      <c r="G6421" s="2">
        <f t="shared" si="100"/>
        <v>0</v>
      </c>
      <c r="H6421" t="s">
        <v>24</v>
      </c>
    </row>
    <row r="6422" spans="2:8" x14ac:dyDescent="0.2">
      <c r="B6422" s="3">
        <v>45021</v>
      </c>
      <c r="G6422" s="2">
        <f t="shared" si="100"/>
        <v>0</v>
      </c>
      <c r="H6422" t="s">
        <v>9</v>
      </c>
    </row>
    <row r="6423" spans="2:8" x14ac:dyDescent="0.2">
      <c r="B6423" s="3">
        <v>45021</v>
      </c>
      <c r="G6423" s="2">
        <f t="shared" si="100"/>
        <v>0</v>
      </c>
      <c r="H6423" t="s">
        <v>8</v>
      </c>
    </row>
    <row r="6424" spans="2:8" x14ac:dyDescent="0.2">
      <c r="B6424" s="3">
        <v>45021</v>
      </c>
      <c r="G6424" s="2">
        <f t="shared" si="100"/>
        <v>0</v>
      </c>
      <c r="H6424" t="s">
        <v>23</v>
      </c>
    </row>
    <row r="6425" spans="2:8" x14ac:dyDescent="0.2">
      <c r="B6425" s="3">
        <v>45021</v>
      </c>
      <c r="G6425" s="2">
        <f t="shared" si="100"/>
        <v>0</v>
      </c>
      <c r="H6425" t="s">
        <v>6</v>
      </c>
    </row>
    <row r="6426" spans="2:8" x14ac:dyDescent="0.2">
      <c r="B6426" s="3">
        <v>45021</v>
      </c>
      <c r="G6426" s="2">
        <f t="shared" si="100"/>
        <v>0</v>
      </c>
      <c r="H6426" t="s">
        <v>5</v>
      </c>
    </row>
    <row r="6427" spans="2:8" x14ac:dyDescent="0.2">
      <c r="B6427" s="3">
        <v>45021</v>
      </c>
      <c r="G6427" s="2">
        <f t="shared" si="100"/>
        <v>0</v>
      </c>
      <c r="H6427" s="1"/>
    </row>
    <row r="6428" spans="2:8" x14ac:dyDescent="0.2">
      <c r="B6428" s="3">
        <v>45022</v>
      </c>
      <c r="G6428" s="2">
        <f t="shared" si="100"/>
        <v>0</v>
      </c>
      <c r="H6428" t="s">
        <v>14</v>
      </c>
    </row>
    <row r="6429" spans="2:8" x14ac:dyDescent="0.2">
      <c r="B6429" s="3">
        <v>45022</v>
      </c>
      <c r="G6429" s="2">
        <f t="shared" si="100"/>
        <v>0</v>
      </c>
      <c r="H6429" t="s">
        <v>27</v>
      </c>
    </row>
    <row r="6430" spans="2:8" x14ac:dyDescent="0.2">
      <c r="B6430" s="3">
        <v>45022</v>
      </c>
      <c r="D6430" s="1">
        <v>5837</v>
      </c>
      <c r="E6430" s="1">
        <v>6779</v>
      </c>
      <c r="F6430" s="1">
        <v>9000</v>
      </c>
      <c r="G6430" s="2">
        <f t="shared" si="100"/>
        <v>-2221</v>
      </c>
      <c r="H6430" t="s">
        <v>13</v>
      </c>
    </row>
    <row r="6431" spans="2:8" x14ac:dyDescent="0.2">
      <c r="B6431" s="3">
        <v>45022</v>
      </c>
      <c r="G6431" s="2">
        <f t="shared" si="100"/>
        <v>0</v>
      </c>
      <c r="H6431" t="s">
        <v>30</v>
      </c>
    </row>
    <row r="6432" spans="2:8" x14ac:dyDescent="0.2">
      <c r="B6432" s="3">
        <v>45022</v>
      </c>
      <c r="G6432" s="2">
        <f t="shared" si="100"/>
        <v>0</v>
      </c>
      <c r="H6432" t="s">
        <v>29</v>
      </c>
    </row>
    <row r="6433" spans="2:8" x14ac:dyDescent="0.2">
      <c r="B6433" s="3">
        <v>45022</v>
      </c>
      <c r="G6433" s="2">
        <f t="shared" si="100"/>
        <v>0</v>
      </c>
      <c r="H6433" t="s">
        <v>25</v>
      </c>
    </row>
    <row r="6434" spans="2:8" x14ac:dyDescent="0.2">
      <c r="B6434" s="3">
        <v>45022</v>
      </c>
      <c r="F6434" s="1">
        <v>2000</v>
      </c>
      <c r="G6434" s="2">
        <f t="shared" si="100"/>
        <v>-2000</v>
      </c>
      <c r="H6434" t="s">
        <v>24</v>
      </c>
    </row>
    <row r="6435" spans="2:8" x14ac:dyDescent="0.2">
      <c r="B6435" s="3">
        <v>45022</v>
      </c>
      <c r="G6435" s="2">
        <f t="shared" si="100"/>
        <v>0</v>
      </c>
      <c r="H6435" t="s">
        <v>9</v>
      </c>
    </row>
    <row r="6436" spans="2:8" x14ac:dyDescent="0.2">
      <c r="B6436" s="3">
        <v>45022</v>
      </c>
      <c r="G6436" s="2">
        <f t="shared" si="100"/>
        <v>0</v>
      </c>
      <c r="H6436" t="s">
        <v>8</v>
      </c>
    </row>
    <row r="6437" spans="2:8" x14ac:dyDescent="0.2">
      <c r="B6437" s="3">
        <v>45022</v>
      </c>
      <c r="F6437" s="1">
        <v>6400</v>
      </c>
      <c r="G6437" s="2">
        <f t="shared" si="100"/>
        <v>-6400</v>
      </c>
      <c r="H6437" t="s">
        <v>23</v>
      </c>
    </row>
    <row r="6438" spans="2:8" x14ac:dyDescent="0.2">
      <c r="B6438" s="3">
        <v>45022</v>
      </c>
      <c r="F6438" s="1">
        <v>2000</v>
      </c>
      <c r="G6438" s="2">
        <f t="shared" si="100"/>
        <v>-2000</v>
      </c>
      <c r="H6438" t="s">
        <v>6</v>
      </c>
    </row>
    <row r="6439" spans="2:8" x14ac:dyDescent="0.2">
      <c r="B6439" s="3">
        <v>45022</v>
      </c>
      <c r="F6439" s="1">
        <v>5000</v>
      </c>
      <c r="G6439" s="2">
        <f t="shared" si="100"/>
        <v>-5000</v>
      </c>
      <c r="H6439" t="s">
        <v>5</v>
      </c>
    </row>
    <row r="6440" spans="2:8" x14ac:dyDescent="0.2">
      <c r="B6440" s="3">
        <v>45022</v>
      </c>
      <c r="G6440" s="2">
        <f t="shared" si="100"/>
        <v>0</v>
      </c>
      <c r="H6440" s="1"/>
    </row>
    <row r="6441" spans="2:8" x14ac:dyDescent="0.2">
      <c r="B6441" s="3">
        <v>45023</v>
      </c>
      <c r="G6441" s="2">
        <f t="shared" si="100"/>
        <v>0</v>
      </c>
      <c r="H6441" t="s">
        <v>14</v>
      </c>
    </row>
    <row r="6442" spans="2:8" x14ac:dyDescent="0.2">
      <c r="B6442" s="3">
        <v>45023</v>
      </c>
      <c r="G6442" s="2">
        <f t="shared" si="100"/>
        <v>0</v>
      </c>
      <c r="H6442" t="s">
        <v>27</v>
      </c>
    </row>
    <row r="6443" spans="2:8" x14ac:dyDescent="0.2">
      <c r="B6443" s="3">
        <v>45023</v>
      </c>
      <c r="G6443" s="2">
        <f t="shared" si="100"/>
        <v>0</v>
      </c>
      <c r="H6443" t="s">
        <v>13</v>
      </c>
    </row>
    <row r="6444" spans="2:8" x14ac:dyDescent="0.2">
      <c r="B6444" s="3">
        <v>45023</v>
      </c>
      <c r="G6444" s="2">
        <f t="shared" si="100"/>
        <v>0</v>
      </c>
      <c r="H6444" t="s">
        <v>30</v>
      </c>
    </row>
    <row r="6445" spans="2:8" x14ac:dyDescent="0.2">
      <c r="B6445" s="3">
        <v>45023</v>
      </c>
      <c r="G6445" s="2">
        <f t="shared" si="100"/>
        <v>0</v>
      </c>
      <c r="H6445" t="s">
        <v>25</v>
      </c>
    </row>
    <row r="6446" spans="2:8" x14ac:dyDescent="0.2">
      <c r="B6446" s="3">
        <v>45023</v>
      </c>
      <c r="G6446" s="2">
        <f t="shared" si="100"/>
        <v>0</v>
      </c>
      <c r="H6446" t="s">
        <v>24</v>
      </c>
    </row>
    <row r="6447" spans="2:8" x14ac:dyDescent="0.2">
      <c r="B6447" s="3">
        <v>45023</v>
      </c>
      <c r="G6447" s="2">
        <f t="shared" si="100"/>
        <v>0</v>
      </c>
      <c r="H6447" t="s">
        <v>9</v>
      </c>
    </row>
    <row r="6448" spans="2:8" x14ac:dyDescent="0.2">
      <c r="B6448" s="3">
        <v>45023</v>
      </c>
      <c r="G6448" s="2">
        <f t="shared" si="100"/>
        <v>0</v>
      </c>
      <c r="H6448" t="s">
        <v>8</v>
      </c>
    </row>
    <row r="6449" spans="2:8" x14ac:dyDescent="0.2">
      <c r="B6449" s="3">
        <v>45023</v>
      </c>
      <c r="G6449" s="2">
        <f t="shared" si="100"/>
        <v>0</v>
      </c>
      <c r="H6449" t="s">
        <v>23</v>
      </c>
    </row>
    <row r="6450" spans="2:8" x14ac:dyDescent="0.2">
      <c r="B6450" s="3">
        <v>45023</v>
      </c>
      <c r="G6450" s="2">
        <f t="shared" si="100"/>
        <v>0</v>
      </c>
      <c r="H6450" t="s">
        <v>6</v>
      </c>
    </row>
    <row r="6451" spans="2:8" x14ac:dyDescent="0.2">
      <c r="B6451" s="3">
        <v>45023</v>
      </c>
      <c r="G6451" s="2">
        <f t="shared" si="100"/>
        <v>0</v>
      </c>
      <c r="H6451" t="s">
        <v>5</v>
      </c>
    </row>
    <row r="6452" spans="2:8" x14ac:dyDescent="0.2">
      <c r="B6452" s="3">
        <v>45023</v>
      </c>
      <c r="G6452" s="2">
        <f t="shared" si="100"/>
        <v>0</v>
      </c>
      <c r="H6452" s="1"/>
    </row>
    <row r="6453" spans="2:8" x14ac:dyDescent="0.2">
      <c r="B6453" s="3">
        <v>45024</v>
      </c>
      <c r="F6453" s="1">
        <v>7000</v>
      </c>
      <c r="G6453" s="2">
        <f t="shared" si="100"/>
        <v>-7000</v>
      </c>
      <c r="H6453" t="s">
        <v>14</v>
      </c>
    </row>
    <row r="6454" spans="2:8" x14ac:dyDescent="0.2">
      <c r="B6454" s="3">
        <v>45024</v>
      </c>
      <c r="G6454" s="2">
        <f t="shared" si="100"/>
        <v>0</v>
      </c>
      <c r="H6454" t="s">
        <v>27</v>
      </c>
    </row>
    <row r="6455" spans="2:8" x14ac:dyDescent="0.2">
      <c r="B6455" s="3">
        <v>45024</v>
      </c>
      <c r="G6455" s="2">
        <f t="shared" si="100"/>
        <v>0</v>
      </c>
      <c r="H6455" t="s">
        <v>13</v>
      </c>
    </row>
    <row r="6456" spans="2:8" x14ac:dyDescent="0.2">
      <c r="B6456" s="3">
        <v>45024</v>
      </c>
      <c r="G6456" s="2">
        <f t="shared" si="100"/>
        <v>0</v>
      </c>
      <c r="H6456" t="s">
        <v>30</v>
      </c>
    </row>
    <row r="6457" spans="2:8" x14ac:dyDescent="0.2">
      <c r="B6457" s="3">
        <v>45024</v>
      </c>
      <c r="G6457" s="2">
        <f t="shared" si="100"/>
        <v>0</v>
      </c>
      <c r="H6457" t="s">
        <v>25</v>
      </c>
    </row>
    <row r="6458" spans="2:8" x14ac:dyDescent="0.2">
      <c r="B6458" s="3">
        <v>45024</v>
      </c>
      <c r="G6458" s="2">
        <f t="shared" si="100"/>
        <v>0</v>
      </c>
      <c r="H6458" t="s">
        <v>24</v>
      </c>
    </row>
    <row r="6459" spans="2:8" x14ac:dyDescent="0.2">
      <c r="B6459" s="3">
        <v>45024</v>
      </c>
      <c r="G6459" s="2">
        <f t="shared" si="100"/>
        <v>0</v>
      </c>
      <c r="H6459" t="s">
        <v>9</v>
      </c>
    </row>
    <row r="6460" spans="2:8" x14ac:dyDescent="0.2">
      <c r="B6460" s="3">
        <v>45024</v>
      </c>
      <c r="G6460" s="2">
        <f t="shared" si="100"/>
        <v>0</v>
      </c>
      <c r="H6460" t="s">
        <v>8</v>
      </c>
    </row>
    <row r="6461" spans="2:8" x14ac:dyDescent="0.2">
      <c r="B6461" s="3">
        <v>45024</v>
      </c>
      <c r="G6461" s="2">
        <f t="shared" si="100"/>
        <v>0</v>
      </c>
      <c r="H6461" t="s">
        <v>23</v>
      </c>
    </row>
    <row r="6462" spans="2:8" x14ac:dyDescent="0.2">
      <c r="B6462" s="3">
        <v>45024</v>
      </c>
      <c r="G6462" s="2">
        <f t="shared" si="100"/>
        <v>0</v>
      </c>
      <c r="H6462" t="s">
        <v>6</v>
      </c>
    </row>
    <row r="6463" spans="2:8" x14ac:dyDescent="0.2">
      <c r="B6463" s="3">
        <v>45024</v>
      </c>
      <c r="G6463" s="2">
        <f t="shared" si="100"/>
        <v>0</v>
      </c>
      <c r="H6463" t="s">
        <v>5</v>
      </c>
    </row>
    <row r="6464" spans="2:8" x14ac:dyDescent="0.2">
      <c r="B6464" s="3">
        <v>45024</v>
      </c>
      <c r="G6464" s="2">
        <f t="shared" si="100"/>
        <v>0</v>
      </c>
      <c r="H6464" s="1"/>
    </row>
    <row r="6465" spans="2:8" x14ac:dyDescent="0.2">
      <c r="B6465" s="3">
        <v>45025</v>
      </c>
      <c r="G6465" s="2">
        <f t="shared" si="100"/>
        <v>0</v>
      </c>
      <c r="H6465" t="s">
        <v>14</v>
      </c>
    </row>
    <row r="6466" spans="2:8" x14ac:dyDescent="0.2">
      <c r="B6466" s="3">
        <v>45025</v>
      </c>
      <c r="D6466" s="1">
        <v>43600</v>
      </c>
      <c r="E6466" s="1">
        <v>47500</v>
      </c>
      <c r="F6466" s="1">
        <v>47500</v>
      </c>
      <c r="G6466" s="2">
        <f t="shared" si="100"/>
        <v>0</v>
      </c>
      <c r="H6466" t="s">
        <v>27</v>
      </c>
    </row>
    <row r="6467" spans="2:8" x14ac:dyDescent="0.2">
      <c r="B6467" s="3">
        <v>45025</v>
      </c>
      <c r="G6467" s="2">
        <f t="shared" ref="G6467:G6530" si="101">E6467-F6467</f>
        <v>0</v>
      </c>
      <c r="H6467" t="s">
        <v>13</v>
      </c>
    </row>
    <row r="6468" spans="2:8" x14ac:dyDescent="0.2">
      <c r="B6468" s="3">
        <v>45025</v>
      </c>
      <c r="G6468" s="2">
        <f t="shared" si="101"/>
        <v>0</v>
      </c>
      <c r="H6468" t="s">
        <v>30</v>
      </c>
    </row>
    <row r="6469" spans="2:8" x14ac:dyDescent="0.2">
      <c r="B6469" s="3">
        <v>45025</v>
      </c>
      <c r="G6469" s="2">
        <f t="shared" si="101"/>
        <v>0</v>
      </c>
      <c r="H6469" t="s">
        <v>25</v>
      </c>
    </row>
    <row r="6470" spans="2:8" x14ac:dyDescent="0.2">
      <c r="B6470" s="3">
        <v>45025</v>
      </c>
      <c r="G6470" s="2">
        <f t="shared" si="101"/>
        <v>0</v>
      </c>
      <c r="H6470" t="s">
        <v>24</v>
      </c>
    </row>
    <row r="6471" spans="2:8" x14ac:dyDescent="0.2">
      <c r="B6471" s="3">
        <v>45025</v>
      </c>
      <c r="G6471" s="2">
        <f t="shared" si="101"/>
        <v>0</v>
      </c>
      <c r="H6471" t="s">
        <v>9</v>
      </c>
    </row>
    <row r="6472" spans="2:8" x14ac:dyDescent="0.2">
      <c r="B6472" s="3">
        <v>45025</v>
      </c>
      <c r="D6472" s="1">
        <v>40868</v>
      </c>
      <c r="E6472" s="1">
        <v>45570</v>
      </c>
      <c r="F6472" s="1">
        <v>20000</v>
      </c>
      <c r="G6472" s="2">
        <f t="shared" si="101"/>
        <v>25570</v>
      </c>
      <c r="H6472" t="s">
        <v>8</v>
      </c>
    </row>
    <row r="6473" spans="2:8" x14ac:dyDescent="0.2">
      <c r="B6473" s="3">
        <v>45025</v>
      </c>
      <c r="G6473" s="2">
        <f t="shared" si="101"/>
        <v>0</v>
      </c>
      <c r="H6473" t="s">
        <v>23</v>
      </c>
    </row>
    <row r="6474" spans="2:8" x14ac:dyDescent="0.2">
      <c r="B6474" s="3">
        <v>45025</v>
      </c>
      <c r="G6474" s="2">
        <f t="shared" si="101"/>
        <v>0</v>
      </c>
      <c r="H6474" t="s">
        <v>6</v>
      </c>
    </row>
    <row r="6475" spans="2:8" x14ac:dyDescent="0.2">
      <c r="B6475" s="3">
        <v>45025</v>
      </c>
      <c r="G6475" s="2">
        <f t="shared" si="101"/>
        <v>0</v>
      </c>
      <c r="H6475" t="s">
        <v>5</v>
      </c>
    </row>
    <row r="6476" spans="2:8" x14ac:dyDescent="0.2">
      <c r="B6476" s="3">
        <v>45025</v>
      </c>
      <c r="G6476" s="2">
        <f t="shared" si="101"/>
        <v>0</v>
      </c>
      <c r="H6476" s="1"/>
    </row>
    <row r="6477" spans="2:8" x14ac:dyDescent="0.2">
      <c r="B6477" s="3">
        <v>45026</v>
      </c>
      <c r="G6477" s="2">
        <f t="shared" si="101"/>
        <v>0</v>
      </c>
      <c r="H6477" t="s">
        <v>14</v>
      </c>
    </row>
    <row r="6478" spans="2:8" x14ac:dyDescent="0.2">
      <c r="B6478" s="3">
        <v>45026</v>
      </c>
      <c r="G6478" s="2">
        <f t="shared" si="101"/>
        <v>0</v>
      </c>
      <c r="H6478" t="s">
        <v>27</v>
      </c>
    </row>
    <row r="6479" spans="2:8" x14ac:dyDescent="0.2">
      <c r="B6479" s="3">
        <v>45026</v>
      </c>
      <c r="G6479" s="2">
        <f t="shared" si="101"/>
        <v>0</v>
      </c>
      <c r="H6479" t="s">
        <v>13</v>
      </c>
    </row>
    <row r="6480" spans="2:8" x14ac:dyDescent="0.2">
      <c r="B6480" s="3">
        <v>45026</v>
      </c>
      <c r="G6480" s="2">
        <f t="shared" si="101"/>
        <v>0</v>
      </c>
      <c r="H6480" t="s">
        <v>30</v>
      </c>
    </row>
    <row r="6481" spans="2:8" x14ac:dyDescent="0.2">
      <c r="B6481" s="3">
        <v>45026</v>
      </c>
      <c r="G6481" s="2">
        <f t="shared" si="101"/>
        <v>0</v>
      </c>
      <c r="H6481" t="s">
        <v>25</v>
      </c>
    </row>
    <row r="6482" spans="2:8" x14ac:dyDescent="0.2">
      <c r="B6482" s="3">
        <v>45026</v>
      </c>
      <c r="G6482" s="2">
        <f t="shared" si="101"/>
        <v>0</v>
      </c>
      <c r="H6482" t="s">
        <v>24</v>
      </c>
    </row>
    <row r="6483" spans="2:8" x14ac:dyDescent="0.2">
      <c r="B6483" s="3">
        <v>45026</v>
      </c>
      <c r="G6483" s="2">
        <f t="shared" si="101"/>
        <v>0</v>
      </c>
      <c r="H6483" t="s">
        <v>9</v>
      </c>
    </row>
    <row r="6484" spans="2:8" x14ac:dyDescent="0.2">
      <c r="B6484" s="3">
        <v>45026</v>
      </c>
      <c r="D6484" s="1">
        <v>2226.25</v>
      </c>
      <c r="E6484" s="1">
        <v>2410</v>
      </c>
      <c r="F6484" s="1">
        <v>3305</v>
      </c>
      <c r="G6484" s="2">
        <f t="shared" si="101"/>
        <v>-895</v>
      </c>
      <c r="H6484" t="s">
        <v>8</v>
      </c>
    </row>
    <row r="6485" spans="2:8" x14ac:dyDescent="0.2">
      <c r="B6485" s="3">
        <v>45026</v>
      </c>
      <c r="G6485" s="2">
        <f t="shared" si="101"/>
        <v>0</v>
      </c>
      <c r="H6485" t="s">
        <v>23</v>
      </c>
    </row>
    <row r="6486" spans="2:8" x14ac:dyDescent="0.2">
      <c r="B6486" s="3">
        <v>45026</v>
      </c>
      <c r="G6486" s="2">
        <f t="shared" si="101"/>
        <v>0</v>
      </c>
      <c r="H6486" t="s">
        <v>6</v>
      </c>
    </row>
    <row r="6487" spans="2:8" x14ac:dyDescent="0.2">
      <c r="B6487" s="3">
        <v>45026</v>
      </c>
      <c r="G6487" s="2">
        <f t="shared" si="101"/>
        <v>0</v>
      </c>
      <c r="H6487" t="s">
        <v>5</v>
      </c>
    </row>
    <row r="6488" spans="2:8" x14ac:dyDescent="0.2">
      <c r="B6488" s="3">
        <v>45026</v>
      </c>
      <c r="F6488" s="1">
        <v>700</v>
      </c>
      <c r="G6488" s="2">
        <f t="shared" si="101"/>
        <v>-700</v>
      </c>
      <c r="H6488" t="s">
        <v>39</v>
      </c>
    </row>
    <row r="6489" spans="2:8" x14ac:dyDescent="0.2">
      <c r="B6489" s="3">
        <v>45027</v>
      </c>
      <c r="G6489" s="2">
        <f t="shared" si="101"/>
        <v>0</v>
      </c>
      <c r="H6489" t="s">
        <v>14</v>
      </c>
    </row>
    <row r="6490" spans="2:8" x14ac:dyDescent="0.2">
      <c r="B6490" s="3">
        <v>45027</v>
      </c>
      <c r="G6490" s="2">
        <f t="shared" si="101"/>
        <v>0</v>
      </c>
      <c r="H6490" t="s">
        <v>27</v>
      </c>
    </row>
    <row r="6491" spans="2:8" x14ac:dyDescent="0.2">
      <c r="B6491" s="3">
        <v>45027</v>
      </c>
      <c r="D6491" s="1">
        <v>5653.4</v>
      </c>
      <c r="E6491" s="1">
        <v>7365</v>
      </c>
      <c r="F6491" s="1">
        <v>3000</v>
      </c>
      <c r="G6491" s="2">
        <f t="shared" si="101"/>
        <v>4365</v>
      </c>
      <c r="H6491" t="s">
        <v>13</v>
      </c>
    </row>
    <row r="6492" spans="2:8" x14ac:dyDescent="0.2">
      <c r="B6492" s="3">
        <v>45027</v>
      </c>
      <c r="G6492" s="2">
        <f t="shared" si="101"/>
        <v>0</v>
      </c>
      <c r="H6492" t="s">
        <v>30</v>
      </c>
    </row>
    <row r="6493" spans="2:8" x14ac:dyDescent="0.2">
      <c r="B6493" s="3">
        <v>45027</v>
      </c>
      <c r="F6493" s="1">
        <v>2000</v>
      </c>
      <c r="G6493" s="2">
        <f t="shared" si="101"/>
        <v>-2000</v>
      </c>
      <c r="H6493" t="s">
        <v>25</v>
      </c>
    </row>
    <row r="6494" spans="2:8" x14ac:dyDescent="0.2">
      <c r="B6494" s="3">
        <v>45027</v>
      </c>
      <c r="D6494" s="1">
        <v>1230</v>
      </c>
      <c r="E6494" s="1">
        <v>1390</v>
      </c>
      <c r="F6494" s="1">
        <v>3500</v>
      </c>
      <c r="G6494" s="2">
        <f t="shared" si="101"/>
        <v>-2110</v>
      </c>
      <c r="H6494" t="s">
        <v>24</v>
      </c>
    </row>
    <row r="6495" spans="2:8" x14ac:dyDescent="0.2">
      <c r="B6495" s="3">
        <v>45027</v>
      </c>
      <c r="D6495" s="1">
        <v>7550</v>
      </c>
      <c r="E6495" s="1">
        <v>8190</v>
      </c>
      <c r="F6495" s="1">
        <v>10000</v>
      </c>
      <c r="G6495" s="2">
        <f t="shared" si="101"/>
        <v>-1810</v>
      </c>
      <c r="H6495" t="s">
        <v>9</v>
      </c>
    </row>
    <row r="6496" spans="2:8" x14ac:dyDescent="0.2">
      <c r="B6496" s="3">
        <v>45027</v>
      </c>
      <c r="G6496" s="2">
        <f t="shared" si="101"/>
        <v>0</v>
      </c>
      <c r="H6496" t="s">
        <v>8</v>
      </c>
    </row>
    <row r="6497" spans="2:8" x14ac:dyDescent="0.2">
      <c r="B6497" s="3">
        <v>45027</v>
      </c>
      <c r="G6497" s="2">
        <f t="shared" si="101"/>
        <v>0</v>
      </c>
      <c r="H6497" t="s">
        <v>23</v>
      </c>
    </row>
    <row r="6498" spans="2:8" x14ac:dyDescent="0.2">
      <c r="B6498" s="3">
        <v>45027</v>
      </c>
      <c r="G6498" s="2">
        <f t="shared" si="101"/>
        <v>0</v>
      </c>
      <c r="H6498" t="s">
        <v>6</v>
      </c>
    </row>
    <row r="6499" spans="2:8" x14ac:dyDescent="0.2">
      <c r="B6499" s="3">
        <v>45027</v>
      </c>
      <c r="G6499" s="2">
        <f t="shared" si="101"/>
        <v>0</v>
      </c>
      <c r="H6499" t="s">
        <v>5</v>
      </c>
    </row>
    <row r="6500" spans="2:8" x14ac:dyDescent="0.2">
      <c r="B6500" s="3">
        <v>45027</v>
      </c>
      <c r="G6500" s="2">
        <f t="shared" si="101"/>
        <v>0</v>
      </c>
      <c r="H6500" s="1"/>
    </row>
    <row r="6501" spans="2:8" x14ac:dyDescent="0.2">
      <c r="B6501" s="3">
        <v>45028</v>
      </c>
      <c r="G6501" s="2">
        <f t="shared" si="101"/>
        <v>0</v>
      </c>
      <c r="H6501" t="s">
        <v>14</v>
      </c>
    </row>
    <row r="6502" spans="2:8" x14ac:dyDescent="0.2">
      <c r="B6502" s="3">
        <v>45028</v>
      </c>
      <c r="G6502" s="2">
        <f t="shared" si="101"/>
        <v>0</v>
      </c>
      <c r="H6502" t="s">
        <v>27</v>
      </c>
    </row>
    <row r="6503" spans="2:8" x14ac:dyDescent="0.2">
      <c r="B6503" s="3">
        <v>45028</v>
      </c>
      <c r="G6503" s="2">
        <f t="shared" si="101"/>
        <v>0</v>
      </c>
      <c r="H6503" t="s">
        <v>13</v>
      </c>
    </row>
    <row r="6504" spans="2:8" x14ac:dyDescent="0.2">
      <c r="B6504" s="3">
        <v>45028</v>
      </c>
      <c r="G6504" s="2">
        <f t="shared" si="101"/>
        <v>0</v>
      </c>
      <c r="H6504" t="s">
        <v>30</v>
      </c>
    </row>
    <row r="6505" spans="2:8" x14ac:dyDescent="0.2">
      <c r="B6505" s="3">
        <v>45028</v>
      </c>
      <c r="G6505" s="2">
        <f t="shared" si="101"/>
        <v>0</v>
      </c>
      <c r="H6505" t="s">
        <v>25</v>
      </c>
    </row>
    <row r="6506" spans="2:8" x14ac:dyDescent="0.2">
      <c r="B6506" s="3">
        <v>45028</v>
      </c>
      <c r="G6506" s="2">
        <f t="shared" si="101"/>
        <v>0</v>
      </c>
      <c r="H6506" t="s">
        <v>24</v>
      </c>
    </row>
    <row r="6507" spans="2:8" x14ac:dyDescent="0.2">
      <c r="B6507" s="3">
        <v>45028</v>
      </c>
      <c r="G6507" s="2">
        <f t="shared" si="101"/>
        <v>0</v>
      </c>
      <c r="H6507" t="s">
        <v>9</v>
      </c>
    </row>
    <row r="6508" spans="2:8" x14ac:dyDescent="0.2">
      <c r="B6508" s="3">
        <v>45028</v>
      </c>
      <c r="G6508" s="2">
        <f t="shared" si="101"/>
        <v>0</v>
      </c>
      <c r="H6508" t="s">
        <v>8</v>
      </c>
    </row>
    <row r="6509" spans="2:8" x14ac:dyDescent="0.2">
      <c r="B6509" s="3">
        <v>45028</v>
      </c>
      <c r="G6509" s="2">
        <f t="shared" si="101"/>
        <v>0</v>
      </c>
      <c r="H6509" t="s">
        <v>23</v>
      </c>
    </row>
    <row r="6510" spans="2:8" x14ac:dyDescent="0.2">
      <c r="B6510" s="3">
        <v>45028</v>
      </c>
      <c r="D6510" s="1">
        <v>4580</v>
      </c>
      <c r="E6510" s="1">
        <v>5042.5</v>
      </c>
      <c r="F6510" s="1">
        <v>2000</v>
      </c>
      <c r="G6510" s="2">
        <f t="shared" si="101"/>
        <v>3042.5</v>
      </c>
      <c r="H6510" t="s">
        <v>6</v>
      </c>
    </row>
    <row r="6511" spans="2:8" x14ac:dyDescent="0.2">
      <c r="B6511" s="3">
        <v>45028</v>
      </c>
      <c r="G6511" s="2">
        <f t="shared" si="101"/>
        <v>0</v>
      </c>
      <c r="H6511" t="s">
        <v>5</v>
      </c>
    </row>
    <row r="6512" spans="2:8" x14ac:dyDescent="0.2">
      <c r="B6512" s="3">
        <v>45028</v>
      </c>
      <c r="G6512" s="2">
        <f t="shared" si="101"/>
        <v>0</v>
      </c>
      <c r="H6512" s="1"/>
    </row>
    <row r="6513" spans="2:8" x14ac:dyDescent="0.2">
      <c r="B6513" s="3">
        <v>45029</v>
      </c>
      <c r="G6513" s="2">
        <f t="shared" si="101"/>
        <v>0</v>
      </c>
      <c r="H6513" t="s">
        <v>14</v>
      </c>
    </row>
    <row r="6514" spans="2:8" x14ac:dyDescent="0.2">
      <c r="B6514" s="3">
        <v>45029</v>
      </c>
      <c r="G6514" s="2">
        <f t="shared" si="101"/>
        <v>0</v>
      </c>
      <c r="H6514" t="s">
        <v>27</v>
      </c>
    </row>
    <row r="6515" spans="2:8" x14ac:dyDescent="0.2">
      <c r="B6515" s="3">
        <v>45029</v>
      </c>
      <c r="G6515" s="2">
        <f t="shared" si="101"/>
        <v>0</v>
      </c>
      <c r="H6515" t="s">
        <v>13</v>
      </c>
    </row>
    <row r="6516" spans="2:8" x14ac:dyDescent="0.2">
      <c r="B6516" s="3">
        <v>45029</v>
      </c>
      <c r="G6516" s="2">
        <f t="shared" si="101"/>
        <v>0</v>
      </c>
      <c r="H6516" t="s">
        <v>30</v>
      </c>
    </row>
    <row r="6517" spans="2:8" x14ac:dyDescent="0.2">
      <c r="B6517" s="3">
        <v>45029</v>
      </c>
      <c r="G6517" s="2">
        <f t="shared" si="101"/>
        <v>0</v>
      </c>
      <c r="H6517" t="s">
        <v>25</v>
      </c>
    </row>
    <row r="6518" spans="2:8" x14ac:dyDescent="0.2">
      <c r="B6518" s="3">
        <v>45029</v>
      </c>
      <c r="D6518" s="1">
        <v>2019</v>
      </c>
      <c r="E6518" s="1">
        <v>2152.5</v>
      </c>
      <c r="G6518" s="2">
        <f t="shared" si="101"/>
        <v>2152.5</v>
      </c>
      <c r="H6518" t="s">
        <v>24</v>
      </c>
    </row>
    <row r="6519" spans="2:8" x14ac:dyDescent="0.2">
      <c r="B6519" s="3">
        <v>45029</v>
      </c>
      <c r="G6519" s="2">
        <f t="shared" si="101"/>
        <v>0</v>
      </c>
      <c r="H6519" t="s">
        <v>9</v>
      </c>
    </row>
    <row r="6520" spans="2:8" x14ac:dyDescent="0.2">
      <c r="B6520" s="3">
        <v>45029</v>
      </c>
      <c r="D6520" s="1">
        <v>23174</v>
      </c>
      <c r="E6520" s="1">
        <v>25169</v>
      </c>
      <c r="G6520" s="2">
        <f t="shared" si="101"/>
        <v>25169</v>
      </c>
      <c r="H6520" t="s">
        <v>8</v>
      </c>
    </row>
    <row r="6521" spans="2:8" x14ac:dyDescent="0.2">
      <c r="B6521" s="3">
        <v>45029</v>
      </c>
      <c r="G6521" s="2">
        <f t="shared" si="101"/>
        <v>0</v>
      </c>
      <c r="H6521" t="s">
        <v>23</v>
      </c>
    </row>
    <row r="6522" spans="2:8" x14ac:dyDescent="0.2">
      <c r="B6522" s="3">
        <v>45029</v>
      </c>
      <c r="G6522" s="2">
        <f t="shared" si="101"/>
        <v>0</v>
      </c>
      <c r="H6522" t="s">
        <v>6</v>
      </c>
    </row>
    <row r="6523" spans="2:8" x14ac:dyDescent="0.2">
      <c r="B6523" s="3">
        <v>45029</v>
      </c>
      <c r="F6523" s="1">
        <v>4075</v>
      </c>
      <c r="G6523" s="2">
        <f t="shared" si="101"/>
        <v>-4075</v>
      </c>
      <c r="H6523" t="s">
        <v>5</v>
      </c>
    </row>
    <row r="6524" spans="2:8" x14ac:dyDescent="0.2">
      <c r="B6524" s="3">
        <v>45029</v>
      </c>
      <c r="G6524" s="2">
        <f t="shared" si="101"/>
        <v>0</v>
      </c>
      <c r="H6524" s="1"/>
    </row>
    <row r="6525" spans="2:8" x14ac:dyDescent="0.2">
      <c r="B6525" s="3">
        <v>45030</v>
      </c>
      <c r="G6525" s="2">
        <f t="shared" si="101"/>
        <v>0</v>
      </c>
      <c r="H6525" t="s">
        <v>14</v>
      </c>
    </row>
    <row r="6526" spans="2:8" x14ac:dyDescent="0.2">
      <c r="B6526" s="3">
        <v>45030</v>
      </c>
      <c r="G6526" s="2">
        <f t="shared" si="101"/>
        <v>0</v>
      </c>
      <c r="H6526" t="s">
        <v>27</v>
      </c>
    </row>
    <row r="6527" spans="2:8" x14ac:dyDescent="0.2">
      <c r="B6527" s="3">
        <v>45030</v>
      </c>
      <c r="G6527" s="2">
        <f t="shared" si="101"/>
        <v>0</v>
      </c>
      <c r="H6527" t="s">
        <v>13</v>
      </c>
    </row>
    <row r="6528" spans="2:8" x14ac:dyDescent="0.2">
      <c r="B6528" s="3">
        <v>45030</v>
      </c>
      <c r="G6528" s="2">
        <f t="shared" si="101"/>
        <v>0</v>
      </c>
      <c r="H6528" t="s">
        <v>30</v>
      </c>
    </row>
    <row r="6529" spans="2:8" x14ac:dyDescent="0.2">
      <c r="B6529" s="3">
        <v>45030</v>
      </c>
      <c r="G6529" s="2">
        <f t="shared" si="101"/>
        <v>0</v>
      </c>
      <c r="H6529" t="s">
        <v>25</v>
      </c>
    </row>
    <row r="6530" spans="2:8" x14ac:dyDescent="0.2">
      <c r="B6530" s="3">
        <v>45030</v>
      </c>
      <c r="G6530" s="2">
        <f t="shared" si="101"/>
        <v>0</v>
      </c>
      <c r="H6530" t="s">
        <v>24</v>
      </c>
    </row>
    <row r="6531" spans="2:8" x14ac:dyDescent="0.2">
      <c r="B6531" s="3">
        <v>45030</v>
      </c>
      <c r="G6531" s="2">
        <f t="shared" ref="G6531:G6594" si="102">E6531-F6531</f>
        <v>0</v>
      </c>
      <c r="H6531" t="s">
        <v>9</v>
      </c>
    </row>
    <row r="6532" spans="2:8" x14ac:dyDescent="0.2">
      <c r="B6532" s="3">
        <v>45030</v>
      </c>
      <c r="G6532" s="2">
        <f t="shared" si="102"/>
        <v>0</v>
      </c>
      <c r="H6532" t="s">
        <v>8</v>
      </c>
    </row>
    <row r="6533" spans="2:8" x14ac:dyDescent="0.2">
      <c r="B6533" s="3">
        <v>45030</v>
      </c>
      <c r="G6533" s="2">
        <f t="shared" si="102"/>
        <v>0</v>
      </c>
      <c r="H6533" t="s">
        <v>23</v>
      </c>
    </row>
    <row r="6534" spans="2:8" x14ac:dyDescent="0.2">
      <c r="B6534" s="3">
        <v>45030</v>
      </c>
      <c r="G6534" s="2">
        <f t="shared" si="102"/>
        <v>0</v>
      </c>
      <c r="H6534" t="s">
        <v>6</v>
      </c>
    </row>
    <row r="6535" spans="2:8" x14ac:dyDescent="0.2">
      <c r="B6535" s="3">
        <v>45030</v>
      </c>
      <c r="G6535" s="2">
        <f t="shared" si="102"/>
        <v>0</v>
      </c>
      <c r="H6535" t="s">
        <v>5</v>
      </c>
    </row>
    <row r="6536" spans="2:8" x14ac:dyDescent="0.2">
      <c r="B6536" s="3">
        <v>45030</v>
      </c>
      <c r="G6536" s="2">
        <f t="shared" si="102"/>
        <v>0</v>
      </c>
      <c r="H6536" s="1"/>
    </row>
    <row r="6537" spans="2:8" x14ac:dyDescent="0.2">
      <c r="B6537" s="3">
        <v>45031</v>
      </c>
      <c r="G6537" s="2">
        <f t="shared" si="102"/>
        <v>0</v>
      </c>
      <c r="H6537" t="s">
        <v>14</v>
      </c>
    </row>
    <row r="6538" spans="2:8" x14ac:dyDescent="0.2">
      <c r="B6538" s="3">
        <v>45031</v>
      </c>
      <c r="G6538" s="2">
        <f t="shared" si="102"/>
        <v>0</v>
      </c>
      <c r="H6538" t="s">
        <v>27</v>
      </c>
    </row>
    <row r="6539" spans="2:8" x14ac:dyDescent="0.2">
      <c r="B6539" s="3">
        <v>45031</v>
      </c>
      <c r="G6539" s="2">
        <f t="shared" si="102"/>
        <v>0</v>
      </c>
      <c r="H6539" t="s">
        <v>13</v>
      </c>
    </row>
    <row r="6540" spans="2:8" x14ac:dyDescent="0.2">
      <c r="B6540" s="3">
        <v>45031</v>
      </c>
      <c r="G6540" s="2">
        <f t="shared" si="102"/>
        <v>0</v>
      </c>
      <c r="H6540" t="s">
        <v>30</v>
      </c>
    </row>
    <row r="6541" spans="2:8" x14ac:dyDescent="0.2">
      <c r="B6541" s="3">
        <v>45031</v>
      </c>
      <c r="G6541" s="2">
        <f t="shared" si="102"/>
        <v>0</v>
      </c>
      <c r="H6541" t="s">
        <v>25</v>
      </c>
    </row>
    <row r="6542" spans="2:8" x14ac:dyDescent="0.2">
      <c r="B6542" s="3">
        <v>45031</v>
      </c>
      <c r="G6542" s="2">
        <f t="shared" si="102"/>
        <v>0</v>
      </c>
      <c r="H6542" t="s">
        <v>24</v>
      </c>
    </row>
    <row r="6543" spans="2:8" x14ac:dyDescent="0.2">
      <c r="B6543" s="3">
        <v>45031</v>
      </c>
      <c r="G6543" s="2">
        <f t="shared" si="102"/>
        <v>0</v>
      </c>
      <c r="H6543" t="s">
        <v>9</v>
      </c>
    </row>
    <row r="6544" spans="2:8" x14ac:dyDescent="0.2">
      <c r="B6544" s="3">
        <v>45031</v>
      </c>
      <c r="G6544" s="2">
        <f t="shared" si="102"/>
        <v>0</v>
      </c>
      <c r="H6544" t="s">
        <v>8</v>
      </c>
    </row>
    <row r="6545" spans="2:8" x14ac:dyDescent="0.2">
      <c r="B6545" s="3">
        <v>45031</v>
      </c>
      <c r="G6545" s="2">
        <f t="shared" si="102"/>
        <v>0</v>
      </c>
      <c r="H6545" t="s">
        <v>23</v>
      </c>
    </row>
    <row r="6546" spans="2:8" x14ac:dyDescent="0.2">
      <c r="B6546" s="3">
        <v>45031</v>
      </c>
      <c r="G6546" s="2">
        <f t="shared" si="102"/>
        <v>0</v>
      </c>
      <c r="H6546" t="s">
        <v>6</v>
      </c>
    </row>
    <row r="6547" spans="2:8" x14ac:dyDescent="0.2">
      <c r="B6547" s="3">
        <v>45031</v>
      </c>
      <c r="G6547" s="2">
        <f t="shared" si="102"/>
        <v>0</v>
      </c>
      <c r="H6547" t="s">
        <v>5</v>
      </c>
    </row>
    <row r="6548" spans="2:8" x14ac:dyDescent="0.2">
      <c r="B6548" s="3">
        <v>45031</v>
      </c>
      <c r="G6548" s="2">
        <f t="shared" si="102"/>
        <v>0</v>
      </c>
      <c r="H6548" s="1"/>
    </row>
    <row r="6549" spans="2:8" x14ac:dyDescent="0.2">
      <c r="B6549" s="3">
        <v>45032</v>
      </c>
      <c r="G6549" s="2">
        <f t="shared" si="102"/>
        <v>0</v>
      </c>
      <c r="H6549" t="s">
        <v>14</v>
      </c>
    </row>
    <row r="6550" spans="2:8" x14ac:dyDescent="0.2">
      <c r="B6550" s="3">
        <v>45032</v>
      </c>
      <c r="G6550" s="2">
        <f t="shared" si="102"/>
        <v>0</v>
      </c>
      <c r="H6550" t="s">
        <v>27</v>
      </c>
    </row>
    <row r="6551" spans="2:8" x14ac:dyDescent="0.2">
      <c r="B6551" s="3">
        <v>45032</v>
      </c>
      <c r="G6551" s="2">
        <f t="shared" si="102"/>
        <v>0</v>
      </c>
      <c r="H6551" t="s">
        <v>13</v>
      </c>
    </row>
    <row r="6552" spans="2:8" x14ac:dyDescent="0.2">
      <c r="B6552" s="3">
        <v>45032</v>
      </c>
      <c r="G6552" s="2">
        <f t="shared" si="102"/>
        <v>0</v>
      </c>
      <c r="H6552" t="s">
        <v>30</v>
      </c>
    </row>
    <row r="6553" spans="2:8" x14ac:dyDescent="0.2">
      <c r="B6553" s="3">
        <v>45032</v>
      </c>
      <c r="G6553" s="2">
        <f t="shared" si="102"/>
        <v>0</v>
      </c>
      <c r="H6553" t="s">
        <v>25</v>
      </c>
    </row>
    <row r="6554" spans="2:8" x14ac:dyDescent="0.2">
      <c r="B6554" s="3">
        <v>45032</v>
      </c>
      <c r="G6554" s="2">
        <f t="shared" si="102"/>
        <v>0</v>
      </c>
      <c r="H6554" t="s">
        <v>24</v>
      </c>
    </row>
    <row r="6555" spans="2:8" x14ac:dyDescent="0.2">
      <c r="B6555" s="3">
        <v>45032</v>
      </c>
      <c r="G6555" s="2">
        <f t="shared" si="102"/>
        <v>0</v>
      </c>
      <c r="H6555" t="s">
        <v>9</v>
      </c>
    </row>
    <row r="6556" spans="2:8" x14ac:dyDescent="0.2">
      <c r="B6556" s="3">
        <v>45032</v>
      </c>
      <c r="F6556" s="1">
        <v>20000</v>
      </c>
      <c r="G6556" s="2">
        <f t="shared" si="102"/>
        <v>-20000</v>
      </c>
      <c r="H6556" t="s">
        <v>8</v>
      </c>
    </row>
    <row r="6557" spans="2:8" x14ac:dyDescent="0.2">
      <c r="B6557" s="3">
        <v>45032</v>
      </c>
      <c r="F6557" s="1">
        <v>20000</v>
      </c>
      <c r="G6557" s="2">
        <f t="shared" si="102"/>
        <v>-20000</v>
      </c>
      <c r="H6557" t="s">
        <v>23</v>
      </c>
    </row>
    <row r="6558" spans="2:8" x14ac:dyDescent="0.2">
      <c r="B6558" s="3">
        <v>45032</v>
      </c>
      <c r="G6558" s="2">
        <f t="shared" si="102"/>
        <v>0</v>
      </c>
      <c r="H6558" t="s">
        <v>6</v>
      </c>
    </row>
    <row r="6559" spans="2:8" x14ac:dyDescent="0.2">
      <c r="B6559" s="3">
        <v>45032</v>
      </c>
      <c r="G6559" s="2">
        <f t="shared" si="102"/>
        <v>0</v>
      </c>
      <c r="H6559" t="s">
        <v>5</v>
      </c>
    </row>
    <row r="6560" spans="2:8" x14ac:dyDescent="0.2">
      <c r="B6560" s="3">
        <v>45032</v>
      </c>
      <c r="G6560" s="2">
        <f t="shared" si="102"/>
        <v>0</v>
      </c>
      <c r="H6560" s="1"/>
    </row>
    <row r="6561" spans="2:8" x14ac:dyDescent="0.2">
      <c r="B6561" s="3">
        <v>45033</v>
      </c>
      <c r="G6561" s="2">
        <f t="shared" si="102"/>
        <v>0</v>
      </c>
      <c r="H6561" t="s">
        <v>14</v>
      </c>
    </row>
    <row r="6562" spans="2:8" x14ac:dyDescent="0.2">
      <c r="B6562" s="3">
        <v>45033</v>
      </c>
      <c r="G6562" s="2">
        <f t="shared" si="102"/>
        <v>0</v>
      </c>
      <c r="H6562" t="s">
        <v>27</v>
      </c>
    </row>
    <row r="6563" spans="2:8" x14ac:dyDescent="0.2">
      <c r="B6563" s="3">
        <v>45033</v>
      </c>
      <c r="G6563" s="2">
        <f t="shared" si="102"/>
        <v>0</v>
      </c>
      <c r="H6563" t="s">
        <v>13</v>
      </c>
    </row>
    <row r="6564" spans="2:8" x14ac:dyDescent="0.2">
      <c r="B6564" s="3">
        <v>45033</v>
      </c>
      <c r="G6564" s="2">
        <f t="shared" si="102"/>
        <v>0</v>
      </c>
      <c r="H6564" t="s">
        <v>30</v>
      </c>
    </row>
    <row r="6565" spans="2:8" x14ac:dyDescent="0.2">
      <c r="B6565" s="3">
        <v>45033</v>
      </c>
      <c r="G6565" s="2">
        <f t="shared" si="102"/>
        <v>0</v>
      </c>
      <c r="H6565" t="s">
        <v>25</v>
      </c>
    </row>
    <row r="6566" spans="2:8" x14ac:dyDescent="0.2">
      <c r="B6566" s="3">
        <v>45033</v>
      </c>
      <c r="D6566" s="1">
        <v>2185</v>
      </c>
      <c r="E6566" s="1">
        <v>2440</v>
      </c>
      <c r="F6566" s="1">
        <v>2000</v>
      </c>
      <c r="G6566" s="2">
        <f t="shared" si="102"/>
        <v>440</v>
      </c>
      <c r="H6566" t="s">
        <v>24</v>
      </c>
    </row>
    <row r="6567" spans="2:8" x14ac:dyDescent="0.2">
      <c r="B6567" s="3">
        <v>45033</v>
      </c>
      <c r="G6567" s="2">
        <f t="shared" si="102"/>
        <v>0</v>
      </c>
      <c r="H6567" t="s">
        <v>9</v>
      </c>
    </row>
    <row r="6568" spans="2:8" x14ac:dyDescent="0.2">
      <c r="B6568" s="3">
        <v>45033</v>
      </c>
      <c r="G6568" s="2">
        <f t="shared" si="102"/>
        <v>0</v>
      </c>
      <c r="H6568" t="s">
        <v>8</v>
      </c>
    </row>
    <row r="6569" spans="2:8" x14ac:dyDescent="0.2">
      <c r="B6569" s="3">
        <v>45033</v>
      </c>
      <c r="G6569" s="2">
        <f t="shared" si="102"/>
        <v>0</v>
      </c>
      <c r="H6569" t="s">
        <v>23</v>
      </c>
    </row>
    <row r="6570" spans="2:8" x14ac:dyDescent="0.2">
      <c r="B6570" s="3">
        <v>45033</v>
      </c>
      <c r="G6570" s="2">
        <f t="shared" si="102"/>
        <v>0</v>
      </c>
      <c r="H6570" t="s">
        <v>6</v>
      </c>
    </row>
    <row r="6571" spans="2:8" x14ac:dyDescent="0.2">
      <c r="B6571" s="3">
        <v>45033</v>
      </c>
      <c r="G6571" s="2">
        <f t="shared" si="102"/>
        <v>0</v>
      </c>
      <c r="H6571" t="s">
        <v>5</v>
      </c>
    </row>
    <row r="6572" spans="2:8" x14ac:dyDescent="0.2">
      <c r="B6572" s="3">
        <v>45033</v>
      </c>
      <c r="G6572" s="2">
        <f t="shared" si="102"/>
        <v>0</v>
      </c>
      <c r="H6572" s="1"/>
    </row>
    <row r="6573" spans="2:8" x14ac:dyDescent="0.2">
      <c r="B6573" s="3">
        <v>45034</v>
      </c>
      <c r="F6573" s="1">
        <v>5000</v>
      </c>
      <c r="G6573" s="2">
        <f t="shared" si="102"/>
        <v>-5000</v>
      </c>
      <c r="H6573" t="s">
        <v>14</v>
      </c>
    </row>
    <row r="6574" spans="2:8" x14ac:dyDescent="0.2">
      <c r="B6574" s="3">
        <v>45034</v>
      </c>
      <c r="G6574" s="2">
        <f t="shared" si="102"/>
        <v>0</v>
      </c>
      <c r="H6574" t="s">
        <v>27</v>
      </c>
    </row>
    <row r="6575" spans="2:8" x14ac:dyDescent="0.2">
      <c r="B6575" s="3">
        <v>45034</v>
      </c>
      <c r="F6575" s="1">
        <v>3000</v>
      </c>
      <c r="G6575" s="2">
        <f t="shared" si="102"/>
        <v>-3000</v>
      </c>
      <c r="H6575" t="s">
        <v>13</v>
      </c>
    </row>
    <row r="6576" spans="2:8" x14ac:dyDescent="0.2">
      <c r="B6576" s="3">
        <v>45034</v>
      </c>
      <c r="G6576" s="2">
        <f t="shared" si="102"/>
        <v>0</v>
      </c>
      <c r="H6576" t="s">
        <v>30</v>
      </c>
    </row>
    <row r="6577" spans="2:8" x14ac:dyDescent="0.2">
      <c r="B6577" s="3">
        <v>45034</v>
      </c>
      <c r="G6577" s="2">
        <f t="shared" si="102"/>
        <v>0</v>
      </c>
      <c r="H6577" t="s">
        <v>25</v>
      </c>
    </row>
    <row r="6578" spans="2:8" x14ac:dyDescent="0.2">
      <c r="B6578" s="3">
        <v>45034</v>
      </c>
      <c r="G6578" s="2">
        <f t="shared" si="102"/>
        <v>0</v>
      </c>
      <c r="H6578" t="s">
        <v>24</v>
      </c>
    </row>
    <row r="6579" spans="2:8" x14ac:dyDescent="0.2">
      <c r="B6579" s="3">
        <v>45034</v>
      </c>
      <c r="G6579" s="2">
        <f t="shared" si="102"/>
        <v>0</v>
      </c>
      <c r="H6579" t="s">
        <v>9</v>
      </c>
    </row>
    <row r="6580" spans="2:8" x14ac:dyDescent="0.2">
      <c r="B6580" s="3">
        <v>45034</v>
      </c>
      <c r="G6580" s="2">
        <f t="shared" si="102"/>
        <v>0</v>
      </c>
      <c r="H6580" t="s">
        <v>8</v>
      </c>
    </row>
    <row r="6581" spans="2:8" x14ac:dyDescent="0.2">
      <c r="B6581" s="3">
        <v>45034</v>
      </c>
      <c r="G6581" s="2">
        <f t="shared" si="102"/>
        <v>0</v>
      </c>
      <c r="H6581" t="s">
        <v>6</v>
      </c>
    </row>
    <row r="6582" spans="2:8" x14ac:dyDescent="0.2">
      <c r="B6582" s="3">
        <v>45034</v>
      </c>
      <c r="G6582" s="2">
        <f t="shared" si="102"/>
        <v>0</v>
      </c>
      <c r="H6582" t="s">
        <v>5</v>
      </c>
    </row>
    <row r="6583" spans="2:8" x14ac:dyDescent="0.2">
      <c r="B6583" s="3">
        <v>45034</v>
      </c>
      <c r="G6583" s="2">
        <f t="shared" si="102"/>
        <v>0</v>
      </c>
      <c r="H6583" s="1"/>
    </row>
    <row r="6584" spans="2:8" x14ac:dyDescent="0.2">
      <c r="B6584" s="3">
        <v>45035</v>
      </c>
      <c r="G6584" s="2">
        <f t="shared" si="102"/>
        <v>0</v>
      </c>
      <c r="H6584" t="s">
        <v>14</v>
      </c>
    </row>
    <row r="6585" spans="2:8" x14ac:dyDescent="0.2">
      <c r="B6585" s="3">
        <v>45035</v>
      </c>
      <c r="G6585" s="2">
        <f t="shared" si="102"/>
        <v>0</v>
      </c>
      <c r="H6585" t="s">
        <v>27</v>
      </c>
    </row>
    <row r="6586" spans="2:8" x14ac:dyDescent="0.2">
      <c r="B6586" s="3">
        <v>45035</v>
      </c>
      <c r="G6586" s="2">
        <f t="shared" si="102"/>
        <v>0</v>
      </c>
      <c r="H6586" t="s">
        <v>13</v>
      </c>
    </row>
    <row r="6587" spans="2:8" x14ac:dyDescent="0.2">
      <c r="B6587" s="3">
        <v>45035</v>
      </c>
      <c r="G6587" s="2">
        <f t="shared" si="102"/>
        <v>0</v>
      </c>
      <c r="H6587" t="s">
        <v>30</v>
      </c>
    </row>
    <row r="6588" spans="2:8" x14ac:dyDescent="0.2">
      <c r="B6588" s="3">
        <v>45035</v>
      </c>
      <c r="G6588" s="2">
        <f t="shared" si="102"/>
        <v>0</v>
      </c>
      <c r="H6588" t="s">
        <v>25</v>
      </c>
    </row>
    <row r="6589" spans="2:8" x14ac:dyDescent="0.2">
      <c r="B6589" s="3">
        <v>45035</v>
      </c>
      <c r="G6589" s="2">
        <f t="shared" si="102"/>
        <v>0</v>
      </c>
      <c r="H6589" t="s">
        <v>24</v>
      </c>
    </row>
    <row r="6590" spans="2:8" x14ac:dyDescent="0.2">
      <c r="B6590" s="3">
        <v>45035</v>
      </c>
      <c r="G6590" s="2">
        <f t="shared" si="102"/>
        <v>0</v>
      </c>
      <c r="H6590" t="s">
        <v>9</v>
      </c>
    </row>
    <row r="6591" spans="2:8" x14ac:dyDescent="0.2">
      <c r="B6591" s="3">
        <v>45035</v>
      </c>
      <c r="D6591" s="1">
        <v>18587.5</v>
      </c>
      <c r="E6591" s="1">
        <v>20498.75</v>
      </c>
      <c r="G6591" s="2">
        <f t="shared" si="102"/>
        <v>20498.75</v>
      </c>
      <c r="H6591" t="s">
        <v>8</v>
      </c>
    </row>
    <row r="6592" spans="2:8" x14ac:dyDescent="0.2">
      <c r="B6592" s="3">
        <v>45035</v>
      </c>
      <c r="F6592" s="1">
        <v>2000</v>
      </c>
      <c r="G6592" s="2">
        <f t="shared" si="102"/>
        <v>-2000</v>
      </c>
      <c r="H6592" t="s">
        <v>6</v>
      </c>
    </row>
    <row r="6593" spans="2:8" x14ac:dyDescent="0.2">
      <c r="B6593" s="3">
        <v>45035</v>
      </c>
      <c r="G6593" s="2">
        <f t="shared" si="102"/>
        <v>0</v>
      </c>
      <c r="H6593" t="s">
        <v>5</v>
      </c>
    </row>
    <row r="6594" spans="2:8" x14ac:dyDescent="0.2">
      <c r="B6594" s="3">
        <v>45035</v>
      </c>
      <c r="G6594" s="2">
        <f t="shared" si="102"/>
        <v>0</v>
      </c>
      <c r="H6594" s="1"/>
    </row>
    <row r="6595" spans="2:8" x14ac:dyDescent="0.2">
      <c r="B6595" s="3">
        <v>45036</v>
      </c>
      <c r="G6595" s="2">
        <f t="shared" ref="G6595:G6658" si="103">E6595-F6595</f>
        <v>0</v>
      </c>
      <c r="H6595" t="s">
        <v>14</v>
      </c>
    </row>
    <row r="6596" spans="2:8" x14ac:dyDescent="0.2">
      <c r="B6596" s="3">
        <v>45036</v>
      </c>
      <c r="G6596" s="2">
        <f t="shared" si="103"/>
        <v>0</v>
      </c>
      <c r="H6596" t="s">
        <v>27</v>
      </c>
    </row>
    <row r="6597" spans="2:8" x14ac:dyDescent="0.2">
      <c r="B6597" s="3">
        <v>45036</v>
      </c>
      <c r="G6597" s="2">
        <f t="shared" si="103"/>
        <v>0</v>
      </c>
      <c r="H6597" t="s">
        <v>13</v>
      </c>
    </row>
    <row r="6598" spans="2:8" x14ac:dyDescent="0.2">
      <c r="B6598" s="3">
        <v>45036</v>
      </c>
      <c r="G6598" s="2">
        <f t="shared" si="103"/>
        <v>0</v>
      </c>
      <c r="H6598" t="s">
        <v>30</v>
      </c>
    </row>
    <row r="6599" spans="2:8" x14ac:dyDescent="0.2">
      <c r="B6599" s="3">
        <v>45036</v>
      </c>
      <c r="G6599" s="2">
        <f t="shared" si="103"/>
        <v>0</v>
      </c>
      <c r="H6599" t="s">
        <v>25</v>
      </c>
    </row>
    <row r="6600" spans="2:8" x14ac:dyDescent="0.2">
      <c r="B6600" s="3">
        <v>45036</v>
      </c>
      <c r="G6600" s="2">
        <f t="shared" si="103"/>
        <v>0</v>
      </c>
      <c r="H6600" t="s">
        <v>24</v>
      </c>
    </row>
    <row r="6601" spans="2:8" x14ac:dyDescent="0.2">
      <c r="B6601" s="3">
        <v>45036</v>
      </c>
      <c r="G6601" s="2">
        <f t="shared" si="103"/>
        <v>0</v>
      </c>
      <c r="H6601" t="s">
        <v>9</v>
      </c>
    </row>
    <row r="6602" spans="2:8" x14ac:dyDescent="0.2">
      <c r="B6602" s="3">
        <v>45036</v>
      </c>
      <c r="G6602" s="2">
        <f t="shared" si="103"/>
        <v>0</v>
      </c>
      <c r="H6602" t="s">
        <v>8</v>
      </c>
    </row>
    <row r="6603" spans="2:8" x14ac:dyDescent="0.2">
      <c r="B6603" s="3">
        <v>45036</v>
      </c>
      <c r="G6603" s="2">
        <f t="shared" si="103"/>
        <v>0</v>
      </c>
      <c r="H6603" t="s">
        <v>6</v>
      </c>
    </row>
    <row r="6604" spans="2:8" x14ac:dyDescent="0.2">
      <c r="B6604" s="3">
        <v>45036</v>
      </c>
      <c r="G6604" s="2">
        <f t="shared" si="103"/>
        <v>0</v>
      </c>
      <c r="H6604" t="s">
        <v>5</v>
      </c>
    </row>
    <row r="6605" spans="2:8" x14ac:dyDescent="0.2">
      <c r="B6605" s="3">
        <v>45036</v>
      </c>
      <c r="G6605" s="2">
        <f t="shared" si="103"/>
        <v>0</v>
      </c>
      <c r="H6605" s="1"/>
    </row>
    <row r="6606" spans="2:8" x14ac:dyDescent="0.2">
      <c r="B6606" s="3">
        <v>45037</v>
      </c>
      <c r="G6606" s="2">
        <f t="shared" si="103"/>
        <v>0</v>
      </c>
      <c r="H6606" t="s">
        <v>14</v>
      </c>
    </row>
    <row r="6607" spans="2:8" x14ac:dyDescent="0.2">
      <c r="B6607" s="3">
        <v>45037</v>
      </c>
      <c r="G6607" s="2">
        <f t="shared" si="103"/>
        <v>0</v>
      </c>
      <c r="H6607" t="s">
        <v>27</v>
      </c>
    </row>
    <row r="6608" spans="2:8" x14ac:dyDescent="0.2">
      <c r="B6608" s="3">
        <v>45037</v>
      </c>
      <c r="G6608" s="2">
        <f t="shared" si="103"/>
        <v>0</v>
      </c>
      <c r="H6608" t="s">
        <v>13</v>
      </c>
    </row>
    <row r="6609" spans="2:8" x14ac:dyDescent="0.2">
      <c r="B6609" s="3">
        <v>45037</v>
      </c>
      <c r="G6609" s="2">
        <f t="shared" si="103"/>
        <v>0</v>
      </c>
      <c r="H6609" t="s">
        <v>30</v>
      </c>
    </row>
    <row r="6610" spans="2:8" x14ac:dyDescent="0.2">
      <c r="B6610" s="3">
        <v>45037</v>
      </c>
      <c r="G6610" s="2">
        <f t="shared" si="103"/>
        <v>0</v>
      </c>
      <c r="H6610" t="s">
        <v>25</v>
      </c>
    </row>
    <row r="6611" spans="2:8" x14ac:dyDescent="0.2">
      <c r="B6611" s="3">
        <v>45037</v>
      </c>
      <c r="G6611" s="2">
        <f t="shared" si="103"/>
        <v>0</v>
      </c>
      <c r="H6611" t="s">
        <v>24</v>
      </c>
    </row>
    <row r="6612" spans="2:8" x14ac:dyDescent="0.2">
      <c r="B6612" s="3">
        <v>45037</v>
      </c>
      <c r="G6612" s="2">
        <f t="shared" si="103"/>
        <v>0</v>
      </c>
      <c r="H6612" t="s">
        <v>9</v>
      </c>
    </row>
    <row r="6613" spans="2:8" x14ac:dyDescent="0.2">
      <c r="B6613" s="3">
        <v>45037</v>
      </c>
      <c r="G6613" s="2">
        <f t="shared" si="103"/>
        <v>0</v>
      </c>
      <c r="H6613" t="s">
        <v>8</v>
      </c>
    </row>
    <row r="6614" spans="2:8" x14ac:dyDescent="0.2">
      <c r="B6614" s="3">
        <v>45037</v>
      </c>
      <c r="G6614" s="2">
        <f t="shared" si="103"/>
        <v>0</v>
      </c>
      <c r="H6614" t="s">
        <v>6</v>
      </c>
    </row>
    <row r="6615" spans="2:8" x14ac:dyDescent="0.2">
      <c r="B6615" s="3">
        <v>45037</v>
      </c>
      <c r="G6615" s="2">
        <f t="shared" si="103"/>
        <v>0</v>
      </c>
      <c r="H6615" t="s">
        <v>5</v>
      </c>
    </row>
    <row r="6616" spans="2:8" x14ac:dyDescent="0.2">
      <c r="B6616" s="3">
        <v>45037</v>
      </c>
      <c r="G6616" s="2">
        <f t="shared" si="103"/>
        <v>0</v>
      </c>
      <c r="H6616" s="1"/>
    </row>
    <row r="6617" spans="2:8" x14ac:dyDescent="0.2">
      <c r="B6617" s="3">
        <v>45038</v>
      </c>
      <c r="G6617" s="2">
        <f t="shared" si="103"/>
        <v>0</v>
      </c>
      <c r="H6617" t="s">
        <v>14</v>
      </c>
    </row>
    <row r="6618" spans="2:8" x14ac:dyDescent="0.2">
      <c r="B6618" s="3">
        <v>45038</v>
      </c>
      <c r="G6618" s="2">
        <f t="shared" si="103"/>
        <v>0</v>
      </c>
      <c r="H6618" t="s">
        <v>27</v>
      </c>
    </row>
    <row r="6619" spans="2:8" x14ac:dyDescent="0.2">
      <c r="B6619" s="3">
        <v>45038</v>
      </c>
      <c r="G6619" s="2">
        <f t="shared" si="103"/>
        <v>0</v>
      </c>
      <c r="H6619" t="s">
        <v>13</v>
      </c>
    </row>
    <row r="6620" spans="2:8" x14ac:dyDescent="0.2">
      <c r="B6620" s="3">
        <v>45038</v>
      </c>
      <c r="G6620" s="2">
        <f t="shared" si="103"/>
        <v>0</v>
      </c>
      <c r="H6620" t="s">
        <v>30</v>
      </c>
    </row>
    <row r="6621" spans="2:8" x14ac:dyDescent="0.2">
      <c r="B6621" s="3">
        <v>45038</v>
      </c>
      <c r="G6621" s="2">
        <f t="shared" si="103"/>
        <v>0</v>
      </c>
      <c r="H6621" t="s">
        <v>25</v>
      </c>
    </row>
    <row r="6622" spans="2:8" x14ac:dyDescent="0.2">
      <c r="B6622" s="3">
        <v>45038</v>
      </c>
      <c r="G6622" s="2">
        <f t="shared" si="103"/>
        <v>0</v>
      </c>
      <c r="H6622" t="s">
        <v>24</v>
      </c>
    </row>
    <row r="6623" spans="2:8" x14ac:dyDescent="0.2">
      <c r="B6623" s="3">
        <v>45038</v>
      </c>
      <c r="G6623" s="2">
        <f t="shared" si="103"/>
        <v>0</v>
      </c>
      <c r="H6623" t="s">
        <v>9</v>
      </c>
    </row>
    <row r="6624" spans="2:8" x14ac:dyDescent="0.2">
      <c r="B6624" s="3">
        <v>45038</v>
      </c>
      <c r="G6624" s="2">
        <f t="shared" si="103"/>
        <v>0</v>
      </c>
      <c r="H6624" t="s">
        <v>8</v>
      </c>
    </row>
    <row r="6625" spans="2:8" x14ac:dyDescent="0.2">
      <c r="B6625" s="3">
        <v>45038</v>
      </c>
      <c r="G6625" s="2">
        <f t="shared" si="103"/>
        <v>0</v>
      </c>
      <c r="H6625" t="s">
        <v>6</v>
      </c>
    </row>
    <row r="6626" spans="2:8" x14ac:dyDescent="0.2">
      <c r="B6626" s="3">
        <v>45038</v>
      </c>
      <c r="G6626" s="2">
        <f t="shared" si="103"/>
        <v>0</v>
      </c>
      <c r="H6626" t="s">
        <v>5</v>
      </c>
    </row>
    <row r="6627" spans="2:8" x14ac:dyDescent="0.2">
      <c r="B6627" s="3">
        <v>45038</v>
      </c>
      <c r="G6627" s="2">
        <f t="shared" si="103"/>
        <v>0</v>
      </c>
      <c r="H6627" s="1"/>
    </row>
    <row r="6628" spans="2:8" x14ac:dyDescent="0.2">
      <c r="B6628" s="3">
        <v>45039</v>
      </c>
      <c r="G6628" s="2">
        <f t="shared" si="103"/>
        <v>0</v>
      </c>
      <c r="H6628" t="s">
        <v>14</v>
      </c>
    </row>
    <row r="6629" spans="2:8" x14ac:dyDescent="0.2">
      <c r="B6629" s="3">
        <v>45039</v>
      </c>
      <c r="G6629" s="2">
        <f t="shared" si="103"/>
        <v>0</v>
      </c>
      <c r="H6629" t="s">
        <v>27</v>
      </c>
    </row>
    <row r="6630" spans="2:8" x14ac:dyDescent="0.2">
      <c r="B6630" s="3">
        <v>45039</v>
      </c>
      <c r="G6630" s="2">
        <f t="shared" si="103"/>
        <v>0</v>
      </c>
      <c r="H6630" t="s">
        <v>13</v>
      </c>
    </row>
    <row r="6631" spans="2:8" x14ac:dyDescent="0.2">
      <c r="B6631" s="3">
        <v>45039</v>
      </c>
      <c r="G6631" s="2">
        <f t="shared" si="103"/>
        <v>0</v>
      </c>
      <c r="H6631" t="s">
        <v>30</v>
      </c>
    </row>
    <row r="6632" spans="2:8" x14ac:dyDescent="0.2">
      <c r="B6632" s="3">
        <v>45039</v>
      </c>
      <c r="G6632" s="2">
        <f t="shared" si="103"/>
        <v>0</v>
      </c>
      <c r="H6632" t="s">
        <v>25</v>
      </c>
    </row>
    <row r="6633" spans="2:8" x14ac:dyDescent="0.2">
      <c r="B6633" s="3">
        <v>45039</v>
      </c>
      <c r="G6633" s="2">
        <f t="shared" si="103"/>
        <v>0</v>
      </c>
      <c r="H6633" t="s">
        <v>24</v>
      </c>
    </row>
    <row r="6634" spans="2:8" x14ac:dyDescent="0.2">
      <c r="B6634" s="3">
        <v>45039</v>
      </c>
      <c r="G6634" s="2">
        <f t="shared" si="103"/>
        <v>0</v>
      </c>
      <c r="H6634" t="s">
        <v>9</v>
      </c>
    </row>
    <row r="6635" spans="2:8" x14ac:dyDescent="0.2">
      <c r="B6635" s="3">
        <v>45039</v>
      </c>
      <c r="G6635" s="2">
        <f t="shared" si="103"/>
        <v>0</v>
      </c>
      <c r="H6635" t="s">
        <v>8</v>
      </c>
    </row>
    <row r="6636" spans="2:8" x14ac:dyDescent="0.2">
      <c r="B6636" s="3">
        <v>45039</v>
      </c>
      <c r="G6636" s="2">
        <f t="shared" si="103"/>
        <v>0</v>
      </c>
      <c r="H6636" t="s">
        <v>6</v>
      </c>
    </row>
    <row r="6637" spans="2:8" x14ac:dyDescent="0.2">
      <c r="B6637" s="3">
        <v>45039</v>
      </c>
      <c r="G6637" s="2">
        <f t="shared" si="103"/>
        <v>0</v>
      </c>
      <c r="H6637" t="s">
        <v>5</v>
      </c>
    </row>
    <row r="6638" spans="2:8" x14ac:dyDescent="0.2">
      <c r="B6638" s="3">
        <v>45039</v>
      </c>
      <c r="G6638" s="2">
        <f t="shared" si="103"/>
        <v>0</v>
      </c>
      <c r="H6638" s="1"/>
    </row>
    <row r="6639" spans="2:8" x14ac:dyDescent="0.2">
      <c r="B6639" s="3">
        <v>45040</v>
      </c>
      <c r="G6639" s="2">
        <f t="shared" si="103"/>
        <v>0</v>
      </c>
      <c r="H6639" t="s">
        <v>14</v>
      </c>
    </row>
    <row r="6640" spans="2:8" x14ac:dyDescent="0.2">
      <c r="B6640" s="3">
        <v>45040</v>
      </c>
      <c r="G6640" s="2">
        <f t="shared" si="103"/>
        <v>0</v>
      </c>
      <c r="H6640" t="s">
        <v>27</v>
      </c>
    </row>
    <row r="6641" spans="2:8" x14ac:dyDescent="0.2">
      <c r="B6641" s="3">
        <v>45040</v>
      </c>
      <c r="G6641" s="2">
        <f t="shared" si="103"/>
        <v>0</v>
      </c>
      <c r="H6641" t="s">
        <v>13</v>
      </c>
    </row>
    <row r="6642" spans="2:8" x14ac:dyDescent="0.2">
      <c r="B6642" s="3">
        <v>45040</v>
      </c>
      <c r="G6642" s="2">
        <f t="shared" si="103"/>
        <v>0</v>
      </c>
      <c r="H6642" t="s">
        <v>30</v>
      </c>
    </row>
    <row r="6643" spans="2:8" x14ac:dyDescent="0.2">
      <c r="B6643" s="3">
        <v>45040</v>
      </c>
      <c r="G6643" s="2">
        <f t="shared" si="103"/>
        <v>0</v>
      </c>
      <c r="H6643" t="s">
        <v>25</v>
      </c>
    </row>
    <row r="6644" spans="2:8" x14ac:dyDescent="0.2">
      <c r="B6644" s="3">
        <v>45040</v>
      </c>
      <c r="G6644" s="2">
        <f t="shared" si="103"/>
        <v>0</v>
      </c>
      <c r="H6644" t="s">
        <v>24</v>
      </c>
    </row>
    <row r="6645" spans="2:8" x14ac:dyDescent="0.2">
      <c r="B6645" s="3">
        <v>45040</v>
      </c>
      <c r="G6645" s="2">
        <f t="shared" si="103"/>
        <v>0</v>
      </c>
      <c r="H6645" t="s">
        <v>9</v>
      </c>
    </row>
    <row r="6646" spans="2:8" x14ac:dyDescent="0.2">
      <c r="B6646" s="3">
        <v>45040</v>
      </c>
      <c r="G6646" s="2">
        <f t="shared" si="103"/>
        <v>0</v>
      </c>
      <c r="H6646" t="s">
        <v>8</v>
      </c>
    </row>
    <row r="6647" spans="2:8" x14ac:dyDescent="0.2">
      <c r="B6647" s="3">
        <v>45040</v>
      </c>
      <c r="G6647" s="2">
        <f t="shared" si="103"/>
        <v>0</v>
      </c>
      <c r="H6647" t="s">
        <v>6</v>
      </c>
    </row>
    <row r="6648" spans="2:8" x14ac:dyDescent="0.2">
      <c r="B6648" s="3">
        <v>45040</v>
      </c>
      <c r="G6648" s="2">
        <f t="shared" si="103"/>
        <v>0</v>
      </c>
      <c r="H6648" t="s">
        <v>5</v>
      </c>
    </row>
    <row r="6649" spans="2:8" x14ac:dyDescent="0.2">
      <c r="B6649" s="3">
        <v>45040</v>
      </c>
      <c r="G6649" s="2">
        <f t="shared" si="103"/>
        <v>0</v>
      </c>
      <c r="H6649" s="1"/>
    </row>
    <row r="6650" spans="2:8" x14ac:dyDescent="0.2">
      <c r="B6650" s="3">
        <v>45041</v>
      </c>
      <c r="G6650" s="2">
        <f t="shared" si="103"/>
        <v>0</v>
      </c>
      <c r="H6650" t="s">
        <v>14</v>
      </c>
    </row>
    <row r="6651" spans="2:8" x14ac:dyDescent="0.2">
      <c r="B6651" s="3">
        <v>45041</v>
      </c>
      <c r="G6651" s="2">
        <f t="shared" si="103"/>
        <v>0</v>
      </c>
      <c r="H6651" t="s">
        <v>27</v>
      </c>
    </row>
    <row r="6652" spans="2:8" x14ac:dyDescent="0.2">
      <c r="B6652" s="3">
        <v>45041</v>
      </c>
      <c r="G6652" s="2">
        <f t="shared" si="103"/>
        <v>0</v>
      </c>
      <c r="H6652" t="s">
        <v>13</v>
      </c>
    </row>
    <row r="6653" spans="2:8" x14ac:dyDescent="0.2">
      <c r="B6653" s="3">
        <v>45041</v>
      </c>
      <c r="G6653" s="2">
        <f t="shared" si="103"/>
        <v>0</v>
      </c>
      <c r="H6653" t="s">
        <v>30</v>
      </c>
    </row>
    <row r="6654" spans="2:8" x14ac:dyDescent="0.2">
      <c r="B6654" s="3">
        <v>45041</v>
      </c>
      <c r="G6654" s="2">
        <f t="shared" si="103"/>
        <v>0</v>
      </c>
      <c r="H6654" t="s">
        <v>25</v>
      </c>
    </row>
    <row r="6655" spans="2:8" x14ac:dyDescent="0.2">
      <c r="B6655" s="3">
        <v>45041</v>
      </c>
      <c r="G6655" s="2">
        <f t="shared" si="103"/>
        <v>0</v>
      </c>
      <c r="H6655" t="s">
        <v>24</v>
      </c>
    </row>
    <row r="6656" spans="2:8" x14ac:dyDescent="0.2">
      <c r="B6656" s="3">
        <v>45041</v>
      </c>
      <c r="G6656" s="2">
        <f t="shared" si="103"/>
        <v>0</v>
      </c>
      <c r="H6656" t="s">
        <v>9</v>
      </c>
    </row>
    <row r="6657" spans="2:8" x14ac:dyDescent="0.2">
      <c r="B6657" s="3">
        <v>45041</v>
      </c>
      <c r="G6657" s="2">
        <f t="shared" si="103"/>
        <v>0</v>
      </c>
      <c r="H6657" t="s">
        <v>8</v>
      </c>
    </row>
    <row r="6658" spans="2:8" x14ac:dyDescent="0.2">
      <c r="B6658" s="3">
        <v>45041</v>
      </c>
      <c r="G6658" s="2">
        <f t="shared" si="103"/>
        <v>0</v>
      </c>
      <c r="H6658" t="s">
        <v>6</v>
      </c>
    </row>
    <row r="6659" spans="2:8" x14ac:dyDescent="0.2">
      <c r="B6659" s="3">
        <v>45041</v>
      </c>
      <c r="G6659" s="2">
        <f t="shared" ref="G6659:G6722" si="104">E6659-F6659</f>
        <v>0</v>
      </c>
      <c r="H6659" t="s">
        <v>5</v>
      </c>
    </row>
    <row r="6660" spans="2:8" x14ac:dyDescent="0.2">
      <c r="B6660" s="3">
        <v>45041</v>
      </c>
      <c r="G6660" s="2">
        <f t="shared" si="104"/>
        <v>0</v>
      </c>
      <c r="H6660" s="1"/>
    </row>
    <row r="6661" spans="2:8" x14ac:dyDescent="0.2">
      <c r="B6661" s="3">
        <v>45042</v>
      </c>
      <c r="G6661" s="2">
        <f t="shared" si="104"/>
        <v>0</v>
      </c>
      <c r="H6661" t="s">
        <v>14</v>
      </c>
    </row>
    <row r="6662" spans="2:8" x14ac:dyDescent="0.2">
      <c r="B6662" s="3">
        <v>45042</v>
      </c>
      <c r="G6662" s="2">
        <f t="shared" si="104"/>
        <v>0</v>
      </c>
      <c r="H6662" t="s">
        <v>27</v>
      </c>
    </row>
    <row r="6663" spans="2:8" x14ac:dyDescent="0.2">
      <c r="B6663" s="3">
        <v>45042</v>
      </c>
      <c r="G6663" s="2">
        <f t="shared" si="104"/>
        <v>0</v>
      </c>
      <c r="H6663" t="s">
        <v>13</v>
      </c>
    </row>
    <row r="6664" spans="2:8" x14ac:dyDescent="0.2">
      <c r="B6664" s="3">
        <v>45042</v>
      </c>
      <c r="F6664" s="1">
        <v>26282</v>
      </c>
      <c r="G6664" s="2">
        <f t="shared" si="104"/>
        <v>-26282</v>
      </c>
      <c r="H6664" t="s">
        <v>30</v>
      </c>
    </row>
    <row r="6665" spans="2:8" x14ac:dyDescent="0.2">
      <c r="B6665" s="3">
        <v>45042</v>
      </c>
      <c r="G6665" s="2">
        <f t="shared" si="104"/>
        <v>0</v>
      </c>
      <c r="H6665" t="s">
        <v>25</v>
      </c>
    </row>
    <row r="6666" spans="2:8" x14ac:dyDescent="0.2">
      <c r="B6666" s="3">
        <v>45042</v>
      </c>
      <c r="G6666" s="2">
        <f t="shared" si="104"/>
        <v>0</v>
      </c>
      <c r="H6666" t="s">
        <v>24</v>
      </c>
    </row>
    <row r="6667" spans="2:8" x14ac:dyDescent="0.2">
      <c r="B6667" s="3">
        <v>45042</v>
      </c>
      <c r="G6667" s="2">
        <f t="shared" si="104"/>
        <v>0</v>
      </c>
      <c r="H6667" t="s">
        <v>9</v>
      </c>
    </row>
    <row r="6668" spans="2:8" x14ac:dyDescent="0.2">
      <c r="B6668" s="3">
        <v>45042</v>
      </c>
      <c r="G6668" s="2">
        <f t="shared" si="104"/>
        <v>0</v>
      </c>
      <c r="H6668" t="s">
        <v>8</v>
      </c>
    </row>
    <row r="6669" spans="2:8" x14ac:dyDescent="0.2">
      <c r="B6669" s="3">
        <v>45042</v>
      </c>
      <c r="G6669" s="2">
        <f t="shared" si="104"/>
        <v>0</v>
      </c>
      <c r="H6669" t="s">
        <v>6</v>
      </c>
    </row>
    <row r="6670" spans="2:8" x14ac:dyDescent="0.2">
      <c r="B6670" s="3">
        <v>45042</v>
      </c>
      <c r="G6670" s="2">
        <f t="shared" si="104"/>
        <v>0</v>
      </c>
      <c r="H6670" t="s">
        <v>5</v>
      </c>
    </row>
    <row r="6671" spans="2:8" x14ac:dyDescent="0.2">
      <c r="B6671" s="3">
        <v>45042</v>
      </c>
      <c r="G6671" s="2">
        <f t="shared" si="104"/>
        <v>0</v>
      </c>
      <c r="H6671" s="1"/>
    </row>
    <row r="6672" spans="2:8" x14ac:dyDescent="0.2">
      <c r="B6672" s="3">
        <v>45043</v>
      </c>
      <c r="G6672" s="2">
        <f t="shared" si="104"/>
        <v>0</v>
      </c>
      <c r="H6672" t="s">
        <v>14</v>
      </c>
    </row>
    <row r="6673" spans="2:8" x14ac:dyDescent="0.2">
      <c r="B6673" s="3">
        <v>45043</v>
      </c>
      <c r="G6673" s="2">
        <f t="shared" si="104"/>
        <v>0</v>
      </c>
      <c r="H6673" t="s">
        <v>27</v>
      </c>
    </row>
    <row r="6674" spans="2:8" x14ac:dyDescent="0.2">
      <c r="B6674" s="3">
        <v>45043</v>
      </c>
      <c r="G6674" s="2">
        <f t="shared" si="104"/>
        <v>0</v>
      </c>
      <c r="H6674" t="s">
        <v>13</v>
      </c>
    </row>
    <row r="6675" spans="2:8" x14ac:dyDescent="0.2">
      <c r="B6675" s="3">
        <v>45043</v>
      </c>
      <c r="G6675" s="2">
        <f t="shared" si="104"/>
        <v>0</v>
      </c>
      <c r="H6675" t="s">
        <v>30</v>
      </c>
    </row>
    <row r="6676" spans="2:8" x14ac:dyDescent="0.2">
      <c r="B6676" s="3">
        <v>45043</v>
      </c>
      <c r="G6676" s="2">
        <f t="shared" si="104"/>
        <v>0</v>
      </c>
      <c r="H6676" t="s">
        <v>25</v>
      </c>
    </row>
    <row r="6677" spans="2:8" x14ac:dyDescent="0.2">
      <c r="B6677" s="3">
        <v>45043</v>
      </c>
      <c r="G6677" s="2">
        <f t="shared" si="104"/>
        <v>0</v>
      </c>
      <c r="H6677" t="s">
        <v>24</v>
      </c>
    </row>
    <row r="6678" spans="2:8" x14ac:dyDescent="0.2">
      <c r="B6678" s="3">
        <v>45043</v>
      </c>
      <c r="G6678" s="2">
        <f t="shared" si="104"/>
        <v>0</v>
      </c>
      <c r="H6678" t="s">
        <v>9</v>
      </c>
    </row>
    <row r="6679" spans="2:8" x14ac:dyDescent="0.2">
      <c r="B6679" s="3">
        <v>45043</v>
      </c>
      <c r="G6679" s="2">
        <f t="shared" si="104"/>
        <v>0</v>
      </c>
      <c r="H6679" t="s">
        <v>8</v>
      </c>
    </row>
    <row r="6680" spans="2:8" x14ac:dyDescent="0.2">
      <c r="B6680" s="3">
        <v>45043</v>
      </c>
      <c r="G6680" s="2">
        <f t="shared" si="104"/>
        <v>0</v>
      </c>
      <c r="H6680" t="s">
        <v>6</v>
      </c>
    </row>
    <row r="6681" spans="2:8" x14ac:dyDescent="0.2">
      <c r="B6681" s="3">
        <v>45043</v>
      </c>
      <c r="F6681" s="1">
        <v>11580.5</v>
      </c>
      <c r="G6681" s="2">
        <f t="shared" si="104"/>
        <v>-11580.5</v>
      </c>
      <c r="H6681" t="s">
        <v>5</v>
      </c>
    </row>
    <row r="6682" spans="2:8" x14ac:dyDescent="0.2">
      <c r="B6682" s="3">
        <v>45043</v>
      </c>
      <c r="G6682" s="2">
        <f t="shared" si="104"/>
        <v>0</v>
      </c>
      <c r="H6682" s="1"/>
    </row>
    <row r="6683" spans="2:8" x14ac:dyDescent="0.2">
      <c r="B6683" s="3">
        <v>45044</v>
      </c>
      <c r="D6683" s="1">
        <v>20910</v>
      </c>
      <c r="E6683" s="1">
        <v>24660</v>
      </c>
      <c r="G6683" s="2">
        <f t="shared" si="104"/>
        <v>24660</v>
      </c>
      <c r="H6683" t="s">
        <v>14</v>
      </c>
    </row>
    <row r="6684" spans="2:8" x14ac:dyDescent="0.2">
      <c r="B6684" s="3">
        <v>45044</v>
      </c>
      <c r="G6684" s="2">
        <f t="shared" si="104"/>
        <v>0</v>
      </c>
      <c r="H6684" t="s">
        <v>27</v>
      </c>
    </row>
    <row r="6685" spans="2:8" x14ac:dyDescent="0.2">
      <c r="B6685" s="3">
        <v>45044</v>
      </c>
      <c r="G6685" s="2">
        <f t="shared" si="104"/>
        <v>0</v>
      </c>
      <c r="H6685" t="s">
        <v>13</v>
      </c>
    </row>
    <row r="6686" spans="2:8" x14ac:dyDescent="0.2">
      <c r="B6686" s="3">
        <v>45044</v>
      </c>
      <c r="G6686" s="2">
        <f t="shared" si="104"/>
        <v>0</v>
      </c>
      <c r="H6686" t="s">
        <v>30</v>
      </c>
    </row>
    <row r="6687" spans="2:8" x14ac:dyDescent="0.2">
      <c r="B6687" s="3">
        <v>45044</v>
      </c>
      <c r="G6687" s="2">
        <f t="shared" si="104"/>
        <v>0</v>
      </c>
      <c r="H6687" t="s">
        <v>25</v>
      </c>
    </row>
    <row r="6688" spans="2:8" x14ac:dyDescent="0.2">
      <c r="B6688" s="3">
        <v>45044</v>
      </c>
      <c r="G6688" s="2">
        <f t="shared" si="104"/>
        <v>0</v>
      </c>
      <c r="H6688" t="s">
        <v>24</v>
      </c>
    </row>
    <row r="6689" spans="2:8" x14ac:dyDescent="0.2">
      <c r="B6689" s="3">
        <v>45044</v>
      </c>
      <c r="G6689" s="2">
        <f t="shared" si="104"/>
        <v>0</v>
      </c>
      <c r="H6689" t="s">
        <v>9</v>
      </c>
    </row>
    <row r="6690" spans="2:8" x14ac:dyDescent="0.2">
      <c r="B6690" s="3">
        <v>45044</v>
      </c>
      <c r="F6690" s="1">
        <v>20000</v>
      </c>
      <c r="G6690" s="2">
        <f t="shared" si="104"/>
        <v>-20000</v>
      </c>
      <c r="H6690" t="s">
        <v>8</v>
      </c>
    </row>
    <row r="6691" spans="2:8" x14ac:dyDescent="0.2">
      <c r="B6691" s="3">
        <v>45044</v>
      </c>
      <c r="F6691" s="1">
        <v>2000</v>
      </c>
      <c r="G6691" s="2">
        <f t="shared" si="104"/>
        <v>-2000</v>
      </c>
      <c r="H6691" t="s">
        <v>6</v>
      </c>
    </row>
    <row r="6692" spans="2:8" x14ac:dyDescent="0.2">
      <c r="B6692" s="3">
        <v>45044</v>
      </c>
      <c r="D6692" s="1">
        <v>1552.5</v>
      </c>
      <c r="E6692" s="1">
        <v>2000</v>
      </c>
      <c r="G6692" s="2">
        <f t="shared" si="104"/>
        <v>2000</v>
      </c>
      <c r="H6692" t="s">
        <v>5</v>
      </c>
    </row>
    <row r="6693" spans="2:8" x14ac:dyDescent="0.2">
      <c r="B6693" s="3">
        <v>45044</v>
      </c>
      <c r="G6693" s="2">
        <f t="shared" si="104"/>
        <v>0</v>
      </c>
      <c r="H6693" s="1"/>
    </row>
    <row r="6694" spans="2:8" x14ac:dyDescent="0.2">
      <c r="B6694" s="3">
        <v>45045</v>
      </c>
      <c r="G6694" s="2">
        <f t="shared" si="104"/>
        <v>0</v>
      </c>
      <c r="H6694" t="s">
        <v>14</v>
      </c>
    </row>
    <row r="6695" spans="2:8" x14ac:dyDescent="0.2">
      <c r="B6695" s="3">
        <v>45045</v>
      </c>
      <c r="G6695" s="2">
        <f t="shared" si="104"/>
        <v>0</v>
      </c>
      <c r="H6695" t="s">
        <v>27</v>
      </c>
    </row>
    <row r="6696" spans="2:8" x14ac:dyDescent="0.2">
      <c r="B6696" s="3">
        <v>45045</v>
      </c>
      <c r="G6696" s="2">
        <f t="shared" si="104"/>
        <v>0</v>
      </c>
      <c r="H6696" t="s">
        <v>13</v>
      </c>
    </row>
    <row r="6697" spans="2:8" x14ac:dyDescent="0.2">
      <c r="B6697" s="3">
        <v>45045</v>
      </c>
      <c r="G6697" s="2">
        <f t="shared" si="104"/>
        <v>0</v>
      </c>
      <c r="H6697" t="s">
        <v>30</v>
      </c>
    </row>
    <row r="6698" spans="2:8" x14ac:dyDescent="0.2">
      <c r="B6698" s="3">
        <v>45045</v>
      </c>
      <c r="G6698" s="2">
        <f t="shared" si="104"/>
        <v>0</v>
      </c>
      <c r="H6698" t="s">
        <v>25</v>
      </c>
    </row>
    <row r="6699" spans="2:8" x14ac:dyDescent="0.2">
      <c r="B6699" s="3">
        <v>45045</v>
      </c>
      <c r="G6699" s="2">
        <f t="shared" si="104"/>
        <v>0</v>
      </c>
      <c r="H6699" t="s">
        <v>24</v>
      </c>
    </row>
    <row r="6700" spans="2:8" x14ac:dyDescent="0.2">
      <c r="B6700" s="3">
        <v>45045</v>
      </c>
      <c r="G6700" s="2">
        <f t="shared" si="104"/>
        <v>0</v>
      </c>
      <c r="H6700" t="s">
        <v>9</v>
      </c>
    </row>
    <row r="6701" spans="2:8" x14ac:dyDescent="0.2">
      <c r="B6701" s="3">
        <v>45045</v>
      </c>
      <c r="G6701" s="2">
        <f t="shared" si="104"/>
        <v>0</v>
      </c>
      <c r="H6701" t="s">
        <v>8</v>
      </c>
    </row>
    <row r="6702" spans="2:8" x14ac:dyDescent="0.2">
      <c r="B6702" s="3">
        <v>45045</v>
      </c>
      <c r="G6702" s="2">
        <f t="shared" si="104"/>
        <v>0</v>
      </c>
      <c r="H6702" t="s">
        <v>6</v>
      </c>
    </row>
    <row r="6703" spans="2:8" x14ac:dyDescent="0.2">
      <c r="B6703" s="3">
        <v>45045</v>
      </c>
      <c r="G6703" s="2">
        <f t="shared" si="104"/>
        <v>0</v>
      </c>
      <c r="H6703" t="s">
        <v>5</v>
      </c>
    </row>
    <row r="6704" spans="2:8" x14ac:dyDescent="0.2">
      <c r="B6704" s="3">
        <v>45045</v>
      </c>
      <c r="G6704" s="2">
        <f t="shared" si="104"/>
        <v>0</v>
      </c>
      <c r="H6704" s="1"/>
    </row>
    <row r="6705" spans="2:8" x14ac:dyDescent="0.2">
      <c r="B6705" s="3">
        <v>45046</v>
      </c>
      <c r="G6705" s="2">
        <f t="shared" si="104"/>
        <v>0</v>
      </c>
      <c r="H6705" t="s">
        <v>14</v>
      </c>
    </row>
    <row r="6706" spans="2:8" x14ac:dyDescent="0.2">
      <c r="B6706" s="3">
        <v>45046</v>
      </c>
      <c r="G6706" s="2">
        <f t="shared" si="104"/>
        <v>0</v>
      </c>
      <c r="H6706" t="s">
        <v>27</v>
      </c>
    </row>
    <row r="6707" spans="2:8" x14ac:dyDescent="0.2">
      <c r="B6707" s="3">
        <v>45046</v>
      </c>
      <c r="D6707" s="1">
        <v>7579.05</v>
      </c>
      <c r="E6707" s="1">
        <v>9296.83</v>
      </c>
      <c r="F6707" s="1">
        <v>12000</v>
      </c>
      <c r="G6707" s="2">
        <f t="shared" si="104"/>
        <v>-2703.17</v>
      </c>
      <c r="H6707" t="s">
        <v>13</v>
      </c>
    </row>
    <row r="6708" spans="2:8" x14ac:dyDescent="0.2">
      <c r="B6708" s="3">
        <v>45046</v>
      </c>
      <c r="G6708" s="2">
        <f t="shared" si="104"/>
        <v>0</v>
      </c>
      <c r="H6708" t="s">
        <v>30</v>
      </c>
    </row>
    <row r="6709" spans="2:8" x14ac:dyDescent="0.2">
      <c r="B6709" s="3">
        <v>45046</v>
      </c>
      <c r="G6709" s="2">
        <f t="shared" si="104"/>
        <v>0</v>
      </c>
      <c r="H6709" t="s">
        <v>25</v>
      </c>
    </row>
    <row r="6710" spans="2:8" x14ac:dyDescent="0.2">
      <c r="B6710" s="3">
        <v>45046</v>
      </c>
      <c r="F6710" s="1">
        <v>2000</v>
      </c>
      <c r="G6710" s="2">
        <f t="shared" si="104"/>
        <v>-2000</v>
      </c>
      <c r="H6710" t="s">
        <v>24</v>
      </c>
    </row>
    <row r="6711" spans="2:8" x14ac:dyDescent="0.2">
      <c r="B6711" s="3">
        <v>45046</v>
      </c>
      <c r="G6711" s="2">
        <f t="shared" si="104"/>
        <v>0</v>
      </c>
      <c r="H6711" t="s">
        <v>9</v>
      </c>
    </row>
    <row r="6712" spans="2:8" x14ac:dyDescent="0.2">
      <c r="B6712" s="3">
        <v>45046</v>
      </c>
      <c r="D6712" s="1">
        <v>16278</v>
      </c>
      <c r="E6712" s="1">
        <v>18185</v>
      </c>
      <c r="G6712" s="2">
        <f t="shared" si="104"/>
        <v>18185</v>
      </c>
      <c r="H6712" t="s">
        <v>8</v>
      </c>
    </row>
    <row r="6713" spans="2:8" x14ac:dyDescent="0.2">
      <c r="B6713" s="3">
        <v>45046</v>
      </c>
      <c r="G6713" s="2">
        <f t="shared" si="104"/>
        <v>0</v>
      </c>
      <c r="H6713" t="s">
        <v>6</v>
      </c>
    </row>
    <row r="6714" spans="2:8" x14ac:dyDescent="0.2">
      <c r="B6714" s="3">
        <v>45046</v>
      </c>
      <c r="G6714" s="2">
        <f t="shared" si="104"/>
        <v>0</v>
      </c>
      <c r="H6714" t="s">
        <v>5</v>
      </c>
    </row>
    <row r="6715" spans="2:8" x14ac:dyDescent="0.2">
      <c r="B6715" s="3">
        <v>45046</v>
      </c>
      <c r="G6715" s="2">
        <f t="shared" si="104"/>
        <v>0</v>
      </c>
      <c r="H6715" s="1"/>
    </row>
    <row r="6716" spans="2:8" x14ac:dyDescent="0.2">
      <c r="B6716" s="3">
        <v>45047</v>
      </c>
      <c r="G6716" s="2">
        <f t="shared" si="104"/>
        <v>0</v>
      </c>
      <c r="H6716" t="s">
        <v>14</v>
      </c>
    </row>
    <row r="6717" spans="2:8" x14ac:dyDescent="0.2">
      <c r="B6717" s="3">
        <v>45047</v>
      </c>
      <c r="G6717" s="2">
        <f t="shared" si="104"/>
        <v>0</v>
      </c>
      <c r="H6717" t="s">
        <v>27</v>
      </c>
    </row>
    <row r="6718" spans="2:8" x14ac:dyDescent="0.2">
      <c r="B6718" s="3">
        <v>45047</v>
      </c>
      <c r="G6718" s="2">
        <f t="shared" si="104"/>
        <v>0</v>
      </c>
      <c r="H6718" t="s">
        <v>13</v>
      </c>
    </row>
    <row r="6719" spans="2:8" x14ac:dyDescent="0.2">
      <c r="B6719" s="3">
        <v>45047</v>
      </c>
      <c r="G6719" s="2">
        <f t="shared" si="104"/>
        <v>0</v>
      </c>
      <c r="H6719" t="s">
        <v>30</v>
      </c>
    </row>
    <row r="6720" spans="2:8" x14ac:dyDescent="0.2">
      <c r="B6720" s="3">
        <v>45047</v>
      </c>
      <c r="G6720" s="2">
        <f t="shared" si="104"/>
        <v>0</v>
      </c>
      <c r="H6720" t="s">
        <v>25</v>
      </c>
    </row>
    <row r="6721" spans="2:8" x14ac:dyDescent="0.2">
      <c r="B6721" s="3">
        <v>45047</v>
      </c>
      <c r="G6721" s="2">
        <f t="shared" si="104"/>
        <v>0</v>
      </c>
      <c r="H6721" t="s">
        <v>24</v>
      </c>
    </row>
    <row r="6722" spans="2:8" x14ac:dyDescent="0.2">
      <c r="B6722" s="3">
        <v>45047</v>
      </c>
      <c r="G6722" s="2">
        <f t="shared" si="104"/>
        <v>0</v>
      </c>
      <c r="H6722" t="s">
        <v>9</v>
      </c>
    </row>
    <row r="6723" spans="2:8" x14ac:dyDescent="0.2">
      <c r="B6723" s="3">
        <v>45047</v>
      </c>
      <c r="G6723" s="2">
        <f t="shared" ref="G6723:G6786" si="105">E6723-F6723</f>
        <v>0</v>
      </c>
      <c r="H6723" t="s">
        <v>8</v>
      </c>
    </row>
    <row r="6724" spans="2:8" x14ac:dyDescent="0.2">
      <c r="B6724" s="3">
        <v>45047</v>
      </c>
      <c r="G6724" s="2">
        <f t="shared" si="105"/>
        <v>0</v>
      </c>
      <c r="H6724" t="s">
        <v>6</v>
      </c>
    </row>
    <row r="6725" spans="2:8" x14ac:dyDescent="0.2">
      <c r="B6725" s="3">
        <v>45047</v>
      </c>
      <c r="G6725" s="2">
        <f t="shared" si="105"/>
        <v>0</v>
      </c>
      <c r="H6725" t="s">
        <v>5</v>
      </c>
    </row>
    <row r="6726" spans="2:8" x14ac:dyDescent="0.2">
      <c r="B6726" s="3">
        <v>45047</v>
      </c>
      <c r="G6726" s="2">
        <f t="shared" si="105"/>
        <v>0</v>
      </c>
      <c r="H6726" s="1"/>
    </row>
    <row r="6727" spans="2:8" x14ac:dyDescent="0.2">
      <c r="B6727" s="3">
        <v>45048</v>
      </c>
      <c r="D6727" s="1">
        <v>1778.2</v>
      </c>
      <c r="E6727" s="1">
        <v>1950</v>
      </c>
      <c r="G6727" s="2">
        <f t="shared" si="105"/>
        <v>1950</v>
      </c>
      <c r="H6727" t="s">
        <v>14</v>
      </c>
    </row>
    <row r="6728" spans="2:8" x14ac:dyDescent="0.2">
      <c r="B6728" s="3">
        <v>45048</v>
      </c>
      <c r="G6728" s="2">
        <f t="shared" si="105"/>
        <v>0</v>
      </c>
      <c r="H6728" t="s">
        <v>27</v>
      </c>
    </row>
    <row r="6729" spans="2:8" x14ac:dyDescent="0.2">
      <c r="B6729" s="3">
        <v>45048</v>
      </c>
      <c r="G6729" s="2">
        <f t="shared" si="105"/>
        <v>0</v>
      </c>
      <c r="H6729" t="s">
        <v>13</v>
      </c>
    </row>
    <row r="6730" spans="2:8" x14ac:dyDescent="0.2">
      <c r="B6730" s="3">
        <v>45048</v>
      </c>
      <c r="G6730" s="2">
        <f t="shared" si="105"/>
        <v>0</v>
      </c>
      <c r="H6730" t="s">
        <v>30</v>
      </c>
    </row>
    <row r="6731" spans="2:8" x14ac:dyDescent="0.2">
      <c r="B6731" s="3">
        <v>45048</v>
      </c>
      <c r="G6731" s="2">
        <f t="shared" si="105"/>
        <v>0</v>
      </c>
      <c r="H6731" t="s">
        <v>25</v>
      </c>
    </row>
    <row r="6732" spans="2:8" x14ac:dyDescent="0.2">
      <c r="B6732" s="3">
        <v>45048</v>
      </c>
      <c r="D6732" s="1">
        <v>1915</v>
      </c>
      <c r="E6732" s="1">
        <v>2132.5</v>
      </c>
      <c r="G6732" s="2">
        <f t="shared" si="105"/>
        <v>2132.5</v>
      </c>
      <c r="H6732" t="s">
        <v>24</v>
      </c>
    </row>
    <row r="6733" spans="2:8" x14ac:dyDescent="0.2">
      <c r="B6733" s="3">
        <v>45048</v>
      </c>
      <c r="G6733" s="2">
        <f t="shared" si="105"/>
        <v>0</v>
      </c>
      <c r="H6733" t="s">
        <v>9</v>
      </c>
    </row>
    <row r="6734" spans="2:8" x14ac:dyDescent="0.2">
      <c r="B6734" s="3">
        <v>45048</v>
      </c>
      <c r="G6734" s="2">
        <f t="shared" si="105"/>
        <v>0</v>
      </c>
      <c r="H6734" t="s">
        <v>8</v>
      </c>
    </row>
    <row r="6735" spans="2:8" x14ac:dyDescent="0.2">
      <c r="B6735" s="3">
        <v>45048</v>
      </c>
      <c r="G6735" s="2">
        <f t="shared" si="105"/>
        <v>0</v>
      </c>
      <c r="H6735" t="s">
        <v>6</v>
      </c>
    </row>
    <row r="6736" spans="2:8" x14ac:dyDescent="0.2">
      <c r="B6736" s="3">
        <v>45048</v>
      </c>
      <c r="G6736" s="2">
        <f t="shared" si="105"/>
        <v>0</v>
      </c>
      <c r="H6736" t="s">
        <v>5</v>
      </c>
    </row>
    <row r="6737" spans="2:8" x14ac:dyDescent="0.2">
      <c r="B6737" s="3">
        <v>45048</v>
      </c>
      <c r="G6737" s="2">
        <f t="shared" si="105"/>
        <v>0</v>
      </c>
      <c r="H6737" s="1"/>
    </row>
    <row r="6738" spans="2:8" x14ac:dyDescent="0.2">
      <c r="B6738" s="3">
        <v>45049</v>
      </c>
      <c r="G6738" s="2">
        <f t="shared" si="105"/>
        <v>0</v>
      </c>
      <c r="H6738" t="s">
        <v>14</v>
      </c>
    </row>
    <row r="6739" spans="2:8" x14ac:dyDescent="0.2">
      <c r="B6739" s="3">
        <v>45049</v>
      </c>
      <c r="G6739" s="2">
        <f t="shared" si="105"/>
        <v>0</v>
      </c>
      <c r="H6739" t="s">
        <v>27</v>
      </c>
    </row>
    <row r="6740" spans="2:8" x14ac:dyDescent="0.2">
      <c r="B6740" s="3">
        <v>45049</v>
      </c>
      <c r="G6740" s="2">
        <f t="shared" si="105"/>
        <v>0</v>
      </c>
      <c r="H6740" t="s">
        <v>13</v>
      </c>
    </row>
    <row r="6741" spans="2:8" x14ac:dyDescent="0.2">
      <c r="B6741" s="3">
        <v>45049</v>
      </c>
      <c r="G6741" s="2">
        <f t="shared" si="105"/>
        <v>0</v>
      </c>
      <c r="H6741" t="s">
        <v>30</v>
      </c>
    </row>
    <row r="6742" spans="2:8" x14ac:dyDescent="0.2">
      <c r="B6742" s="3">
        <v>45049</v>
      </c>
      <c r="D6742" s="1">
        <v>3040.25</v>
      </c>
      <c r="E6742" s="1">
        <v>3630</v>
      </c>
      <c r="F6742" s="1">
        <v>3630</v>
      </c>
      <c r="G6742" s="2">
        <f t="shared" si="105"/>
        <v>0</v>
      </c>
      <c r="H6742" t="s">
        <v>25</v>
      </c>
    </row>
    <row r="6743" spans="2:8" x14ac:dyDescent="0.2">
      <c r="B6743" s="3">
        <v>45049</v>
      </c>
      <c r="G6743" s="2">
        <f t="shared" si="105"/>
        <v>0</v>
      </c>
      <c r="H6743" t="s">
        <v>24</v>
      </c>
    </row>
    <row r="6744" spans="2:8" x14ac:dyDescent="0.2">
      <c r="B6744" s="3">
        <v>45049</v>
      </c>
      <c r="G6744" s="2">
        <f t="shared" si="105"/>
        <v>0</v>
      </c>
      <c r="H6744" t="s">
        <v>9</v>
      </c>
    </row>
    <row r="6745" spans="2:8" x14ac:dyDescent="0.2">
      <c r="B6745" s="3">
        <v>45049</v>
      </c>
      <c r="G6745" s="2">
        <f t="shared" si="105"/>
        <v>0</v>
      </c>
      <c r="H6745" t="s">
        <v>8</v>
      </c>
    </row>
    <row r="6746" spans="2:8" x14ac:dyDescent="0.2">
      <c r="B6746" s="3">
        <v>45049</v>
      </c>
      <c r="G6746" s="2">
        <f t="shared" si="105"/>
        <v>0</v>
      </c>
      <c r="H6746" t="s">
        <v>6</v>
      </c>
    </row>
    <row r="6747" spans="2:8" x14ac:dyDescent="0.2">
      <c r="B6747" s="3">
        <v>45049</v>
      </c>
      <c r="G6747" s="2">
        <f t="shared" si="105"/>
        <v>0</v>
      </c>
      <c r="H6747" t="s">
        <v>5</v>
      </c>
    </row>
    <row r="6748" spans="2:8" x14ac:dyDescent="0.2">
      <c r="B6748" s="3">
        <v>45049</v>
      </c>
      <c r="G6748" s="2">
        <f t="shared" si="105"/>
        <v>0</v>
      </c>
      <c r="H6748" s="1"/>
    </row>
    <row r="6749" spans="2:8" x14ac:dyDescent="0.2">
      <c r="B6749" s="3">
        <v>45050</v>
      </c>
      <c r="G6749" s="2">
        <f t="shared" si="105"/>
        <v>0</v>
      </c>
      <c r="H6749" t="s">
        <v>14</v>
      </c>
    </row>
    <row r="6750" spans="2:8" x14ac:dyDescent="0.2">
      <c r="B6750" s="3">
        <v>45050</v>
      </c>
      <c r="G6750" s="2">
        <f t="shared" si="105"/>
        <v>0</v>
      </c>
      <c r="H6750" t="s">
        <v>27</v>
      </c>
    </row>
    <row r="6751" spans="2:8" x14ac:dyDescent="0.2">
      <c r="B6751" s="3">
        <v>45050</v>
      </c>
      <c r="F6751" s="1">
        <v>3000</v>
      </c>
      <c r="G6751" s="2">
        <f t="shared" si="105"/>
        <v>-3000</v>
      </c>
      <c r="H6751" t="s">
        <v>13</v>
      </c>
    </row>
    <row r="6752" spans="2:8" x14ac:dyDescent="0.2">
      <c r="B6752" s="3">
        <v>45050</v>
      </c>
      <c r="G6752" s="2">
        <f t="shared" si="105"/>
        <v>0</v>
      </c>
      <c r="H6752" t="s">
        <v>30</v>
      </c>
    </row>
    <row r="6753" spans="2:8" x14ac:dyDescent="0.2">
      <c r="B6753" s="3">
        <v>45050</v>
      </c>
      <c r="G6753" s="2">
        <f t="shared" si="105"/>
        <v>0</v>
      </c>
      <c r="H6753" t="s">
        <v>25</v>
      </c>
    </row>
    <row r="6754" spans="2:8" x14ac:dyDescent="0.2">
      <c r="B6754" s="3">
        <v>45050</v>
      </c>
      <c r="G6754" s="2">
        <f t="shared" si="105"/>
        <v>0</v>
      </c>
      <c r="H6754" t="s">
        <v>24</v>
      </c>
    </row>
    <row r="6755" spans="2:8" x14ac:dyDescent="0.2">
      <c r="B6755" s="3">
        <v>45050</v>
      </c>
      <c r="F6755" s="1">
        <v>16850</v>
      </c>
      <c r="G6755" s="2">
        <f t="shared" si="105"/>
        <v>-16850</v>
      </c>
      <c r="H6755" t="s">
        <v>9</v>
      </c>
    </row>
    <row r="6756" spans="2:8" x14ac:dyDescent="0.2">
      <c r="B6756" s="3">
        <v>45050</v>
      </c>
      <c r="G6756" s="2">
        <f t="shared" si="105"/>
        <v>0</v>
      </c>
      <c r="H6756" t="s">
        <v>8</v>
      </c>
    </row>
    <row r="6757" spans="2:8" x14ac:dyDescent="0.2">
      <c r="B6757" s="3">
        <v>45050</v>
      </c>
      <c r="G6757" s="2">
        <f t="shared" si="105"/>
        <v>0</v>
      </c>
      <c r="H6757" t="s">
        <v>6</v>
      </c>
    </row>
    <row r="6758" spans="2:8" x14ac:dyDescent="0.2">
      <c r="B6758" s="3">
        <v>45050</v>
      </c>
      <c r="G6758" s="2">
        <f t="shared" si="105"/>
        <v>0</v>
      </c>
      <c r="H6758" t="s">
        <v>5</v>
      </c>
    </row>
    <row r="6759" spans="2:8" x14ac:dyDescent="0.2">
      <c r="B6759" s="3">
        <v>45050</v>
      </c>
      <c r="G6759" s="2">
        <f t="shared" si="105"/>
        <v>0</v>
      </c>
      <c r="H6759" s="1"/>
    </row>
    <row r="6760" spans="2:8" x14ac:dyDescent="0.2">
      <c r="B6760" s="3">
        <v>45051</v>
      </c>
      <c r="G6760" s="2">
        <f t="shared" si="105"/>
        <v>0</v>
      </c>
      <c r="H6760" t="s">
        <v>14</v>
      </c>
    </row>
    <row r="6761" spans="2:8" x14ac:dyDescent="0.2">
      <c r="B6761" s="3">
        <v>45051</v>
      </c>
      <c r="G6761" s="2">
        <f t="shared" si="105"/>
        <v>0</v>
      </c>
      <c r="H6761" t="s">
        <v>27</v>
      </c>
    </row>
    <row r="6762" spans="2:8" x14ac:dyDescent="0.2">
      <c r="B6762" s="3">
        <v>45051</v>
      </c>
      <c r="G6762" s="2">
        <f t="shared" si="105"/>
        <v>0</v>
      </c>
      <c r="H6762" t="s">
        <v>13</v>
      </c>
    </row>
    <row r="6763" spans="2:8" x14ac:dyDescent="0.2">
      <c r="B6763" s="3">
        <v>45051</v>
      </c>
      <c r="G6763" s="2">
        <f t="shared" si="105"/>
        <v>0</v>
      </c>
      <c r="H6763" t="s">
        <v>30</v>
      </c>
    </row>
    <row r="6764" spans="2:8" x14ac:dyDescent="0.2">
      <c r="B6764" s="3">
        <v>45051</v>
      </c>
      <c r="G6764" s="2">
        <f t="shared" si="105"/>
        <v>0</v>
      </c>
      <c r="H6764" t="s">
        <v>25</v>
      </c>
    </row>
    <row r="6765" spans="2:8" x14ac:dyDescent="0.2">
      <c r="B6765" s="3">
        <v>45051</v>
      </c>
      <c r="G6765" s="2">
        <f t="shared" si="105"/>
        <v>0</v>
      </c>
      <c r="H6765" t="s">
        <v>24</v>
      </c>
    </row>
    <row r="6766" spans="2:8" x14ac:dyDescent="0.2">
      <c r="B6766" s="3">
        <v>45051</v>
      </c>
      <c r="G6766" s="2">
        <f t="shared" si="105"/>
        <v>0</v>
      </c>
      <c r="H6766" t="s">
        <v>9</v>
      </c>
    </row>
    <row r="6767" spans="2:8" x14ac:dyDescent="0.2">
      <c r="B6767" s="3">
        <v>45051</v>
      </c>
      <c r="G6767" s="2">
        <f t="shared" si="105"/>
        <v>0</v>
      </c>
      <c r="H6767" t="s">
        <v>8</v>
      </c>
    </row>
    <row r="6768" spans="2:8" x14ac:dyDescent="0.2">
      <c r="B6768" s="3">
        <v>45051</v>
      </c>
      <c r="G6768" s="2">
        <f t="shared" si="105"/>
        <v>0</v>
      </c>
      <c r="H6768" t="s">
        <v>6</v>
      </c>
    </row>
    <row r="6769" spans="2:8" x14ac:dyDescent="0.2">
      <c r="B6769" s="3">
        <v>45051</v>
      </c>
      <c r="G6769" s="2">
        <f t="shared" si="105"/>
        <v>0</v>
      </c>
      <c r="H6769" t="s">
        <v>5</v>
      </c>
    </row>
    <row r="6770" spans="2:8" x14ac:dyDescent="0.2">
      <c r="B6770" s="3">
        <v>45051</v>
      </c>
      <c r="G6770" s="2">
        <f t="shared" si="105"/>
        <v>0</v>
      </c>
      <c r="H6770" s="1"/>
    </row>
    <row r="6771" spans="2:8" x14ac:dyDescent="0.2">
      <c r="B6771" s="3">
        <v>45052</v>
      </c>
      <c r="G6771" s="2">
        <f t="shared" si="105"/>
        <v>0</v>
      </c>
      <c r="H6771" t="s">
        <v>14</v>
      </c>
    </row>
    <row r="6772" spans="2:8" x14ac:dyDescent="0.2">
      <c r="B6772" s="3">
        <v>45052</v>
      </c>
      <c r="G6772" s="2">
        <f t="shared" si="105"/>
        <v>0</v>
      </c>
      <c r="H6772" t="s">
        <v>27</v>
      </c>
    </row>
    <row r="6773" spans="2:8" x14ac:dyDescent="0.2">
      <c r="B6773" s="3">
        <v>45052</v>
      </c>
      <c r="G6773" s="2">
        <f t="shared" si="105"/>
        <v>0</v>
      </c>
      <c r="H6773" t="s">
        <v>13</v>
      </c>
    </row>
    <row r="6774" spans="2:8" x14ac:dyDescent="0.2">
      <c r="B6774" s="3">
        <v>45052</v>
      </c>
      <c r="G6774" s="2">
        <f t="shared" si="105"/>
        <v>0</v>
      </c>
      <c r="H6774" t="s">
        <v>30</v>
      </c>
    </row>
    <row r="6775" spans="2:8" x14ac:dyDescent="0.2">
      <c r="B6775" s="3">
        <v>45052</v>
      </c>
      <c r="G6775" s="2">
        <f t="shared" si="105"/>
        <v>0</v>
      </c>
      <c r="H6775" t="s">
        <v>25</v>
      </c>
    </row>
    <row r="6776" spans="2:8" x14ac:dyDescent="0.2">
      <c r="B6776" s="3">
        <v>45052</v>
      </c>
      <c r="G6776" s="2">
        <f t="shared" si="105"/>
        <v>0</v>
      </c>
      <c r="H6776" t="s">
        <v>24</v>
      </c>
    </row>
    <row r="6777" spans="2:8" x14ac:dyDescent="0.2">
      <c r="B6777" s="3">
        <v>45052</v>
      </c>
      <c r="G6777" s="2">
        <f t="shared" si="105"/>
        <v>0</v>
      </c>
      <c r="H6777" t="s">
        <v>9</v>
      </c>
    </row>
    <row r="6778" spans="2:8" x14ac:dyDescent="0.2">
      <c r="B6778" s="3">
        <v>45052</v>
      </c>
      <c r="G6778" s="2">
        <f t="shared" si="105"/>
        <v>0</v>
      </c>
      <c r="H6778" t="s">
        <v>8</v>
      </c>
    </row>
    <row r="6779" spans="2:8" x14ac:dyDescent="0.2">
      <c r="B6779" s="3">
        <v>45052</v>
      </c>
      <c r="G6779" s="2">
        <f t="shared" si="105"/>
        <v>0</v>
      </c>
      <c r="H6779" t="s">
        <v>6</v>
      </c>
    </row>
    <row r="6780" spans="2:8" x14ac:dyDescent="0.2">
      <c r="B6780" s="3">
        <v>45052</v>
      </c>
      <c r="G6780" s="2">
        <f t="shared" si="105"/>
        <v>0</v>
      </c>
      <c r="H6780" t="s">
        <v>5</v>
      </c>
    </row>
    <row r="6781" spans="2:8" x14ac:dyDescent="0.2">
      <c r="B6781" s="3">
        <v>45052</v>
      </c>
      <c r="G6781" s="2">
        <f t="shared" si="105"/>
        <v>0</v>
      </c>
      <c r="H6781" s="1"/>
    </row>
    <row r="6782" spans="2:8" x14ac:dyDescent="0.2">
      <c r="B6782" s="3">
        <v>45053</v>
      </c>
      <c r="D6782" s="1">
        <v>4510</v>
      </c>
      <c r="E6782" s="1">
        <v>5575</v>
      </c>
      <c r="G6782" s="2">
        <f t="shared" si="105"/>
        <v>5575</v>
      </c>
      <c r="H6782" t="s">
        <v>14</v>
      </c>
    </row>
    <row r="6783" spans="2:8" x14ac:dyDescent="0.2">
      <c r="B6783" s="3">
        <v>45053</v>
      </c>
      <c r="G6783" s="2">
        <f t="shared" si="105"/>
        <v>0</v>
      </c>
      <c r="H6783" t="s">
        <v>27</v>
      </c>
    </row>
    <row r="6784" spans="2:8" x14ac:dyDescent="0.2">
      <c r="B6784" s="3">
        <v>45053</v>
      </c>
      <c r="G6784" s="2">
        <f t="shared" si="105"/>
        <v>0</v>
      </c>
      <c r="H6784" t="s">
        <v>13</v>
      </c>
    </row>
    <row r="6785" spans="2:8" x14ac:dyDescent="0.2">
      <c r="B6785" s="3">
        <v>45053</v>
      </c>
      <c r="G6785" s="2">
        <f t="shared" si="105"/>
        <v>0</v>
      </c>
      <c r="H6785" t="s">
        <v>30</v>
      </c>
    </row>
    <row r="6786" spans="2:8" x14ac:dyDescent="0.2">
      <c r="B6786" s="3">
        <v>45053</v>
      </c>
      <c r="D6786" s="1">
        <v>3126.91</v>
      </c>
      <c r="E6786" s="1">
        <v>3293</v>
      </c>
      <c r="G6786" s="2">
        <f t="shared" si="105"/>
        <v>3293</v>
      </c>
      <c r="H6786" t="s">
        <v>25</v>
      </c>
    </row>
    <row r="6787" spans="2:8" x14ac:dyDescent="0.2">
      <c r="B6787" s="3">
        <v>45053</v>
      </c>
      <c r="F6787" s="1">
        <v>2000</v>
      </c>
      <c r="G6787" s="2">
        <f t="shared" ref="G6787:G6850" si="106">E6787-F6787</f>
        <v>-2000</v>
      </c>
      <c r="H6787" t="s">
        <v>24</v>
      </c>
    </row>
    <row r="6788" spans="2:8" x14ac:dyDescent="0.2">
      <c r="B6788" s="3">
        <v>45053</v>
      </c>
      <c r="G6788" s="2">
        <f t="shared" si="106"/>
        <v>0</v>
      </c>
      <c r="H6788" t="s">
        <v>9</v>
      </c>
    </row>
    <row r="6789" spans="2:8" x14ac:dyDescent="0.2">
      <c r="B6789" s="3">
        <v>45053</v>
      </c>
      <c r="F6789" s="1">
        <v>20000</v>
      </c>
      <c r="G6789" s="2">
        <f t="shared" si="106"/>
        <v>-20000</v>
      </c>
      <c r="H6789" t="s">
        <v>8</v>
      </c>
    </row>
    <row r="6790" spans="2:8" x14ac:dyDescent="0.2">
      <c r="B6790" s="3">
        <v>45053</v>
      </c>
      <c r="F6790" s="1">
        <v>3000</v>
      </c>
      <c r="G6790" s="2">
        <f t="shared" si="106"/>
        <v>-3000</v>
      </c>
      <c r="H6790" t="s">
        <v>6</v>
      </c>
    </row>
    <row r="6791" spans="2:8" x14ac:dyDescent="0.2">
      <c r="B6791" s="3">
        <v>45053</v>
      </c>
      <c r="G6791" s="2">
        <f t="shared" si="106"/>
        <v>0</v>
      </c>
      <c r="H6791" t="s">
        <v>5</v>
      </c>
    </row>
    <row r="6792" spans="2:8" x14ac:dyDescent="0.2">
      <c r="B6792" s="3">
        <v>45053</v>
      </c>
      <c r="G6792" s="2">
        <f t="shared" si="106"/>
        <v>0</v>
      </c>
      <c r="H6792" s="1"/>
    </row>
    <row r="6793" spans="2:8" x14ac:dyDescent="0.2">
      <c r="B6793" s="3">
        <v>45054</v>
      </c>
      <c r="F6793" s="1">
        <v>5000</v>
      </c>
      <c r="G6793" s="2">
        <f t="shared" si="106"/>
        <v>-5000</v>
      </c>
      <c r="H6793" t="s">
        <v>14</v>
      </c>
    </row>
    <row r="6794" spans="2:8" x14ac:dyDescent="0.2">
      <c r="B6794" s="3">
        <v>45054</v>
      </c>
      <c r="G6794" s="2">
        <f t="shared" si="106"/>
        <v>0</v>
      </c>
      <c r="H6794" t="s">
        <v>27</v>
      </c>
    </row>
    <row r="6795" spans="2:8" x14ac:dyDescent="0.2">
      <c r="B6795" s="3">
        <v>45054</v>
      </c>
      <c r="D6795" s="1">
        <v>9876</v>
      </c>
      <c r="E6795" s="1">
        <v>11441</v>
      </c>
      <c r="F6795" s="1">
        <v>6000</v>
      </c>
      <c r="G6795" s="2">
        <f t="shared" si="106"/>
        <v>5441</v>
      </c>
      <c r="H6795" t="s">
        <v>13</v>
      </c>
    </row>
    <row r="6796" spans="2:8" x14ac:dyDescent="0.2">
      <c r="B6796" s="3">
        <v>45054</v>
      </c>
      <c r="G6796" s="2">
        <f t="shared" si="106"/>
        <v>0</v>
      </c>
      <c r="H6796" t="s">
        <v>30</v>
      </c>
    </row>
    <row r="6797" spans="2:8" x14ac:dyDescent="0.2">
      <c r="B6797" s="3">
        <v>45054</v>
      </c>
      <c r="F6797" s="1">
        <v>4000</v>
      </c>
      <c r="G6797" s="2">
        <f t="shared" si="106"/>
        <v>-4000</v>
      </c>
      <c r="H6797" t="s">
        <v>25</v>
      </c>
    </row>
    <row r="6798" spans="2:8" x14ac:dyDescent="0.2">
      <c r="B6798" s="3">
        <v>45054</v>
      </c>
      <c r="D6798" s="1">
        <v>1127</v>
      </c>
      <c r="E6798" s="1">
        <v>1282</v>
      </c>
      <c r="G6798" s="2">
        <f t="shared" si="106"/>
        <v>1282</v>
      </c>
      <c r="H6798" t="s">
        <v>24</v>
      </c>
    </row>
    <row r="6799" spans="2:8" x14ac:dyDescent="0.2">
      <c r="B6799" s="3">
        <v>45054</v>
      </c>
      <c r="G6799" s="2">
        <f t="shared" si="106"/>
        <v>0</v>
      </c>
      <c r="H6799" t="s">
        <v>9</v>
      </c>
    </row>
    <row r="6800" spans="2:8" x14ac:dyDescent="0.2">
      <c r="B6800" s="3">
        <v>45054</v>
      </c>
      <c r="G6800" s="2">
        <f t="shared" si="106"/>
        <v>0</v>
      </c>
      <c r="H6800" t="s">
        <v>8</v>
      </c>
    </row>
    <row r="6801" spans="2:8" x14ac:dyDescent="0.2">
      <c r="B6801" s="3">
        <v>45054</v>
      </c>
      <c r="G6801" s="2">
        <f t="shared" si="106"/>
        <v>0</v>
      </c>
      <c r="H6801" t="s">
        <v>6</v>
      </c>
    </row>
    <row r="6802" spans="2:8" x14ac:dyDescent="0.2">
      <c r="B6802" s="3">
        <v>45054</v>
      </c>
      <c r="G6802" s="2">
        <f t="shared" si="106"/>
        <v>0</v>
      </c>
      <c r="H6802" t="s">
        <v>5</v>
      </c>
    </row>
    <row r="6803" spans="2:8" x14ac:dyDescent="0.2">
      <c r="B6803" s="3">
        <v>45054</v>
      </c>
      <c r="D6803" s="1">
        <v>720</v>
      </c>
      <c r="E6803" s="1">
        <v>780</v>
      </c>
      <c r="F6803" s="1">
        <v>780</v>
      </c>
      <c r="G6803" s="2">
        <f t="shared" si="106"/>
        <v>0</v>
      </c>
      <c r="H6803" s="1" t="s">
        <v>48</v>
      </c>
    </row>
    <row r="6804" spans="2:8" x14ac:dyDescent="0.2">
      <c r="B6804" s="3">
        <v>45055</v>
      </c>
      <c r="G6804" s="2">
        <f t="shared" si="106"/>
        <v>0</v>
      </c>
      <c r="H6804" t="s">
        <v>14</v>
      </c>
    </row>
    <row r="6805" spans="2:8" x14ac:dyDescent="0.2">
      <c r="B6805" s="3">
        <v>45055</v>
      </c>
      <c r="F6805" s="1">
        <v>10000</v>
      </c>
      <c r="G6805" s="2">
        <f t="shared" si="106"/>
        <v>-10000</v>
      </c>
      <c r="H6805" t="s">
        <v>27</v>
      </c>
    </row>
    <row r="6806" spans="2:8" x14ac:dyDescent="0.2">
      <c r="B6806" s="3">
        <v>45055</v>
      </c>
      <c r="G6806" s="2">
        <f t="shared" si="106"/>
        <v>0</v>
      </c>
      <c r="H6806" t="s">
        <v>13</v>
      </c>
    </row>
    <row r="6807" spans="2:8" x14ac:dyDescent="0.2">
      <c r="B6807" s="3">
        <v>45055</v>
      </c>
      <c r="G6807" s="2">
        <f t="shared" si="106"/>
        <v>0</v>
      </c>
      <c r="H6807" t="s">
        <v>30</v>
      </c>
    </row>
    <row r="6808" spans="2:8" x14ac:dyDescent="0.2">
      <c r="B6808" s="3">
        <v>45055</v>
      </c>
      <c r="G6808" s="2">
        <f t="shared" si="106"/>
        <v>0</v>
      </c>
      <c r="H6808" t="s">
        <v>25</v>
      </c>
    </row>
    <row r="6809" spans="2:8" x14ac:dyDescent="0.2">
      <c r="B6809" s="3">
        <v>45055</v>
      </c>
      <c r="G6809" s="2">
        <f t="shared" si="106"/>
        <v>0</v>
      </c>
      <c r="H6809" t="s">
        <v>24</v>
      </c>
    </row>
    <row r="6810" spans="2:8" x14ac:dyDescent="0.2">
      <c r="B6810" s="3">
        <v>45055</v>
      </c>
      <c r="G6810" s="2">
        <f t="shared" si="106"/>
        <v>0</v>
      </c>
      <c r="H6810" t="s">
        <v>9</v>
      </c>
    </row>
    <row r="6811" spans="2:8" x14ac:dyDescent="0.2">
      <c r="B6811" s="3">
        <v>45055</v>
      </c>
      <c r="G6811" s="2">
        <f t="shared" si="106"/>
        <v>0</v>
      </c>
      <c r="H6811" t="s">
        <v>8</v>
      </c>
    </row>
    <row r="6812" spans="2:8" x14ac:dyDescent="0.2">
      <c r="B6812" s="3">
        <v>45055</v>
      </c>
      <c r="G6812" s="2">
        <f t="shared" si="106"/>
        <v>0</v>
      </c>
      <c r="H6812" t="s">
        <v>6</v>
      </c>
    </row>
    <row r="6813" spans="2:8" x14ac:dyDescent="0.2">
      <c r="B6813" s="3">
        <v>45055</v>
      </c>
      <c r="G6813" s="2">
        <f t="shared" si="106"/>
        <v>0</v>
      </c>
      <c r="H6813" t="s">
        <v>5</v>
      </c>
    </row>
    <row r="6814" spans="2:8" x14ac:dyDescent="0.2">
      <c r="B6814" s="3">
        <v>45055</v>
      </c>
      <c r="G6814" s="2">
        <f t="shared" si="106"/>
        <v>0</v>
      </c>
      <c r="H6814" s="1"/>
    </row>
    <row r="6815" spans="2:8" x14ac:dyDescent="0.2">
      <c r="B6815" s="3">
        <v>45056</v>
      </c>
      <c r="G6815" s="2">
        <f t="shared" si="106"/>
        <v>0</v>
      </c>
      <c r="H6815" t="s">
        <v>14</v>
      </c>
    </row>
    <row r="6816" spans="2:8" x14ac:dyDescent="0.2">
      <c r="B6816" s="3">
        <v>45056</v>
      </c>
      <c r="G6816" s="2">
        <f t="shared" si="106"/>
        <v>0</v>
      </c>
      <c r="H6816" t="s">
        <v>27</v>
      </c>
    </row>
    <row r="6817" spans="2:8" x14ac:dyDescent="0.2">
      <c r="B6817" s="3">
        <v>45056</v>
      </c>
      <c r="G6817" s="2">
        <f t="shared" si="106"/>
        <v>0</v>
      </c>
      <c r="H6817" t="s">
        <v>13</v>
      </c>
    </row>
    <row r="6818" spans="2:8" x14ac:dyDescent="0.2">
      <c r="B6818" s="3">
        <v>45056</v>
      </c>
      <c r="G6818" s="2">
        <f t="shared" si="106"/>
        <v>0</v>
      </c>
      <c r="H6818" t="s">
        <v>30</v>
      </c>
    </row>
    <row r="6819" spans="2:8" x14ac:dyDescent="0.2">
      <c r="B6819" s="3">
        <v>45056</v>
      </c>
      <c r="G6819" s="2">
        <f t="shared" si="106"/>
        <v>0</v>
      </c>
      <c r="H6819" t="s">
        <v>25</v>
      </c>
    </row>
    <row r="6820" spans="2:8" x14ac:dyDescent="0.2">
      <c r="B6820" s="3">
        <v>45056</v>
      </c>
      <c r="D6820" s="1">
        <v>920</v>
      </c>
      <c r="E6820" s="1">
        <v>1000</v>
      </c>
      <c r="G6820" s="2">
        <f t="shared" si="106"/>
        <v>1000</v>
      </c>
      <c r="H6820" t="s">
        <v>24</v>
      </c>
    </row>
    <row r="6821" spans="2:8" x14ac:dyDescent="0.2">
      <c r="B6821" s="3">
        <v>45056</v>
      </c>
      <c r="G6821" s="2">
        <f t="shared" si="106"/>
        <v>0</v>
      </c>
      <c r="H6821" t="s">
        <v>9</v>
      </c>
    </row>
    <row r="6822" spans="2:8" x14ac:dyDescent="0.2">
      <c r="B6822" s="3">
        <v>45056</v>
      </c>
      <c r="G6822" s="2">
        <f t="shared" si="106"/>
        <v>0</v>
      </c>
      <c r="H6822" t="s">
        <v>8</v>
      </c>
    </row>
    <row r="6823" spans="2:8" x14ac:dyDescent="0.2">
      <c r="B6823" s="3">
        <v>45056</v>
      </c>
      <c r="G6823" s="2">
        <f t="shared" si="106"/>
        <v>0</v>
      </c>
      <c r="H6823" t="s">
        <v>6</v>
      </c>
    </row>
    <row r="6824" spans="2:8" x14ac:dyDescent="0.2">
      <c r="B6824" s="3">
        <v>45056</v>
      </c>
      <c r="G6824" s="2">
        <f t="shared" si="106"/>
        <v>0</v>
      </c>
      <c r="H6824" t="s">
        <v>5</v>
      </c>
    </row>
    <row r="6825" spans="2:8" x14ac:dyDescent="0.2">
      <c r="B6825" s="3">
        <v>45056</v>
      </c>
      <c r="G6825" s="2">
        <f t="shared" si="106"/>
        <v>0</v>
      </c>
      <c r="H6825" s="1"/>
    </row>
    <row r="6826" spans="2:8" x14ac:dyDescent="0.2">
      <c r="B6826" s="3">
        <v>45057</v>
      </c>
      <c r="G6826" s="2">
        <f t="shared" si="106"/>
        <v>0</v>
      </c>
      <c r="H6826" t="s">
        <v>14</v>
      </c>
    </row>
    <row r="6827" spans="2:8" x14ac:dyDescent="0.2">
      <c r="B6827" s="3">
        <v>45057</v>
      </c>
      <c r="D6827" s="1">
        <v>7287</v>
      </c>
      <c r="E6827" s="1">
        <v>8375</v>
      </c>
      <c r="G6827" s="2">
        <f t="shared" si="106"/>
        <v>8375</v>
      </c>
      <c r="H6827" t="s">
        <v>27</v>
      </c>
    </row>
    <row r="6828" spans="2:8" x14ac:dyDescent="0.2">
      <c r="B6828" s="3">
        <v>45057</v>
      </c>
      <c r="G6828" s="2">
        <f t="shared" si="106"/>
        <v>0</v>
      </c>
      <c r="H6828" t="s">
        <v>13</v>
      </c>
    </row>
    <row r="6829" spans="2:8" x14ac:dyDescent="0.2">
      <c r="B6829" s="3">
        <v>45057</v>
      </c>
      <c r="G6829" s="2">
        <f t="shared" si="106"/>
        <v>0</v>
      </c>
      <c r="H6829" t="s">
        <v>30</v>
      </c>
    </row>
    <row r="6830" spans="2:8" x14ac:dyDescent="0.2">
      <c r="B6830" s="3">
        <v>45057</v>
      </c>
      <c r="G6830" s="2">
        <f t="shared" si="106"/>
        <v>0</v>
      </c>
      <c r="H6830" t="s">
        <v>25</v>
      </c>
    </row>
    <row r="6831" spans="2:8" x14ac:dyDescent="0.2">
      <c r="B6831" s="3">
        <v>45057</v>
      </c>
      <c r="G6831" s="2">
        <f t="shared" si="106"/>
        <v>0</v>
      </c>
      <c r="H6831" t="s">
        <v>24</v>
      </c>
    </row>
    <row r="6832" spans="2:8" x14ac:dyDescent="0.2">
      <c r="B6832" s="3">
        <v>45057</v>
      </c>
      <c r="G6832" s="2">
        <f t="shared" si="106"/>
        <v>0</v>
      </c>
      <c r="H6832" t="s">
        <v>9</v>
      </c>
    </row>
    <row r="6833" spans="2:8" x14ac:dyDescent="0.2">
      <c r="B6833" s="3">
        <v>45057</v>
      </c>
      <c r="G6833" s="2">
        <f t="shared" si="106"/>
        <v>0</v>
      </c>
      <c r="H6833" t="s">
        <v>8</v>
      </c>
    </row>
    <row r="6834" spans="2:8" x14ac:dyDescent="0.2">
      <c r="B6834" s="3">
        <v>45057</v>
      </c>
      <c r="G6834" s="2">
        <f t="shared" si="106"/>
        <v>0</v>
      </c>
      <c r="H6834" t="s">
        <v>6</v>
      </c>
    </row>
    <row r="6835" spans="2:8" x14ac:dyDescent="0.2">
      <c r="B6835" s="3">
        <v>45057</v>
      </c>
      <c r="G6835" s="2">
        <f t="shared" si="106"/>
        <v>0</v>
      </c>
      <c r="H6835" t="s">
        <v>5</v>
      </c>
    </row>
    <row r="6836" spans="2:8" x14ac:dyDescent="0.2">
      <c r="B6836" s="3">
        <v>45057</v>
      </c>
      <c r="G6836" s="2">
        <f t="shared" si="106"/>
        <v>0</v>
      </c>
      <c r="H6836" s="1"/>
    </row>
    <row r="6837" spans="2:8" x14ac:dyDescent="0.2">
      <c r="B6837" s="3">
        <v>45058</v>
      </c>
      <c r="G6837" s="2">
        <f t="shared" si="106"/>
        <v>0</v>
      </c>
      <c r="H6837" t="s">
        <v>14</v>
      </c>
    </row>
    <row r="6838" spans="2:8" x14ac:dyDescent="0.2">
      <c r="B6838" s="3">
        <v>45058</v>
      </c>
      <c r="G6838" s="2">
        <f t="shared" si="106"/>
        <v>0</v>
      </c>
      <c r="H6838" t="s">
        <v>27</v>
      </c>
    </row>
    <row r="6839" spans="2:8" x14ac:dyDescent="0.2">
      <c r="B6839" s="3">
        <v>45058</v>
      </c>
      <c r="G6839" s="2">
        <f t="shared" si="106"/>
        <v>0</v>
      </c>
      <c r="H6839" t="s">
        <v>13</v>
      </c>
    </row>
    <row r="6840" spans="2:8" x14ac:dyDescent="0.2">
      <c r="B6840" s="3">
        <v>45058</v>
      </c>
      <c r="G6840" s="2">
        <f t="shared" si="106"/>
        <v>0</v>
      </c>
      <c r="H6840" t="s">
        <v>30</v>
      </c>
    </row>
    <row r="6841" spans="2:8" x14ac:dyDescent="0.2">
      <c r="B6841" s="3">
        <v>45058</v>
      </c>
      <c r="G6841" s="2">
        <f t="shared" si="106"/>
        <v>0</v>
      </c>
      <c r="H6841" t="s">
        <v>25</v>
      </c>
    </row>
    <row r="6842" spans="2:8" x14ac:dyDescent="0.2">
      <c r="B6842" s="3">
        <v>45058</v>
      </c>
      <c r="G6842" s="2">
        <f t="shared" si="106"/>
        <v>0</v>
      </c>
      <c r="H6842" t="s">
        <v>24</v>
      </c>
    </row>
    <row r="6843" spans="2:8" x14ac:dyDescent="0.2">
      <c r="B6843" s="3">
        <v>45058</v>
      </c>
      <c r="G6843" s="2">
        <f t="shared" si="106"/>
        <v>0</v>
      </c>
      <c r="H6843" t="s">
        <v>9</v>
      </c>
    </row>
    <row r="6844" spans="2:8" x14ac:dyDescent="0.2">
      <c r="B6844" s="3">
        <v>45058</v>
      </c>
      <c r="G6844" s="2">
        <f t="shared" si="106"/>
        <v>0</v>
      </c>
      <c r="H6844" t="s">
        <v>8</v>
      </c>
    </row>
    <row r="6845" spans="2:8" x14ac:dyDescent="0.2">
      <c r="B6845" s="3">
        <v>45058</v>
      </c>
      <c r="G6845" s="2">
        <f t="shared" si="106"/>
        <v>0</v>
      </c>
      <c r="H6845" t="s">
        <v>6</v>
      </c>
    </row>
    <row r="6846" spans="2:8" x14ac:dyDescent="0.2">
      <c r="B6846" s="3">
        <v>45058</v>
      </c>
      <c r="G6846" s="2">
        <f t="shared" si="106"/>
        <v>0</v>
      </c>
      <c r="H6846" t="s">
        <v>5</v>
      </c>
    </row>
    <row r="6847" spans="2:8" x14ac:dyDescent="0.2">
      <c r="B6847" s="3">
        <v>45058</v>
      </c>
      <c r="G6847" s="2">
        <f t="shared" si="106"/>
        <v>0</v>
      </c>
      <c r="H6847" s="1"/>
    </row>
    <row r="6848" spans="2:8" x14ac:dyDescent="0.2">
      <c r="B6848" s="3">
        <v>45059</v>
      </c>
      <c r="G6848" s="2">
        <f t="shared" si="106"/>
        <v>0</v>
      </c>
      <c r="H6848" t="s">
        <v>14</v>
      </c>
    </row>
    <row r="6849" spans="2:8" x14ac:dyDescent="0.2">
      <c r="B6849" s="3">
        <v>45059</v>
      </c>
      <c r="G6849" s="2">
        <f t="shared" si="106"/>
        <v>0</v>
      </c>
      <c r="H6849" t="s">
        <v>27</v>
      </c>
    </row>
    <row r="6850" spans="2:8" x14ac:dyDescent="0.2">
      <c r="B6850" s="3">
        <v>45059</v>
      </c>
      <c r="G6850" s="2">
        <f t="shared" si="106"/>
        <v>0</v>
      </c>
      <c r="H6850" t="s">
        <v>13</v>
      </c>
    </row>
    <row r="6851" spans="2:8" x14ac:dyDescent="0.2">
      <c r="B6851" s="3">
        <v>45059</v>
      </c>
      <c r="G6851" s="2">
        <f t="shared" ref="G6851:G6914" si="107">E6851-F6851</f>
        <v>0</v>
      </c>
      <c r="H6851" t="s">
        <v>30</v>
      </c>
    </row>
    <row r="6852" spans="2:8" x14ac:dyDescent="0.2">
      <c r="B6852" s="3">
        <v>45059</v>
      </c>
      <c r="G6852" s="2">
        <f t="shared" si="107"/>
        <v>0</v>
      </c>
      <c r="H6852" t="s">
        <v>25</v>
      </c>
    </row>
    <row r="6853" spans="2:8" x14ac:dyDescent="0.2">
      <c r="B6853" s="3">
        <v>45059</v>
      </c>
      <c r="G6853" s="2">
        <f t="shared" si="107"/>
        <v>0</v>
      </c>
      <c r="H6853" t="s">
        <v>24</v>
      </c>
    </row>
    <row r="6854" spans="2:8" x14ac:dyDescent="0.2">
      <c r="B6854" s="3">
        <v>45059</v>
      </c>
      <c r="G6854" s="2">
        <f t="shared" si="107"/>
        <v>0</v>
      </c>
      <c r="H6854" t="s">
        <v>9</v>
      </c>
    </row>
    <row r="6855" spans="2:8" x14ac:dyDescent="0.2">
      <c r="B6855" s="3">
        <v>45059</v>
      </c>
      <c r="G6855" s="2">
        <f t="shared" si="107"/>
        <v>0</v>
      </c>
      <c r="H6855" t="s">
        <v>8</v>
      </c>
    </row>
    <row r="6856" spans="2:8" x14ac:dyDescent="0.2">
      <c r="B6856" s="3">
        <v>45059</v>
      </c>
      <c r="G6856" s="2">
        <f t="shared" si="107"/>
        <v>0</v>
      </c>
      <c r="H6856" t="s">
        <v>6</v>
      </c>
    </row>
    <row r="6857" spans="2:8" x14ac:dyDescent="0.2">
      <c r="B6857" s="3">
        <v>45059</v>
      </c>
      <c r="G6857" s="2">
        <f t="shared" si="107"/>
        <v>0</v>
      </c>
      <c r="H6857" t="s">
        <v>5</v>
      </c>
    </row>
    <row r="6858" spans="2:8" x14ac:dyDescent="0.2">
      <c r="B6858" s="3">
        <v>45059</v>
      </c>
      <c r="G6858" s="2">
        <f t="shared" si="107"/>
        <v>0</v>
      </c>
      <c r="H6858" s="1"/>
    </row>
    <row r="6859" spans="2:8" x14ac:dyDescent="0.2">
      <c r="B6859" s="3">
        <v>45060</v>
      </c>
      <c r="G6859" s="2">
        <f t="shared" si="107"/>
        <v>0</v>
      </c>
      <c r="H6859" t="s">
        <v>14</v>
      </c>
    </row>
    <row r="6860" spans="2:8" x14ac:dyDescent="0.2">
      <c r="B6860" s="3">
        <v>45060</v>
      </c>
      <c r="G6860" s="2">
        <f t="shared" si="107"/>
        <v>0</v>
      </c>
      <c r="H6860" t="s">
        <v>27</v>
      </c>
    </row>
    <row r="6861" spans="2:8" x14ac:dyDescent="0.2">
      <c r="B6861" s="3">
        <v>45060</v>
      </c>
      <c r="D6861" s="1">
        <v>7628.75</v>
      </c>
      <c r="E6861" s="1">
        <v>9429.75</v>
      </c>
      <c r="G6861" s="2">
        <f t="shared" si="107"/>
        <v>9429.75</v>
      </c>
      <c r="H6861" t="s">
        <v>13</v>
      </c>
    </row>
    <row r="6862" spans="2:8" x14ac:dyDescent="0.2">
      <c r="B6862" s="3">
        <v>45060</v>
      </c>
      <c r="G6862" s="2">
        <f t="shared" si="107"/>
        <v>0</v>
      </c>
      <c r="H6862" t="s">
        <v>30</v>
      </c>
    </row>
    <row r="6863" spans="2:8" x14ac:dyDescent="0.2">
      <c r="B6863" s="3">
        <v>45060</v>
      </c>
      <c r="G6863" s="2">
        <f t="shared" si="107"/>
        <v>0</v>
      </c>
      <c r="H6863" t="s">
        <v>25</v>
      </c>
    </row>
    <row r="6864" spans="2:8" x14ac:dyDescent="0.2">
      <c r="B6864" s="3">
        <v>45060</v>
      </c>
      <c r="F6864" s="1">
        <v>1500</v>
      </c>
      <c r="G6864" s="2">
        <f t="shared" si="107"/>
        <v>-1500</v>
      </c>
      <c r="H6864" t="s">
        <v>24</v>
      </c>
    </row>
    <row r="6865" spans="2:8" x14ac:dyDescent="0.2">
      <c r="B6865" s="3">
        <v>45060</v>
      </c>
      <c r="G6865" s="2">
        <f t="shared" si="107"/>
        <v>0</v>
      </c>
      <c r="H6865" t="s">
        <v>9</v>
      </c>
    </row>
    <row r="6866" spans="2:8" x14ac:dyDescent="0.2">
      <c r="B6866" s="3">
        <v>45060</v>
      </c>
      <c r="G6866" s="2">
        <f t="shared" si="107"/>
        <v>0</v>
      </c>
      <c r="H6866" t="s">
        <v>8</v>
      </c>
    </row>
    <row r="6867" spans="2:8" x14ac:dyDescent="0.2">
      <c r="B6867" s="3">
        <v>45060</v>
      </c>
      <c r="F6867" s="1">
        <v>3000</v>
      </c>
      <c r="G6867" s="2">
        <f t="shared" si="107"/>
        <v>-3000</v>
      </c>
      <c r="H6867" t="s">
        <v>6</v>
      </c>
    </row>
    <row r="6868" spans="2:8" x14ac:dyDescent="0.2">
      <c r="B6868" s="3">
        <v>45060</v>
      </c>
      <c r="G6868" s="2">
        <f t="shared" si="107"/>
        <v>0</v>
      </c>
      <c r="H6868" t="s">
        <v>5</v>
      </c>
    </row>
    <row r="6869" spans="2:8" x14ac:dyDescent="0.2">
      <c r="B6869" s="3">
        <v>45060</v>
      </c>
      <c r="G6869" s="2">
        <f t="shared" si="107"/>
        <v>0</v>
      </c>
      <c r="H6869" s="1"/>
    </row>
    <row r="6870" spans="2:8" x14ac:dyDescent="0.2">
      <c r="B6870" s="3">
        <v>45061</v>
      </c>
      <c r="G6870" s="2">
        <f t="shared" si="107"/>
        <v>0</v>
      </c>
      <c r="H6870" t="s">
        <v>14</v>
      </c>
    </row>
    <row r="6871" spans="2:8" x14ac:dyDescent="0.2">
      <c r="B6871" s="3">
        <v>45061</v>
      </c>
      <c r="G6871" s="2">
        <f t="shared" si="107"/>
        <v>0</v>
      </c>
      <c r="H6871" t="s">
        <v>27</v>
      </c>
    </row>
    <row r="6872" spans="2:8" x14ac:dyDescent="0.2">
      <c r="B6872" s="3">
        <v>45061</v>
      </c>
      <c r="F6872" s="1">
        <v>6000</v>
      </c>
      <c r="G6872" s="2">
        <f t="shared" si="107"/>
        <v>-6000</v>
      </c>
      <c r="H6872" t="s">
        <v>13</v>
      </c>
    </row>
    <row r="6873" spans="2:8" x14ac:dyDescent="0.2">
      <c r="B6873" s="3">
        <v>45061</v>
      </c>
      <c r="G6873" s="2">
        <f t="shared" si="107"/>
        <v>0</v>
      </c>
      <c r="H6873" t="s">
        <v>30</v>
      </c>
    </row>
    <row r="6874" spans="2:8" x14ac:dyDescent="0.2">
      <c r="B6874" s="3">
        <v>45061</v>
      </c>
      <c r="G6874" s="2">
        <f t="shared" si="107"/>
        <v>0</v>
      </c>
      <c r="H6874" t="s">
        <v>25</v>
      </c>
    </row>
    <row r="6875" spans="2:8" x14ac:dyDescent="0.2">
      <c r="B6875" s="3">
        <v>45061</v>
      </c>
      <c r="G6875" s="2">
        <f t="shared" si="107"/>
        <v>0</v>
      </c>
      <c r="H6875" t="s">
        <v>24</v>
      </c>
    </row>
    <row r="6876" spans="2:8" x14ac:dyDescent="0.2">
      <c r="B6876" s="3">
        <v>45061</v>
      </c>
      <c r="G6876" s="2">
        <f t="shared" si="107"/>
        <v>0</v>
      </c>
      <c r="H6876" t="s">
        <v>9</v>
      </c>
    </row>
    <row r="6877" spans="2:8" x14ac:dyDescent="0.2">
      <c r="B6877" s="3">
        <v>45061</v>
      </c>
      <c r="G6877" s="2">
        <f t="shared" si="107"/>
        <v>0</v>
      </c>
      <c r="H6877" t="s">
        <v>8</v>
      </c>
    </row>
    <row r="6878" spans="2:8" x14ac:dyDescent="0.2">
      <c r="B6878" s="3">
        <v>45061</v>
      </c>
      <c r="G6878" s="2">
        <f t="shared" si="107"/>
        <v>0</v>
      </c>
      <c r="H6878" t="s">
        <v>6</v>
      </c>
    </row>
    <row r="6879" spans="2:8" x14ac:dyDescent="0.2">
      <c r="B6879" s="3">
        <v>45061</v>
      </c>
      <c r="G6879" s="2">
        <f t="shared" si="107"/>
        <v>0</v>
      </c>
      <c r="H6879" t="s">
        <v>5</v>
      </c>
    </row>
    <row r="6880" spans="2:8" x14ac:dyDescent="0.2">
      <c r="B6880" s="3">
        <v>45061</v>
      </c>
      <c r="G6880" s="2">
        <f t="shared" si="107"/>
        <v>0</v>
      </c>
      <c r="H6880" s="1"/>
    </row>
    <row r="6881" spans="2:8" x14ac:dyDescent="0.2">
      <c r="B6881" s="3">
        <v>45062</v>
      </c>
      <c r="F6881" s="1">
        <v>7000</v>
      </c>
      <c r="G6881" s="2">
        <f t="shared" si="107"/>
        <v>-7000</v>
      </c>
      <c r="H6881" t="s">
        <v>14</v>
      </c>
    </row>
    <row r="6882" spans="2:8" x14ac:dyDescent="0.2">
      <c r="B6882" s="3">
        <v>45062</v>
      </c>
      <c r="F6882" s="1">
        <v>3000</v>
      </c>
      <c r="G6882" s="2">
        <f t="shared" si="107"/>
        <v>-3000</v>
      </c>
      <c r="H6882" t="s">
        <v>27</v>
      </c>
    </row>
    <row r="6883" spans="2:8" x14ac:dyDescent="0.2">
      <c r="B6883" s="3">
        <v>45062</v>
      </c>
      <c r="G6883" s="2">
        <f t="shared" si="107"/>
        <v>0</v>
      </c>
      <c r="H6883" t="s">
        <v>13</v>
      </c>
    </row>
    <row r="6884" spans="2:8" x14ac:dyDescent="0.2">
      <c r="B6884" s="3">
        <v>45062</v>
      </c>
      <c r="G6884" s="2">
        <f t="shared" si="107"/>
        <v>0</v>
      </c>
      <c r="H6884" t="s">
        <v>30</v>
      </c>
    </row>
    <row r="6885" spans="2:8" x14ac:dyDescent="0.2">
      <c r="B6885" s="3">
        <v>45062</v>
      </c>
      <c r="G6885" s="2">
        <f t="shared" si="107"/>
        <v>0</v>
      </c>
      <c r="H6885" t="s">
        <v>25</v>
      </c>
    </row>
    <row r="6886" spans="2:8" x14ac:dyDescent="0.2">
      <c r="B6886" s="3">
        <v>45062</v>
      </c>
      <c r="G6886" s="2">
        <f t="shared" si="107"/>
        <v>0</v>
      </c>
      <c r="H6886" t="s">
        <v>24</v>
      </c>
    </row>
    <row r="6887" spans="2:8" x14ac:dyDescent="0.2">
      <c r="B6887" s="3">
        <v>45062</v>
      </c>
      <c r="G6887" s="2">
        <f t="shared" si="107"/>
        <v>0</v>
      </c>
      <c r="H6887" t="s">
        <v>9</v>
      </c>
    </row>
    <row r="6888" spans="2:8" x14ac:dyDescent="0.2">
      <c r="B6888" s="3">
        <v>45062</v>
      </c>
      <c r="G6888" s="2">
        <f t="shared" si="107"/>
        <v>0</v>
      </c>
      <c r="H6888" t="s">
        <v>8</v>
      </c>
    </row>
    <row r="6889" spans="2:8" x14ac:dyDescent="0.2">
      <c r="B6889" s="3">
        <v>45062</v>
      </c>
      <c r="G6889" s="2">
        <f t="shared" si="107"/>
        <v>0</v>
      </c>
      <c r="H6889" t="s">
        <v>6</v>
      </c>
    </row>
    <row r="6890" spans="2:8" x14ac:dyDescent="0.2">
      <c r="B6890" s="3">
        <v>45062</v>
      </c>
      <c r="G6890" s="2">
        <f t="shared" si="107"/>
        <v>0</v>
      </c>
      <c r="H6890" t="s">
        <v>5</v>
      </c>
    </row>
    <row r="6891" spans="2:8" x14ac:dyDescent="0.2">
      <c r="B6891" s="3">
        <v>45062</v>
      </c>
      <c r="G6891" s="2">
        <f t="shared" si="107"/>
        <v>0</v>
      </c>
      <c r="H6891" s="1"/>
    </row>
    <row r="6892" spans="2:8" x14ac:dyDescent="0.2">
      <c r="B6892" s="3">
        <v>45063</v>
      </c>
      <c r="D6892" s="1">
        <v>2520</v>
      </c>
      <c r="E6892" s="1">
        <v>3060</v>
      </c>
      <c r="G6892" s="2">
        <f t="shared" si="107"/>
        <v>3060</v>
      </c>
      <c r="H6892" t="s">
        <v>14</v>
      </c>
    </row>
    <row r="6893" spans="2:8" x14ac:dyDescent="0.2">
      <c r="B6893" s="3">
        <v>45063</v>
      </c>
      <c r="G6893" s="2">
        <f t="shared" si="107"/>
        <v>0</v>
      </c>
      <c r="H6893" t="s">
        <v>27</v>
      </c>
    </row>
    <row r="6894" spans="2:8" x14ac:dyDescent="0.2">
      <c r="B6894" s="3">
        <v>45063</v>
      </c>
      <c r="D6894" s="1">
        <v>7559.75</v>
      </c>
      <c r="E6894" s="1">
        <v>9093.5</v>
      </c>
      <c r="F6894" s="1">
        <v>10000</v>
      </c>
      <c r="G6894" s="2">
        <f t="shared" si="107"/>
        <v>-906.5</v>
      </c>
      <c r="H6894" t="s">
        <v>13</v>
      </c>
    </row>
    <row r="6895" spans="2:8" x14ac:dyDescent="0.2">
      <c r="B6895" s="3">
        <v>45063</v>
      </c>
      <c r="G6895" s="2">
        <f t="shared" si="107"/>
        <v>0</v>
      </c>
      <c r="H6895" t="s">
        <v>30</v>
      </c>
    </row>
    <row r="6896" spans="2:8" x14ac:dyDescent="0.2">
      <c r="B6896" s="3">
        <v>45063</v>
      </c>
      <c r="D6896" s="1">
        <v>8169.75</v>
      </c>
      <c r="E6896" s="1">
        <v>8908</v>
      </c>
      <c r="F6896" s="1">
        <v>4900</v>
      </c>
      <c r="G6896" s="2">
        <f t="shared" si="107"/>
        <v>4008</v>
      </c>
      <c r="H6896" t="s">
        <v>25</v>
      </c>
    </row>
    <row r="6897" spans="2:8" x14ac:dyDescent="0.2">
      <c r="B6897" s="3">
        <v>45063</v>
      </c>
      <c r="D6897" s="1">
        <v>457.5</v>
      </c>
      <c r="E6897" s="1">
        <v>497.5</v>
      </c>
      <c r="F6897" s="1">
        <v>1000</v>
      </c>
      <c r="G6897" s="2">
        <f t="shared" si="107"/>
        <v>-502.5</v>
      </c>
      <c r="H6897" t="s">
        <v>24</v>
      </c>
    </row>
    <row r="6898" spans="2:8" x14ac:dyDescent="0.2">
      <c r="B6898" s="3">
        <v>45063</v>
      </c>
      <c r="G6898" s="2">
        <f t="shared" si="107"/>
        <v>0</v>
      </c>
      <c r="H6898" t="s">
        <v>9</v>
      </c>
    </row>
    <row r="6899" spans="2:8" x14ac:dyDescent="0.2">
      <c r="B6899" s="3">
        <v>45063</v>
      </c>
      <c r="F6899" s="1">
        <v>20000</v>
      </c>
      <c r="G6899" s="2">
        <f t="shared" si="107"/>
        <v>-20000</v>
      </c>
      <c r="H6899" t="s">
        <v>8</v>
      </c>
    </row>
    <row r="6900" spans="2:8" x14ac:dyDescent="0.2">
      <c r="B6900" s="3">
        <v>45063</v>
      </c>
      <c r="G6900" s="2">
        <f t="shared" si="107"/>
        <v>0</v>
      </c>
      <c r="H6900" t="s">
        <v>6</v>
      </c>
    </row>
    <row r="6901" spans="2:8" x14ac:dyDescent="0.2">
      <c r="B6901" s="3">
        <v>45063</v>
      </c>
      <c r="G6901" s="2">
        <f t="shared" si="107"/>
        <v>0</v>
      </c>
      <c r="H6901" t="s">
        <v>5</v>
      </c>
    </row>
    <row r="6902" spans="2:8" x14ac:dyDescent="0.2">
      <c r="B6902" s="3">
        <v>45063</v>
      </c>
      <c r="G6902" s="2">
        <f t="shared" si="107"/>
        <v>0</v>
      </c>
      <c r="H6902" s="1"/>
    </row>
    <row r="6903" spans="2:8" x14ac:dyDescent="0.2">
      <c r="B6903" s="3">
        <v>45064</v>
      </c>
      <c r="G6903" s="2">
        <f t="shared" si="107"/>
        <v>0</v>
      </c>
      <c r="H6903" t="s">
        <v>14</v>
      </c>
    </row>
    <row r="6904" spans="2:8" x14ac:dyDescent="0.2">
      <c r="B6904" s="3">
        <v>45064</v>
      </c>
      <c r="G6904" s="2">
        <f t="shared" si="107"/>
        <v>0</v>
      </c>
      <c r="H6904" t="s">
        <v>27</v>
      </c>
    </row>
    <row r="6905" spans="2:8" x14ac:dyDescent="0.2">
      <c r="B6905" s="3">
        <v>45064</v>
      </c>
      <c r="G6905" s="2">
        <f t="shared" si="107"/>
        <v>0</v>
      </c>
      <c r="H6905" t="s">
        <v>13</v>
      </c>
    </row>
    <row r="6906" spans="2:8" x14ac:dyDescent="0.2">
      <c r="B6906" s="3">
        <v>45064</v>
      </c>
      <c r="G6906" s="2">
        <f t="shared" si="107"/>
        <v>0</v>
      </c>
      <c r="H6906" t="s">
        <v>30</v>
      </c>
    </row>
    <row r="6907" spans="2:8" x14ac:dyDescent="0.2">
      <c r="B6907" s="3">
        <v>45064</v>
      </c>
      <c r="G6907" s="2">
        <f t="shared" si="107"/>
        <v>0</v>
      </c>
      <c r="H6907" t="s">
        <v>25</v>
      </c>
    </row>
    <row r="6908" spans="2:8" x14ac:dyDescent="0.2">
      <c r="B6908" s="3">
        <v>45064</v>
      </c>
      <c r="G6908" s="2">
        <f t="shared" si="107"/>
        <v>0</v>
      </c>
      <c r="H6908" t="s">
        <v>24</v>
      </c>
    </row>
    <row r="6909" spans="2:8" x14ac:dyDescent="0.2">
      <c r="B6909" s="3">
        <v>45064</v>
      </c>
      <c r="G6909" s="2">
        <f t="shared" si="107"/>
        <v>0</v>
      </c>
      <c r="H6909" t="s">
        <v>9</v>
      </c>
    </row>
    <row r="6910" spans="2:8" x14ac:dyDescent="0.2">
      <c r="B6910" s="3">
        <v>45064</v>
      </c>
      <c r="G6910" s="2">
        <f t="shared" si="107"/>
        <v>0</v>
      </c>
      <c r="H6910" t="s">
        <v>8</v>
      </c>
    </row>
    <row r="6911" spans="2:8" x14ac:dyDescent="0.2">
      <c r="B6911" s="3">
        <v>45064</v>
      </c>
      <c r="G6911" s="2">
        <f t="shared" si="107"/>
        <v>0</v>
      </c>
      <c r="H6911" t="s">
        <v>6</v>
      </c>
    </row>
    <row r="6912" spans="2:8" x14ac:dyDescent="0.2">
      <c r="B6912" s="3">
        <v>45064</v>
      </c>
      <c r="G6912" s="2">
        <f t="shared" si="107"/>
        <v>0</v>
      </c>
      <c r="H6912" t="s">
        <v>5</v>
      </c>
    </row>
    <row r="6913" spans="2:8" x14ac:dyDescent="0.2">
      <c r="B6913" s="3">
        <v>45064</v>
      </c>
      <c r="G6913" s="2">
        <f t="shared" si="107"/>
        <v>0</v>
      </c>
      <c r="H6913" s="1"/>
    </row>
    <row r="6914" spans="2:8" x14ac:dyDescent="0.2">
      <c r="B6914" s="3">
        <v>45065</v>
      </c>
      <c r="G6914" s="2">
        <f t="shared" si="107"/>
        <v>0</v>
      </c>
      <c r="H6914" t="s">
        <v>14</v>
      </c>
    </row>
    <row r="6915" spans="2:8" x14ac:dyDescent="0.2">
      <c r="B6915" s="3">
        <v>45065</v>
      </c>
      <c r="G6915" s="2">
        <f t="shared" ref="G6915:G6978" si="108">E6915-F6915</f>
        <v>0</v>
      </c>
      <c r="H6915" t="s">
        <v>27</v>
      </c>
    </row>
    <row r="6916" spans="2:8" x14ac:dyDescent="0.2">
      <c r="B6916" s="3">
        <v>45065</v>
      </c>
      <c r="G6916" s="2">
        <f t="shared" si="108"/>
        <v>0</v>
      </c>
      <c r="H6916" t="s">
        <v>13</v>
      </c>
    </row>
    <row r="6917" spans="2:8" x14ac:dyDescent="0.2">
      <c r="B6917" s="3">
        <v>45065</v>
      </c>
      <c r="G6917" s="2">
        <f t="shared" si="108"/>
        <v>0</v>
      </c>
      <c r="H6917" t="s">
        <v>30</v>
      </c>
    </row>
    <row r="6918" spans="2:8" x14ac:dyDescent="0.2">
      <c r="B6918" s="3">
        <v>45065</v>
      </c>
      <c r="G6918" s="2">
        <f t="shared" si="108"/>
        <v>0</v>
      </c>
      <c r="H6918" t="s">
        <v>25</v>
      </c>
    </row>
    <row r="6919" spans="2:8" x14ac:dyDescent="0.2">
      <c r="B6919" s="3">
        <v>45065</v>
      </c>
      <c r="G6919" s="2">
        <f t="shared" si="108"/>
        <v>0</v>
      </c>
      <c r="H6919" t="s">
        <v>24</v>
      </c>
    </row>
    <row r="6920" spans="2:8" x14ac:dyDescent="0.2">
      <c r="B6920" s="3">
        <v>45065</v>
      </c>
      <c r="G6920" s="2">
        <f t="shared" si="108"/>
        <v>0</v>
      </c>
      <c r="H6920" t="s">
        <v>9</v>
      </c>
    </row>
    <row r="6921" spans="2:8" x14ac:dyDescent="0.2">
      <c r="B6921" s="3">
        <v>45065</v>
      </c>
      <c r="G6921" s="2">
        <f t="shared" si="108"/>
        <v>0</v>
      </c>
      <c r="H6921" t="s">
        <v>8</v>
      </c>
    </row>
    <row r="6922" spans="2:8" x14ac:dyDescent="0.2">
      <c r="B6922" s="3">
        <v>45065</v>
      </c>
      <c r="G6922" s="2">
        <f t="shared" si="108"/>
        <v>0</v>
      </c>
      <c r="H6922" t="s">
        <v>6</v>
      </c>
    </row>
    <row r="6923" spans="2:8" x14ac:dyDescent="0.2">
      <c r="B6923" s="3">
        <v>45065</v>
      </c>
      <c r="G6923" s="2">
        <f t="shared" si="108"/>
        <v>0</v>
      </c>
      <c r="H6923" t="s">
        <v>5</v>
      </c>
    </row>
    <row r="6924" spans="2:8" x14ac:dyDescent="0.2">
      <c r="B6924" s="3">
        <v>45065</v>
      </c>
      <c r="G6924" s="2">
        <f t="shared" si="108"/>
        <v>0</v>
      </c>
      <c r="H6924" s="1"/>
    </row>
    <row r="6925" spans="2:8" x14ac:dyDescent="0.2">
      <c r="B6925" s="3">
        <v>45066</v>
      </c>
      <c r="G6925" s="2">
        <f t="shared" si="108"/>
        <v>0</v>
      </c>
      <c r="H6925" t="s">
        <v>14</v>
      </c>
    </row>
    <row r="6926" spans="2:8" x14ac:dyDescent="0.2">
      <c r="B6926" s="3">
        <v>45066</v>
      </c>
      <c r="G6926" s="2">
        <f t="shared" si="108"/>
        <v>0</v>
      </c>
      <c r="H6926" t="s">
        <v>27</v>
      </c>
    </row>
    <row r="6927" spans="2:8" x14ac:dyDescent="0.2">
      <c r="B6927" s="3">
        <v>45066</v>
      </c>
      <c r="G6927" s="2">
        <f t="shared" si="108"/>
        <v>0</v>
      </c>
      <c r="H6927" t="s">
        <v>13</v>
      </c>
    </row>
    <row r="6928" spans="2:8" x14ac:dyDescent="0.2">
      <c r="B6928" s="3">
        <v>45066</v>
      </c>
      <c r="G6928" s="2">
        <f t="shared" si="108"/>
        <v>0</v>
      </c>
      <c r="H6928" t="s">
        <v>30</v>
      </c>
    </row>
    <row r="6929" spans="2:8" x14ac:dyDescent="0.2">
      <c r="B6929" s="3">
        <v>45066</v>
      </c>
      <c r="G6929" s="2">
        <f t="shared" si="108"/>
        <v>0</v>
      </c>
      <c r="H6929" t="s">
        <v>25</v>
      </c>
    </row>
    <row r="6930" spans="2:8" x14ac:dyDescent="0.2">
      <c r="B6930" s="3">
        <v>45066</v>
      </c>
      <c r="G6930" s="2">
        <f t="shared" si="108"/>
        <v>0</v>
      </c>
      <c r="H6930" t="s">
        <v>24</v>
      </c>
    </row>
    <row r="6931" spans="2:8" x14ac:dyDescent="0.2">
      <c r="B6931" s="3">
        <v>45066</v>
      </c>
      <c r="G6931" s="2">
        <f t="shared" si="108"/>
        <v>0</v>
      </c>
      <c r="H6931" t="s">
        <v>9</v>
      </c>
    </row>
    <row r="6932" spans="2:8" x14ac:dyDescent="0.2">
      <c r="B6932" s="3">
        <v>45066</v>
      </c>
      <c r="G6932" s="2">
        <f t="shared" si="108"/>
        <v>0</v>
      </c>
      <c r="H6932" t="s">
        <v>8</v>
      </c>
    </row>
    <row r="6933" spans="2:8" x14ac:dyDescent="0.2">
      <c r="B6933" s="3">
        <v>45066</v>
      </c>
      <c r="G6933" s="2">
        <f t="shared" si="108"/>
        <v>0</v>
      </c>
      <c r="H6933" t="s">
        <v>6</v>
      </c>
    </row>
    <row r="6934" spans="2:8" x14ac:dyDescent="0.2">
      <c r="B6934" s="3">
        <v>45066</v>
      </c>
      <c r="G6934" s="2">
        <f t="shared" si="108"/>
        <v>0</v>
      </c>
      <c r="H6934" t="s">
        <v>5</v>
      </c>
    </row>
    <row r="6935" spans="2:8" x14ac:dyDescent="0.2">
      <c r="B6935" s="3">
        <v>45066</v>
      </c>
      <c r="G6935" s="2">
        <f t="shared" si="108"/>
        <v>0</v>
      </c>
      <c r="H6935" s="1"/>
    </row>
    <row r="6936" spans="2:8" x14ac:dyDescent="0.2">
      <c r="B6936" s="3">
        <v>45067</v>
      </c>
      <c r="G6936" s="2">
        <f t="shared" si="108"/>
        <v>0</v>
      </c>
      <c r="H6936" t="s">
        <v>14</v>
      </c>
    </row>
    <row r="6937" spans="2:8" x14ac:dyDescent="0.2">
      <c r="B6937" s="3">
        <v>45067</v>
      </c>
      <c r="G6937" s="2">
        <f t="shared" si="108"/>
        <v>0</v>
      </c>
      <c r="H6937" t="s">
        <v>27</v>
      </c>
    </row>
    <row r="6938" spans="2:8" x14ac:dyDescent="0.2">
      <c r="B6938" s="3">
        <v>45067</v>
      </c>
      <c r="G6938" s="2">
        <f t="shared" si="108"/>
        <v>0</v>
      </c>
      <c r="H6938" t="s">
        <v>13</v>
      </c>
    </row>
    <row r="6939" spans="2:8" x14ac:dyDescent="0.2">
      <c r="B6939" s="3">
        <v>45067</v>
      </c>
      <c r="G6939" s="2">
        <f t="shared" si="108"/>
        <v>0</v>
      </c>
      <c r="H6939" t="s">
        <v>30</v>
      </c>
    </row>
    <row r="6940" spans="2:8" x14ac:dyDescent="0.2">
      <c r="B6940" s="3">
        <v>45067</v>
      </c>
      <c r="G6940" s="2">
        <f t="shared" si="108"/>
        <v>0</v>
      </c>
      <c r="H6940" t="s">
        <v>25</v>
      </c>
    </row>
    <row r="6941" spans="2:8" x14ac:dyDescent="0.2">
      <c r="B6941" s="3">
        <v>45067</v>
      </c>
      <c r="G6941" s="2">
        <f t="shared" si="108"/>
        <v>0</v>
      </c>
      <c r="H6941" t="s">
        <v>24</v>
      </c>
    </row>
    <row r="6942" spans="2:8" x14ac:dyDescent="0.2">
      <c r="B6942" s="3">
        <v>45067</v>
      </c>
      <c r="G6942" s="2">
        <f t="shared" si="108"/>
        <v>0</v>
      </c>
      <c r="H6942" t="s">
        <v>9</v>
      </c>
    </row>
    <row r="6943" spans="2:8" x14ac:dyDescent="0.2">
      <c r="B6943" s="3">
        <v>45067</v>
      </c>
      <c r="D6943" s="1">
        <v>14660</v>
      </c>
      <c r="E6943" s="1">
        <v>17290</v>
      </c>
      <c r="G6943" s="2">
        <f t="shared" si="108"/>
        <v>17290</v>
      </c>
      <c r="H6943" t="s">
        <v>8</v>
      </c>
    </row>
    <row r="6944" spans="2:8" x14ac:dyDescent="0.2">
      <c r="B6944" s="3">
        <v>45067</v>
      </c>
      <c r="F6944" s="1">
        <v>3000</v>
      </c>
      <c r="G6944" s="2">
        <f t="shared" si="108"/>
        <v>-3000</v>
      </c>
      <c r="H6944" t="s">
        <v>6</v>
      </c>
    </row>
    <row r="6945" spans="2:8" x14ac:dyDescent="0.2">
      <c r="B6945" s="3">
        <v>45067</v>
      </c>
      <c r="G6945" s="2">
        <f t="shared" si="108"/>
        <v>0</v>
      </c>
      <c r="H6945" t="s">
        <v>5</v>
      </c>
    </row>
    <row r="6946" spans="2:8" x14ac:dyDescent="0.2">
      <c r="B6946" s="3">
        <v>45067</v>
      </c>
      <c r="G6946" s="2">
        <f t="shared" si="108"/>
        <v>0</v>
      </c>
      <c r="H6946" s="1"/>
    </row>
    <row r="6947" spans="2:8" x14ac:dyDescent="0.2">
      <c r="B6947" s="3">
        <v>45068</v>
      </c>
      <c r="D6947" s="1">
        <v>3610</v>
      </c>
      <c r="E6947" s="1">
        <v>3932</v>
      </c>
      <c r="F6947" s="1">
        <v>7000</v>
      </c>
      <c r="G6947" s="2">
        <f t="shared" si="108"/>
        <v>-3068</v>
      </c>
      <c r="H6947" t="s">
        <v>14</v>
      </c>
    </row>
    <row r="6948" spans="2:8" x14ac:dyDescent="0.2">
      <c r="B6948" s="3">
        <v>45068</v>
      </c>
      <c r="F6948" s="1">
        <v>3000</v>
      </c>
      <c r="G6948" s="2">
        <f t="shared" si="108"/>
        <v>-3000</v>
      </c>
      <c r="H6948" t="s">
        <v>27</v>
      </c>
    </row>
    <row r="6949" spans="2:8" x14ac:dyDescent="0.2">
      <c r="B6949" s="3">
        <v>45068</v>
      </c>
      <c r="D6949" s="1">
        <v>7210.25</v>
      </c>
      <c r="E6949" s="1">
        <v>8373.5</v>
      </c>
      <c r="F6949" s="1">
        <v>6000</v>
      </c>
      <c r="G6949" s="2">
        <f t="shared" si="108"/>
        <v>2373.5</v>
      </c>
      <c r="H6949" t="s">
        <v>13</v>
      </c>
    </row>
    <row r="6950" spans="2:8" x14ac:dyDescent="0.2">
      <c r="B6950" s="3">
        <v>45068</v>
      </c>
      <c r="G6950" s="2">
        <f t="shared" si="108"/>
        <v>0</v>
      </c>
      <c r="H6950" t="s">
        <v>30</v>
      </c>
    </row>
    <row r="6951" spans="2:8" x14ac:dyDescent="0.2">
      <c r="B6951" s="3">
        <v>45068</v>
      </c>
      <c r="G6951" s="2">
        <f t="shared" si="108"/>
        <v>0</v>
      </c>
      <c r="H6951" t="s">
        <v>25</v>
      </c>
    </row>
    <row r="6952" spans="2:8" x14ac:dyDescent="0.2">
      <c r="B6952" s="3">
        <v>45068</v>
      </c>
      <c r="G6952" s="2">
        <f t="shared" si="108"/>
        <v>0</v>
      </c>
      <c r="H6952" t="s">
        <v>24</v>
      </c>
    </row>
    <row r="6953" spans="2:8" x14ac:dyDescent="0.2">
      <c r="B6953" s="3">
        <v>45068</v>
      </c>
      <c r="G6953" s="2">
        <f t="shared" si="108"/>
        <v>0</v>
      </c>
      <c r="H6953" t="s">
        <v>9</v>
      </c>
    </row>
    <row r="6954" spans="2:8" x14ac:dyDescent="0.2">
      <c r="B6954" s="3">
        <v>45068</v>
      </c>
      <c r="D6954" s="1">
        <v>16565</v>
      </c>
      <c r="E6954" s="1">
        <v>18275</v>
      </c>
      <c r="G6954" s="2">
        <f t="shared" si="108"/>
        <v>18275</v>
      </c>
      <c r="H6954" t="s">
        <v>8</v>
      </c>
    </row>
    <row r="6955" spans="2:8" x14ac:dyDescent="0.2">
      <c r="B6955" s="3">
        <v>45068</v>
      </c>
      <c r="D6955" s="1">
        <v>27240</v>
      </c>
      <c r="E6955" s="1">
        <v>30330</v>
      </c>
      <c r="G6955" s="2">
        <f t="shared" si="108"/>
        <v>30330</v>
      </c>
      <c r="H6955" t="s">
        <v>6</v>
      </c>
    </row>
    <row r="6956" spans="2:8" x14ac:dyDescent="0.2">
      <c r="B6956" s="3">
        <v>45068</v>
      </c>
      <c r="G6956" s="2">
        <f t="shared" si="108"/>
        <v>0</v>
      </c>
      <c r="H6956" t="s">
        <v>5</v>
      </c>
    </row>
    <row r="6957" spans="2:8" x14ac:dyDescent="0.2">
      <c r="B6957" s="3">
        <v>45068</v>
      </c>
      <c r="G6957" s="2">
        <f t="shared" si="108"/>
        <v>0</v>
      </c>
      <c r="H6957" s="1"/>
    </row>
    <row r="6958" spans="2:8" x14ac:dyDescent="0.2">
      <c r="B6958" s="3">
        <v>45069</v>
      </c>
      <c r="G6958" s="2">
        <f t="shared" si="108"/>
        <v>0</v>
      </c>
      <c r="H6958" t="s">
        <v>14</v>
      </c>
    </row>
    <row r="6959" spans="2:8" x14ac:dyDescent="0.2">
      <c r="B6959" s="3">
        <v>45069</v>
      </c>
      <c r="G6959" s="2">
        <f t="shared" si="108"/>
        <v>0</v>
      </c>
      <c r="H6959" t="s">
        <v>27</v>
      </c>
    </row>
    <row r="6960" spans="2:8" x14ac:dyDescent="0.2">
      <c r="B6960" s="3">
        <v>45069</v>
      </c>
      <c r="G6960" s="2">
        <f t="shared" si="108"/>
        <v>0</v>
      </c>
      <c r="H6960" t="s">
        <v>13</v>
      </c>
    </row>
    <row r="6961" spans="2:8" x14ac:dyDescent="0.2">
      <c r="B6961" s="3">
        <v>45069</v>
      </c>
      <c r="G6961" s="2">
        <f t="shared" si="108"/>
        <v>0</v>
      </c>
      <c r="H6961" t="s">
        <v>30</v>
      </c>
    </row>
    <row r="6962" spans="2:8" x14ac:dyDescent="0.2">
      <c r="B6962" s="3">
        <v>45069</v>
      </c>
      <c r="G6962" s="2">
        <f t="shared" si="108"/>
        <v>0</v>
      </c>
      <c r="H6962" t="s">
        <v>25</v>
      </c>
    </row>
    <row r="6963" spans="2:8" x14ac:dyDescent="0.2">
      <c r="B6963" s="3">
        <v>45069</v>
      </c>
      <c r="G6963" s="2">
        <f t="shared" si="108"/>
        <v>0</v>
      </c>
      <c r="H6963" t="s">
        <v>24</v>
      </c>
    </row>
    <row r="6964" spans="2:8" x14ac:dyDescent="0.2">
      <c r="B6964" s="3">
        <v>45069</v>
      </c>
      <c r="G6964" s="2">
        <f t="shared" si="108"/>
        <v>0</v>
      </c>
      <c r="H6964" t="s">
        <v>9</v>
      </c>
    </row>
    <row r="6965" spans="2:8" x14ac:dyDescent="0.2">
      <c r="B6965" s="3">
        <v>45069</v>
      </c>
      <c r="G6965" s="2">
        <f t="shared" si="108"/>
        <v>0</v>
      </c>
      <c r="H6965" t="s">
        <v>8</v>
      </c>
    </row>
    <row r="6966" spans="2:8" x14ac:dyDescent="0.2">
      <c r="B6966" s="3">
        <v>45069</v>
      </c>
      <c r="G6966" s="2">
        <f t="shared" si="108"/>
        <v>0</v>
      </c>
      <c r="H6966" t="s">
        <v>6</v>
      </c>
    </row>
    <row r="6967" spans="2:8" x14ac:dyDescent="0.2">
      <c r="B6967" s="3">
        <v>45069</v>
      </c>
      <c r="G6967" s="2">
        <f t="shared" si="108"/>
        <v>0</v>
      </c>
      <c r="H6967" t="s">
        <v>5</v>
      </c>
    </row>
    <row r="6968" spans="2:8" x14ac:dyDescent="0.2">
      <c r="B6968" s="3">
        <v>45069</v>
      </c>
      <c r="G6968" s="2">
        <f t="shared" si="108"/>
        <v>0</v>
      </c>
      <c r="H6968" s="1"/>
    </row>
    <row r="6969" spans="2:8" x14ac:dyDescent="0.2">
      <c r="B6969" s="3">
        <v>45070</v>
      </c>
      <c r="G6969" s="2">
        <f t="shared" si="108"/>
        <v>0</v>
      </c>
      <c r="H6969" t="s">
        <v>14</v>
      </c>
    </row>
    <row r="6970" spans="2:8" x14ac:dyDescent="0.2">
      <c r="B6970" s="3">
        <v>45070</v>
      </c>
      <c r="G6970" s="2">
        <f t="shared" si="108"/>
        <v>0</v>
      </c>
      <c r="H6970" t="s">
        <v>27</v>
      </c>
    </row>
    <row r="6971" spans="2:8" x14ac:dyDescent="0.2">
      <c r="B6971" s="3">
        <v>45070</v>
      </c>
      <c r="G6971" s="2">
        <f t="shared" si="108"/>
        <v>0</v>
      </c>
      <c r="H6971" t="s">
        <v>13</v>
      </c>
    </row>
    <row r="6972" spans="2:8" x14ac:dyDescent="0.2">
      <c r="B6972" s="3">
        <v>45070</v>
      </c>
      <c r="G6972" s="2">
        <f t="shared" si="108"/>
        <v>0</v>
      </c>
      <c r="H6972" t="s">
        <v>30</v>
      </c>
    </row>
    <row r="6973" spans="2:8" x14ac:dyDescent="0.2">
      <c r="B6973" s="3">
        <v>45070</v>
      </c>
      <c r="G6973" s="2">
        <f t="shared" si="108"/>
        <v>0</v>
      </c>
      <c r="H6973" t="s">
        <v>25</v>
      </c>
    </row>
    <row r="6974" spans="2:8" x14ac:dyDescent="0.2">
      <c r="B6974" s="3">
        <v>45070</v>
      </c>
      <c r="G6974" s="2">
        <f t="shared" si="108"/>
        <v>0</v>
      </c>
      <c r="H6974" t="s">
        <v>24</v>
      </c>
    </row>
    <row r="6975" spans="2:8" x14ac:dyDescent="0.2">
      <c r="B6975" s="3">
        <v>45070</v>
      </c>
      <c r="G6975" s="2">
        <f t="shared" si="108"/>
        <v>0</v>
      </c>
      <c r="H6975" t="s">
        <v>9</v>
      </c>
    </row>
    <row r="6976" spans="2:8" x14ac:dyDescent="0.2">
      <c r="B6976" s="3">
        <v>45070</v>
      </c>
      <c r="G6976" s="2">
        <f t="shared" si="108"/>
        <v>0</v>
      </c>
      <c r="H6976" t="s">
        <v>8</v>
      </c>
    </row>
    <row r="6977" spans="2:8" x14ac:dyDescent="0.2">
      <c r="B6977" s="3">
        <v>45070</v>
      </c>
      <c r="G6977" s="2">
        <f t="shared" si="108"/>
        <v>0</v>
      </c>
      <c r="H6977" t="s">
        <v>6</v>
      </c>
    </row>
    <row r="6978" spans="2:8" x14ac:dyDescent="0.2">
      <c r="B6978" s="3">
        <v>45070</v>
      </c>
      <c r="G6978" s="2">
        <f t="shared" si="108"/>
        <v>0</v>
      </c>
      <c r="H6978" t="s">
        <v>5</v>
      </c>
    </row>
    <row r="6979" spans="2:8" x14ac:dyDescent="0.2">
      <c r="B6979" s="3">
        <v>45070</v>
      </c>
      <c r="G6979" s="2">
        <f t="shared" ref="G6979:G7042" si="109">E6979-F6979</f>
        <v>0</v>
      </c>
      <c r="H6979" s="1"/>
    </row>
    <row r="6980" spans="2:8" x14ac:dyDescent="0.2">
      <c r="B6980" s="3">
        <v>45071</v>
      </c>
      <c r="D6980" s="1">
        <v>925</v>
      </c>
      <c r="E6980" s="1">
        <v>975</v>
      </c>
      <c r="G6980" s="2">
        <f t="shared" si="109"/>
        <v>975</v>
      </c>
      <c r="H6980" t="s">
        <v>14</v>
      </c>
    </row>
    <row r="6981" spans="2:8" x14ac:dyDescent="0.2">
      <c r="B6981" s="3">
        <v>45071</v>
      </c>
      <c r="G6981" s="2">
        <f t="shared" si="109"/>
        <v>0</v>
      </c>
      <c r="H6981" t="s">
        <v>27</v>
      </c>
    </row>
    <row r="6982" spans="2:8" x14ac:dyDescent="0.2">
      <c r="B6982" s="3">
        <v>45071</v>
      </c>
      <c r="F6982" s="1">
        <v>5000</v>
      </c>
      <c r="G6982" s="2">
        <f t="shared" si="109"/>
        <v>-5000</v>
      </c>
      <c r="H6982" t="s">
        <v>13</v>
      </c>
    </row>
    <row r="6983" spans="2:8" x14ac:dyDescent="0.2">
      <c r="B6983" s="3">
        <v>45071</v>
      </c>
      <c r="G6983" s="2">
        <f t="shared" si="109"/>
        <v>0</v>
      </c>
      <c r="H6983" t="s">
        <v>30</v>
      </c>
    </row>
    <row r="6984" spans="2:8" x14ac:dyDescent="0.2">
      <c r="B6984" s="3">
        <v>45071</v>
      </c>
      <c r="G6984" s="2">
        <f t="shared" si="109"/>
        <v>0</v>
      </c>
      <c r="H6984" t="s">
        <v>25</v>
      </c>
    </row>
    <row r="6985" spans="2:8" x14ac:dyDescent="0.2">
      <c r="B6985" s="3">
        <v>45071</v>
      </c>
      <c r="G6985" s="2">
        <f t="shared" si="109"/>
        <v>0</v>
      </c>
      <c r="H6985" t="s">
        <v>24</v>
      </c>
    </row>
    <row r="6986" spans="2:8" x14ac:dyDescent="0.2">
      <c r="B6986" s="3">
        <v>45071</v>
      </c>
      <c r="G6986" s="2">
        <f t="shared" si="109"/>
        <v>0</v>
      </c>
      <c r="H6986" t="s">
        <v>9</v>
      </c>
    </row>
    <row r="6987" spans="2:8" x14ac:dyDescent="0.2">
      <c r="B6987" s="3">
        <v>45071</v>
      </c>
      <c r="G6987" s="2">
        <f t="shared" si="109"/>
        <v>0</v>
      </c>
      <c r="H6987" t="s">
        <v>8</v>
      </c>
    </row>
    <row r="6988" spans="2:8" x14ac:dyDescent="0.2">
      <c r="B6988" s="3">
        <v>45071</v>
      </c>
      <c r="G6988" s="2">
        <f t="shared" si="109"/>
        <v>0</v>
      </c>
      <c r="H6988" t="s">
        <v>6</v>
      </c>
    </row>
    <row r="6989" spans="2:8" x14ac:dyDescent="0.2">
      <c r="B6989" s="3">
        <v>45071</v>
      </c>
      <c r="G6989" s="2">
        <f t="shared" si="109"/>
        <v>0</v>
      </c>
      <c r="H6989" t="s">
        <v>5</v>
      </c>
    </row>
    <row r="6990" spans="2:8" x14ac:dyDescent="0.2">
      <c r="B6990" s="3">
        <v>45071</v>
      </c>
      <c r="G6990" s="2">
        <f t="shared" si="109"/>
        <v>0</v>
      </c>
      <c r="H6990" s="1"/>
    </row>
    <row r="6991" spans="2:8" x14ac:dyDescent="0.2">
      <c r="B6991" s="3">
        <v>45072</v>
      </c>
      <c r="G6991" s="2">
        <f t="shared" si="109"/>
        <v>0</v>
      </c>
      <c r="H6991" t="s">
        <v>14</v>
      </c>
    </row>
    <row r="6992" spans="2:8" x14ac:dyDescent="0.2">
      <c r="B6992" s="3">
        <v>45072</v>
      </c>
      <c r="G6992" s="2">
        <f t="shared" si="109"/>
        <v>0</v>
      </c>
      <c r="H6992" t="s">
        <v>27</v>
      </c>
    </row>
    <row r="6993" spans="2:8" x14ac:dyDescent="0.2">
      <c r="B6993" s="3">
        <v>45072</v>
      </c>
      <c r="G6993" s="2">
        <f t="shared" si="109"/>
        <v>0</v>
      </c>
      <c r="H6993" t="s">
        <v>13</v>
      </c>
    </row>
    <row r="6994" spans="2:8" x14ac:dyDescent="0.2">
      <c r="B6994" s="3">
        <v>45072</v>
      </c>
      <c r="G6994" s="2">
        <f t="shared" si="109"/>
        <v>0</v>
      </c>
      <c r="H6994" t="s">
        <v>30</v>
      </c>
    </row>
    <row r="6995" spans="2:8" x14ac:dyDescent="0.2">
      <c r="B6995" s="3">
        <v>45072</v>
      </c>
      <c r="G6995" s="2">
        <f t="shared" si="109"/>
        <v>0</v>
      </c>
      <c r="H6995" t="s">
        <v>25</v>
      </c>
    </row>
    <row r="6996" spans="2:8" x14ac:dyDescent="0.2">
      <c r="B6996" s="3">
        <v>45072</v>
      </c>
      <c r="G6996" s="2">
        <f t="shared" si="109"/>
        <v>0</v>
      </c>
      <c r="H6996" t="s">
        <v>24</v>
      </c>
    </row>
    <row r="6997" spans="2:8" x14ac:dyDescent="0.2">
      <c r="B6997" s="3">
        <v>45072</v>
      </c>
      <c r="G6997" s="2">
        <f t="shared" si="109"/>
        <v>0</v>
      </c>
      <c r="H6997" t="s">
        <v>9</v>
      </c>
    </row>
    <row r="6998" spans="2:8" x14ac:dyDescent="0.2">
      <c r="B6998" s="3">
        <v>45072</v>
      </c>
      <c r="G6998" s="2">
        <f t="shared" si="109"/>
        <v>0</v>
      </c>
      <c r="H6998" t="s">
        <v>8</v>
      </c>
    </row>
    <row r="6999" spans="2:8" x14ac:dyDescent="0.2">
      <c r="B6999" s="3">
        <v>45072</v>
      </c>
      <c r="G6999" s="2">
        <f t="shared" si="109"/>
        <v>0</v>
      </c>
      <c r="H6999" t="s">
        <v>6</v>
      </c>
    </row>
    <row r="7000" spans="2:8" x14ac:dyDescent="0.2">
      <c r="B7000" s="3">
        <v>45072</v>
      </c>
      <c r="G7000" s="2">
        <f t="shared" si="109"/>
        <v>0</v>
      </c>
      <c r="H7000" t="s">
        <v>5</v>
      </c>
    </row>
    <row r="7001" spans="2:8" x14ac:dyDescent="0.2">
      <c r="B7001" s="3">
        <v>45072</v>
      </c>
      <c r="G7001" s="2">
        <f t="shared" si="109"/>
        <v>0</v>
      </c>
      <c r="H7001" s="1"/>
    </row>
    <row r="7002" spans="2:8" x14ac:dyDescent="0.2">
      <c r="B7002" s="3">
        <v>45073</v>
      </c>
      <c r="G7002" s="2">
        <f t="shared" si="109"/>
        <v>0</v>
      </c>
      <c r="H7002" t="s">
        <v>14</v>
      </c>
    </row>
    <row r="7003" spans="2:8" x14ac:dyDescent="0.2">
      <c r="B7003" s="3">
        <v>45073</v>
      </c>
      <c r="G7003" s="2">
        <f t="shared" si="109"/>
        <v>0</v>
      </c>
      <c r="H7003" t="s">
        <v>27</v>
      </c>
    </row>
    <row r="7004" spans="2:8" x14ac:dyDescent="0.2">
      <c r="B7004" s="3">
        <v>45073</v>
      </c>
      <c r="G7004" s="2">
        <f t="shared" si="109"/>
        <v>0</v>
      </c>
      <c r="H7004" t="s">
        <v>13</v>
      </c>
    </row>
    <row r="7005" spans="2:8" x14ac:dyDescent="0.2">
      <c r="B7005" s="3">
        <v>45073</v>
      </c>
      <c r="G7005" s="2">
        <f t="shared" si="109"/>
        <v>0</v>
      </c>
      <c r="H7005" t="s">
        <v>30</v>
      </c>
    </row>
    <row r="7006" spans="2:8" x14ac:dyDescent="0.2">
      <c r="B7006" s="3">
        <v>45073</v>
      </c>
      <c r="G7006" s="2">
        <f t="shared" si="109"/>
        <v>0</v>
      </c>
      <c r="H7006" t="s">
        <v>25</v>
      </c>
    </row>
    <row r="7007" spans="2:8" x14ac:dyDescent="0.2">
      <c r="B7007" s="3">
        <v>45073</v>
      </c>
      <c r="G7007" s="2">
        <f t="shared" si="109"/>
        <v>0</v>
      </c>
      <c r="H7007" t="s">
        <v>24</v>
      </c>
    </row>
    <row r="7008" spans="2:8" x14ac:dyDescent="0.2">
      <c r="B7008" s="3">
        <v>45073</v>
      </c>
      <c r="G7008" s="2">
        <f t="shared" si="109"/>
        <v>0</v>
      </c>
      <c r="H7008" t="s">
        <v>9</v>
      </c>
    </row>
    <row r="7009" spans="2:8" x14ac:dyDescent="0.2">
      <c r="B7009" s="3">
        <v>45073</v>
      </c>
      <c r="G7009" s="2">
        <f t="shared" si="109"/>
        <v>0</v>
      </c>
      <c r="H7009" t="s">
        <v>8</v>
      </c>
    </row>
    <row r="7010" spans="2:8" x14ac:dyDescent="0.2">
      <c r="B7010" s="3">
        <v>45073</v>
      </c>
      <c r="G7010" s="2">
        <f t="shared" si="109"/>
        <v>0</v>
      </c>
      <c r="H7010" t="s">
        <v>6</v>
      </c>
    </row>
    <row r="7011" spans="2:8" x14ac:dyDescent="0.2">
      <c r="B7011" s="3">
        <v>45073</v>
      </c>
      <c r="G7011" s="2">
        <f t="shared" si="109"/>
        <v>0</v>
      </c>
      <c r="H7011" t="s">
        <v>5</v>
      </c>
    </row>
    <row r="7012" spans="2:8" x14ac:dyDescent="0.2">
      <c r="B7012" s="3">
        <v>45073</v>
      </c>
      <c r="G7012" s="2">
        <f t="shared" si="109"/>
        <v>0</v>
      </c>
      <c r="H7012" s="1"/>
    </row>
    <row r="7013" spans="2:8" x14ac:dyDescent="0.2">
      <c r="B7013" s="3">
        <v>45074</v>
      </c>
      <c r="D7013" s="1">
        <v>2125</v>
      </c>
      <c r="E7013" s="1">
        <v>2375</v>
      </c>
      <c r="G7013" s="2">
        <f t="shared" si="109"/>
        <v>2375</v>
      </c>
      <c r="H7013" t="s">
        <v>14</v>
      </c>
    </row>
    <row r="7014" spans="2:8" x14ac:dyDescent="0.2">
      <c r="B7014" s="3">
        <v>45074</v>
      </c>
      <c r="G7014" s="2">
        <f t="shared" si="109"/>
        <v>0</v>
      </c>
      <c r="H7014" t="s">
        <v>27</v>
      </c>
    </row>
    <row r="7015" spans="2:8" x14ac:dyDescent="0.2">
      <c r="B7015" s="3">
        <v>45074</v>
      </c>
      <c r="G7015" s="2">
        <f t="shared" si="109"/>
        <v>0</v>
      </c>
      <c r="H7015" t="s">
        <v>13</v>
      </c>
    </row>
    <row r="7016" spans="2:8" x14ac:dyDescent="0.2">
      <c r="B7016" s="3">
        <v>45074</v>
      </c>
      <c r="G7016" s="2">
        <f t="shared" si="109"/>
        <v>0</v>
      </c>
      <c r="H7016" t="s">
        <v>30</v>
      </c>
    </row>
    <row r="7017" spans="2:8" x14ac:dyDescent="0.2">
      <c r="B7017" s="3">
        <v>45074</v>
      </c>
      <c r="D7017" s="1">
        <v>682.25</v>
      </c>
      <c r="E7017" s="1">
        <v>833.75</v>
      </c>
      <c r="F7017" s="1">
        <v>5000</v>
      </c>
      <c r="G7017" s="2">
        <f t="shared" si="109"/>
        <v>-4166.25</v>
      </c>
      <c r="H7017" t="s">
        <v>25</v>
      </c>
    </row>
    <row r="7018" spans="2:8" x14ac:dyDescent="0.2">
      <c r="B7018" s="3">
        <v>45074</v>
      </c>
      <c r="F7018" s="1">
        <v>2000</v>
      </c>
      <c r="G7018" s="2">
        <f t="shared" si="109"/>
        <v>-2000</v>
      </c>
      <c r="H7018" t="s">
        <v>24</v>
      </c>
    </row>
    <row r="7019" spans="2:8" x14ac:dyDescent="0.2">
      <c r="B7019" s="3">
        <v>45074</v>
      </c>
      <c r="G7019" s="2">
        <f t="shared" si="109"/>
        <v>0</v>
      </c>
      <c r="H7019" t="s">
        <v>9</v>
      </c>
    </row>
    <row r="7020" spans="2:8" x14ac:dyDescent="0.2">
      <c r="B7020" s="3">
        <v>45074</v>
      </c>
      <c r="G7020" s="2">
        <f t="shared" si="109"/>
        <v>0</v>
      </c>
      <c r="H7020" t="s">
        <v>8</v>
      </c>
    </row>
    <row r="7021" spans="2:8" x14ac:dyDescent="0.2">
      <c r="B7021" s="3">
        <v>45074</v>
      </c>
      <c r="F7021" s="1">
        <v>3000</v>
      </c>
      <c r="G7021" s="2">
        <f t="shared" si="109"/>
        <v>-3000</v>
      </c>
      <c r="H7021" t="s">
        <v>6</v>
      </c>
    </row>
    <row r="7022" spans="2:8" x14ac:dyDescent="0.2">
      <c r="B7022" s="3">
        <v>45074</v>
      </c>
      <c r="G7022" s="2">
        <f t="shared" si="109"/>
        <v>0</v>
      </c>
      <c r="H7022" t="s">
        <v>5</v>
      </c>
    </row>
    <row r="7023" spans="2:8" x14ac:dyDescent="0.2">
      <c r="B7023" s="3">
        <v>45074</v>
      </c>
      <c r="G7023" s="2">
        <f t="shared" si="109"/>
        <v>0</v>
      </c>
      <c r="H7023" s="1"/>
    </row>
    <row r="7024" spans="2:8" x14ac:dyDescent="0.2">
      <c r="B7024" s="3">
        <v>45075</v>
      </c>
      <c r="G7024" s="2">
        <f t="shared" si="109"/>
        <v>0</v>
      </c>
      <c r="H7024" t="s">
        <v>14</v>
      </c>
    </row>
    <row r="7025" spans="2:8" x14ac:dyDescent="0.2">
      <c r="B7025" s="3">
        <v>45075</v>
      </c>
      <c r="G7025" s="2">
        <f t="shared" si="109"/>
        <v>0</v>
      </c>
      <c r="H7025" t="s">
        <v>27</v>
      </c>
    </row>
    <row r="7026" spans="2:8" x14ac:dyDescent="0.2">
      <c r="B7026" s="3">
        <v>45075</v>
      </c>
      <c r="G7026" s="2">
        <f t="shared" si="109"/>
        <v>0</v>
      </c>
      <c r="H7026" t="s">
        <v>13</v>
      </c>
    </row>
    <row r="7027" spans="2:8" x14ac:dyDescent="0.2">
      <c r="B7027" s="3">
        <v>45075</v>
      </c>
      <c r="G7027" s="2">
        <f t="shared" si="109"/>
        <v>0</v>
      </c>
      <c r="H7027" t="s">
        <v>30</v>
      </c>
    </row>
    <row r="7028" spans="2:8" x14ac:dyDescent="0.2">
      <c r="B7028" s="3">
        <v>45075</v>
      </c>
      <c r="G7028" s="2">
        <f t="shared" si="109"/>
        <v>0</v>
      </c>
      <c r="H7028" t="s">
        <v>25</v>
      </c>
    </row>
    <row r="7029" spans="2:8" x14ac:dyDescent="0.2">
      <c r="B7029" s="3">
        <v>45075</v>
      </c>
      <c r="D7029" s="1">
        <v>2410</v>
      </c>
      <c r="E7029" s="1">
        <v>2670</v>
      </c>
      <c r="G7029" s="2">
        <f t="shared" si="109"/>
        <v>2670</v>
      </c>
      <c r="H7029" t="s">
        <v>24</v>
      </c>
    </row>
    <row r="7030" spans="2:8" x14ac:dyDescent="0.2">
      <c r="B7030" s="3">
        <v>45075</v>
      </c>
      <c r="G7030" s="2">
        <f t="shared" si="109"/>
        <v>0</v>
      </c>
      <c r="H7030" t="s">
        <v>9</v>
      </c>
    </row>
    <row r="7031" spans="2:8" x14ac:dyDescent="0.2">
      <c r="B7031" s="3">
        <v>45075</v>
      </c>
      <c r="G7031" s="2">
        <f t="shared" si="109"/>
        <v>0</v>
      </c>
      <c r="H7031" t="s">
        <v>8</v>
      </c>
    </row>
    <row r="7032" spans="2:8" x14ac:dyDescent="0.2">
      <c r="B7032" s="3">
        <v>45075</v>
      </c>
      <c r="G7032" s="2">
        <f t="shared" si="109"/>
        <v>0</v>
      </c>
      <c r="H7032" t="s">
        <v>6</v>
      </c>
    </row>
    <row r="7033" spans="2:8" x14ac:dyDescent="0.2">
      <c r="B7033" s="3">
        <v>45075</v>
      </c>
      <c r="G7033" s="2">
        <f t="shared" si="109"/>
        <v>0</v>
      </c>
      <c r="H7033" t="s">
        <v>5</v>
      </c>
    </row>
    <row r="7034" spans="2:8" x14ac:dyDescent="0.2">
      <c r="B7034" s="3">
        <v>45075</v>
      </c>
      <c r="G7034" s="2">
        <f t="shared" si="109"/>
        <v>0</v>
      </c>
      <c r="H7034" s="1"/>
    </row>
    <row r="7035" spans="2:8" x14ac:dyDescent="0.2">
      <c r="B7035" s="3">
        <v>45076</v>
      </c>
      <c r="D7035" s="1">
        <v>10850</v>
      </c>
      <c r="E7035" s="1">
        <v>12037.5</v>
      </c>
      <c r="F7035" s="1">
        <v>5000</v>
      </c>
      <c r="G7035" s="2">
        <f t="shared" si="109"/>
        <v>7037.5</v>
      </c>
      <c r="H7035" t="s">
        <v>14</v>
      </c>
    </row>
    <row r="7036" spans="2:8" x14ac:dyDescent="0.2">
      <c r="B7036" s="3">
        <v>45076</v>
      </c>
      <c r="G7036" s="2">
        <f t="shared" si="109"/>
        <v>0</v>
      </c>
      <c r="H7036" t="s">
        <v>27</v>
      </c>
    </row>
    <row r="7037" spans="2:8" x14ac:dyDescent="0.2">
      <c r="B7037" s="3">
        <v>45076</v>
      </c>
      <c r="D7037" s="1">
        <v>9606.4500000000007</v>
      </c>
      <c r="E7037" s="1">
        <v>11717.1</v>
      </c>
      <c r="F7037" s="1">
        <v>5000</v>
      </c>
      <c r="G7037" s="2">
        <f t="shared" si="109"/>
        <v>6717.1</v>
      </c>
      <c r="H7037" t="s">
        <v>13</v>
      </c>
    </row>
    <row r="7038" spans="2:8" x14ac:dyDescent="0.2">
      <c r="B7038" s="3">
        <v>45076</v>
      </c>
      <c r="G7038" s="2">
        <f t="shared" si="109"/>
        <v>0</v>
      </c>
      <c r="H7038" t="s">
        <v>30</v>
      </c>
    </row>
    <row r="7039" spans="2:8" x14ac:dyDescent="0.2">
      <c r="B7039" s="3">
        <v>45076</v>
      </c>
      <c r="G7039" s="2">
        <f t="shared" si="109"/>
        <v>0</v>
      </c>
      <c r="H7039" t="s">
        <v>25</v>
      </c>
    </row>
    <row r="7040" spans="2:8" x14ac:dyDescent="0.2">
      <c r="B7040" s="3">
        <v>45076</v>
      </c>
      <c r="G7040" s="2">
        <f t="shared" si="109"/>
        <v>0</v>
      </c>
      <c r="H7040" t="s">
        <v>24</v>
      </c>
    </row>
    <row r="7041" spans="2:8" x14ac:dyDescent="0.2">
      <c r="B7041" s="3">
        <v>45076</v>
      </c>
      <c r="G7041" s="2">
        <f t="shared" si="109"/>
        <v>0</v>
      </c>
      <c r="H7041" t="s">
        <v>9</v>
      </c>
    </row>
    <row r="7042" spans="2:8" x14ac:dyDescent="0.2">
      <c r="B7042" s="3">
        <v>45076</v>
      </c>
      <c r="G7042" s="2">
        <f t="shared" si="109"/>
        <v>0</v>
      </c>
      <c r="H7042" t="s">
        <v>8</v>
      </c>
    </row>
    <row r="7043" spans="2:8" x14ac:dyDescent="0.2">
      <c r="B7043" s="3">
        <v>45076</v>
      </c>
      <c r="G7043" s="2">
        <f t="shared" ref="G7043:G7106" si="110">E7043-F7043</f>
        <v>0</v>
      </c>
      <c r="H7043" t="s">
        <v>6</v>
      </c>
    </row>
    <row r="7044" spans="2:8" x14ac:dyDescent="0.2">
      <c r="B7044" s="3">
        <v>45076</v>
      </c>
      <c r="G7044" s="2">
        <f t="shared" si="110"/>
        <v>0</v>
      </c>
      <c r="H7044" t="s">
        <v>5</v>
      </c>
    </row>
    <row r="7045" spans="2:8" x14ac:dyDescent="0.2">
      <c r="B7045" s="3">
        <v>45076</v>
      </c>
      <c r="G7045" s="2">
        <f t="shared" si="110"/>
        <v>0</v>
      </c>
      <c r="H7045" s="1"/>
    </row>
    <row r="7046" spans="2:8" x14ac:dyDescent="0.2">
      <c r="B7046" s="3">
        <v>45077</v>
      </c>
      <c r="G7046" s="2">
        <f t="shared" si="110"/>
        <v>0</v>
      </c>
      <c r="H7046" t="s">
        <v>14</v>
      </c>
    </row>
    <row r="7047" spans="2:8" x14ac:dyDescent="0.2">
      <c r="B7047" s="3">
        <v>45077</v>
      </c>
      <c r="G7047" s="2">
        <f t="shared" si="110"/>
        <v>0</v>
      </c>
      <c r="H7047" t="s">
        <v>27</v>
      </c>
    </row>
    <row r="7048" spans="2:8" x14ac:dyDescent="0.2">
      <c r="B7048" s="3">
        <v>45077</v>
      </c>
      <c r="G7048" s="2">
        <f t="shared" si="110"/>
        <v>0</v>
      </c>
      <c r="H7048" t="s">
        <v>13</v>
      </c>
    </row>
    <row r="7049" spans="2:8" x14ac:dyDescent="0.2">
      <c r="B7049" s="3">
        <v>45077</v>
      </c>
      <c r="G7049" s="2">
        <f t="shared" si="110"/>
        <v>0</v>
      </c>
      <c r="H7049" t="s">
        <v>30</v>
      </c>
    </row>
    <row r="7050" spans="2:8" x14ac:dyDescent="0.2">
      <c r="B7050" s="3">
        <v>45077</v>
      </c>
      <c r="G7050" s="2">
        <f t="shared" si="110"/>
        <v>0</v>
      </c>
      <c r="H7050" t="s">
        <v>25</v>
      </c>
    </row>
    <row r="7051" spans="2:8" x14ac:dyDescent="0.2">
      <c r="B7051" s="3">
        <v>45077</v>
      </c>
      <c r="G7051" s="2">
        <f t="shared" si="110"/>
        <v>0</v>
      </c>
      <c r="H7051" t="s">
        <v>24</v>
      </c>
    </row>
    <row r="7052" spans="2:8" x14ac:dyDescent="0.2">
      <c r="B7052" s="3">
        <v>45077</v>
      </c>
      <c r="G7052" s="2">
        <f t="shared" si="110"/>
        <v>0</v>
      </c>
      <c r="H7052" t="s">
        <v>9</v>
      </c>
    </row>
    <row r="7053" spans="2:8" x14ac:dyDescent="0.2">
      <c r="B7053" s="3">
        <v>45077</v>
      </c>
      <c r="G7053" s="2">
        <f t="shared" si="110"/>
        <v>0</v>
      </c>
      <c r="H7053" t="s">
        <v>8</v>
      </c>
    </row>
    <row r="7054" spans="2:8" x14ac:dyDescent="0.2">
      <c r="B7054" s="3">
        <v>45077</v>
      </c>
      <c r="G7054" s="2">
        <f t="shared" si="110"/>
        <v>0</v>
      </c>
      <c r="H7054" t="s">
        <v>6</v>
      </c>
    </row>
    <row r="7055" spans="2:8" x14ac:dyDescent="0.2">
      <c r="B7055" s="3">
        <v>45077</v>
      </c>
      <c r="G7055" s="2">
        <f t="shared" si="110"/>
        <v>0</v>
      </c>
      <c r="H7055" t="s">
        <v>5</v>
      </c>
    </row>
    <row r="7056" spans="2:8" x14ac:dyDescent="0.2">
      <c r="B7056" s="3">
        <v>45077</v>
      </c>
      <c r="G7056" s="2">
        <f t="shared" si="110"/>
        <v>0</v>
      </c>
      <c r="H7056" s="1"/>
    </row>
    <row r="7057" spans="2:8" x14ac:dyDescent="0.2">
      <c r="B7057" s="3">
        <v>45078</v>
      </c>
      <c r="G7057" s="2">
        <f t="shared" si="110"/>
        <v>0</v>
      </c>
      <c r="H7057" t="s">
        <v>14</v>
      </c>
    </row>
    <row r="7058" spans="2:8" x14ac:dyDescent="0.2">
      <c r="B7058" s="3">
        <v>45078</v>
      </c>
      <c r="G7058" s="2">
        <f t="shared" si="110"/>
        <v>0</v>
      </c>
      <c r="H7058" t="s">
        <v>27</v>
      </c>
    </row>
    <row r="7059" spans="2:8" x14ac:dyDescent="0.2">
      <c r="B7059" s="3">
        <v>45078</v>
      </c>
      <c r="G7059" s="2">
        <f t="shared" si="110"/>
        <v>0</v>
      </c>
      <c r="H7059" t="s">
        <v>13</v>
      </c>
    </row>
    <row r="7060" spans="2:8" x14ac:dyDescent="0.2">
      <c r="B7060" s="3">
        <v>45078</v>
      </c>
      <c r="G7060" s="2">
        <f t="shared" si="110"/>
        <v>0</v>
      </c>
      <c r="H7060" t="s">
        <v>30</v>
      </c>
    </row>
    <row r="7061" spans="2:8" x14ac:dyDescent="0.2">
      <c r="B7061" s="3">
        <v>45078</v>
      </c>
      <c r="G7061" s="2">
        <f t="shared" si="110"/>
        <v>0</v>
      </c>
      <c r="H7061" t="s">
        <v>25</v>
      </c>
    </row>
    <row r="7062" spans="2:8" x14ac:dyDescent="0.2">
      <c r="B7062" s="3">
        <v>45078</v>
      </c>
      <c r="G7062" s="2">
        <f t="shared" si="110"/>
        <v>0</v>
      </c>
      <c r="H7062" t="s">
        <v>24</v>
      </c>
    </row>
    <row r="7063" spans="2:8" x14ac:dyDescent="0.2">
      <c r="B7063" s="3">
        <v>45078</v>
      </c>
      <c r="G7063" s="2">
        <f t="shared" si="110"/>
        <v>0</v>
      </c>
      <c r="H7063" t="s">
        <v>9</v>
      </c>
    </row>
    <row r="7064" spans="2:8" x14ac:dyDescent="0.2">
      <c r="B7064" s="3">
        <v>45078</v>
      </c>
      <c r="G7064" s="2">
        <f t="shared" si="110"/>
        <v>0</v>
      </c>
      <c r="H7064" t="s">
        <v>8</v>
      </c>
    </row>
    <row r="7065" spans="2:8" x14ac:dyDescent="0.2">
      <c r="B7065" s="3">
        <v>45078</v>
      </c>
      <c r="G7065" s="2">
        <f t="shared" si="110"/>
        <v>0</v>
      </c>
      <c r="H7065" t="s">
        <v>6</v>
      </c>
    </row>
    <row r="7066" spans="2:8" x14ac:dyDescent="0.2">
      <c r="B7066" s="3">
        <v>45078</v>
      </c>
      <c r="G7066" s="2">
        <f t="shared" si="110"/>
        <v>0</v>
      </c>
      <c r="H7066" t="s">
        <v>5</v>
      </c>
    </row>
    <row r="7067" spans="2:8" x14ac:dyDescent="0.2">
      <c r="B7067" s="3">
        <v>45078</v>
      </c>
      <c r="G7067" s="2">
        <f t="shared" si="110"/>
        <v>0</v>
      </c>
      <c r="H7067" s="1"/>
    </row>
    <row r="7068" spans="2:8" x14ac:dyDescent="0.2">
      <c r="B7068" s="3">
        <v>45079</v>
      </c>
      <c r="G7068" s="2">
        <f t="shared" si="110"/>
        <v>0</v>
      </c>
      <c r="H7068" t="s">
        <v>14</v>
      </c>
    </row>
    <row r="7069" spans="2:8" x14ac:dyDescent="0.2">
      <c r="B7069" s="3">
        <v>45079</v>
      </c>
      <c r="G7069" s="2">
        <f t="shared" si="110"/>
        <v>0</v>
      </c>
      <c r="H7069" t="s">
        <v>27</v>
      </c>
    </row>
    <row r="7070" spans="2:8" x14ac:dyDescent="0.2">
      <c r="B7070" s="3">
        <v>45079</v>
      </c>
      <c r="G7070" s="2">
        <f t="shared" si="110"/>
        <v>0</v>
      </c>
      <c r="H7070" t="s">
        <v>13</v>
      </c>
    </row>
    <row r="7071" spans="2:8" x14ac:dyDescent="0.2">
      <c r="B7071" s="3">
        <v>45079</v>
      </c>
      <c r="G7071" s="2">
        <f t="shared" si="110"/>
        <v>0</v>
      </c>
      <c r="H7071" t="s">
        <v>30</v>
      </c>
    </row>
    <row r="7072" spans="2:8" x14ac:dyDescent="0.2">
      <c r="B7072" s="3">
        <v>45079</v>
      </c>
      <c r="G7072" s="2">
        <f t="shared" si="110"/>
        <v>0</v>
      </c>
      <c r="H7072" t="s">
        <v>25</v>
      </c>
    </row>
    <row r="7073" spans="2:8" x14ac:dyDescent="0.2">
      <c r="B7073" s="3">
        <v>45079</v>
      </c>
      <c r="G7073" s="2">
        <f t="shared" si="110"/>
        <v>0</v>
      </c>
      <c r="H7073" t="s">
        <v>24</v>
      </c>
    </row>
    <row r="7074" spans="2:8" x14ac:dyDescent="0.2">
      <c r="B7074" s="3">
        <v>45079</v>
      </c>
      <c r="G7074" s="2">
        <f t="shared" si="110"/>
        <v>0</v>
      </c>
      <c r="H7074" t="s">
        <v>9</v>
      </c>
    </row>
    <row r="7075" spans="2:8" x14ac:dyDescent="0.2">
      <c r="B7075" s="3">
        <v>45079</v>
      </c>
      <c r="G7075" s="2">
        <f t="shared" si="110"/>
        <v>0</v>
      </c>
      <c r="H7075" t="s">
        <v>8</v>
      </c>
    </row>
    <row r="7076" spans="2:8" x14ac:dyDescent="0.2">
      <c r="B7076" s="3">
        <v>45079</v>
      </c>
      <c r="G7076" s="2">
        <f t="shared" si="110"/>
        <v>0</v>
      </c>
      <c r="H7076" t="s">
        <v>6</v>
      </c>
    </row>
    <row r="7077" spans="2:8" x14ac:dyDescent="0.2">
      <c r="B7077" s="3">
        <v>45079</v>
      </c>
      <c r="G7077" s="2">
        <f t="shared" si="110"/>
        <v>0</v>
      </c>
      <c r="H7077" t="s">
        <v>5</v>
      </c>
    </row>
    <row r="7078" spans="2:8" x14ac:dyDescent="0.2">
      <c r="B7078" s="3">
        <v>45079</v>
      </c>
      <c r="F7078" s="1">
        <v>370</v>
      </c>
      <c r="G7078" s="2">
        <f t="shared" si="110"/>
        <v>-370</v>
      </c>
      <c r="H7078" s="1" t="s">
        <v>78</v>
      </c>
    </row>
    <row r="7079" spans="2:8" x14ac:dyDescent="0.2">
      <c r="B7079" s="3">
        <v>45080</v>
      </c>
      <c r="G7079" s="2">
        <f t="shared" si="110"/>
        <v>0</v>
      </c>
      <c r="H7079" t="s">
        <v>14</v>
      </c>
    </row>
    <row r="7080" spans="2:8" x14ac:dyDescent="0.2">
      <c r="B7080" s="3">
        <v>45080</v>
      </c>
      <c r="G7080" s="2">
        <f t="shared" si="110"/>
        <v>0</v>
      </c>
      <c r="H7080" t="s">
        <v>27</v>
      </c>
    </row>
    <row r="7081" spans="2:8" x14ac:dyDescent="0.2">
      <c r="B7081" s="3">
        <v>45080</v>
      </c>
      <c r="G7081" s="2">
        <f t="shared" si="110"/>
        <v>0</v>
      </c>
      <c r="H7081" t="s">
        <v>13</v>
      </c>
    </row>
    <row r="7082" spans="2:8" x14ac:dyDescent="0.2">
      <c r="B7082" s="3">
        <v>45080</v>
      </c>
      <c r="G7082" s="2">
        <f t="shared" si="110"/>
        <v>0</v>
      </c>
      <c r="H7082" t="s">
        <v>30</v>
      </c>
    </row>
    <row r="7083" spans="2:8" x14ac:dyDescent="0.2">
      <c r="B7083" s="3">
        <v>45080</v>
      </c>
      <c r="G7083" s="2">
        <f t="shared" si="110"/>
        <v>0</v>
      </c>
      <c r="H7083" t="s">
        <v>25</v>
      </c>
    </row>
    <row r="7084" spans="2:8" x14ac:dyDescent="0.2">
      <c r="B7084" s="3">
        <v>45080</v>
      </c>
      <c r="G7084" s="2">
        <f t="shared" si="110"/>
        <v>0</v>
      </c>
      <c r="H7084" t="s">
        <v>24</v>
      </c>
    </row>
    <row r="7085" spans="2:8" x14ac:dyDescent="0.2">
      <c r="B7085" s="3">
        <v>45080</v>
      </c>
      <c r="G7085" s="2">
        <f t="shared" si="110"/>
        <v>0</v>
      </c>
      <c r="H7085" t="s">
        <v>9</v>
      </c>
    </row>
    <row r="7086" spans="2:8" x14ac:dyDescent="0.2">
      <c r="B7086" s="3">
        <v>45080</v>
      </c>
      <c r="G7086" s="2">
        <f t="shared" si="110"/>
        <v>0</v>
      </c>
      <c r="H7086" t="s">
        <v>8</v>
      </c>
    </row>
    <row r="7087" spans="2:8" x14ac:dyDescent="0.2">
      <c r="B7087" s="3">
        <v>45080</v>
      </c>
      <c r="G7087" s="2">
        <f t="shared" si="110"/>
        <v>0</v>
      </c>
      <c r="H7087" t="s">
        <v>6</v>
      </c>
    </row>
    <row r="7088" spans="2:8" x14ac:dyDescent="0.2">
      <c r="B7088" s="3">
        <v>45080</v>
      </c>
      <c r="F7088" s="1">
        <v>2000</v>
      </c>
      <c r="G7088" s="2">
        <f t="shared" si="110"/>
        <v>-2000</v>
      </c>
      <c r="H7088" t="s">
        <v>5</v>
      </c>
    </row>
    <row r="7089" spans="2:8" x14ac:dyDescent="0.2">
      <c r="B7089" s="3">
        <v>45080</v>
      </c>
      <c r="G7089" s="2">
        <f t="shared" si="110"/>
        <v>0</v>
      </c>
      <c r="H7089" s="1"/>
    </row>
    <row r="7090" spans="2:8" x14ac:dyDescent="0.2">
      <c r="B7090" s="3">
        <v>45081</v>
      </c>
      <c r="D7090" s="1">
        <v>5060</v>
      </c>
      <c r="E7090" s="1">
        <v>5500</v>
      </c>
      <c r="G7090" s="2">
        <f t="shared" si="110"/>
        <v>5500</v>
      </c>
      <c r="H7090" t="s">
        <v>14</v>
      </c>
    </row>
    <row r="7091" spans="2:8" x14ac:dyDescent="0.2">
      <c r="B7091" s="3">
        <v>45081</v>
      </c>
      <c r="G7091" s="2">
        <f t="shared" si="110"/>
        <v>0</v>
      </c>
      <c r="H7091" t="s">
        <v>27</v>
      </c>
    </row>
    <row r="7092" spans="2:8" x14ac:dyDescent="0.2">
      <c r="B7092" s="3">
        <v>45081</v>
      </c>
      <c r="G7092" s="2">
        <f t="shared" si="110"/>
        <v>0</v>
      </c>
      <c r="H7092" t="s">
        <v>13</v>
      </c>
    </row>
    <row r="7093" spans="2:8" x14ac:dyDescent="0.2">
      <c r="B7093" s="3">
        <v>45081</v>
      </c>
      <c r="G7093" s="2">
        <f t="shared" si="110"/>
        <v>0</v>
      </c>
      <c r="H7093" t="s">
        <v>30</v>
      </c>
    </row>
    <row r="7094" spans="2:8" x14ac:dyDescent="0.2">
      <c r="B7094" s="3">
        <v>45081</v>
      </c>
      <c r="G7094" s="2">
        <f t="shared" si="110"/>
        <v>0</v>
      </c>
      <c r="H7094" t="s">
        <v>25</v>
      </c>
    </row>
    <row r="7095" spans="2:8" x14ac:dyDescent="0.2">
      <c r="B7095" s="3">
        <v>45081</v>
      </c>
      <c r="G7095" s="2">
        <f t="shared" si="110"/>
        <v>0</v>
      </c>
      <c r="H7095" t="s">
        <v>24</v>
      </c>
    </row>
    <row r="7096" spans="2:8" x14ac:dyDescent="0.2">
      <c r="B7096" s="3">
        <v>45081</v>
      </c>
      <c r="G7096" s="2">
        <f t="shared" si="110"/>
        <v>0</v>
      </c>
      <c r="H7096" t="s">
        <v>9</v>
      </c>
    </row>
    <row r="7097" spans="2:8" x14ac:dyDescent="0.2">
      <c r="B7097" s="3">
        <v>45081</v>
      </c>
      <c r="F7097" s="1">
        <v>20000</v>
      </c>
      <c r="G7097" s="2">
        <f t="shared" si="110"/>
        <v>-20000</v>
      </c>
      <c r="H7097" t="s">
        <v>8</v>
      </c>
    </row>
    <row r="7098" spans="2:8" x14ac:dyDescent="0.2">
      <c r="B7098" s="3">
        <v>45081</v>
      </c>
      <c r="F7098" s="1">
        <v>3000</v>
      </c>
      <c r="G7098" s="2">
        <f t="shared" si="110"/>
        <v>-3000</v>
      </c>
      <c r="H7098" t="s">
        <v>6</v>
      </c>
    </row>
    <row r="7099" spans="2:8" x14ac:dyDescent="0.2">
      <c r="B7099" s="3">
        <v>45081</v>
      </c>
      <c r="G7099" s="2">
        <f t="shared" si="110"/>
        <v>0</v>
      </c>
      <c r="H7099" t="s">
        <v>5</v>
      </c>
    </row>
    <row r="7100" spans="2:8" x14ac:dyDescent="0.2">
      <c r="B7100" s="3">
        <v>45081</v>
      </c>
      <c r="G7100" s="2">
        <f t="shared" si="110"/>
        <v>0</v>
      </c>
      <c r="H7100" s="1"/>
    </row>
    <row r="7101" spans="2:8" x14ac:dyDescent="0.2">
      <c r="B7101" s="3">
        <v>45082</v>
      </c>
      <c r="D7101" s="1">
        <v>4785</v>
      </c>
      <c r="E7101" s="1">
        <v>5310</v>
      </c>
      <c r="G7101" s="2">
        <f t="shared" si="110"/>
        <v>5310</v>
      </c>
      <c r="H7101" t="s">
        <v>14</v>
      </c>
    </row>
    <row r="7102" spans="2:8" x14ac:dyDescent="0.2">
      <c r="B7102" s="3">
        <v>45082</v>
      </c>
      <c r="G7102" s="2">
        <f t="shared" si="110"/>
        <v>0</v>
      </c>
      <c r="H7102" t="s">
        <v>27</v>
      </c>
    </row>
    <row r="7103" spans="2:8" x14ac:dyDescent="0.2">
      <c r="B7103" s="3">
        <v>45082</v>
      </c>
      <c r="G7103" s="2">
        <f t="shared" si="110"/>
        <v>0</v>
      </c>
      <c r="H7103" t="s">
        <v>13</v>
      </c>
    </row>
    <row r="7104" spans="2:8" x14ac:dyDescent="0.2">
      <c r="B7104" s="3">
        <v>45082</v>
      </c>
      <c r="G7104" s="2">
        <f t="shared" si="110"/>
        <v>0</v>
      </c>
      <c r="H7104" t="s">
        <v>30</v>
      </c>
    </row>
    <row r="7105" spans="2:8" x14ac:dyDescent="0.2">
      <c r="B7105" s="3">
        <v>45082</v>
      </c>
      <c r="G7105" s="2">
        <f t="shared" si="110"/>
        <v>0</v>
      </c>
      <c r="H7105" t="s">
        <v>25</v>
      </c>
    </row>
    <row r="7106" spans="2:8" x14ac:dyDescent="0.2">
      <c r="B7106" s="3">
        <v>45082</v>
      </c>
      <c r="D7106" s="1">
        <v>2186.85</v>
      </c>
      <c r="E7106" s="1">
        <v>2451.5</v>
      </c>
      <c r="F7106" s="1">
        <v>1000</v>
      </c>
      <c r="G7106" s="2">
        <f t="shared" si="110"/>
        <v>1451.5</v>
      </c>
      <c r="H7106" t="s">
        <v>24</v>
      </c>
    </row>
    <row r="7107" spans="2:8" x14ac:dyDescent="0.2">
      <c r="B7107" s="3">
        <v>45082</v>
      </c>
      <c r="G7107" s="2">
        <f t="shared" ref="G7107:G7170" si="111">E7107-F7107</f>
        <v>0</v>
      </c>
      <c r="H7107" t="s">
        <v>9</v>
      </c>
    </row>
    <row r="7108" spans="2:8" x14ac:dyDescent="0.2">
      <c r="B7108" s="3">
        <v>45082</v>
      </c>
      <c r="D7108" s="1">
        <v>3160</v>
      </c>
      <c r="E7108" s="1">
        <v>3400</v>
      </c>
      <c r="G7108" s="2">
        <f t="shared" si="111"/>
        <v>3400</v>
      </c>
      <c r="H7108" t="s">
        <v>8</v>
      </c>
    </row>
    <row r="7109" spans="2:8" x14ac:dyDescent="0.2">
      <c r="B7109" s="3">
        <v>45082</v>
      </c>
      <c r="G7109" s="2">
        <f t="shared" si="111"/>
        <v>0</v>
      </c>
      <c r="H7109" t="s">
        <v>6</v>
      </c>
    </row>
    <row r="7110" spans="2:8" x14ac:dyDescent="0.2">
      <c r="B7110" s="3">
        <v>45082</v>
      </c>
      <c r="G7110" s="2">
        <f t="shared" si="111"/>
        <v>0</v>
      </c>
      <c r="H7110" t="s">
        <v>5</v>
      </c>
    </row>
    <row r="7111" spans="2:8" x14ac:dyDescent="0.2">
      <c r="B7111" s="3">
        <v>45082</v>
      </c>
      <c r="D7111" s="1">
        <v>1300</v>
      </c>
      <c r="E7111" s="1">
        <v>1500</v>
      </c>
      <c r="G7111" s="2">
        <f t="shared" si="111"/>
        <v>1500</v>
      </c>
      <c r="H7111" s="1" t="s">
        <v>81</v>
      </c>
    </row>
    <row r="7112" spans="2:8" x14ac:dyDescent="0.2">
      <c r="B7112" s="3">
        <v>45083</v>
      </c>
      <c r="G7112" s="2">
        <f t="shared" si="111"/>
        <v>0</v>
      </c>
      <c r="H7112" t="s">
        <v>14</v>
      </c>
    </row>
    <row r="7113" spans="2:8" x14ac:dyDescent="0.2">
      <c r="B7113" s="3">
        <v>45083</v>
      </c>
      <c r="G7113" s="2">
        <f t="shared" si="111"/>
        <v>0</v>
      </c>
      <c r="H7113" t="s">
        <v>27</v>
      </c>
    </row>
    <row r="7114" spans="2:8" x14ac:dyDescent="0.2">
      <c r="B7114" s="3">
        <v>45083</v>
      </c>
      <c r="D7114" s="1">
        <v>10328</v>
      </c>
      <c r="E7114" s="1">
        <v>11878.75</v>
      </c>
      <c r="G7114" s="2">
        <f t="shared" si="111"/>
        <v>11878.75</v>
      </c>
      <c r="H7114" t="s">
        <v>13</v>
      </c>
    </row>
    <row r="7115" spans="2:8" x14ac:dyDescent="0.2">
      <c r="B7115" s="3">
        <v>45083</v>
      </c>
      <c r="G7115" s="2">
        <f t="shared" si="111"/>
        <v>0</v>
      </c>
      <c r="H7115" t="s">
        <v>30</v>
      </c>
    </row>
    <row r="7116" spans="2:8" x14ac:dyDescent="0.2">
      <c r="B7116" s="3">
        <v>45083</v>
      </c>
      <c r="G7116" s="2">
        <f t="shared" si="111"/>
        <v>0</v>
      </c>
      <c r="H7116" t="s">
        <v>25</v>
      </c>
    </row>
    <row r="7117" spans="2:8" x14ac:dyDescent="0.2">
      <c r="B7117" s="3">
        <v>45083</v>
      </c>
      <c r="F7117" s="1">
        <v>3000</v>
      </c>
      <c r="G7117" s="2">
        <f t="shared" si="111"/>
        <v>-3000</v>
      </c>
      <c r="H7117" t="s">
        <v>24</v>
      </c>
    </row>
    <row r="7118" spans="2:8" x14ac:dyDescent="0.2">
      <c r="B7118" s="3">
        <v>45083</v>
      </c>
      <c r="G7118" s="2">
        <f t="shared" si="111"/>
        <v>0</v>
      </c>
      <c r="H7118" t="s">
        <v>9</v>
      </c>
    </row>
    <row r="7119" spans="2:8" x14ac:dyDescent="0.2">
      <c r="B7119" s="3">
        <v>45083</v>
      </c>
      <c r="G7119" s="2">
        <f t="shared" si="111"/>
        <v>0</v>
      </c>
      <c r="H7119" t="s">
        <v>8</v>
      </c>
    </row>
    <row r="7120" spans="2:8" x14ac:dyDescent="0.2">
      <c r="B7120" s="3">
        <v>45083</v>
      </c>
      <c r="G7120" s="2">
        <f t="shared" si="111"/>
        <v>0</v>
      </c>
      <c r="H7120" t="s">
        <v>6</v>
      </c>
    </row>
    <row r="7121" spans="2:8" x14ac:dyDescent="0.2">
      <c r="B7121" s="3">
        <v>45083</v>
      </c>
      <c r="G7121" s="2">
        <f t="shared" si="111"/>
        <v>0</v>
      </c>
      <c r="H7121" t="s">
        <v>5</v>
      </c>
    </row>
    <row r="7122" spans="2:8" x14ac:dyDescent="0.2">
      <c r="B7122" s="3">
        <v>45083</v>
      </c>
      <c r="G7122" s="2">
        <f t="shared" si="111"/>
        <v>0</v>
      </c>
      <c r="H7122" s="1"/>
    </row>
    <row r="7123" spans="2:8" x14ac:dyDescent="0.2">
      <c r="B7123" s="3">
        <v>45084</v>
      </c>
      <c r="G7123" s="2">
        <f t="shared" si="111"/>
        <v>0</v>
      </c>
      <c r="H7123" t="s">
        <v>14</v>
      </c>
    </row>
    <row r="7124" spans="2:8" x14ac:dyDescent="0.2">
      <c r="B7124" s="3">
        <v>45084</v>
      </c>
      <c r="G7124" s="2">
        <f t="shared" si="111"/>
        <v>0</v>
      </c>
      <c r="H7124" t="s">
        <v>27</v>
      </c>
    </row>
    <row r="7125" spans="2:8" x14ac:dyDescent="0.2">
      <c r="B7125" s="3">
        <v>45084</v>
      </c>
      <c r="G7125" s="2">
        <f t="shared" si="111"/>
        <v>0</v>
      </c>
      <c r="H7125" t="s">
        <v>13</v>
      </c>
    </row>
    <row r="7126" spans="2:8" x14ac:dyDescent="0.2">
      <c r="B7126" s="3">
        <v>45084</v>
      </c>
      <c r="G7126" s="2">
        <f t="shared" si="111"/>
        <v>0</v>
      </c>
      <c r="H7126" t="s">
        <v>30</v>
      </c>
    </row>
    <row r="7127" spans="2:8" x14ac:dyDescent="0.2">
      <c r="B7127" s="3">
        <v>45084</v>
      </c>
      <c r="G7127" s="2">
        <f t="shared" si="111"/>
        <v>0</v>
      </c>
      <c r="H7127" t="s">
        <v>25</v>
      </c>
    </row>
    <row r="7128" spans="2:8" x14ac:dyDescent="0.2">
      <c r="B7128" s="3">
        <v>45084</v>
      </c>
      <c r="G7128" s="2">
        <f t="shared" si="111"/>
        <v>0</v>
      </c>
      <c r="H7128" t="s">
        <v>24</v>
      </c>
    </row>
    <row r="7129" spans="2:8" x14ac:dyDescent="0.2">
      <c r="B7129" s="3">
        <v>45084</v>
      </c>
      <c r="G7129" s="2">
        <f t="shared" si="111"/>
        <v>0</v>
      </c>
      <c r="H7129" t="s">
        <v>9</v>
      </c>
    </row>
    <row r="7130" spans="2:8" x14ac:dyDescent="0.2">
      <c r="B7130" s="3">
        <v>45084</v>
      </c>
      <c r="G7130" s="2">
        <f t="shared" si="111"/>
        <v>0</v>
      </c>
      <c r="H7130" t="s">
        <v>8</v>
      </c>
    </row>
    <row r="7131" spans="2:8" x14ac:dyDescent="0.2">
      <c r="B7131" s="3">
        <v>45084</v>
      </c>
      <c r="G7131" s="2">
        <f t="shared" si="111"/>
        <v>0</v>
      </c>
      <c r="H7131" t="s">
        <v>6</v>
      </c>
    </row>
    <row r="7132" spans="2:8" x14ac:dyDescent="0.2">
      <c r="B7132" s="3">
        <v>45084</v>
      </c>
      <c r="G7132" s="2">
        <f t="shared" si="111"/>
        <v>0</v>
      </c>
      <c r="H7132" t="s">
        <v>5</v>
      </c>
    </row>
    <row r="7133" spans="2:8" x14ac:dyDescent="0.2">
      <c r="B7133" s="3">
        <v>45084</v>
      </c>
      <c r="G7133" s="2">
        <f t="shared" si="111"/>
        <v>0</v>
      </c>
      <c r="H7133" s="1"/>
    </row>
    <row r="7134" spans="2:8" x14ac:dyDescent="0.2">
      <c r="B7134" s="3">
        <v>45085</v>
      </c>
      <c r="D7134" s="1">
        <v>3200</v>
      </c>
      <c r="E7134" s="1">
        <v>3750</v>
      </c>
      <c r="F7134" s="1">
        <v>5000</v>
      </c>
      <c r="G7134" s="2">
        <f t="shared" si="111"/>
        <v>-1250</v>
      </c>
      <c r="H7134" t="s">
        <v>14</v>
      </c>
    </row>
    <row r="7135" spans="2:8" x14ac:dyDescent="0.2">
      <c r="B7135" s="3">
        <v>45085</v>
      </c>
      <c r="F7135" s="1">
        <v>3000</v>
      </c>
      <c r="G7135" s="2">
        <f t="shared" si="111"/>
        <v>-3000</v>
      </c>
      <c r="H7135" t="s">
        <v>27</v>
      </c>
    </row>
    <row r="7136" spans="2:8" x14ac:dyDescent="0.2">
      <c r="B7136" s="3">
        <v>45085</v>
      </c>
      <c r="F7136" s="1">
        <v>3000</v>
      </c>
      <c r="G7136" s="2">
        <f t="shared" si="111"/>
        <v>-3000</v>
      </c>
      <c r="H7136" t="s">
        <v>13</v>
      </c>
    </row>
    <row r="7137" spans="2:8" x14ac:dyDescent="0.2">
      <c r="B7137" s="3">
        <v>45085</v>
      </c>
      <c r="G7137" s="2">
        <f t="shared" si="111"/>
        <v>0</v>
      </c>
      <c r="H7137" t="s">
        <v>30</v>
      </c>
    </row>
    <row r="7138" spans="2:8" x14ac:dyDescent="0.2">
      <c r="B7138" s="3">
        <v>45085</v>
      </c>
      <c r="G7138" s="2">
        <f t="shared" si="111"/>
        <v>0</v>
      </c>
      <c r="H7138" t="s">
        <v>25</v>
      </c>
    </row>
    <row r="7139" spans="2:8" x14ac:dyDescent="0.2">
      <c r="B7139" s="3">
        <v>45085</v>
      </c>
      <c r="D7139" s="1">
        <v>1617</v>
      </c>
      <c r="E7139" s="1">
        <v>1788</v>
      </c>
      <c r="G7139" s="2">
        <f t="shared" si="111"/>
        <v>1788</v>
      </c>
      <c r="H7139" t="s">
        <v>24</v>
      </c>
    </row>
    <row r="7140" spans="2:8" x14ac:dyDescent="0.2">
      <c r="B7140" s="3">
        <v>45085</v>
      </c>
      <c r="G7140" s="2">
        <f t="shared" si="111"/>
        <v>0</v>
      </c>
      <c r="H7140" t="s">
        <v>9</v>
      </c>
    </row>
    <row r="7141" spans="2:8" x14ac:dyDescent="0.2">
      <c r="B7141" s="3">
        <v>45085</v>
      </c>
      <c r="G7141" s="2">
        <f t="shared" si="111"/>
        <v>0</v>
      </c>
      <c r="H7141" t="s">
        <v>8</v>
      </c>
    </row>
    <row r="7142" spans="2:8" x14ac:dyDescent="0.2">
      <c r="B7142" s="3">
        <v>45085</v>
      </c>
      <c r="G7142" s="2">
        <f t="shared" si="111"/>
        <v>0</v>
      </c>
      <c r="H7142" t="s">
        <v>6</v>
      </c>
    </row>
    <row r="7143" spans="2:8" x14ac:dyDescent="0.2">
      <c r="B7143" s="3">
        <v>45085</v>
      </c>
      <c r="G7143" s="2">
        <f t="shared" si="111"/>
        <v>0</v>
      </c>
      <c r="H7143" t="s">
        <v>5</v>
      </c>
    </row>
    <row r="7144" spans="2:8" x14ac:dyDescent="0.2">
      <c r="B7144" s="3">
        <v>45085</v>
      </c>
      <c r="G7144" s="2">
        <f t="shared" si="111"/>
        <v>0</v>
      </c>
      <c r="H7144" s="1"/>
    </row>
    <row r="7145" spans="2:8" x14ac:dyDescent="0.2">
      <c r="B7145" s="3">
        <v>45086</v>
      </c>
      <c r="G7145" s="2">
        <f t="shared" si="111"/>
        <v>0</v>
      </c>
      <c r="H7145" t="s">
        <v>14</v>
      </c>
    </row>
    <row r="7146" spans="2:8" x14ac:dyDescent="0.2">
      <c r="B7146" s="3">
        <v>45086</v>
      </c>
      <c r="G7146" s="2">
        <f t="shared" si="111"/>
        <v>0</v>
      </c>
      <c r="H7146" t="s">
        <v>27</v>
      </c>
    </row>
    <row r="7147" spans="2:8" x14ac:dyDescent="0.2">
      <c r="B7147" s="3">
        <v>45086</v>
      </c>
      <c r="G7147" s="2">
        <f t="shared" si="111"/>
        <v>0</v>
      </c>
      <c r="H7147" t="s">
        <v>13</v>
      </c>
    </row>
    <row r="7148" spans="2:8" x14ac:dyDescent="0.2">
      <c r="B7148" s="3">
        <v>45086</v>
      </c>
      <c r="G7148" s="2">
        <f t="shared" si="111"/>
        <v>0</v>
      </c>
      <c r="H7148" t="s">
        <v>30</v>
      </c>
    </row>
    <row r="7149" spans="2:8" x14ac:dyDescent="0.2">
      <c r="B7149" s="3">
        <v>45086</v>
      </c>
      <c r="G7149" s="2">
        <f t="shared" si="111"/>
        <v>0</v>
      </c>
      <c r="H7149" t="s">
        <v>25</v>
      </c>
    </row>
    <row r="7150" spans="2:8" x14ac:dyDescent="0.2">
      <c r="B7150" s="3">
        <v>45086</v>
      </c>
      <c r="G7150" s="2">
        <f t="shared" si="111"/>
        <v>0</v>
      </c>
      <c r="H7150" t="s">
        <v>24</v>
      </c>
    </row>
    <row r="7151" spans="2:8" x14ac:dyDescent="0.2">
      <c r="B7151" s="3">
        <v>45086</v>
      </c>
      <c r="G7151" s="2">
        <f t="shared" si="111"/>
        <v>0</v>
      </c>
      <c r="H7151" t="s">
        <v>9</v>
      </c>
    </row>
    <row r="7152" spans="2:8" x14ac:dyDescent="0.2">
      <c r="B7152" s="3">
        <v>45086</v>
      </c>
      <c r="G7152" s="2">
        <f t="shared" si="111"/>
        <v>0</v>
      </c>
      <c r="H7152" t="s">
        <v>8</v>
      </c>
    </row>
    <row r="7153" spans="2:8" x14ac:dyDescent="0.2">
      <c r="B7153" s="3">
        <v>45086</v>
      </c>
      <c r="G7153" s="2">
        <f t="shared" si="111"/>
        <v>0</v>
      </c>
      <c r="H7153" t="s">
        <v>6</v>
      </c>
    </row>
    <row r="7154" spans="2:8" x14ac:dyDescent="0.2">
      <c r="B7154" s="3">
        <v>45086</v>
      </c>
      <c r="G7154" s="2">
        <f t="shared" si="111"/>
        <v>0</v>
      </c>
      <c r="H7154" t="s">
        <v>5</v>
      </c>
    </row>
    <row r="7155" spans="2:8" x14ac:dyDescent="0.2">
      <c r="B7155" s="3">
        <v>45086</v>
      </c>
      <c r="G7155" s="2">
        <f t="shared" si="111"/>
        <v>0</v>
      </c>
      <c r="H7155" s="1"/>
    </row>
    <row r="7156" spans="2:8" x14ac:dyDescent="0.2">
      <c r="B7156" s="3">
        <v>45087</v>
      </c>
      <c r="G7156" s="2">
        <f t="shared" si="111"/>
        <v>0</v>
      </c>
      <c r="H7156" t="s">
        <v>14</v>
      </c>
    </row>
    <row r="7157" spans="2:8" x14ac:dyDescent="0.2">
      <c r="B7157" s="3">
        <v>45087</v>
      </c>
      <c r="G7157" s="2">
        <f t="shared" si="111"/>
        <v>0</v>
      </c>
      <c r="H7157" t="s">
        <v>27</v>
      </c>
    </row>
    <row r="7158" spans="2:8" x14ac:dyDescent="0.2">
      <c r="B7158" s="3">
        <v>45087</v>
      </c>
      <c r="G7158" s="2">
        <f t="shared" si="111"/>
        <v>0</v>
      </c>
      <c r="H7158" t="s">
        <v>13</v>
      </c>
    </row>
    <row r="7159" spans="2:8" x14ac:dyDescent="0.2">
      <c r="B7159" s="3">
        <v>45087</v>
      </c>
      <c r="G7159" s="2">
        <f t="shared" si="111"/>
        <v>0</v>
      </c>
      <c r="H7159" t="s">
        <v>30</v>
      </c>
    </row>
    <row r="7160" spans="2:8" x14ac:dyDescent="0.2">
      <c r="B7160" s="3">
        <v>45087</v>
      </c>
      <c r="G7160" s="2">
        <f t="shared" si="111"/>
        <v>0</v>
      </c>
      <c r="H7160" t="s">
        <v>25</v>
      </c>
    </row>
    <row r="7161" spans="2:8" x14ac:dyDescent="0.2">
      <c r="B7161" s="3">
        <v>45087</v>
      </c>
      <c r="G7161" s="2">
        <f t="shared" si="111"/>
        <v>0</v>
      </c>
      <c r="H7161" t="s">
        <v>24</v>
      </c>
    </row>
    <row r="7162" spans="2:8" x14ac:dyDescent="0.2">
      <c r="B7162" s="3">
        <v>45087</v>
      </c>
      <c r="G7162" s="2">
        <f t="shared" si="111"/>
        <v>0</v>
      </c>
      <c r="H7162" t="s">
        <v>9</v>
      </c>
    </row>
    <row r="7163" spans="2:8" x14ac:dyDescent="0.2">
      <c r="B7163" s="3">
        <v>45087</v>
      </c>
      <c r="G7163" s="2">
        <f t="shared" si="111"/>
        <v>0</v>
      </c>
      <c r="H7163" t="s">
        <v>8</v>
      </c>
    </row>
    <row r="7164" spans="2:8" x14ac:dyDescent="0.2">
      <c r="B7164" s="3">
        <v>45087</v>
      </c>
      <c r="G7164" s="2">
        <f t="shared" si="111"/>
        <v>0</v>
      </c>
      <c r="H7164" t="s">
        <v>6</v>
      </c>
    </row>
    <row r="7165" spans="2:8" x14ac:dyDescent="0.2">
      <c r="B7165" s="3">
        <v>45087</v>
      </c>
      <c r="G7165" s="2">
        <f t="shared" si="111"/>
        <v>0</v>
      </c>
      <c r="H7165" t="s">
        <v>5</v>
      </c>
    </row>
    <row r="7166" spans="2:8" x14ac:dyDescent="0.2">
      <c r="B7166" s="3">
        <v>45087</v>
      </c>
      <c r="G7166" s="2">
        <f t="shared" si="111"/>
        <v>0</v>
      </c>
      <c r="H7166" s="1"/>
    </row>
    <row r="7167" spans="2:8" x14ac:dyDescent="0.2">
      <c r="B7167" s="3">
        <v>45088</v>
      </c>
      <c r="G7167" s="2">
        <f t="shared" si="111"/>
        <v>0</v>
      </c>
      <c r="H7167" t="s">
        <v>14</v>
      </c>
    </row>
    <row r="7168" spans="2:8" x14ac:dyDescent="0.2">
      <c r="B7168" s="3">
        <v>45088</v>
      </c>
      <c r="G7168" s="2">
        <f t="shared" si="111"/>
        <v>0</v>
      </c>
      <c r="H7168" t="s">
        <v>27</v>
      </c>
    </row>
    <row r="7169" spans="2:8" x14ac:dyDescent="0.2">
      <c r="B7169" s="3">
        <v>45088</v>
      </c>
      <c r="F7169" s="1">
        <v>5000</v>
      </c>
      <c r="G7169" s="2">
        <f t="shared" si="111"/>
        <v>-5000</v>
      </c>
      <c r="H7169" t="s">
        <v>13</v>
      </c>
    </row>
    <row r="7170" spans="2:8" x14ac:dyDescent="0.2">
      <c r="B7170" s="3">
        <v>45088</v>
      </c>
      <c r="G7170" s="2">
        <f t="shared" si="111"/>
        <v>0</v>
      </c>
      <c r="H7170" t="s">
        <v>30</v>
      </c>
    </row>
    <row r="7171" spans="2:8" x14ac:dyDescent="0.2">
      <c r="B7171" s="3">
        <v>45088</v>
      </c>
      <c r="G7171" s="2">
        <f t="shared" ref="G7171:G7234" si="112">E7171-F7171</f>
        <v>0</v>
      </c>
      <c r="H7171" t="s">
        <v>25</v>
      </c>
    </row>
    <row r="7172" spans="2:8" x14ac:dyDescent="0.2">
      <c r="B7172" s="3">
        <v>45088</v>
      </c>
      <c r="G7172" s="2">
        <f t="shared" si="112"/>
        <v>0</v>
      </c>
      <c r="H7172" t="s">
        <v>24</v>
      </c>
    </row>
    <row r="7173" spans="2:8" x14ac:dyDescent="0.2">
      <c r="B7173" s="3">
        <v>45088</v>
      </c>
      <c r="G7173" s="2">
        <f t="shared" si="112"/>
        <v>0</v>
      </c>
      <c r="H7173" t="s">
        <v>9</v>
      </c>
    </row>
    <row r="7174" spans="2:8" x14ac:dyDescent="0.2">
      <c r="B7174" s="3">
        <v>45088</v>
      </c>
      <c r="G7174" s="2">
        <f t="shared" si="112"/>
        <v>0</v>
      </c>
      <c r="H7174" t="s">
        <v>8</v>
      </c>
    </row>
    <row r="7175" spans="2:8" x14ac:dyDescent="0.2">
      <c r="B7175" s="3">
        <v>45088</v>
      </c>
      <c r="G7175" s="2">
        <f t="shared" si="112"/>
        <v>0</v>
      </c>
      <c r="H7175" t="s">
        <v>6</v>
      </c>
    </row>
    <row r="7176" spans="2:8" x14ac:dyDescent="0.2">
      <c r="B7176" s="3">
        <v>45088</v>
      </c>
      <c r="G7176" s="2">
        <f t="shared" si="112"/>
        <v>0</v>
      </c>
      <c r="H7176" t="s">
        <v>5</v>
      </c>
    </row>
    <row r="7177" spans="2:8" x14ac:dyDescent="0.2">
      <c r="B7177" s="3">
        <v>45088</v>
      </c>
      <c r="G7177" s="2">
        <f t="shared" si="112"/>
        <v>0</v>
      </c>
      <c r="H7177" s="1"/>
    </row>
    <row r="7178" spans="2:8" x14ac:dyDescent="0.2">
      <c r="B7178" s="3">
        <v>45089</v>
      </c>
      <c r="G7178" s="2">
        <f t="shared" si="112"/>
        <v>0</v>
      </c>
      <c r="H7178" t="s">
        <v>14</v>
      </c>
    </row>
    <row r="7179" spans="2:8" x14ac:dyDescent="0.2">
      <c r="B7179" s="3">
        <v>45089</v>
      </c>
      <c r="G7179" s="2">
        <f t="shared" si="112"/>
        <v>0</v>
      </c>
      <c r="H7179" t="s">
        <v>27</v>
      </c>
    </row>
    <row r="7180" spans="2:8" x14ac:dyDescent="0.2">
      <c r="B7180" s="3">
        <v>45089</v>
      </c>
      <c r="G7180" s="2">
        <f t="shared" si="112"/>
        <v>0</v>
      </c>
      <c r="H7180" t="s">
        <v>13</v>
      </c>
    </row>
    <row r="7181" spans="2:8" x14ac:dyDescent="0.2">
      <c r="B7181" s="3">
        <v>45089</v>
      </c>
      <c r="G7181" s="2">
        <f t="shared" si="112"/>
        <v>0</v>
      </c>
      <c r="H7181" t="s">
        <v>30</v>
      </c>
    </row>
    <row r="7182" spans="2:8" x14ac:dyDescent="0.2">
      <c r="B7182" s="3">
        <v>45089</v>
      </c>
      <c r="G7182" s="2">
        <f t="shared" si="112"/>
        <v>0</v>
      </c>
      <c r="H7182" t="s">
        <v>25</v>
      </c>
    </row>
    <row r="7183" spans="2:8" x14ac:dyDescent="0.2">
      <c r="B7183" s="3">
        <v>45089</v>
      </c>
      <c r="G7183" s="2">
        <f t="shared" si="112"/>
        <v>0</v>
      </c>
      <c r="H7183" t="s">
        <v>24</v>
      </c>
    </row>
    <row r="7184" spans="2:8" x14ac:dyDescent="0.2">
      <c r="B7184" s="3">
        <v>45089</v>
      </c>
      <c r="G7184" s="2">
        <f t="shared" si="112"/>
        <v>0</v>
      </c>
      <c r="H7184" t="s">
        <v>9</v>
      </c>
    </row>
    <row r="7185" spans="2:8" x14ac:dyDescent="0.2">
      <c r="B7185" s="3">
        <v>45089</v>
      </c>
      <c r="G7185" s="2">
        <f t="shared" si="112"/>
        <v>0</v>
      </c>
      <c r="H7185" t="s">
        <v>8</v>
      </c>
    </row>
    <row r="7186" spans="2:8" x14ac:dyDescent="0.2">
      <c r="B7186" s="3">
        <v>45089</v>
      </c>
      <c r="D7186" s="1">
        <v>1450</v>
      </c>
      <c r="E7186" s="1">
        <v>1900</v>
      </c>
      <c r="F7186" s="1">
        <v>3000</v>
      </c>
      <c r="G7186" s="2">
        <f t="shared" si="112"/>
        <v>-1100</v>
      </c>
      <c r="H7186" t="s">
        <v>6</v>
      </c>
    </row>
    <row r="7187" spans="2:8" x14ac:dyDescent="0.2">
      <c r="B7187" s="3">
        <v>45089</v>
      </c>
      <c r="G7187" s="2">
        <f t="shared" si="112"/>
        <v>0</v>
      </c>
      <c r="H7187" t="s">
        <v>5</v>
      </c>
    </row>
    <row r="7188" spans="2:8" x14ac:dyDescent="0.2">
      <c r="B7188" s="3">
        <v>45089</v>
      </c>
      <c r="G7188" s="2">
        <f t="shared" si="112"/>
        <v>0</v>
      </c>
      <c r="H7188" s="1"/>
    </row>
    <row r="7189" spans="2:8" x14ac:dyDescent="0.2">
      <c r="B7189" s="3">
        <v>45090</v>
      </c>
      <c r="D7189" s="1">
        <v>10600</v>
      </c>
      <c r="E7189" s="1">
        <v>11700</v>
      </c>
      <c r="G7189" s="2">
        <f t="shared" si="112"/>
        <v>11700</v>
      </c>
      <c r="H7189" t="s">
        <v>14</v>
      </c>
    </row>
    <row r="7190" spans="2:8" x14ac:dyDescent="0.2">
      <c r="B7190" s="3">
        <v>45090</v>
      </c>
      <c r="D7190" s="1">
        <v>5286</v>
      </c>
      <c r="E7190" s="1">
        <v>7220</v>
      </c>
      <c r="G7190" s="2">
        <f t="shared" si="112"/>
        <v>7220</v>
      </c>
      <c r="H7190" t="s">
        <v>27</v>
      </c>
    </row>
    <row r="7191" spans="2:8" x14ac:dyDescent="0.2">
      <c r="B7191" s="3">
        <v>45090</v>
      </c>
      <c r="G7191" s="2">
        <f t="shared" si="112"/>
        <v>0</v>
      </c>
      <c r="H7191" t="s">
        <v>13</v>
      </c>
    </row>
    <row r="7192" spans="2:8" x14ac:dyDescent="0.2">
      <c r="B7192" s="3">
        <v>45090</v>
      </c>
      <c r="G7192" s="2">
        <f t="shared" si="112"/>
        <v>0</v>
      </c>
      <c r="H7192" t="s">
        <v>30</v>
      </c>
    </row>
    <row r="7193" spans="2:8" x14ac:dyDescent="0.2">
      <c r="B7193" s="3">
        <v>45090</v>
      </c>
      <c r="G7193" s="2">
        <f t="shared" si="112"/>
        <v>0</v>
      </c>
      <c r="H7193" t="s">
        <v>25</v>
      </c>
    </row>
    <row r="7194" spans="2:8" x14ac:dyDescent="0.2">
      <c r="B7194" s="3">
        <v>45090</v>
      </c>
      <c r="G7194" s="2">
        <f t="shared" si="112"/>
        <v>0</v>
      </c>
      <c r="H7194" t="s">
        <v>24</v>
      </c>
    </row>
    <row r="7195" spans="2:8" x14ac:dyDescent="0.2">
      <c r="B7195" s="3">
        <v>45090</v>
      </c>
      <c r="G7195" s="2">
        <f t="shared" si="112"/>
        <v>0</v>
      </c>
      <c r="H7195" t="s">
        <v>9</v>
      </c>
    </row>
    <row r="7196" spans="2:8" x14ac:dyDescent="0.2">
      <c r="B7196" s="3">
        <v>45090</v>
      </c>
      <c r="F7196" s="1">
        <v>20000</v>
      </c>
      <c r="G7196" s="2">
        <f t="shared" si="112"/>
        <v>-20000</v>
      </c>
      <c r="H7196" t="s">
        <v>8</v>
      </c>
    </row>
    <row r="7197" spans="2:8" x14ac:dyDescent="0.2">
      <c r="B7197" s="3">
        <v>45090</v>
      </c>
      <c r="G7197" s="2">
        <f t="shared" si="112"/>
        <v>0</v>
      </c>
      <c r="H7197" t="s">
        <v>6</v>
      </c>
    </row>
    <row r="7198" spans="2:8" x14ac:dyDescent="0.2">
      <c r="B7198" s="3">
        <v>45090</v>
      </c>
      <c r="G7198" s="2">
        <f t="shared" si="112"/>
        <v>0</v>
      </c>
      <c r="H7198" t="s">
        <v>5</v>
      </c>
    </row>
    <row r="7199" spans="2:8" x14ac:dyDescent="0.2">
      <c r="B7199" s="3">
        <v>45090</v>
      </c>
      <c r="G7199" s="2">
        <f t="shared" si="112"/>
        <v>0</v>
      </c>
      <c r="H7199" s="1"/>
    </row>
    <row r="7200" spans="2:8" x14ac:dyDescent="0.2">
      <c r="B7200" s="3">
        <v>45091</v>
      </c>
      <c r="G7200" s="2">
        <f t="shared" si="112"/>
        <v>0</v>
      </c>
      <c r="H7200" t="s">
        <v>14</v>
      </c>
    </row>
    <row r="7201" spans="2:8" x14ac:dyDescent="0.2">
      <c r="B7201" s="3">
        <v>45091</v>
      </c>
      <c r="G7201" s="2">
        <f t="shared" si="112"/>
        <v>0</v>
      </c>
      <c r="H7201" t="s">
        <v>27</v>
      </c>
    </row>
    <row r="7202" spans="2:8" x14ac:dyDescent="0.2">
      <c r="B7202" s="3">
        <v>45091</v>
      </c>
      <c r="D7202" s="1">
        <v>6931.5</v>
      </c>
      <c r="E7202" s="1">
        <v>7951</v>
      </c>
      <c r="G7202" s="2">
        <f t="shared" si="112"/>
        <v>7951</v>
      </c>
      <c r="H7202" t="s">
        <v>13</v>
      </c>
    </row>
    <row r="7203" spans="2:8" x14ac:dyDescent="0.2">
      <c r="B7203" s="3">
        <v>45091</v>
      </c>
      <c r="G7203" s="2">
        <f t="shared" si="112"/>
        <v>0</v>
      </c>
      <c r="H7203" t="s">
        <v>30</v>
      </c>
    </row>
    <row r="7204" spans="2:8" x14ac:dyDescent="0.2">
      <c r="B7204" s="3">
        <v>45091</v>
      </c>
      <c r="G7204" s="2">
        <f t="shared" si="112"/>
        <v>0</v>
      </c>
      <c r="H7204" t="s">
        <v>25</v>
      </c>
    </row>
    <row r="7205" spans="2:8" x14ac:dyDescent="0.2">
      <c r="B7205" s="3">
        <v>45091</v>
      </c>
      <c r="G7205" s="2">
        <f t="shared" si="112"/>
        <v>0</v>
      </c>
      <c r="H7205" t="s">
        <v>24</v>
      </c>
    </row>
    <row r="7206" spans="2:8" x14ac:dyDescent="0.2">
      <c r="B7206" s="3">
        <v>45091</v>
      </c>
      <c r="G7206" s="2">
        <f t="shared" si="112"/>
        <v>0</v>
      </c>
      <c r="H7206" t="s">
        <v>9</v>
      </c>
    </row>
    <row r="7207" spans="2:8" x14ac:dyDescent="0.2">
      <c r="B7207" s="3">
        <v>45091</v>
      </c>
      <c r="G7207" s="2">
        <f t="shared" si="112"/>
        <v>0</v>
      </c>
      <c r="H7207" t="s">
        <v>8</v>
      </c>
    </row>
    <row r="7208" spans="2:8" x14ac:dyDescent="0.2">
      <c r="B7208" s="3">
        <v>45091</v>
      </c>
      <c r="G7208" s="2">
        <f t="shared" si="112"/>
        <v>0</v>
      </c>
      <c r="H7208" t="s">
        <v>6</v>
      </c>
    </row>
    <row r="7209" spans="2:8" x14ac:dyDescent="0.2">
      <c r="B7209" s="3">
        <v>45091</v>
      </c>
      <c r="G7209" s="2">
        <f t="shared" si="112"/>
        <v>0</v>
      </c>
      <c r="H7209" t="s">
        <v>5</v>
      </c>
    </row>
    <row r="7210" spans="2:8" x14ac:dyDescent="0.2">
      <c r="B7210" s="3">
        <v>45091</v>
      </c>
      <c r="G7210" s="2">
        <f t="shared" si="112"/>
        <v>0</v>
      </c>
      <c r="H7210" s="1"/>
    </row>
    <row r="7211" spans="2:8" x14ac:dyDescent="0.2">
      <c r="B7211" s="3">
        <v>45092</v>
      </c>
      <c r="F7211" s="1">
        <v>10000</v>
      </c>
      <c r="G7211" s="2">
        <f t="shared" si="112"/>
        <v>-10000</v>
      </c>
      <c r="H7211" t="s">
        <v>14</v>
      </c>
    </row>
    <row r="7212" spans="2:8" x14ac:dyDescent="0.2">
      <c r="B7212" s="3">
        <v>45092</v>
      </c>
      <c r="F7212" s="1">
        <v>3000</v>
      </c>
      <c r="G7212" s="2">
        <f t="shared" si="112"/>
        <v>-3000</v>
      </c>
      <c r="H7212" t="s">
        <v>27</v>
      </c>
    </row>
    <row r="7213" spans="2:8" x14ac:dyDescent="0.2">
      <c r="B7213" s="3">
        <v>45092</v>
      </c>
      <c r="F7213" s="1">
        <v>5000</v>
      </c>
      <c r="G7213" s="2">
        <f t="shared" si="112"/>
        <v>-5000</v>
      </c>
      <c r="H7213" t="s">
        <v>13</v>
      </c>
    </row>
    <row r="7214" spans="2:8" x14ac:dyDescent="0.2">
      <c r="B7214" s="3">
        <v>45092</v>
      </c>
      <c r="G7214" s="2">
        <f t="shared" si="112"/>
        <v>0</v>
      </c>
      <c r="H7214" t="s">
        <v>30</v>
      </c>
    </row>
    <row r="7215" spans="2:8" x14ac:dyDescent="0.2">
      <c r="B7215" s="3">
        <v>45092</v>
      </c>
      <c r="G7215" s="2">
        <f t="shared" si="112"/>
        <v>0</v>
      </c>
      <c r="H7215" t="s">
        <v>25</v>
      </c>
    </row>
    <row r="7216" spans="2:8" x14ac:dyDescent="0.2">
      <c r="B7216" s="3">
        <v>45092</v>
      </c>
      <c r="G7216" s="2">
        <f t="shared" si="112"/>
        <v>0</v>
      </c>
      <c r="H7216" t="s">
        <v>24</v>
      </c>
    </row>
    <row r="7217" spans="2:8" x14ac:dyDescent="0.2">
      <c r="B7217" s="3">
        <v>45092</v>
      </c>
      <c r="G7217" s="2">
        <f t="shared" si="112"/>
        <v>0</v>
      </c>
      <c r="H7217" t="s">
        <v>9</v>
      </c>
    </row>
    <row r="7218" spans="2:8" x14ac:dyDescent="0.2">
      <c r="B7218" s="3">
        <v>45092</v>
      </c>
      <c r="G7218" s="2">
        <f t="shared" si="112"/>
        <v>0</v>
      </c>
      <c r="H7218" t="s">
        <v>8</v>
      </c>
    </row>
    <row r="7219" spans="2:8" x14ac:dyDescent="0.2">
      <c r="B7219" s="3">
        <v>45092</v>
      </c>
      <c r="G7219" s="2">
        <f t="shared" si="112"/>
        <v>0</v>
      </c>
      <c r="H7219" t="s">
        <v>6</v>
      </c>
    </row>
    <row r="7220" spans="2:8" x14ac:dyDescent="0.2">
      <c r="B7220" s="3">
        <v>45092</v>
      </c>
      <c r="G7220" s="2">
        <f t="shared" si="112"/>
        <v>0</v>
      </c>
      <c r="H7220" t="s">
        <v>5</v>
      </c>
    </row>
    <row r="7221" spans="2:8" x14ac:dyDescent="0.2">
      <c r="B7221" s="3">
        <v>45092</v>
      </c>
      <c r="F7221" s="1">
        <v>1500</v>
      </c>
      <c r="G7221" s="2">
        <f t="shared" si="112"/>
        <v>-1500</v>
      </c>
      <c r="H7221" s="1" t="s">
        <v>81</v>
      </c>
    </row>
    <row r="7222" spans="2:8" x14ac:dyDescent="0.2">
      <c r="B7222" s="3">
        <v>45093</v>
      </c>
      <c r="G7222" s="2">
        <f t="shared" si="112"/>
        <v>0</v>
      </c>
      <c r="H7222" t="s">
        <v>14</v>
      </c>
    </row>
    <row r="7223" spans="2:8" x14ac:dyDescent="0.2">
      <c r="B7223" s="3">
        <v>45093</v>
      </c>
      <c r="G7223" s="2">
        <f t="shared" si="112"/>
        <v>0</v>
      </c>
      <c r="H7223" t="s">
        <v>27</v>
      </c>
    </row>
    <row r="7224" spans="2:8" x14ac:dyDescent="0.2">
      <c r="B7224" s="3">
        <v>45093</v>
      </c>
      <c r="G7224" s="2">
        <f t="shared" si="112"/>
        <v>0</v>
      </c>
      <c r="H7224" t="s">
        <v>13</v>
      </c>
    </row>
    <row r="7225" spans="2:8" x14ac:dyDescent="0.2">
      <c r="B7225" s="3">
        <v>45093</v>
      </c>
      <c r="G7225" s="2">
        <f t="shared" si="112"/>
        <v>0</v>
      </c>
      <c r="H7225" t="s">
        <v>30</v>
      </c>
    </row>
    <row r="7226" spans="2:8" x14ac:dyDescent="0.2">
      <c r="B7226" s="3">
        <v>45093</v>
      </c>
      <c r="G7226" s="2">
        <f t="shared" si="112"/>
        <v>0</v>
      </c>
      <c r="H7226" t="s">
        <v>25</v>
      </c>
    </row>
    <row r="7227" spans="2:8" x14ac:dyDescent="0.2">
      <c r="B7227" s="3">
        <v>45093</v>
      </c>
      <c r="G7227" s="2">
        <f t="shared" si="112"/>
        <v>0</v>
      </c>
      <c r="H7227" t="s">
        <v>24</v>
      </c>
    </row>
    <row r="7228" spans="2:8" x14ac:dyDescent="0.2">
      <c r="B7228" s="3">
        <v>45093</v>
      </c>
      <c r="G7228" s="2">
        <f t="shared" si="112"/>
        <v>0</v>
      </c>
      <c r="H7228" t="s">
        <v>9</v>
      </c>
    </row>
    <row r="7229" spans="2:8" x14ac:dyDescent="0.2">
      <c r="B7229" s="3">
        <v>45093</v>
      </c>
      <c r="G7229" s="2">
        <f t="shared" si="112"/>
        <v>0</v>
      </c>
      <c r="H7229" t="s">
        <v>8</v>
      </c>
    </row>
    <row r="7230" spans="2:8" x14ac:dyDescent="0.2">
      <c r="B7230" s="3">
        <v>45093</v>
      </c>
      <c r="G7230" s="2">
        <f t="shared" si="112"/>
        <v>0</v>
      </c>
      <c r="H7230" t="s">
        <v>6</v>
      </c>
    </row>
    <row r="7231" spans="2:8" x14ac:dyDescent="0.2">
      <c r="B7231" s="3">
        <v>45093</v>
      </c>
      <c r="G7231" s="2">
        <f t="shared" si="112"/>
        <v>0</v>
      </c>
      <c r="H7231" t="s">
        <v>5</v>
      </c>
    </row>
    <row r="7232" spans="2:8" x14ac:dyDescent="0.2">
      <c r="B7232" s="3">
        <v>45093</v>
      </c>
      <c r="G7232" s="2">
        <f t="shared" si="112"/>
        <v>0</v>
      </c>
      <c r="H7232" s="1"/>
    </row>
    <row r="7233" spans="2:8" x14ac:dyDescent="0.2">
      <c r="B7233" s="3">
        <v>45094</v>
      </c>
      <c r="G7233" s="2">
        <f t="shared" si="112"/>
        <v>0</v>
      </c>
      <c r="H7233" t="s">
        <v>14</v>
      </c>
    </row>
    <row r="7234" spans="2:8" x14ac:dyDescent="0.2">
      <c r="B7234" s="3">
        <v>45094</v>
      </c>
      <c r="G7234" s="2">
        <f t="shared" si="112"/>
        <v>0</v>
      </c>
      <c r="H7234" t="s">
        <v>27</v>
      </c>
    </row>
    <row r="7235" spans="2:8" x14ac:dyDescent="0.2">
      <c r="B7235" s="3">
        <v>45094</v>
      </c>
      <c r="G7235" s="2">
        <f t="shared" ref="G7235:G7298" si="113">E7235-F7235</f>
        <v>0</v>
      </c>
      <c r="H7235" t="s">
        <v>13</v>
      </c>
    </row>
    <row r="7236" spans="2:8" x14ac:dyDescent="0.2">
      <c r="B7236" s="3">
        <v>45094</v>
      </c>
      <c r="G7236" s="2">
        <f t="shared" si="113"/>
        <v>0</v>
      </c>
      <c r="H7236" t="s">
        <v>30</v>
      </c>
    </row>
    <row r="7237" spans="2:8" x14ac:dyDescent="0.2">
      <c r="B7237" s="3">
        <v>45094</v>
      </c>
      <c r="G7237" s="2">
        <f t="shared" si="113"/>
        <v>0</v>
      </c>
      <c r="H7237" t="s">
        <v>25</v>
      </c>
    </row>
    <row r="7238" spans="2:8" x14ac:dyDescent="0.2">
      <c r="B7238" s="3">
        <v>45094</v>
      </c>
      <c r="G7238" s="2">
        <f t="shared" si="113"/>
        <v>0</v>
      </c>
      <c r="H7238" t="s">
        <v>24</v>
      </c>
    </row>
    <row r="7239" spans="2:8" x14ac:dyDescent="0.2">
      <c r="B7239" s="3">
        <v>45094</v>
      </c>
      <c r="G7239" s="2">
        <f t="shared" si="113"/>
        <v>0</v>
      </c>
      <c r="H7239" t="s">
        <v>9</v>
      </c>
    </row>
    <row r="7240" spans="2:8" x14ac:dyDescent="0.2">
      <c r="B7240" s="3">
        <v>45094</v>
      </c>
      <c r="G7240" s="2">
        <f t="shared" si="113"/>
        <v>0</v>
      </c>
      <c r="H7240" t="s">
        <v>8</v>
      </c>
    </row>
    <row r="7241" spans="2:8" x14ac:dyDescent="0.2">
      <c r="B7241" s="3">
        <v>45094</v>
      </c>
      <c r="G7241" s="2">
        <f t="shared" si="113"/>
        <v>0</v>
      </c>
      <c r="H7241" t="s">
        <v>6</v>
      </c>
    </row>
    <row r="7242" spans="2:8" x14ac:dyDescent="0.2">
      <c r="B7242" s="3">
        <v>45094</v>
      </c>
      <c r="G7242" s="2">
        <f t="shared" si="113"/>
        <v>0</v>
      </c>
      <c r="H7242" t="s">
        <v>5</v>
      </c>
    </row>
    <row r="7243" spans="2:8" x14ac:dyDescent="0.2">
      <c r="B7243" s="3">
        <v>45094</v>
      </c>
      <c r="G7243" s="2">
        <f t="shared" si="113"/>
        <v>0</v>
      </c>
      <c r="H7243" s="1"/>
    </row>
    <row r="7244" spans="2:8" x14ac:dyDescent="0.2">
      <c r="B7244" s="3">
        <v>45095</v>
      </c>
      <c r="D7244" s="1">
        <v>19600</v>
      </c>
      <c r="E7244" s="1">
        <v>21240</v>
      </c>
      <c r="G7244" s="2">
        <f t="shared" si="113"/>
        <v>21240</v>
      </c>
      <c r="H7244" t="s">
        <v>14</v>
      </c>
    </row>
    <row r="7245" spans="2:8" x14ac:dyDescent="0.2">
      <c r="B7245" s="3">
        <v>45095</v>
      </c>
      <c r="G7245" s="2">
        <f t="shared" si="113"/>
        <v>0</v>
      </c>
      <c r="H7245" t="s">
        <v>27</v>
      </c>
    </row>
    <row r="7246" spans="2:8" x14ac:dyDescent="0.2">
      <c r="B7246" s="3">
        <v>45095</v>
      </c>
      <c r="G7246" s="2">
        <f t="shared" si="113"/>
        <v>0</v>
      </c>
      <c r="H7246" t="s">
        <v>13</v>
      </c>
    </row>
    <row r="7247" spans="2:8" x14ac:dyDescent="0.2">
      <c r="B7247" s="3">
        <v>45095</v>
      </c>
      <c r="G7247" s="2">
        <f t="shared" si="113"/>
        <v>0</v>
      </c>
      <c r="H7247" t="s">
        <v>30</v>
      </c>
    </row>
    <row r="7248" spans="2:8" x14ac:dyDescent="0.2">
      <c r="B7248" s="3">
        <v>45095</v>
      </c>
      <c r="G7248" s="2">
        <f t="shared" si="113"/>
        <v>0</v>
      </c>
      <c r="H7248" t="s">
        <v>25</v>
      </c>
    </row>
    <row r="7249" spans="2:8" x14ac:dyDescent="0.2">
      <c r="B7249" s="3">
        <v>45095</v>
      </c>
      <c r="G7249" s="2">
        <f t="shared" si="113"/>
        <v>0</v>
      </c>
      <c r="H7249" t="s">
        <v>24</v>
      </c>
    </row>
    <row r="7250" spans="2:8" x14ac:dyDescent="0.2">
      <c r="B7250" s="3">
        <v>45095</v>
      </c>
      <c r="D7250" s="1">
        <v>24320</v>
      </c>
      <c r="E7250" s="1">
        <v>25540</v>
      </c>
      <c r="G7250" s="2">
        <f t="shared" si="113"/>
        <v>25540</v>
      </c>
      <c r="H7250" t="s">
        <v>9</v>
      </c>
    </row>
    <row r="7251" spans="2:8" x14ac:dyDescent="0.2">
      <c r="B7251" s="3">
        <v>45095</v>
      </c>
      <c r="G7251" s="2">
        <f t="shared" si="113"/>
        <v>0</v>
      </c>
      <c r="H7251" t="s">
        <v>8</v>
      </c>
    </row>
    <row r="7252" spans="2:8" x14ac:dyDescent="0.2">
      <c r="B7252" s="3">
        <v>45095</v>
      </c>
      <c r="G7252" s="2">
        <f t="shared" si="113"/>
        <v>0</v>
      </c>
      <c r="H7252" t="s">
        <v>6</v>
      </c>
    </row>
    <row r="7253" spans="2:8" x14ac:dyDescent="0.2">
      <c r="B7253" s="3">
        <v>45095</v>
      </c>
      <c r="G7253" s="2">
        <f t="shared" si="113"/>
        <v>0</v>
      </c>
      <c r="H7253" t="s">
        <v>5</v>
      </c>
    </row>
    <row r="7254" spans="2:8" x14ac:dyDescent="0.2">
      <c r="B7254" s="3">
        <v>45095</v>
      </c>
      <c r="G7254" s="2">
        <f t="shared" si="113"/>
        <v>0</v>
      </c>
      <c r="H7254" s="1"/>
    </row>
    <row r="7255" spans="2:8" x14ac:dyDescent="0.2">
      <c r="B7255" s="3">
        <v>45096</v>
      </c>
      <c r="G7255" s="2">
        <f t="shared" si="113"/>
        <v>0</v>
      </c>
      <c r="H7255" t="s">
        <v>14</v>
      </c>
    </row>
    <row r="7256" spans="2:8" x14ac:dyDescent="0.2">
      <c r="B7256" s="3">
        <v>45096</v>
      </c>
      <c r="G7256" s="2">
        <f t="shared" si="113"/>
        <v>0</v>
      </c>
      <c r="H7256" t="s">
        <v>27</v>
      </c>
    </row>
    <row r="7257" spans="2:8" x14ac:dyDescent="0.2">
      <c r="B7257" s="3">
        <v>45096</v>
      </c>
      <c r="G7257" s="2">
        <f t="shared" si="113"/>
        <v>0</v>
      </c>
      <c r="H7257" t="s">
        <v>13</v>
      </c>
    </row>
    <row r="7258" spans="2:8" x14ac:dyDescent="0.2">
      <c r="B7258" s="3">
        <v>45096</v>
      </c>
      <c r="G7258" s="2">
        <f t="shared" si="113"/>
        <v>0</v>
      </c>
      <c r="H7258" t="s">
        <v>30</v>
      </c>
    </row>
    <row r="7259" spans="2:8" x14ac:dyDescent="0.2">
      <c r="B7259" s="3">
        <v>45096</v>
      </c>
      <c r="G7259" s="2">
        <f t="shared" si="113"/>
        <v>0</v>
      </c>
      <c r="H7259" t="s">
        <v>25</v>
      </c>
    </row>
    <row r="7260" spans="2:8" x14ac:dyDescent="0.2">
      <c r="B7260" s="3">
        <v>45096</v>
      </c>
      <c r="D7260" s="1">
        <v>3097.75</v>
      </c>
      <c r="E7260" s="1">
        <v>3413.5</v>
      </c>
      <c r="F7260" s="1">
        <v>2000</v>
      </c>
      <c r="G7260" s="2">
        <f t="shared" si="113"/>
        <v>1413.5</v>
      </c>
      <c r="H7260" t="s">
        <v>24</v>
      </c>
    </row>
    <row r="7261" spans="2:8" x14ac:dyDescent="0.2">
      <c r="B7261" s="3">
        <v>45096</v>
      </c>
      <c r="G7261" s="2">
        <f t="shared" si="113"/>
        <v>0</v>
      </c>
      <c r="H7261" t="s">
        <v>9</v>
      </c>
    </row>
    <row r="7262" spans="2:8" x14ac:dyDescent="0.2">
      <c r="B7262" s="3">
        <v>45096</v>
      </c>
      <c r="F7262" s="1">
        <v>15000</v>
      </c>
      <c r="G7262" s="2">
        <f t="shared" si="113"/>
        <v>-15000</v>
      </c>
      <c r="H7262" t="s">
        <v>8</v>
      </c>
    </row>
    <row r="7263" spans="2:8" x14ac:dyDescent="0.2">
      <c r="B7263" s="3">
        <v>45096</v>
      </c>
      <c r="G7263" s="2">
        <f t="shared" si="113"/>
        <v>0</v>
      </c>
      <c r="H7263" t="s">
        <v>6</v>
      </c>
    </row>
    <row r="7264" spans="2:8" x14ac:dyDescent="0.2">
      <c r="B7264" s="3">
        <v>45096</v>
      </c>
      <c r="G7264" s="2">
        <f t="shared" si="113"/>
        <v>0</v>
      </c>
      <c r="H7264" t="s">
        <v>5</v>
      </c>
    </row>
    <row r="7265" spans="2:8" x14ac:dyDescent="0.2">
      <c r="B7265" s="3">
        <v>45096</v>
      </c>
      <c r="G7265" s="2">
        <f t="shared" si="113"/>
        <v>0</v>
      </c>
      <c r="H7265" s="1"/>
    </row>
    <row r="7266" spans="2:8" x14ac:dyDescent="0.2">
      <c r="B7266" s="3">
        <v>45097</v>
      </c>
      <c r="G7266" s="2">
        <f t="shared" si="113"/>
        <v>0</v>
      </c>
      <c r="H7266" t="s">
        <v>14</v>
      </c>
    </row>
    <row r="7267" spans="2:8" x14ac:dyDescent="0.2">
      <c r="B7267" s="3">
        <v>45097</v>
      </c>
      <c r="G7267" s="2">
        <f t="shared" si="113"/>
        <v>0</v>
      </c>
      <c r="H7267" t="s">
        <v>27</v>
      </c>
    </row>
    <row r="7268" spans="2:8" x14ac:dyDescent="0.2">
      <c r="B7268" s="3">
        <v>45097</v>
      </c>
      <c r="G7268" s="2">
        <f t="shared" si="113"/>
        <v>0</v>
      </c>
      <c r="H7268" t="s">
        <v>13</v>
      </c>
    </row>
    <row r="7269" spans="2:8" x14ac:dyDescent="0.2">
      <c r="B7269" s="3">
        <v>45097</v>
      </c>
      <c r="G7269" s="2">
        <f t="shared" si="113"/>
        <v>0</v>
      </c>
      <c r="H7269" t="s">
        <v>30</v>
      </c>
    </row>
    <row r="7270" spans="2:8" x14ac:dyDescent="0.2">
      <c r="B7270" s="3">
        <v>45097</v>
      </c>
      <c r="G7270" s="2">
        <f t="shared" si="113"/>
        <v>0</v>
      </c>
      <c r="H7270" t="s">
        <v>25</v>
      </c>
    </row>
    <row r="7271" spans="2:8" x14ac:dyDescent="0.2">
      <c r="B7271" s="3">
        <v>45097</v>
      </c>
      <c r="G7271" s="2">
        <f t="shared" si="113"/>
        <v>0</v>
      </c>
      <c r="H7271" t="s">
        <v>24</v>
      </c>
    </row>
    <row r="7272" spans="2:8" x14ac:dyDescent="0.2">
      <c r="B7272" s="3">
        <v>45097</v>
      </c>
      <c r="G7272" s="2">
        <f t="shared" si="113"/>
        <v>0</v>
      </c>
      <c r="H7272" t="s">
        <v>9</v>
      </c>
    </row>
    <row r="7273" spans="2:8" x14ac:dyDescent="0.2">
      <c r="B7273" s="3">
        <v>45097</v>
      </c>
      <c r="G7273" s="2">
        <f t="shared" si="113"/>
        <v>0</v>
      </c>
      <c r="H7273" t="s">
        <v>8</v>
      </c>
    </row>
    <row r="7274" spans="2:8" x14ac:dyDescent="0.2">
      <c r="B7274" s="3">
        <v>45097</v>
      </c>
      <c r="G7274" s="2">
        <f t="shared" si="113"/>
        <v>0</v>
      </c>
      <c r="H7274" t="s">
        <v>6</v>
      </c>
    </row>
    <row r="7275" spans="2:8" x14ac:dyDescent="0.2">
      <c r="B7275" s="3">
        <v>45097</v>
      </c>
      <c r="G7275" s="2">
        <f t="shared" si="113"/>
        <v>0</v>
      </c>
      <c r="H7275" t="s">
        <v>5</v>
      </c>
    </row>
    <row r="7276" spans="2:8" x14ac:dyDescent="0.2">
      <c r="B7276" s="3">
        <v>45097</v>
      </c>
      <c r="G7276" s="2">
        <f t="shared" si="113"/>
        <v>0</v>
      </c>
      <c r="H7276" s="1"/>
    </row>
    <row r="7277" spans="2:8" x14ac:dyDescent="0.2">
      <c r="B7277" s="3">
        <v>45098</v>
      </c>
      <c r="G7277" s="2">
        <f t="shared" si="113"/>
        <v>0</v>
      </c>
      <c r="H7277" t="s">
        <v>14</v>
      </c>
    </row>
    <row r="7278" spans="2:8" x14ac:dyDescent="0.2">
      <c r="B7278" s="3">
        <v>45098</v>
      </c>
      <c r="G7278" s="2">
        <f t="shared" si="113"/>
        <v>0</v>
      </c>
      <c r="H7278" t="s">
        <v>27</v>
      </c>
    </row>
    <row r="7279" spans="2:8" x14ac:dyDescent="0.2">
      <c r="B7279" s="3">
        <v>45098</v>
      </c>
      <c r="D7279" s="1">
        <v>3100.5</v>
      </c>
      <c r="E7279" s="1">
        <v>3610</v>
      </c>
      <c r="G7279" s="2">
        <f t="shared" si="113"/>
        <v>3610</v>
      </c>
      <c r="H7279" t="s">
        <v>13</v>
      </c>
    </row>
    <row r="7280" spans="2:8" x14ac:dyDescent="0.2">
      <c r="B7280" s="3">
        <v>45098</v>
      </c>
      <c r="G7280" s="2">
        <f t="shared" si="113"/>
        <v>0</v>
      </c>
      <c r="H7280" t="s">
        <v>30</v>
      </c>
    </row>
    <row r="7281" spans="2:8" x14ac:dyDescent="0.2">
      <c r="B7281" s="3">
        <v>45098</v>
      </c>
      <c r="G7281" s="2">
        <f t="shared" si="113"/>
        <v>0</v>
      </c>
      <c r="H7281" t="s">
        <v>25</v>
      </c>
    </row>
    <row r="7282" spans="2:8" x14ac:dyDescent="0.2">
      <c r="B7282" s="3">
        <v>45098</v>
      </c>
      <c r="G7282" s="2">
        <f t="shared" si="113"/>
        <v>0</v>
      </c>
      <c r="H7282" t="s">
        <v>24</v>
      </c>
    </row>
    <row r="7283" spans="2:8" x14ac:dyDescent="0.2">
      <c r="B7283" s="3">
        <v>45098</v>
      </c>
      <c r="D7283" s="1">
        <v>9200</v>
      </c>
      <c r="E7283" s="1">
        <v>9600</v>
      </c>
      <c r="F7283" s="1">
        <v>10000</v>
      </c>
      <c r="G7283" s="2">
        <f t="shared" si="113"/>
        <v>-400</v>
      </c>
      <c r="H7283" t="s">
        <v>9</v>
      </c>
    </row>
    <row r="7284" spans="2:8" x14ac:dyDescent="0.2">
      <c r="B7284" s="3">
        <v>45098</v>
      </c>
      <c r="G7284" s="2">
        <f t="shared" si="113"/>
        <v>0</v>
      </c>
      <c r="H7284" t="s">
        <v>8</v>
      </c>
    </row>
    <row r="7285" spans="2:8" x14ac:dyDescent="0.2">
      <c r="B7285" s="3">
        <v>45098</v>
      </c>
      <c r="G7285" s="2">
        <f t="shared" si="113"/>
        <v>0</v>
      </c>
      <c r="H7285" t="s">
        <v>6</v>
      </c>
    </row>
    <row r="7286" spans="2:8" x14ac:dyDescent="0.2">
      <c r="B7286" s="3">
        <v>45098</v>
      </c>
      <c r="G7286" s="2">
        <f t="shared" si="113"/>
        <v>0</v>
      </c>
      <c r="H7286" t="s">
        <v>5</v>
      </c>
    </row>
    <row r="7287" spans="2:8" x14ac:dyDescent="0.2">
      <c r="B7287" s="3">
        <v>45098</v>
      </c>
      <c r="G7287" s="2">
        <f t="shared" si="113"/>
        <v>0</v>
      </c>
      <c r="H7287" s="1"/>
    </row>
    <row r="7288" spans="2:8" x14ac:dyDescent="0.2">
      <c r="B7288" s="3">
        <v>45099</v>
      </c>
      <c r="G7288" s="2">
        <f t="shared" si="113"/>
        <v>0</v>
      </c>
      <c r="H7288" t="s">
        <v>14</v>
      </c>
    </row>
    <row r="7289" spans="2:8" x14ac:dyDescent="0.2">
      <c r="B7289" s="3">
        <v>45099</v>
      </c>
      <c r="D7289" s="1">
        <v>6695</v>
      </c>
      <c r="E7289" s="1">
        <v>7560</v>
      </c>
      <c r="G7289" s="2">
        <f t="shared" si="113"/>
        <v>7560</v>
      </c>
      <c r="H7289" t="s">
        <v>27</v>
      </c>
    </row>
    <row r="7290" spans="2:8" x14ac:dyDescent="0.2">
      <c r="B7290" s="3">
        <v>45099</v>
      </c>
      <c r="D7290" s="1">
        <v>4031.8199999999997</v>
      </c>
      <c r="E7290" s="1">
        <v>4627</v>
      </c>
      <c r="F7290" s="1">
        <v>5000</v>
      </c>
      <c r="G7290" s="2">
        <f t="shared" si="113"/>
        <v>-373</v>
      </c>
      <c r="H7290" t="s">
        <v>13</v>
      </c>
    </row>
    <row r="7291" spans="2:8" x14ac:dyDescent="0.2">
      <c r="B7291" s="3">
        <v>45099</v>
      </c>
      <c r="G7291" s="2">
        <f t="shared" si="113"/>
        <v>0</v>
      </c>
      <c r="H7291" t="s">
        <v>30</v>
      </c>
    </row>
    <row r="7292" spans="2:8" x14ac:dyDescent="0.2">
      <c r="B7292" s="3">
        <v>45099</v>
      </c>
      <c r="G7292" s="2">
        <f t="shared" si="113"/>
        <v>0</v>
      </c>
      <c r="H7292" t="s">
        <v>25</v>
      </c>
    </row>
    <row r="7293" spans="2:8" x14ac:dyDescent="0.2">
      <c r="B7293" s="3">
        <v>45099</v>
      </c>
      <c r="G7293" s="2">
        <f t="shared" si="113"/>
        <v>0</v>
      </c>
      <c r="H7293" t="s">
        <v>24</v>
      </c>
    </row>
    <row r="7294" spans="2:8" x14ac:dyDescent="0.2">
      <c r="B7294" s="3">
        <v>45099</v>
      </c>
      <c r="G7294" s="2">
        <f t="shared" si="113"/>
        <v>0</v>
      </c>
      <c r="H7294" t="s">
        <v>9</v>
      </c>
    </row>
    <row r="7295" spans="2:8" x14ac:dyDescent="0.2">
      <c r="B7295" s="3">
        <v>45099</v>
      </c>
      <c r="G7295" s="2">
        <f t="shared" si="113"/>
        <v>0</v>
      </c>
      <c r="H7295" t="s">
        <v>8</v>
      </c>
    </row>
    <row r="7296" spans="2:8" x14ac:dyDescent="0.2">
      <c r="B7296" s="3">
        <v>45099</v>
      </c>
      <c r="G7296" s="2">
        <f t="shared" si="113"/>
        <v>0</v>
      </c>
      <c r="H7296" t="s">
        <v>6</v>
      </c>
    </row>
    <row r="7297" spans="2:8" x14ac:dyDescent="0.2">
      <c r="B7297" s="3">
        <v>45099</v>
      </c>
      <c r="G7297" s="2">
        <f t="shared" si="113"/>
        <v>0</v>
      </c>
      <c r="H7297" t="s">
        <v>5</v>
      </c>
    </row>
    <row r="7298" spans="2:8" x14ac:dyDescent="0.2">
      <c r="B7298" s="3">
        <v>45099</v>
      </c>
      <c r="G7298" s="2">
        <f t="shared" si="113"/>
        <v>0</v>
      </c>
      <c r="H7298" s="1"/>
    </row>
    <row r="7299" spans="2:8" x14ac:dyDescent="0.2">
      <c r="B7299" s="3">
        <v>45100</v>
      </c>
      <c r="G7299" s="2">
        <f t="shared" ref="G7299:G7362" si="114">E7299-F7299</f>
        <v>0</v>
      </c>
      <c r="H7299" t="s">
        <v>14</v>
      </c>
    </row>
    <row r="7300" spans="2:8" x14ac:dyDescent="0.2">
      <c r="B7300" s="3">
        <v>45100</v>
      </c>
      <c r="G7300" s="2">
        <f t="shared" si="114"/>
        <v>0</v>
      </c>
      <c r="H7300" t="s">
        <v>27</v>
      </c>
    </row>
    <row r="7301" spans="2:8" x14ac:dyDescent="0.2">
      <c r="B7301" s="3">
        <v>45100</v>
      </c>
      <c r="G7301" s="2">
        <f t="shared" si="114"/>
        <v>0</v>
      </c>
      <c r="H7301" t="s">
        <v>13</v>
      </c>
    </row>
    <row r="7302" spans="2:8" x14ac:dyDescent="0.2">
      <c r="B7302" s="3">
        <v>45100</v>
      </c>
      <c r="G7302" s="2">
        <f t="shared" si="114"/>
        <v>0</v>
      </c>
      <c r="H7302" t="s">
        <v>30</v>
      </c>
    </row>
    <row r="7303" spans="2:8" x14ac:dyDescent="0.2">
      <c r="B7303" s="3">
        <v>45100</v>
      </c>
      <c r="G7303" s="2">
        <f t="shared" si="114"/>
        <v>0</v>
      </c>
      <c r="H7303" t="s">
        <v>25</v>
      </c>
    </row>
    <row r="7304" spans="2:8" x14ac:dyDescent="0.2">
      <c r="B7304" s="3">
        <v>45100</v>
      </c>
      <c r="G7304" s="2">
        <f t="shared" si="114"/>
        <v>0</v>
      </c>
      <c r="H7304" t="s">
        <v>24</v>
      </c>
    </row>
    <row r="7305" spans="2:8" x14ac:dyDescent="0.2">
      <c r="B7305" s="3">
        <v>45100</v>
      </c>
      <c r="G7305" s="2">
        <f t="shared" si="114"/>
        <v>0</v>
      </c>
      <c r="H7305" t="s">
        <v>9</v>
      </c>
    </row>
    <row r="7306" spans="2:8" x14ac:dyDescent="0.2">
      <c r="B7306" s="3">
        <v>45100</v>
      </c>
      <c r="G7306" s="2">
        <f t="shared" si="114"/>
        <v>0</v>
      </c>
      <c r="H7306" t="s">
        <v>8</v>
      </c>
    </row>
    <row r="7307" spans="2:8" x14ac:dyDescent="0.2">
      <c r="B7307" s="3">
        <v>45100</v>
      </c>
      <c r="G7307" s="2">
        <f t="shared" si="114"/>
        <v>0</v>
      </c>
      <c r="H7307" t="s">
        <v>6</v>
      </c>
    </row>
    <row r="7308" spans="2:8" x14ac:dyDescent="0.2">
      <c r="B7308" s="3">
        <v>45100</v>
      </c>
      <c r="G7308" s="2">
        <f t="shared" si="114"/>
        <v>0</v>
      </c>
      <c r="H7308" t="s">
        <v>5</v>
      </c>
    </row>
    <row r="7309" spans="2:8" x14ac:dyDescent="0.2">
      <c r="B7309" s="3">
        <v>45100</v>
      </c>
      <c r="G7309" s="2">
        <f t="shared" si="114"/>
        <v>0</v>
      </c>
      <c r="H7309" s="1"/>
    </row>
    <row r="7310" spans="2:8" x14ac:dyDescent="0.2">
      <c r="B7310" s="3">
        <v>45101</v>
      </c>
      <c r="G7310" s="2">
        <f t="shared" si="114"/>
        <v>0</v>
      </c>
      <c r="H7310" t="s">
        <v>14</v>
      </c>
    </row>
    <row r="7311" spans="2:8" x14ac:dyDescent="0.2">
      <c r="B7311" s="3">
        <v>45101</v>
      </c>
      <c r="G7311" s="2">
        <f t="shared" si="114"/>
        <v>0</v>
      </c>
      <c r="H7311" t="s">
        <v>27</v>
      </c>
    </row>
    <row r="7312" spans="2:8" x14ac:dyDescent="0.2">
      <c r="B7312" s="3">
        <v>45101</v>
      </c>
      <c r="G7312" s="2">
        <f t="shared" si="114"/>
        <v>0</v>
      </c>
      <c r="H7312" t="s">
        <v>13</v>
      </c>
    </row>
    <row r="7313" spans="2:8" x14ac:dyDescent="0.2">
      <c r="B7313" s="3">
        <v>45101</v>
      </c>
      <c r="G7313" s="2">
        <f t="shared" si="114"/>
        <v>0</v>
      </c>
      <c r="H7313" t="s">
        <v>30</v>
      </c>
    </row>
    <row r="7314" spans="2:8" x14ac:dyDescent="0.2">
      <c r="B7314" s="3">
        <v>45101</v>
      </c>
      <c r="G7314" s="2">
        <f t="shared" si="114"/>
        <v>0</v>
      </c>
      <c r="H7314" t="s">
        <v>25</v>
      </c>
    </row>
    <row r="7315" spans="2:8" x14ac:dyDescent="0.2">
      <c r="B7315" s="3">
        <v>45101</v>
      </c>
      <c r="G7315" s="2">
        <f t="shared" si="114"/>
        <v>0</v>
      </c>
      <c r="H7315" t="s">
        <v>24</v>
      </c>
    </row>
    <row r="7316" spans="2:8" x14ac:dyDescent="0.2">
      <c r="B7316" s="3">
        <v>45101</v>
      </c>
      <c r="G7316" s="2">
        <f t="shared" si="114"/>
        <v>0</v>
      </c>
      <c r="H7316" t="s">
        <v>9</v>
      </c>
    </row>
    <row r="7317" spans="2:8" x14ac:dyDescent="0.2">
      <c r="B7317" s="3">
        <v>45101</v>
      </c>
      <c r="G7317" s="2">
        <f t="shared" si="114"/>
        <v>0</v>
      </c>
      <c r="H7317" t="s">
        <v>8</v>
      </c>
    </row>
    <row r="7318" spans="2:8" x14ac:dyDescent="0.2">
      <c r="B7318" s="3">
        <v>45101</v>
      </c>
      <c r="G7318" s="2">
        <f t="shared" si="114"/>
        <v>0</v>
      </c>
      <c r="H7318" t="s">
        <v>6</v>
      </c>
    </row>
    <row r="7319" spans="2:8" x14ac:dyDescent="0.2">
      <c r="B7319" s="3">
        <v>45101</v>
      </c>
      <c r="G7319" s="2">
        <f t="shared" si="114"/>
        <v>0</v>
      </c>
      <c r="H7319" t="s">
        <v>5</v>
      </c>
    </row>
    <row r="7320" spans="2:8" x14ac:dyDescent="0.2">
      <c r="B7320" s="3">
        <v>45101</v>
      </c>
      <c r="G7320" s="2">
        <f t="shared" si="114"/>
        <v>0</v>
      </c>
      <c r="H7320" s="1"/>
    </row>
    <row r="7321" spans="2:8" x14ac:dyDescent="0.2">
      <c r="B7321" s="3">
        <v>45102</v>
      </c>
      <c r="G7321" s="2">
        <f t="shared" si="114"/>
        <v>0</v>
      </c>
      <c r="H7321" t="s">
        <v>14</v>
      </c>
    </row>
    <row r="7322" spans="2:8" x14ac:dyDescent="0.2">
      <c r="B7322" s="3">
        <v>45102</v>
      </c>
      <c r="G7322" s="2">
        <f t="shared" si="114"/>
        <v>0</v>
      </c>
      <c r="H7322" t="s">
        <v>27</v>
      </c>
    </row>
    <row r="7323" spans="2:8" x14ac:dyDescent="0.2">
      <c r="B7323" s="3">
        <v>45102</v>
      </c>
      <c r="G7323" s="2">
        <f t="shared" si="114"/>
        <v>0</v>
      </c>
      <c r="H7323" t="s">
        <v>13</v>
      </c>
    </row>
    <row r="7324" spans="2:8" x14ac:dyDescent="0.2">
      <c r="B7324" s="3">
        <v>45102</v>
      </c>
      <c r="G7324" s="2">
        <f t="shared" si="114"/>
        <v>0</v>
      </c>
      <c r="H7324" t="s">
        <v>30</v>
      </c>
    </row>
    <row r="7325" spans="2:8" x14ac:dyDescent="0.2">
      <c r="B7325" s="3">
        <v>45102</v>
      </c>
      <c r="G7325" s="2">
        <f t="shared" si="114"/>
        <v>0</v>
      </c>
      <c r="H7325" t="s">
        <v>25</v>
      </c>
    </row>
    <row r="7326" spans="2:8" x14ac:dyDescent="0.2">
      <c r="B7326" s="3">
        <v>45102</v>
      </c>
      <c r="G7326" s="2">
        <f t="shared" si="114"/>
        <v>0</v>
      </c>
      <c r="H7326" t="s">
        <v>24</v>
      </c>
    </row>
    <row r="7327" spans="2:8" x14ac:dyDescent="0.2">
      <c r="B7327" s="3">
        <v>45102</v>
      </c>
      <c r="G7327" s="2">
        <f t="shared" si="114"/>
        <v>0</v>
      </c>
      <c r="H7327" t="s">
        <v>9</v>
      </c>
    </row>
    <row r="7328" spans="2:8" x14ac:dyDescent="0.2">
      <c r="B7328" s="3">
        <v>45102</v>
      </c>
      <c r="G7328" s="2">
        <f t="shared" si="114"/>
        <v>0</v>
      </c>
      <c r="H7328" t="s">
        <v>8</v>
      </c>
    </row>
    <row r="7329" spans="2:8" x14ac:dyDescent="0.2">
      <c r="B7329" s="3">
        <v>45102</v>
      </c>
      <c r="G7329" s="2">
        <f t="shared" si="114"/>
        <v>0</v>
      </c>
      <c r="H7329" t="s">
        <v>6</v>
      </c>
    </row>
    <row r="7330" spans="2:8" x14ac:dyDescent="0.2">
      <c r="B7330" s="3">
        <v>45102</v>
      </c>
      <c r="G7330" s="2">
        <f t="shared" si="114"/>
        <v>0</v>
      </c>
      <c r="H7330" t="s">
        <v>5</v>
      </c>
    </row>
    <row r="7331" spans="2:8" x14ac:dyDescent="0.2">
      <c r="B7331" s="3">
        <v>45102</v>
      </c>
      <c r="G7331" s="2">
        <f t="shared" si="114"/>
        <v>0</v>
      </c>
      <c r="H7331" s="1"/>
    </row>
    <row r="7332" spans="2:8" x14ac:dyDescent="0.2">
      <c r="B7332" s="3">
        <v>45103</v>
      </c>
      <c r="G7332" s="2">
        <f t="shared" si="114"/>
        <v>0</v>
      </c>
      <c r="H7332" t="s">
        <v>14</v>
      </c>
    </row>
    <row r="7333" spans="2:8" x14ac:dyDescent="0.2">
      <c r="B7333" s="3">
        <v>45103</v>
      </c>
      <c r="F7333" s="1">
        <v>2000</v>
      </c>
      <c r="G7333" s="2">
        <f t="shared" si="114"/>
        <v>-2000</v>
      </c>
      <c r="H7333" t="s">
        <v>27</v>
      </c>
    </row>
    <row r="7334" spans="2:8" x14ac:dyDescent="0.2">
      <c r="B7334" s="3">
        <v>45103</v>
      </c>
      <c r="D7334" s="1">
        <v>3836.25</v>
      </c>
      <c r="E7334" s="1">
        <v>4841.5</v>
      </c>
      <c r="F7334" s="1">
        <v>5000</v>
      </c>
      <c r="G7334" s="2">
        <f t="shared" si="114"/>
        <v>-158.5</v>
      </c>
      <c r="H7334" t="s">
        <v>13</v>
      </c>
    </row>
    <row r="7335" spans="2:8" x14ac:dyDescent="0.2">
      <c r="B7335" s="3">
        <v>45103</v>
      </c>
      <c r="G7335" s="2">
        <f t="shared" si="114"/>
        <v>0</v>
      </c>
      <c r="H7335" t="s">
        <v>30</v>
      </c>
    </row>
    <row r="7336" spans="2:8" x14ac:dyDescent="0.2">
      <c r="B7336" s="3">
        <v>45103</v>
      </c>
      <c r="G7336" s="2">
        <f t="shared" si="114"/>
        <v>0</v>
      </c>
      <c r="H7336" t="s">
        <v>25</v>
      </c>
    </row>
    <row r="7337" spans="2:8" x14ac:dyDescent="0.2">
      <c r="B7337" s="3">
        <v>45103</v>
      </c>
      <c r="G7337" s="2">
        <f t="shared" si="114"/>
        <v>0</v>
      </c>
      <c r="H7337" t="s">
        <v>24</v>
      </c>
    </row>
    <row r="7338" spans="2:8" x14ac:dyDescent="0.2">
      <c r="B7338" s="3">
        <v>45103</v>
      </c>
      <c r="F7338" s="1">
        <v>10000</v>
      </c>
      <c r="G7338" s="2">
        <f t="shared" si="114"/>
        <v>-10000</v>
      </c>
      <c r="H7338" t="s">
        <v>9</v>
      </c>
    </row>
    <row r="7339" spans="2:8" x14ac:dyDescent="0.2">
      <c r="B7339" s="3">
        <v>45103</v>
      </c>
      <c r="G7339" s="2">
        <f t="shared" si="114"/>
        <v>0</v>
      </c>
      <c r="H7339" t="s">
        <v>8</v>
      </c>
    </row>
    <row r="7340" spans="2:8" x14ac:dyDescent="0.2">
      <c r="B7340" s="3">
        <v>45103</v>
      </c>
      <c r="G7340" s="2">
        <f t="shared" si="114"/>
        <v>0</v>
      </c>
      <c r="H7340" t="s">
        <v>6</v>
      </c>
    </row>
    <row r="7341" spans="2:8" x14ac:dyDescent="0.2">
      <c r="B7341" s="3">
        <v>45103</v>
      </c>
      <c r="G7341" s="2">
        <f t="shared" si="114"/>
        <v>0</v>
      </c>
      <c r="H7341" t="s">
        <v>5</v>
      </c>
    </row>
    <row r="7342" spans="2:8" x14ac:dyDescent="0.2">
      <c r="B7342" s="3">
        <v>45103</v>
      </c>
      <c r="D7342" s="1">
        <v>2700</v>
      </c>
      <c r="E7342" s="1">
        <v>2800</v>
      </c>
      <c r="G7342" s="2">
        <f t="shared" si="114"/>
        <v>2800</v>
      </c>
      <c r="H7342" s="1" t="s">
        <v>81</v>
      </c>
    </row>
    <row r="7343" spans="2:8" x14ac:dyDescent="0.2">
      <c r="B7343" s="3">
        <v>45104</v>
      </c>
      <c r="G7343" s="2">
        <f t="shared" si="114"/>
        <v>0</v>
      </c>
      <c r="H7343" t="s">
        <v>14</v>
      </c>
    </row>
    <row r="7344" spans="2:8" x14ac:dyDescent="0.2">
      <c r="B7344" s="3">
        <v>45104</v>
      </c>
      <c r="G7344" s="2">
        <f t="shared" si="114"/>
        <v>0</v>
      </c>
      <c r="H7344" t="s">
        <v>27</v>
      </c>
    </row>
    <row r="7345" spans="2:8" x14ac:dyDescent="0.2">
      <c r="B7345" s="3">
        <v>45104</v>
      </c>
      <c r="G7345" s="2">
        <f t="shared" si="114"/>
        <v>0</v>
      </c>
      <c r="H7345" t="s">
        <v>13</v>
      </c>
    </row>
    <row r="7346" spans="2:8" x14ac:dyDescent="0.2">
      <c r="B7346" s="3">
        <v>45104</v>
      </c>
      <c r="G7346" s="2">
        <f t="shared" si="114"/>
        <v>0</v>
      </c>
      <c r="H7346" t="s">
        <v>30</v>
      </c>
    </row>
    <row r="7347" spans="2:8" x14ac:dyDescent="0.2">
      <c r="B7347" s="3">
        <v>45104</v>
      </c>
      <c r="G7347" s="2">
        <f t="shared" si="114"/>
        <v>0</v>
      </c>
      <c r="H7347" t="s">
        <v>25</v>
      </c>
    </row>
    <row r="7348" spans="2:8" x14ac:dyDescent="0.2">
      <c r="B7348" s="3">
        <v>45104</v>
      </c>
      <c r="G7348" s="2">
        <f t="shared" si="114"/>
        <v>0</v>
      </c>
      <c r="H7348" t="s">
        <v>24</v>
      </c>
    </row>
    <row r="7349" spans="2:8" x14ac:dyDescent="0.2">
      <c r="B7349" s="3">
        <v>45104</v>
      </c>
      <c r="G7349" s="2">
        <f t="shared" si="114"/>
        <v>0</v>
      </c>
      <c r="H7349" t="s">
        <v>9</v>
      </c>
    </row>
    <row r="7350" spans="2:8" x14ac:dyDescent="0.2">
      <c r="B7350" s="3">
        <v>45104</v>
      </c>
      <c r="G7350" s="2">
        <f t="shared" si="114"/>
        <v>0</v>
      </c>
      <c r="H7350" t="s">
        <v>8</v>
      </c>
    </row>
    <row r="7351" spans="2:8" x14ac:dyDescent="0.2">
      <c r="B7351" s="3">
        <v>45104</v>
      </c>
      <c r="G7351" s="2">
        <f t="shared" si="114"/>
        <v>0</v>
      </c>
      <c r="H7351" t="s">
        <v>6</v>
      </c>
    </row>
    <row r="7352" spans="2:8" x14ac:dyDescent="0.2">
      <c r="B7352" s="3">
        <v>45104</v>
      </c>
      <c r="G7352" s="2">
        <f t="shared" si="114"/>
        <v>0</v>
      </c>
      <c r="H7352" t="s">
        <v>5</v>
      </c>
    </row>
    <row r="7353" spans="2:8" x14ac:dyDescent="0.2">
      <c r="B7353" s="3">
        <v>45104</v>
      </c>
      <c r="F7353" s="1">
        <v>2790</v>
      </c>
      <c r="G7353" s="2">
        <f t="shared" si="114"/>
        <v>-2790</v>
      </c>
      <c r="H7353" s="1" t="s">
        <v>81</v>
      </c>
    </row>
    <row r="7354" spans="2:8" x14ac:dyDescent="0.2">
      <c r="B7354" s="3">
        <v>45105</v>
      </c>
      <c r="G7354" s="2">
        <f t="shared" si="114"/>
        <v>0</v>
      </c>
      <c r="H7354" t="s">
        <v>14</v>
      </c>
    </row>
    <row r="7355" spans="2:8" x14ac:dyDescent="0.2">
      <c r="B7355" s="3">
        <v>45105</v>
      </c>
      <c r="G7355" s="2">
        <f t="shared" si="114"/>
        <v>0</v>
      </c>
      <c r="H7355" t="s">
        <v>27</v>
      </c>
    </row>
    <row r="7356" spans="2:8" x14ac:dyDescent="0.2">
      <c r="B7356" s="3">
        <v>45105</v>
      </c>
      <c r="G7356" s="2">
        <f t="shared" si="114"/>
        <v>0</v>
      </c>
      <c r="H7356" t="s">
        <v>13</v>
      </c>
    </row>
    <row r="7357" spans="2:8" x14ac:dyDescent="0.2">
      <c r="B7357" s="3">
        <v>45105</v>
      </c>
      <c r="G7357" s="2">
        <f t="shared" si="114"/>
        <v>0</v>
      </c>
      <c r="H7357" t="s">
        <v>30</v>
      </c>
    </row>
    <row r="7358" spans="2:8" x14ac:dyDescent="0.2">
      <c r="B7358" s="3">
        <v>45105</v>
      </c>
      <c r="G7358" s="2">
        <f t="shared" si="114"/>
        <v>0</v>
      </c>
      <c r="H7358" t="s">
        <v>25</v>
      </c>
    </row>
    <row r="7359" spans="2:8" x14ac:dyDescent="0.2">
      <c r="B7359" s="3">
        <v>45105</v>
      </c>
      <c r="G7359" s="2">
        <f t="shared" si="114"/>
        <v>0</v>
      </c>
      <c r="H7359" t="s">
        <v>24</v>
      </c>
    </row>
    <row r="7360" spans="2:8" x14ac:dyDescent="0.2">
      <c r="B7360" s="3">
        <v>45105</v>
      </c>
      <c r="G7360" s="2">
        <f t="shared" si="114"/>
        <v>0</v>
      </c>
      <c r="H7360" t="s">
        <v>9</v>
      </c>
    </row>
    <row r="7361" spans="2:8" x14ac:dyDescent="0.2">
      <c r="B7361" s="3">
        <v>45105</v>
      </c>
      <c r="G7361" s="2">
        <f t="shared" si="114"/>
        <v>0</v>
      </c>
      <c r="H7361" t="s">
        <v>8</v>
      </c>
    </row>
    <row r="7362" spans="2:8" x14ac:dyDescent="0.2">
      <c r="B7362" s="3">
        <v>45105</v>
      </c>
      <c r="G7362" s="2">
        <f t="shared" si="114"/>
        <v>0</v>
      </c>
      <c r="H7362" t="s">
        <v>6</v>
      </c>
    </row>
    <row r="7363" spans="2:8" x14ac:dyDescent="0.2">
      <c r="B7363" s="3">
        <v>45105</v>
      </c>
      <c r="G7363" s="2">
        <f t="shared" ref="G7363:G7426" si="115">E7363-F7363</f>
        <v>0</v>
      </c>
      <c r="H7363" t="s">
        <v>5</v>
      </c>
    </row>
    <row r="7364" spans="2:8" x14ac:dyDescent="0.2">
      <c r="B7364" s="3">
        <v>45105</v>
      </c>
      <c r="D7364" s="1">
        <v>1249.5999999999999</v>
      </c>
      <c r="E7364" s="1">
        <v>1337</v>
      </c>
      <c r="G7364" s="2">
        <f t="shared" si="115"/>
        <v>1337</v>
      </c>
      <c r="H7364" s="1" t="s">
        <v>80</v>
      </c>
    </row>
    <row r="7365" spans="2:8" x14ac:dyDescent="0.2">
      <c r="B7365" s="3">
        <v>45106</v>
      </c>
      <c r="G7365" s="2">
        <f t="shared" si="115"/>
        <v>0</v>
      </c>
      <c r="H7365" t="s">
        <v>14</v>
      </c>
    </row>
    <row r="7366" spans="2:8" x14ac:dyDescent="0.2">
      <c r="B7366" s="3">
        <v>45106</v>
      </c>
      <c r="G7366" s="2">
        <f t="shared" si="115"/>
        <v>0</v>
      </c>
      <c r="H7366" t="s">
        <v>27</v>
      </c>
    </row>
    <row r="7367" spans="2:8" x14ac:dyDescent="0.2">
      <c r="B7367" s="3">
        <v>45106</v>
      </c>
      <c r="G7367" s="2">
        <f t="shared" si="115"/>
        <v>0</v>
      </c>
      <c r="H7367" t="s">
        <v>13</v>
      </c>
    </row>
    <row r="7368" spans="2:8" x14ac:dyDescent="0.2">
      <c r="B7368" s="3">
        <v>45106</v>
      </c>
      <c r="G7368" s="2">
        <f t="shared" si="115"/>
        <v>0</v>
      </c>
      <c r="H7368" t="s">
        <v>30</v>
      </c>
    </row>
    <row r="7369" spans="2:8" x14ac:dyDescent="0.2">
      <c r="B7369" s="3">
        <v>45106</v>
      </c>
      <c r="G7369" s="2">
        <f t="shared" si="115"/>
        <v>0</v>
      </c>
      <c r="H7369" t="s">
        <v>25</v>
      </c>
    </row>
    <row r="7370" spans="2:8" x14ac:dyDescent="0.2">
      <c r="B7370" s="3">
        <v>45106</v>
      </c>
      <c r="G7370" s="2">
        <f t="shared" si="115"/>
        <v>0</v>
      </c>
      <c r="H7370" t="s">
        <v>24</v>
      </c>
    </row>
    <row r="7371" spans="2:8" x14ac:dyDescent="0.2">
      <c r="B7371" s="3">
        <v>45106</v>
      </c>
      <c r="G7371" s="2">
        <f t="shared" si="115"/>
        <v>0</v>
      </c>
      <c r="H7371" t="s">
        <v>9</v>
      </c>
    </row>
    <row r="7372" spans="2:8" x14ac:dyDescent="0.2">
      <c r="B7372" s="3">
        <v>45106</v>
      </c>
      <c r="G7372" s="2">
        <f t="shared" si="115"/>
        <v>0</v>
      </c>
      <c r="H7372" t="s">
        <v>8</v>
      </c>
    </row>
    <row r="7373" spans="2:8" x14ac:dyDescent="0.2">
      <c r="B7373" s="3">
        <v>45106</v>
      </c>
      <c r="G7373" s="2">
        <f t="shared" si="115"/>
        <v>0</v>
      </c>
      <c r="H7373" t="s">
        <v>6</v>
      </c>
    </row>
    <row r="7374" spans="2:8" x14ac:dyDescent="0.2">
      <c r="B7374" s="3">
        <v>45106</v>
      </c>
      <c r="G7374" s="2">
        <f t="shared" si="115"/>
        <v>0</v>
      </c>
      <c r="H7374" t="s">
        <v>5</v>
      </c>
    </row>
    <row r="7375" spans="2:8" x14ac:dyDescent="0.2">
      <c r="B7375" s="3">
        <v>45106</v>
      </c>
      <c r="G7375" s="2">
        <f t="shared" si="115"/>
        <v>0</v>
      </c>
      <c r="H7375" s="1"/>
    </row>
    <row r="7376" spans="2:8" x14ac:dyDescent="0.2">
      <c r="B7376" s="3">
        <v>45107</v>
      </c>
      <c r="G7376" s="2">
        <f t="shared" si="115"/>
        <v>0</v>
      </c>
      <c r="H7376" t="s">
        <v>14</v>
      </c>
    </row>
    <row r="7377" spans="2:8" x14ac:dyDescent="0.2">
      <c r="B7377" s="3">
        <v>45107</v>
      </c>
      <c r="G7377" s="2">
        <f t="shared" si="115"/>
        <v>0</v>
      </c>
      <c r="H7377" t="s">
        <v>27</v>
      </c>
    </row>
    <row r="7378" spans="2:8" x14ac:dyDescent="0.2">
      <c r="B7378" s="3">
        <v>45107</v>
      </c>
      <c r="G7378" s="2">
        <f t="shared" si="115"/>
        <v>0</v>
      </c>
      <c r="H7378" t="s">
        <v>13</v>
      </c>
    </row>
    <row r="7379" spans="2:8" x14ac:dyDescent="0.2">
      <c r="B7379" s="3">
        <v>45107</v>
      </c>
      <c r="G7379" s="2">
        <f t="shared" si="115"/>
        <v>0</v>
      </c>
      <c r="H7379" t="s">
        <v>30</v>
      </c>
    </row>
    <row r="7380" spans="2:8" x14ac:dyDescent="0.2">
      <c r="B7380" s="3">
        <v>45107</v>
      </c>
      <c r="G7380" s="2">
        <f t="shared" si="115"/>
        <v>0</v>
      </c>
      <c r="H7380" t="s">
        <v>25</v>
      </c>
    </row>
    <row r="7381" spans="2:8" x14ac:dyDescent="0.2">
      <c r="B7381" s="3">
        <v>45107</v>
      </c>
      <c r="G7381" s="2">
        <f t="shared" si="115"/>
        <v>0</v>
      </c>
      <c r="H7381" t="s">
        <v>24</v>
      </c>
    </row>
    <row r="7382" spans="2:8" x14ac:dyDescent="0.2">
      <c r="B7382" s="3">
        <v>45107</v>
      </c>
      <c r="G7382" s="2">
        <f t="shared" si="115"/>
        <v>0</v>
      </c>
      <c r="H7382" t="s">
        <v>9</v>
      </c>
    </row>
    <row r="7383" spans="2:8" x14ac:dyDescent="0.2">
      <c r="B7383" s="3">
        <v>45107</v>
      </c>
      <c r="G7383" s="2">
        <f t="shared" si="115"/>
        <v>0</v>
      </c>
      <c r="H7383" t="s">
        <v>8</v>
      </c>
    </row>
    <row r="7384" spans="2:8" x14ac:dyDescent="0.2">
      <c r="B7384" s="3">
        <v>45107</v>
      </c>
      <c r="G7384" s="2">
        <f t="shared" si="115"/>
        <v>0</v>
      </c>
      <c r="H7384" t="s">
        <v>6</v>
      </c>
    </row>
    <row r="7385" spans="2:8" x14ac:dyDescent="0.2">
      <c r="B7385" s="3">
        <v>45107</v>
      </c>
      <c r="G7385" s="2">
        <f t="shared" si="115"/>
        <v>0</v>
      </c>
      <c r="H7385" t="s">
        <v>5</v>
      </c>
    </row>
    <row r="7386" spans="2:8" x14ac:dyDescent="0.2">
      <c r="B7386" s="3">
        <v>45107</v>
      </c>
      <c r="G7386" s="2">
        <f t="shared" si="115"/>
        <v>0</v>
      </c>
      <c r="H7386" s="1"/>
    </row>
    <row r="7387" spans="2:8" x14ac:dyDescent="0.2">
      <c r="B7387" s="3">
        <v>45108</v>
      </c>
      <c r="G7387" s="2">
        <f t="shared" si="115"/>
        <v>0</v>
      </c>
      <c r="H7387" t="s">
        <v>14</v>
      </c>
    </row>
    <row r="7388" spans="2:8" x14ac:dyDescent="0.2">
      <c r="B7388" s="3">
        <v>45108</v>
      </c>
      <c r="G7388" s="2">
        <f t="shared" si="115"/>
        <v>0</v>
      </c>
      <c r="H7388" t="s">
        <v>27</v>
      </c>
    </row>
    <row r="7389" spans="2:8" x14ac:dyDescent="0.2">
      <c r="B7389" s="3">
        <v>45108</v>
      </c>
      <c r="G7389" s="2">
        <f t="shared" si="115"/>
        <v>0</v>
      </c>
      <c r="H7389" t="s">
        <v>13</v>
      </c>
    </row>
    <row r="7390" spans="2:8" x14ac:dyDescent="0.2">
      <c r="B7390" s="3">
        <v>45108</v>
      </c>
      <c r="G7390" s="2">
        <f t="shared" si="115"/>
        <v>0</v>
      </c>
      <c r="H7390" t="s">
        <v>30</v>
      </c>
    </row>
    <row r="7391" spans="2:8" x14ac:dyDescent="0.2">
      <c r="B7391" s="3">
        <v>45108</v>
      </c>
      <c r="G7391" s="2">
        <f t="shared" si="115"/>
        <v>0</v>
      </c>
      <c r="H7391" t="s">
        <v>25</v>
      </c>
    </row>
    <row r="7392" spans="2:8" x14ac:dyDescent="0.2">
      <c r="B7392" s="3">
        <v>45108</v>
      </c>
      <c r="G7392" s="2">
        <f t="shared" si="115"/>
        <v>0</v>
      </c>
      <c r="H7392" t="s">
        <v>24</v>
      </c>
    </row>
    <row r="7393" spans="2:8" x14ac:dyDescent="0.2">
      <c r="B7393" s="3">
        <v>45108</v>
      </c>
      <c r="G7393" s="2">
        <f t="shared" si="115"/>
        <v>0</v>
      </c>
      <c r="H7393" t="s">
        <v>9</v>
      </c>
    </row>
    <row r="7394" spans="2:8" x14ac:dyDescent="0.2">
      <c r="B7394" s="3">
        <v>45108</v>
      </c>
      <c r="G7394" s="2">
        <f t="shared" si="115"/>
        <v>0</v>
      </c>
      <c r="H7394" t="s">
        <v>8</v>
      </c>
    </row>
    <row r="7395" spans="2:8" x14ac:dyDescent="0.2">
      <c r="B7395" s="3">
        <v>45108</v>
      </c>
      <c r="G7395" s="2">
        <f t="shared" si="115"/>
        <v>0</v>
      </c>
      <c r="H7395" t="s">
        <v>6</v>
      </c>
    </row>
    <row r="7396" spans="2:8" x14ac:dyDescent="0.2">
      <c r="B7396" s="3">
        <v>45108</v>
      </c>
      <c r="G7396" s="2">
        <f t="shared" si="115"/>
        <v>0</v>
      </c>
      <c r="H7396" t="s">
        <v>5</v>
      </c>
    </row>
    <row r="7397" spans="2:8" x14ac:dyDescent="0.2">
      <c r="B7397" s="3">
        <v>45108</v>
      </c>
      <c r="G7397" s="2">
        <f t="shared" si="115"/>
        <v>0</v>
      </c>
      <c r="H7397" s="1"/>
    </row>
    <row r="7398" spans="2:8" x14ac:dyDescent="0.2">
      <c r="B7398" s="3">
        <v>45109</v>
      </c>
      <c r="G7398" s="2">
        <f t="shared" si="115"/>
        <v>0</v>
      </c>
      <c r="H7398" t="s">
        <v>14</v>
      </c>
    </row>
    <row r="7399" spans="2:8" x14ac:dyDescent="0.2">
      <c r="B7399" s="3">
        <v>45109</v>
      </c>
      <c r="G7399" s="2">
        <f t="shared" si="115"/>
        <v>0</v>
      </c>
      <c r="H7399" t="s">
        <v>27</v>
      </c>
    </row>
    <row r="7400" spans="2:8" x14ac:dyDescent="0.2">
      <c r="B7400" s="3">
        <v>45109</v>
      </c>
      <c r="G7400" s="2">
        <f t="shared" si="115"/>
        <v>0</v>
      </c>
      <c r="H7400" t="s">
        <v>13</v>
      </c>
    </row>
    <row r="7401" spans="2:8" x14ac:dyDescent="0.2">
      <c r="B7401" s="3">
        <v>45109</v>
      </c>
      <c r="G7401" s="2">
        <f t="shared" si="115"/>
        <v>0</v>
      </c>
      <c r="H7401" t="s">
        <v>30</v>
      </c>
    </row>
    <row r="7402" spans="2:8" x14ac:dyDescent="0.2">
      <c r="B7402" s="3">
        <v>45109</v>
      </c>
      <c r="G7402" s="2">
        <f t="shared" si="115"/>
        <v>0</v>
      </c>
      <c r="H7402" t="s">
        <v>25</v>
      </c>
    </row>
    <row r="7403" spans="2:8" x14ac:dyDescent="0.2">
      <c r="B7403" s="3">
        <v>45109</v>
      </c>
      <c r="G7403" s="2">
        <f t="shared" si="115"/>
        <v>0</v>
      </c>
      <c r="H7403" t="s">
        <v>24</v>
      </c>
    </row>
    <row r="7404" spans="2:8" x14ac:dyDescent="0.2">
      <c r="B7404" s="3">
        <v>45109</v>
      </c>
      <c r="G7404" s="2">
        <f t="shared" si="115"/>
        <v>0</v>
      </c>
      <c r="H7404" t="s">
        <v>9</v>
      </c>
    </row>
    <row r="7405" spans="2:8" x14ac:dyDescent="0.2">
      <c r="B7405" s="3">
        <v>45109</v>
      </c>
      <c r="G7405" s="2">
        <f t="shared" si="115"/>
        <v>0</v>
      </c>
      <c r="H7405" t="s">
        <v>8</v>
      </c>
    </row>
    <row r="7406" spans="2:8" x14ac:dyDescent="0.2">
      <c r="B7406" s="3">
        <v>45109</v>
      </c>
      <c r="G7406" s="2">
        <f t="shared" si="115"/>
        <v>0</v>
      </c>
      <c r="H7406" t="s">
        <v>6</v>
      </c>
    </row>
    <row r="7407" spans="2:8" x14ac:dyDescent="0.2">
      <c r="B7407" s="3">
        <v>45109</v>
      </c>
      <c r="G7407" s="2">
        <f t="shared" si="115"/>
        <v>0</v>
      </c>
      <c r="H7407" t="s">
        <v>5</v>
      </c>
    </row>
    <row r="7408" spans="2:8" x14ac:dyDescent="0.2">
      <c r="B7408" s="3">
        <v>45109</v>
      </c>
      <c r="G7408" s="2">
        <f t="shared" si="115"/>
        <v>0</v>
      </c>
      <c r="H7408" s="1"/>
    </row>
    <row r="7409" spans="2:8" x14ac:dyDescent="0.2">
      <c r="B7409" s="3">
        <v>45110</v>
      </c>
      <c r="G7409" s="2">
        <f t="shared" si="115"/>
        <v>0</v>
      </c>
      <c r="H7409" t="s">
        <v>14</v>
      </c>
    </row>
    <row r="7410" spans="2:8" x14ac:dyDescent="0.2">
      <c r="B7410" s="3">
        <v>45110</v>
      </c>
      <c r="G7410" s="2">
        <f t="shared" si="115"/>
        <v>0</v>
      </c>
      <c r="H7410" t="s">
        <v>27</v>
      </c>
    </row>
    <row r="7411" spans="2:8" x14ac:dyDescent="0.2">
      <c r="B7411" s="3">
        <v>45110</v>
      </c>
      <c r="G7411" s="2">
        <f t="shared" si="115"/>
        <v>0</v>
      </c>
      <c r="H7411" t="s">
        <v>13</v>
      </c>
    </row>
    <row r="7412" spans="2:8" x14ac:dyDescent="0.2">
      <c r="B7412" s="3">
        <v>45110</v>
      </c>
      <c r="G7412" s="2">
        <f t="shared" si="115"/>
        <v>0</v>
      </c>
      <c r="H7412" t="s">
        <v>30</v>
      </c>
    </row>
    <row r="7413" spans="2:8" x14ac:dyDescent="0.2">
      <c r="B7413" s="3">
        <v>45110</v>
      </c>
      <c r="G7413" s="2">
        <f t="shared" si="115"/>
        <v>0</v>
      </c>
      <c r="H7413" t="s">
        <v>25</v>
      </c>
    </row>
    <row r="7414" spans="2:8" x14ac:dyDescent="0.2">
      <c r="B7414" s="3">
        <v>45110</v>
      </c>
      <c r="G7414" s="2">
        <f t="shared" si="115"/>
        <v>0</v>
      </c>
      <c r="H7414" t="s">
        <v>24</v>
      </c>
    </row>
    <row r="7415" spans="2:8" x14ac:dyDescent="0.2">
      <c r="B7415" s="3">
        <v>45110</v>
      </c>
      <c r="G7415" s="2">
        <f t="shared" si="115"/>
        <v>0</v>
      </c>
      <c r="H7415" t="s">
        <v>9</v>
      </c>
    </row>
    <row r="7416" spans="2:8" x14ac:dyDescent="0.2">
      <c r="B7416" s="3">
        <v>45110</v>
      </c>
      <c r="G7416" s="2">
        <f t="shared" si="115"/>
        <v>0</v>
      </c>
      <c r="H7416" t="s">
        <v>8</v>
      </c>
    </row>
    <row r="7417" spans="2:8" x14ac:dyDescent="0.2">
      <c r="B7417" s="3">
        <v>45110</v>
      </c>
      <c r="G7417" s="2">
        <f t="shared" si="115"/>
        <v>0</v>
      </c>
      <c r="H7417" t="s">
        <v>6</v>
      </c>
    </row>
    <row r="7418" spans="2:8" x14ac:dyDescent="0.2">
      <c r="B7418" s="3">
        <v>45110</v>
      </c>
      <c r="G7418" s="2">
        <f t="shared" si="115"/>
        <v>0</v>
      </c>
      <c r="H7418" t="s">
        <v>5</v>
      </c>
    </row>
    <row r="7419" spans="2:8" x14ac:dyDescent="0.2">
      <c r="B7419" s="3">
        <v>45110</v>
      </c>
      <c r="G7419" s="2">
        <f t="shared" si="115"/>
        <v>0</v>
      </c>
      <c r="H7419" s="1"/>
    </row>
    <row r="7420" spans="2:8" x14ac:dyDescent="0.2">
      <c r="B7420" s="3">
        <v>45111</v>
      </c>
      <c r="G7420" s="2">
        <f t="shared" si="115"/>
        <v>0</v>
      </c>
      <c r="H7420" t="s">
        <v>14</v>
      </c>
    </row>
    <row r="7421" spans="2:8" x14ac:dyDescent="0.2">
      <c r="B7421" s="3">
        <v>45111</v>
      </c>
      <c r="G7421" s="2">
        <f t="shared" si="115"/>
        <v>0</v>
      </c>
      <c r="H7421" t="s">
        <v>27</v>
      </c>
    </row>
    <row r="7422" spans="2:8" x14ac:dyDescent="0.2">
      <c r="B7422" s="3">
        <v>45111</v>
      </c>
      <c r="G7422" s="2">
        <f t="shared" si="115"/>
        <v>0</v>
      </c>
      <c r="H7422" t="s">
        <v>13</v>
      </c>
    </row>
    <row r="7423" spans="2:8" x14ac:dyDescent="0.2">
      <c r="B7423" s="3">
        <v>45111</v>
      </c>
      <c r="G7423" s="2">
        <f t="shared" si="115"/>
        <v>0</v>
      </c>
      <c r="H7423" t="s">
        <v>30</v>
      </c>
    </row>
    <row r="7424" spans="2:8" x14ac:dyDescent="0.2">
      <c r="B7424" s="3">
        <v>45111</v>
      </c>
      <c r="G7424" s="2">
        <f t="shared" si="115"/>
        <v>0</v>
      </c>
      <c r="H7424" t="s">
        <v>25</v>
      </c>
    </row>
    <row r="7425" spans="2:8" x14ac:dyDescent="0.2">
      <c r="B7425" s="3">
        <v>45111</v>
      </c>
      <c r="G7425" s="2">
        <f t="shared" si="115"/>
        <v>0</v>
      </c>
      <c r="H7425" t="s">
        <v>24</v>
      </c>
    </row>
    <row r="7426" spans="2:8" x14ac:dyDescent="0.2">
      <c r="B7426" s="3">
        <v>45111</v>
      </c>
      <c r="G7426" s="2">
        <f t="shared" si="115"/>
        <v>0</v>
      </c>
      <c r="H7426" t="s">
        <v>9</v>
      </c>
    </row>
    <row r="7427" spans="2:8" x14ac:dyDescent="0.2">
      <c r="B7427" s="3">
        <v>45111</v>
      </c>
      <c r="G7427" s="2">
        <f t="shared" ref="G7427:G7490" si="116">E7427-F7427</f>
        <v>0</v>
      </c>
      <c r="H7427" t="s">
        <v>8</v>
      </c>
    </row>
    <row r="7428" spans="2:8" x14ac:dyDescent="0.2">
      <c r="B7428" s="3">
        <v>45111</v>
      </c>
      <c r="G7428" s="2">
        <f t="shared" si="116"/>
        <v>0</v>
      </c>
      <c r="H7428" t="s">
        <v>6</v>
      </c>
    </row>
    <row r="7429" spans="2:8" x14ac:dyDescent="0.2">
      <c r="B7429" s="3">
        <v>45111</v>
      </c>
      <c r="G7429" s="2">
        <f t="shared" si="116"/>
        <v>0</v>
      </c>
      <c r="H7429" t="s">
        <v>5</v>
      </c>
    </row>
    <row r="7430" spans="2:8" x14ac:dyDescent="0.2">
      <c r="B7430" s="3">
        <v>45111</v>
      </c>
      <c r="G7430" s="2">
        <f t="shared" si="116"/>
        <v>0</v>
      </c>
      <c r="H7430" s="1"/>
    </row>
    <row r="7431" spans="2:8" x14ac:dyDescent="0.2">
      <c r="B7431" s="3">
        <v>45112</v>
      </c>
      <c r="D7431" s="1">
        <v>600</v>
      </c>
      <c r="E7431" s="1">
        <v>660</v>
      </c>
      <c r="G7431" s="2">
        <f t="shared" si="116"/>
        <v>660</v>
      </c>
      <c r="H7431" t="s">
        <v>14</v>
      </c>
    </row>
    <row r="7432" spans="2:8" x14ac:dyDescent="0.2">
      <c r="B7432" s="3">
        <v>45112</v>
      </c>
      <c r="G7432" s="2">
        <f t="shared" si="116"/>
        <v>0</v>
      </c>
      <c r="H7432" t="s">
        <v>27</v>
      </c>
    </row>
    <row r="7433" spans="2:8" x14ac:dyDescent="0.2">
      <c r="B7433" s="3">
        <v>45112</v>
      </c>
      <c r="D7433" s="1">
        <v>6806.3</v>
      </c>
      <c r="E7433" s="1">
        <v>7876.25</v>
      </c>
      <c r="F7433" s="1">
        <v>6000</v>
      </c>
      <c r="G7433" s="2">
        <f t="shared" si="116"/>
        <v>1876.25</v>
      </c>
      <c r="H7433" t="s">
        <v>13</v>
      </c>
    </row>
    <row r="7434" spans="2:8" x14ac:dyDescent="0.2">
      <c r="B7434" s="3">
        <v>45112</v>
      </c>
      <c r="G7434" s="2">
        <f t="shared" si="116"/>
        <v>0</v>
      </c>
      <c r="H7434" t="s">
        <v>30</v>
      </c>
    </row>
    <row r="7435" spans="2:8" x14ac:dyDescent="0.2">
      <c r="B7435" s="3">
        <v>45112</v>
      </c>
      <c r="G7435" s="2">
        <f t="shared" si="116"/>
        <v>0</v>
      </c>
      <c r="H7435" t="s">
        <v>25</v>
      </c>
    </row>
    <row r="7436" spans="2:8" x14ac:dyDescent="0.2">
      <c r="B7436" s="3">
        <v>45112</v>
      </c>
      <c r="D7436" s="1">
        <v>310</v>
      </c>
      <c r="E7436" s="1">
        <v>380</v>
      </c>
      <c r="G7436" s="2">
        <f t="shared" si="116"/>
        <v>380</v>
      </c>
      <c r="H7436" t="s">
        <v>24</v>
      </c>
    </row>
    <row r="7437" spans="2:8" x14ac:dyDescent="0.2">
      <c r="B7437" s="3">
        <v>45112</v>
      </c>
      <c r="G7437" s="2">
        <f t="shared" si="116"/>
        <v>0</v>
      </c>
      <c r="H7437" t="s">
        <v>9</v>
      </c>
    </row>
    <row r="7438" spans="2:8" x14ac:dyDescent="0.2">
      <c r="B7438" s="3">
        <v>45112</v>
      </c>
      <c r="D7438" s="1">
        <v>3000</v>
      </c>
      <c r="E7438" s="1">
        <v>3300</v>
      </c>
      <c r="F7438" s="1">
        <v>21785</v>
      </c>
      <c r="G7438" s="2">
        <f t="shared" si="116"/>
        <v>-18485</v>
      </c>
      <c r="H7438" t="s">
        <v>8</v>
      </c>
    </row>
    <row r="7439" spans="2:8" x14ac:dyDescent="0.2">
      <c r="B7439" s="3">
        <v>45112</v>
      </c>
      <c r="G7439" s="2">
        <f t="shared" si="116"/>
        <v>0</v>
      </c>
      <c r="H7439" t="s">
        <v>6</v>
      </c>
    </row>
    <row r="7440" spans="2:8" x14ac:dyDescent="0.2">
      <c r="B7440" s="3">
        <v>45112</v>
      </c>
      <c r="G7440" s="2">
        <f t="shared" si="116"/>
        <v>0</v>
      </c>
      <c r="H7440" t="s">
        <v>5</v>
      </c>
    </row>
    <row r="7441" spans="2:8" x14ac:dyDescent="0.2">
      <c r="B7441" s="3">
        <v>45112</v>
      </c>
      <c r="G7441" s="2">
        <f t="shared" si="116"/>
        <v>0</v>
      </c>
      <c r="H7441" s="1"/>
    </row>
    <row r="7442" spans="2:8" x14ac:dyDescent="0.2">
      <c r="B7442" s="3">
        <v>45113</v>
      </c>
      <c r="G7442" s="2">
        <f t="shared" si="116"/>
        <v>0</v>
      </c>
      <c r="H7442" t="s">
        <v>14</v>
      </c>
    </row>
    <row r="7443" spans="2:8" x14ac:dyDescent="0.2">
      <c r="B7443" s="3">
        <v>45113</v>
      </c>
      <c r="G7443" s="2">
        <f t="shared" si="116"/>
        <v>0</v>
      </c>
      <c r="H7443" t="s">
        <v>27</v>
      </c>
    </row>
    <row r="7444" spans="2:8" x14ac:dyDescent="0.2">
      <c r="B7444" s="3">
        <v>45113</v>
      </c>
      <c r="G7444" s="2">
        <f t="shared" si="116"/>
        <v>0</v>
      </c>
      <c r="H7444" t="s">
        <v>13</v>
      </c>
    </row>
    <row r="7445" spans="2:8" x14ac:dyDescent="0.2">
      <c r="B7445" s="3">
        <v>45113</v>
      </c>
      <c r="G7445" s="2">
        <f t="shared" si="116"/>
        <v>0</v>
      </c>
      <c r="H7445" t="s">
        <v>30</v>
      </c>
    </row>
    <row r="7446" spans="2:8" x14ac:dyDescent="0.2">
      <c r="B7446" s="3">
        <v>45113</v>
      </c>
      <c r="G7446" s="2">
        <f t="shared" si="116"/>
        <v>0</v>
      </c>
      <c r="H7446" t="s">
        <v>25</v>
      </c>
    </row>
    <row r="7447" spans="2:8" x14ac:dyDescent="0.2">
      <c r="B7447" s="3">
        <v>45113</v>
      </c>
      <c r="G7447" s="2">
        <f t="shared" si="116"/>
        <v>0</v>
      </c>
      <c r="H7447" t="s">
        <v>24</v>
      </c>
    </row>
    <row r="7448" spans="2:8" x14ac:dyDescent="0.2">
      <c r="B7448" s="3">
        <v>45113</v>
      </c>
      <c r="G7448" s="2">
        <f t="shared" si="116"/>
        <v>0</v>
      </c>
      <c r="H7448" t="s">
        <v>9</v>
      </c>
    </row>
    <row r="7449" spans="2:8" x14ac:dyDescent="0.2">
      <c r="B7449" s="3">
        <v>45113</v>
      </c>
      <c r="G7449" s="2">
        <f t="shared" si="116"/>
        <v>0</v>
      </c>
      <c r="H7449" t="s">
        <v>8</v>
      </c>
    </row>
    <row r="7450" spans="2:8" x14ac:dyDescent="0.2">
      <c r="B7450" s="3">
        <v>45113</v>
      </c>
      <c r="G7450" s="2">
        <f t="shared" si="116"/>
        <v>0</v>
      </c>
      <c r="H7450" t="s">
        <v>6</v>
      </c>
    </row>
    <row r="7451" spans="2:8" x14ac:dyDescent="0.2">
      <c r="B7451" s="3">
        <v>45113</v>
      </c>
      <c r="G7451" s="2">
        <f t="shared" si="116"/>
        <v>0</v>
      </c>
      <c r="H7451" t="s">
        <v>5</v>
      </c>
    </row>
    <row r="7452" spans="2:8" x14ac:dyDescent="0.2">
      <c r="B7452" s="3">
        <v>45113</v>
      </c>
      <c r="G7452" s="2">
        <f t="shared" si="116"/>
        <v>0</v>
      </c>
      <c r="H7452" s="1"/>
    </row>
    <row r="7453" spans="2:8" x14ac:dyDescent="0.2">
      <c r="B7453" s="3">
        <v>45114</v>
      </c>
      <c r="G7453" s="2">
        <f t="shared" si="116"/>
        <v>0</v>
      </c>
      <c r="H7453" t="s">
        <v>14</v>
      </c>
    </row>
    <row r="7454" spans="2:8" x14ac:dyDescent="0.2">
      <c r="B7454" s="3">
        <v>45114</v>
      </c>
      <c r="G7454" s="2">
        <f t="shared" si="116"/>
        <v>0</v>
      </c>
      <c r="H7454" t="s">
        <v>27</v>
      </c>
    </row>
    <row r="7455" spans="2:8" x14ac:dyDescent="0.2">
      <c r="B7455" s="3">
        <v>45114</v>
      </c>
      <c r="G7455" s="2">
        <f t="shared" si="116"/>
        <v>0</v>
      </c>
      <c r="H7455" t="s">
        <v>13</v>
      </c>
    </row>
    <row r="7456" spans="2:8" x14ac:dyDescent="0.2">
      <c r="B7456" s="3">
        <v>45114</v>
      </c>
      <c r="G7456" s="2">
        <f t="shared" si="116"/>
        <v>0</v>
      </c>
      <c r="H7456" t="s">
        <v>30</v>
      </c>
    </row>
    <row r="7457" spans="2:8" x14ac:dyDescent="0.2">
      <c r="B7457" s="3">
        <v>45114</v>
      </c>
      <c r="G7457" s="2">
        <f t="shared" si="116"/>
        <v>0</v>
      </c>
      <c r="H7457" t="s">
        <v>25</v>
      </c>
    </row>
    <row r="7458" spans="2:8" x14ac:dyDescent="0.2">
      <c r="B7458" s="3">
        <v>45114</v>
      </c>
      <c r="G7458" s="2">
        <f t="shared" si="116"/>
        <v>0</v>
      </c>
      <c r="H7458" t="s">
        <v>24</v>
      </c>
    </row>
    <row r="7459" spans="2:8" x14ac:dyDescent="0.2">
      <c r="B7459" s="3">
        <v>45114</v>
      </c>
      <c r="G7459" s="2">
        <f t="shared" si="116"/>
        <v>0</v>
      </c>
      <c r="H7459" t="s">
        <v>9</v>
      </c>
    </row>
    <row r="7460" spans="2:8" x14ac:dyDescent="0.2">
      <c r="B7460" s="3">
        <v>45114</v>
      </c>
      <c r="G7460" s="2">
        <f t="shared" si="116"/>
        <v>0</v>
      </c>
      <c r="H7460" t="s">
        <v>8</v>
      </c>
    </row>
    <row r="7461" spans="2:8" x14ac:dyDescent="0.2">
      <c r="B7461" s="3">
        <v>45114</v>
      </c>
      <c r="G7461" s="2">
        <f t="shared" si="116"/>
        <v>0</v>
      </c>
      <c r="H7461" t="s">
        <v>6</v>
      </c>
    </row>
    <row r="7462" spans="2:8" x14ac:dyDescent="0.2">
      <c r="B7462" s="3">
        <v>45114</v>
      </c>
      <c r="G7462" s="2">
        <f t="shared" si="116"/>
        <v>0</v>
      </c>
      <c r="H7462" t="s">
        <v>5</v>
      </c>
    </row>
    <row r="7463" spans="2:8" x14ac:dyDescent="0.2">
      <c r="B7463" s="3">
        <v>45114</v>
      </c>
      <c r="G7463" s="2">
        <f t="shared" si="116"/>
        <v>0</v>
      </c>
      <c r="H7463" s="1"/>
    </row>
    <row r="7464" spans="2:8" x14ac:dyDescent="0.2">
      <c r="B7464" s="3">
        <v>45115</v>
      </c>
      <c r="G7464" s="2">
        <f t="shared" si="116"/>
        <v>0</v>
      </c>
      <c r="H7464" t="s">
        <v>14</v>
      </c>
    </row>
    <row r="7465" spans="2:8" x14ac:dyDescent="0.2">
      <c r="B7465" s="3">
        <v>45115</v>
      </c>
      <c r="F7465" s="1">
        <v>5000</v>
      </c>
      <c r="G7465" s="2">
        <f t="shared" si="116"/>
        <v>-5000</v>
      </c>
      <c r="H7465" t="s">
        <v>27</v>
      </c>
    </row>
    <row r="7466" spans="2:8" x14ac:dyDescent="0.2">
      <c r="B7466" s="3">
        <v>45115</v>
      </c>
      <c r="G7466" s="2">
        <f t="shared" si="116"/>
        <v>0</v>
      </c>
      <c r="H7466" t="s">
        <v>13</v>
      </c>
    </row>
    <row r="7467" spans="2:8" x14ac:dyDescent="0.2">
      <c r="B7467" s="3">
        <v>45115</v>
      </c>
      <c r="G7467" s="2">
        <f t="shared" si="116"/>
        <v>0</v>
      </c>
      <c r="H7467" t="s">
        <v>30</v>
      </c>
    </row>
    <row r="7468" spans="2:8" x14ac:dyDescent="0.2">
      <c r="B7468" s="3">
        <v>45115</v>
      </c>
      <c r="G7468" s="2">
        <f t="shared" si="116"/>
        <v>0</v>
      </c>
      <c r="H7468" t="s">
        <v>25</v>
      </c>
    </row>
    <row r="7469" spans="2:8" x14ac:dyDescent="0.2">
      <c r="B7469" s="3">
        <v>45115</v>
      </c>
      <c r="G7469" s="2">
        <f t="shared" si="116"/>
        <v>0</v>
      </c>
      <c r="H7469" t="s">
        <v>24</v>
      </c>
    </row>
    <row r="7470" spans="2:8" x14ac:dyDescent="0.2">
      <c r="B7470" s="3">
        <v>45115</v>
      </c>
      <c r="G7470" s="2">
        <f t="shared" si="116"/>
        <v>0</v>
      </c>
      <c r="H7470" t="s">
        <v>9</v>
      </c>
    </row>
    <row r="7471" spans="2:8" x14ac:dyDescent="0.2">
      <c r="B7471" s="3">
        <v>45115</v>
      </c>
      <c r="G7471" s="2">
        <f t="shared" si="116"/>
        <v>0</v>
      </c>
      <c r="H7471" t="s">
        <v>8</v>
      </c>
    </row>
    <row r="7472" spans="2:8" x14ac:dyDescent="0.2">
      <c r="B7472" s="3">
        <v>45115</v>
      </c>
      <c r="G7472" s="2">
        <f t="shared" si="116"/>
        <v>0</v>
      </c>
      <c r="H7472" t="s">
        <v>6</v>
      </c>
    </row>
    <row r="7473" spans="2:8" x14ac:dyDescent="0.2">
      <c r="B7473" s="3">
        <v>45115</v>
      </c>
      <c r="G7473" s="2">
        <f t="shared" si="116"/>
        <v>0</v>
      </c>
      <c r="H7473" t="s">
        <v>5</v>
      </c>
    </row>
    <row r="7474" spans="2:8" x14ac:dyDescent="0.2">
      <c r="B7474" s="3">
        <v>45115</v>
      </c>
      <c r="G7474" s="2">
        <f t="shared" si="116"/>
        <v>0</v>
      </c>
      <c r="H7474" s="1"/>
    </row>
    <row r="7475" spans="2:8" x14ac:dyDescent="0.2">
      <c r="B7475" s="3">
        <v>45116</v>
      </c>
      <c r="G7475" s="2">
        <f t="shared" si="116"/>
        <v>0</v>
      </c>
      <c r="H7475" t="s">
        <v>14</v>
      </c>
    </row>
    <row r="7476" spans="2:8" x14ac:dyDescent="0.2">
      <c r="B7476" s="3">
        <v>45116</v>
      </c>
      <c r="G7476" s="2">
        <f t="shared" si="116"/>
        <v>0</v>
      </c>
      <c r="H7476" t="s">
        <v>27</v>
      </c>
    </row>
    <row r="7477" spans="2:8" x14ac:dyDescent="0.2">
      <c r="B7477" s="3">
        <v>45116</v>
      </c>
      <c r="D7477" s="1">
        <v>4693</v>
      </c>
      <c r="E7477" s="1">
        <v>5707.5</v>
      </c>
      <c r="G7477" s="2">
        <f t="shared" si="116"/>
        <v>5707.5</v>
      </c>
      <c r="H7477" t="s">
        <v>13</v>
      </c>
    </row>
    <row r="7478" spans="2:8" x14ac:dyDescent="0.2">
      <c r="B7478" s="3">
        <v>45116</v>
      </c>
      <c r="G7478" s="2">
        <f t="shared" si="116"/>
        <v>0</v>
      </c>
      <c r="H7478" t="s">
        <v>30</v>
      </c>
    </row>
    <row r="7479" spans="2:8" x14ac:dyDescent="0.2">
      <c r="B7479" s="3">
        <v>45116</v>
      </c>
      <c r="G7479" s="2">
        <f t="shared" si="116"/>
        <v>0</v>
      </c>
      <c r="H7479" t="s">
        <v>25</v>
      </c>
    </row>
    <row r="7480" spans="2:8" x14ac:dyDescent="0.2">
      <c r="B7480" s="3">
        <v>45116</v>
      </c>
      <c r="D7480" s="1">
        <v>1849</v>
      </c>
      <c r="E7480" s="1">
        <v>2010.5</v>
      </c>
      <c r="G7480" s="2">
        <f t="shared" si="116"/>
        <v>2010.5</v>
      </c>
      <c r="H7480" t="s">
        <v>24</v>
      </c>
    </row>
    <row r="7481" spans="2:8" x14ac:dyDescent="0.2">
      <c r="B7481" s="3">
        <v>45116</v>
      </c>
      <c r="G7481" s="2">
        <f t="shared" si="116"/>
        <v>0</v>
      </c>
      <c r="H7481" t="s">
        <v>9</v>
      </c>
    </row>
    <row r="7482" spans="2:8" x14ac:dyDescent="0.2">
      <c r="B7482" s="3">
        <v>45116</v>
      </c>
      <c r="G7482" s="2">
        <f t="shared" si="116"/>
        <v>0</v>
      </c>
      <c r="H7482" t="s">
        <v>8</v>
      </c>
    </row>
    <row r="7483" spans="2:8" x14ac:dyDescent="0.2">
      <c r="B7483" s="3">
        <v>45116</v>
      </c>
      <c r="G7483" s="2">
        <f t="shared" si="116"/>
        <v>0</v>
      </c>
      <c r="H7483" t="s">
        <v>6</v>
      </c>
    </row>
    <row r="7484" spans="2:8" x14ac:dyDescent="0.2">
      <c r="B7484" s="3">
        <v>45116</v>
      </c>
      <c r="G7484" s="2">
        <f t="shared" si="116"/>
        <v>0</v>
      </c>
      <c r="H7484" t="s">
        <v>5</v>
      </c>
    </row>
    <row r="7485" spans="2:8" x14ac:dyDescent="0.2">
      <c r="B7485" s="3">
        <v>45116</v>
      </c>
      <c r="G7485" s="2">
        <f t="shared" si="116"/>
        <v>0</v>
      </c>
      <c r="H7485" s="1"/>
    </row>
    <row r="7486" spans="2:8" x14ac:dyDescent="0.2">
      <c r="B7486" s="3">
        <v>45117</v>
      </c>
      <c r="G7486" s="2">
        <f t="shared" si="116"/>
        <v>0</v>
      </c>
      <c r="H7486" t="s">
        <v>14</v>
      </c>
    </row>
    <row r="7487" spans="2:8" x14ac:dyDescent="0.2">
      <c r="B7487" s="3">
        <v>45117</v>
      </c>
      <c r="G7487" s="2">
        <f t="shared" si="116"/>
        <v>0</v>
      </c>
      <c r="H7487" t="s">
        <v>27</v>
      </c>
    </row>
    <row r="7488" spans="2:8" x14ac:dyDescent="0.2">
      <c r="B7488" s="3">
        <v>45117</v>
      </c>
      <c r="G7488" s="2">
        <f t="shared" si="116"/>
        <v>0</v>
      </c>
      <c r="H7488" t="s">
        <v>13</v>
      </c>
    </row>
    <row r="7489" spans="2:8" x14ac:dyDescent="0.2">
      <c r="B7489" s="3">
        <v>45117</v>
      </c>
      <c r="G7489" s="2">
        <f t="shared" si="116"/>
        <v>0</v>
      </c>
      <c r="H7489" t="s">
        <v>30</v>
      </c>
    </row>
    <row r="7490" spans="2:8" x14ac:dyDescent="0.2">
      <c r="B7490" s="3">
        <v>45117</v>
      </c>
      <c r="G7490" s="2">
        <f t="shared" si="116"/>
        <v>0</v>
      </c>
      <c r="H7490" t="s">
        <v>25</v>
      </c>
    </row>
    <row r="7491" spans="2:8" x14ac:dyDescent="0.2">
      <c r="B7491" s="3">
        <v>45117</v>
      </c>
      <c r="G7491" s="2">
        <f t="shared" ref="G7491:G7554" si="117">E7491-F7491</f>
        <v>0</v>
      </c>
      <c r="H7491" t="s">
        <v>24</v>
      </c>
    </row>
    <row r="7492" spans="2:8" x14ac:dyDescent="0.2">
      <c r="B7492" s="3">
        <v>45117</v>
      </c>
      <c r="G7492" s="2">
        <f t="shared" si="117"/>
        <v>0</v>
      </c>
      <c r="H7492" t="s">
        <v>9</v>
      </c>
    </row>
    <row r="7493" spans="2:8" x14ac:dyDescent="0.2">
      <c r="B7493" s="3">
        <v>45117</v>
      </c>
      <c r="G7493" s="2">
        <f t="shared" si="117"/>
        <v>0</v>
      </c>
      <c r="H7493" t="s">
        <v>8</v>
      </c>
    </row>
    <row r="7494" spans="2:8" x14ac:dyDescent="0.2">
      <c r="B7494" s="3">
        <v>45117</v>
      </c>
      <c r="G7494" s="2">
        <f t="shared" si="117"/>
        <v>0</v>
      </c>
      <c r="H7494" t="s">
        <v>6</v>
      </c>
    </row>
    <row r="7495" spans="2:8" x14ac:dyDescent="0.2">
      <c r="B7495" s="3">
        <v>45117</v>
      </c>
      <c r="G7495" s="2">
        <f t="shared" si="117"/>
        <v>0</v>
      </c>
      <c r="H7495" t="s">
        <v>5</v>
      </c>
    </row>
    <row r="7496" spans="2:8" x14ac:dyDescent="0.2">
      <c r="B7496" s="3">
        <v>45117</v>
      </c>
      <c r="G7496" s="2">
        <f t="shared" si="117"/>
        <v>0</v>
      </c>
      <c r="H7496" s="1"/>
    </row>
    <row r="7497" spans="2:8" x14ac:dyDescent="0.2">
      <c r="B7497" s="3">
        <v>45118</v>
      </c>
      <c r="G7497" s="2">
        <f t="shared" si="117"/>
        <v>0</v>
      </c>
      <c r="H7497" t="s">
        <v>14</v>
      </c>
    </row>
    <row r="7498" spans="2:8" x14ac:dyDescent="0.2">
      <c r="B7498" s="3">
        <v>45118</v>
      </c>
      <c r="G7498" s="2">
        <f t="shared" si="117"/>
        <v>0</v>
      </c>
      <c r="H7498" t="s">
        <v>27</v>
      </c>
    </row>
    <row r="7499" spans="2:8" x14ac:dyDescent="0.2">
      <c r="B7499" s="3">
        <v>45118</v>
      </c>
      <c r="G7499" s="2">
        <f t="shared" si="117"/>
        <v>0</v>
      </c>
      <c r="H7499" t="s">
        <v>13</v>
      </c>
    </row>
    <row r="7500" spans="2:8" x14ac:dyDescent="0.2">
      <c r="B7500" s="3">
        <v>45118</v>
      </c>
      <c r="G7500" s="2">
        <f t="shared" si="117"/>
        <v>0</v>
      </c>
      <c r="H7500" t="s">
        <v>30</v>
      </c>
    </row>
    <row r="7501" spans="2:8" x14ac:dyDescent="0.2">
      <c r="B7501" s="3">
        <v>45118</v>
      </c>
      <c r="G7501" s="2">
        <f t="shared" si="117"/>
        <v>0</v>
      </c>
      <c r="H7501" t="s">
        <v>25</v>
      </c>
    </row>
    <row r="7502" spans="2:8" x14ac:dyDescent="0.2">
      <c r="B7502" s="3">
        <v>45118</v>
      </c>
      <c r="G7502" s="2">
        <f t="shared" si="117"/>
        <v>0</v>
      </c>
      <c r="H7502" t="s">
        <v>24</v>
      </c>
    </row>
    <row r="7503" spans="2:8" x14ac:dyDescent="0.2">
      <c r="B7503" s="3">
        <v>45118</v>
      </c>
      <c r="G7503" s="2">
        <f t="shared" si="117"/>
        <v>0</v>
      </c>
      <c r="H7503" t="s">
        <v>9</v>
      </c>
    </row>
    <row r="7504" spans="2:8" x14ac:dyDescent="0.2">
      <c r="B7504" s="3">
        <v>45118</v>
      </c>
      <c r="G7504" s="2">
        <f t="shared" si="117"/>
        <v>0</v>
      </c>
      <c r="H7504" t="s">
        <v>8</v>
      </c>
    </row>
    <row r="7505" spans="2:8" x14ac:dyDescent="0.2">
      <c r="B7505" s="3">
        <v>45118</v>
      </c>
      <c r="G7505" s="2">
        <f t="shared" si="117"/>
        <v>0</v>
      </c>
      <c r="H7505" t="s">
        <v>6</v>
      </c>
    </row>
    <row r="7506" spans="2:8" x14ac:dyDescent="0.2">
      <c r="B7506" s="3">
        <v>45118</v>
      </c>
      <c r="G7506" s="2">
        <f t="shared" si="117"/>
        <v>0</v>
      </c>
      <c r="H7506" t="s">
        <v>5</v>
      </c>
    </row>
    <row r="7507" spans="2:8" x14ac:dyDescent="0.2">
      <c r="B7507" s="3">
        <v>45118</v>
      </c>
      <c r="G7507" s="2">
        <f t="shared" si="117"/>
        <v>0</v>
      </c>
      <c r="H7507" s="1"/>
    </row>
    <row r="7508" spans="2:8" x14ac:dyDescent="0.2">
      <c r="B7508" s="3">
        <v>45119</v>
      </c>
      <c r="D7508" s="1">
        <v>16900</v>
      </c>
      <c r="E7508" s="1">
        <v>19362.5</v>
      </c>
      <c r="F7508" s="1">
        <v>10000</v>
      </c>
      <c r="G7508" s="2">
        <f t="shared" si="117"/>
        <v>9362.5</v>
      </c>
      <c r="H7508" t="s">
        <v>14</v>
      </c>
    </row>
    <row r="7509" spans="2:8" x14ac:dyDescent="0.2">
      <c r="B7509" s="3">
        <v>45119</v>
      </c>
      <c r="G7509" s="2">
        <f t="shared" si="117"/>
        <v>0</v>
      </c>
      <c r="H7509" t="s">
        <v>27</v>
      </c>
    </row>
    <row r="7510" spans="2:8" x14ac:dyDescent="0.2">
      <c r="B7510" s="3">
        <v>45119</v>
      </c>
      <c r="D7510" s="1">
        <v>2432.85</v>
      </c>
      <c r="E7510" s="1">
        <v>2780</v>
      </c>
      <c r="F7510" s="1">
        <v>9000</v>
      </c>
      <c r="G7510" s="2">
        <f t="shared" si="117"/>
        <v>-6220</v>
      </c>
      <c r="H7510" t="s">
        <v>13</v>
      </c>
    </row>
    <row r="7511" spans="2:8" x14ac:dyDescent="0.2">
      <c r="B7511" s="3">
        <v>45119</v>
      </c>
      <c r="G7511" s="2">
        <f t="shared" si="117"/>
        <v>0</v>
      </c>
      <c r="H7511" t="s">
        <v>30</v>
      </c>
    </row>
    <row r="7512" spans="2:8" x14ac:dyDescent="0.2">
      <c r="B7512" s="3">
        <v>45119</v>
      </c>
      <c r="G7512" s="2">
        <f t="shared" si="117"/>
        <v>0</v>
      </c>
      <c r="H7512" t="s">
        <v>25</v>
      </c>
    </row>
    <row r="7513" spans="2:8" x14ac:dyDescent="0.2">
      <c r="B7513" s="3">
        <v>45119</v>
      </c>
      <c r="F7513" s="1">
        <v>1500</v>
      </c>
      <c r="G7513" s="2">
        <f t="shared" si="117"/>
        <v>-1500</v>
      </c>
      <c r="H7513" t="s">
        <v>24</v>
      </c>
    </row>
    <row r="7514" spans="2:8" x14ac:dyDescent="0.2">
      <c r="B7514" s="3">
        <v>45119</v>
      </c>
      <c r="F7514" s="1">
        <v>15140</v>
      </c>
      <c r="G7514" s="2">
        <f t="shared" si="117"/>
        <v>-15140</v>
      </c>
      <c r="H7514" t="s">
        <v>9</v>
      </c>
    </row>
    <row r="7515" spans="2:8" x14ac:dyDescent="0.2">
      <c r="B7515" s="3">
        <v>45119</v>
      </c>
      <c r="G7515" s="2">
        <f t="shared" si="117"/>
        <v>0</v>
      </c>
      <c r="H7515" t="s">
        <v>8</v>
      </c>
    </row>
    <row r="7516" spans="2:8" x14ac:dyDescent="0.2">
      <c r="B7516" s="3">
        <v>45119</v>
      </c>
      <c r="G7516" s="2">
        <f t="shared" si="117"/>
        <v>0</v>
      </c>
      <c r="H7516" t="s">
        <v>6</v>
      </c>
    </row>
    <row r="7517" spans="2:8" x14ac:dyDescent="0.2">
      <c r="B7517" s="3">
        <v>45119</v>
      </c>
      <c r="G7517" s="2">
        <f t="shared" si="117"/>
        <v>0</v>
      </c>
      <c r="H7517" t="s">
        <v>5</v>
      </c>
    </row>
    <row r="7518" spans="2:8" x14ac:dyDescent="0.2">
      <c r="B7518" s="3">
        <v>45119</v>
      </c>
      <c r="G7518" s="2">
        <f t="shared" si="117"/>
        <v>0</v>
      </c>
      <c r="H7518" s="1"/>
    </row>
    <row r="7519" spans="2:8" x14ac:dyDescent="0.2">
      <c r="B7519" s="3">
        <v>45120</v>
      </c>
      <c r="G7519" s="2">
        <f t="shared" si="117"/>
        <v>0</v>
      </c>
      <c r="H7519" t="s">
        <v>14</v>
      </c>
    </row>
    <row r="7520" spans="2:8" x14ac:dyDescent="0.2">
      <c r="B7520" s="3">
        <v>45120</v>
      </c>
      <c r="G7520" s="2">
        <f t="shared" si="117"/>
        <v>0</v>
      </c>
      <c r="H7520" t="s">
        <v>27</v>
      </c>
    </row>
    <row r="7521" spans="2:8" x14ac:dyDescent="0.2">
      <c r="B7521" s="3">
        <v>45120</v>
      </c>
      <c r="G7521" s="2">
        <f t="shared" si="117"/>
        <v>0</v>
      </c>
      <c r="H7521" t="s">
        <v>13</v>
      </c>
    </row>
    <row r="7522" spans="2:8" x14ac:dyDescent="0.2">
      <c r="B7522" s="3">
        <v>45120</v>
      </c>
      <c r="G7522" s="2">
        <f t="shared" si="117"/>
        <v>0</v>
      </c>
      <c r="H7522" t="s">
        <v>30</v>
      </c>
    </row>
    <row r="7523" spans="2:8" x14ac:dyDescent="0.2">
      <c r="B7523" s="3">
        <v>45120</v>
      </c>
      <c r="G7523" s="2">
        <f t="shared" si="117"/>
        <v>0</v>
      </c>
      <c r="H7523" t="s">
        <v>25</v>
      </c>
    </row>
    <row r="7524" spans="2:8" x14ac:dyDescent="0.2">
      <c r="B7524" s="3">
        <v>45120</v>
      </c>
      <c r="G7524" s="2">
        <f t="shared" si="117"/>
        <v>0</v>
      </c>
      <c r="H7524" t="s">
        <v>24</v>
      </c>
    </row>
    <row r="7525" spans="2:8" x14ac:dyDescent="0.2">
      <c r="B7525" s="3">
        <v>45120</v>
      </c>
      <c r="G7525" s="2">
        <f t="shared" si="117"/>
        <v>0</v>
      </c>
      <c r="H7525" t="s">
        <v>9</v>
      </c>
    </row>
    <row r="7526" spans="2:8" x14ac:dyDescent="0.2">
      <c r="B7526" s="3">
        <v>45120</v>
      </c>
      <c r="D7526" s="1">
        <v>5900</v>
      </c>
      <c r="E7526" s="1">
        <v>6800</v>
      </c>
      <c r="G7526" s="2">
        <f t="shared" si="117"/>
        <v>6800</v>
      </c>
      <c r="H7526" t="s">
        <v>8</v>
      </c>
    </row>
    <row r="7527" spans="2:8" x14ac:dyDescent="0.2">
      <c r="B7527" s="3">
        <v>45120</v>
      </c>
      <c r="G7527" s="2">
        <f t="shared" si="117"/>
        <v>0</v>
      </c>
      <c r="H7527" t="s">
        <v>6</v>
      </c>
    </row>
    <row r="7528" spans="2:8" x14ac:dyDescent="0.2">
      <c r="B7528" s="3">
        <v>45120</v>
      </c>
      <c r="G7528" s="2">
        <f t="shared" si="117"/>
        <v>0</v>
      </c>
      <c r="H7528" t="s">
        <v>5</v>
      </c>
    </row>
    <row r="7529" spans="2:8" x14ac:dyDescent="0.2">
      <c r="B7529" s="3">
        <v>45120</v>
      </c>
      <c r="G7529" s="2">
        <f t="shared" si="117"/>
        <v>0</v>
      </c>
      <c r="H7529" s="1"/>
    </row>
    <row r="7530" spans="2:8" x14ac:dyDescent="0.2">
      <c r="B7530" s="3">
        <v>45121</v>
      </c>
      <c r="G7530" s="2">
        <f t="shared" si="117"/>
        <v>0</v>
      </c>
      <c r="H7530" t="s">
        <v>14</v>
      </c>
    </row>
    <row r="7531" spans="2:8" x14ac:dyDescent="0.2">
      <c r="B7531" s="3">
        <v>45121</v>
      </c>
      <c r="G7531" s="2">
        <f t="shared" si="117"/>
        <v>0</v>
      </c>
      <c r="H7531" t="s">
        <v>27</v>
      </c>
    </row>
    <row r="7532" spans="2:8" x14ac:dyDescent="0.2">
      <c r="B7532" s="3">
        <v>45121</v>
      </c>
      <c r="G7532" s="2">
        <f t="shared" si="117"/>
        <v>0</v>
      </c>
      <c r="H7532" t="s">
        <v>13</v>
      </c>
    </row>
    <row r="7533" spans="2:8" x14ac:dyDescent="0.2">
      <c r="B7533" s="3">
        <v>45121</v>
      </c>
      <c r="G7533" s="2">
        <f t="shared" si="117"/>
        <v>0</v>
      </c>
      <c r="H7533" t="s">
        <v>30</v>
      </c>
    </row>
    <row r="7534" spans="2:8" x14ac:dyDescent="0.2">
      <c r="B7534" s="3">
        <v>45121</v>
      </c>
      <c r="G7534" s="2">
        <f t="shared" si="117"/>
        <v>0</v>
      </c>
      <c r="H7534" t="s">
        <v>25</v>
      </c>
    </row>
    <row r="7535" spans="2:8" x14ac:dyDescent="0.2">
      <c r="B7535" s="3">
        <v>45121</v>
      </c>
      <c r="G7535" s="2">
        <f t="shared" si="117"/>
        <v>0</v>
      </c>
      <c r="H7535" t="s">
        <v>24</v>
      </c>
    </row>
    <row r="7536" spans="2:8" x14ac:dyDescent="0.2">
      <c r="B7536" s="3">
        <v>45121</v>
      </c>
      <c r="G7536" s="2">
        <f t="shared" si="117"/>
        <v>0</v>
      </c>
      <c r="H7536" t="s">
        <v>9</v>
      </c>
    </row>
    <row r="7537" spans="2:8" x14ac:dyDescent="0.2">
      <c r="B7537" s="3">
        <v>45121</v>
      </c>
      <c r="G7537" s="2">
        <f t="shared" si="117"/>
        <v>0</v>
      </c>
      <c r="H7537" t="s">
        <v>8</v>
      </c>
    </row>
    <row r="7538" spans="2:8" x14ac:dyDescent="0.2">
      <c r="B7538" s="3">
        <v>45121</v>
      </c>
      <c r="G7538" s="2">
        <f t="shared" si="117"/>
        <v>0</v>
      </c>
      <c r="H7538" t="s">
        <v>6</v>
      </c>
    </row>
    <row r="7539" spans="2:8" x14ac:dyDescent="0.2">
      <c r="B7539" s="3">
        <v>45121</v>
      </c>
      <c r="G7539" s="2">
        <f t="shared" si="117"/>
        <v>0</v>
      </c>
      <c r="H7539" t="s">
        <v>5</v>
      </c>
    </row>
    <row r="7540" spans="2:8" x14ac:dyDescent="0.2">
      <c r="B7540" s="3">
        <v>45121</v>
      </c>
      <c r="G7540" s="2">
        <f t="shared" si="117"/>
        <v>0</v>
      </c>
      <c r="H7540" s="1"/>
    </row>
    <row r="7541" spans="2:8" x14ac:dyDescent="0.2">
      <c r="B7541" s="3">
        <v>45122</v>
      </c>
      <c r="G7541" s="2">
        <f t="shared" si="117"/>
        <v>0</v>
      </c>
      <c r="H7541" t="s">
        <v>14</v>
      </c>
    </row>
    <row r="7542" spans="2:8" x14ac:dyDescent="0.2">
      <c r="B7542" s="3">
        <v>45122</v>
      </c>
      <c r="G7542" s="2">
        <f t="shared" si="117"/>
        <v>0</v>
      </c>
      <c r="H7542" t="s">
        <v>27</v>
      </c>
    </row>
    <row r="7543" spans="2:8" x14ac:dyDescent="0.2">
      <c r="B7543" s="3">
        <v>45122</v>
      </c>
      <c r="G7543" s="2">
        <f t="shared" si="117"/>
        <v>0</v>
      </c>
      <c r="H7543" t="s">
        <v>13</v>
      </c>
    </row>
    <row r="7544" spans="2:8" x14ac:dyDescent="0.2">
      <c r="B7544" s="3">
        <v>45122</v>
      </c>
      <c r="G7544" s="2">
        <f t="shared" si="117"/>
        <v>0</v>
      </c>
      <c r="H7544" t="s">
        <v>30</v>
      </c>
    </row>
    <row r="7545" spans="2:8" x14ac:dyDescent="0.2">
      <c r="B7545" s="3">
        <v>45122</v>
      </c>
      <c r="G7545" s="2">
        <f t="shared" si="117"/>
        <v>0</v>
      </c>
      <c r="H7545" t="s">
        <v>25</v>
      </c>
    </row>
    <row r="7546" spans="2:8" x14ac:dyDescent="0.2">
      <c r="B7546" s="3">
        <v>45122</v>
      </c>
      <c r="G7546" s="2">
        <f t="shared" si="117"/>
        <v>0</v>
      </c>
      <c r="H7546" t="s">
        <v>24</v>
      </c>
    </row>
    <row r="7547" spans="2:8" x14ac:dyDescent="0.2">
      <c r="B7547" s="3">
        <v>45122</v>
      </c>
      <c r="G7547" s="2">
        <f t="shared" si="117"/>
        <v>0</v>
      </c>
      <c r="H7547" t="s">
        <v>9</v>
      </c>
    </row>
    <row r="7548" spans="2:8" x14ac:dyDescent="0.2">
      <c r="B7548" s="3">
        <v>45122</v>
      </c>
      <c r="G7548" s="2">
        <f t="shared" si="117"/>
        <v>0</v>
      </c>
      <c r="H7548" t="s">
        <v>8</v>
      </c>
    </row>
    <row r="7549" spans="2:8" x14ac:dyDescent="0.2">
      <c r="B7549" s="3">
        <v>45122</v>
      </c>
      <c r="G7549" s="2">
        <f t="shared" si="117"/>
        <v>0</v>
      </c>
      <c r="H7549" t="s">
        <v>6</v>
      </c>
    </row>
    <row r="7550" spans="2:8" x14ac:dyDescent="0.2">
      <c r="B7550" s="3">
        <v>45122</v>
      </c>
      <c r="G7550" s="2">
        <f t="shared" si="117"/>
        <v>0</v>
      </c>
      <c r="H7550" t="s">
        <v>5</v>
      </c>
    </row>
    <row r="7551" spans="2:8" x14ac:dyDescent="0.2">
      <c r="B7551" s="3">
        <v>45122</v>
      </c>
      <c r="G7551" s="2">
        <f t="shared" si="117"/>
        <v>0</v>
      </c>
      <c r="H7551" s="1"/>
    </row>
    <row r="7552" spans="2:8" x14ac:dyDescent="0.2">
      <c r="B7552" s="3">
        <v>45123</v>
      </c>
      <c r="D7552" s="1">
        <v>1800</v>
      </c>
      <c r="E7552" s="1">
        <v>2200</v>
      </c>
      <c r="G7552" s="2">
        <f t="shared" si="117"/>
        <v>2200</v>
      </c>
      <c r="H7552" t="s">
        <v>14</v>
      </c>
    </row>
    <row r="7553" spans="2:8" x14ac:dyDescent="0.2">
      <c r="B7553" s="3">
        <v>45123</v>
      </c>
      <c r="G7553" s="2">
        <f t="shared" si="117"/>
        <v>0</v>
      </c>
      <c r="H7553" t="s">
        <v>27</v>
      </c>
    </row>
    <row r="7554" spans="2:8" x14ac:dyDescent="0.2">
      <c r="B7554" s="3">
        <v>45123</v>
      </c>
      <c r="D7554" s="1">
        <v>8598.75</v>
      </c>
      <c r="E7554" s="1">
        <v>10020</v>
      </c>
      <c r="G7554" s="2">
        <f t="shared" si="117"/>
        <v>10020</v>
      </c>
      <c r="H7554" t="s">
        <v>13</v>
      </c>
    </row>
    <row r="7555" spans="2:8" x14ac:dyDescent="0.2">
      <c r="B7555" s="3">
        <v>45123</v>
      </c>
      <c r="G7555" s="2">
        <f t="shared" ref="G7555:G7618" si="118">E7555-F7555</f>
        <v>0</v>
      </c>
      <c r="H7555" t="s">
        <v>30</v>
      </c>
    </row>
    <row r="7556" spans="2:8" x14ac:dyDescent="0.2">
      <c r="B7556" s="3">
        <v>45123</v>
      </c>
      <c r="G7556" s="2">
        <f t="shared" si="118"/>
        <v>0</v>
      </c>
      <c r="H7556" t="s">
        <v>25</v>
      </c>
    </row>
    <row r="7557" spans="2:8" x14ac:dyDescent="0.2">
      <c r="B7557" s="3">
        <v>45123</v>
      </c>
      <c r="G7557" s="2">
        <f t="shared" si="118"/>
        <v>0</v>
      </c>
      <c r="H7557" t="s">
        <v>24</v>
      </c>
    </row>
    <row r="7558" spans="2:8" x14ac:dyDescent="0.2">
      <c r="B7558" s="3">
        <v>45123</v>
      </c>
      <c r="G7558" s="2">
        <f t="shared" si="118"/>
        <v>0</v>
      </c>
      <c r="H7558" t="s">
        <v>9</v>
      </c>
    </row>
    <row r="7559" spans="2:8" x14ac:dyDescent="0.2">
      <c r="B7559" s="3">
        <v>45123</v>
      </c>
      <c r="G7559" s="2">
        <f t="shared" si="118"/>
        <v>0</v>
      </c>
      <c r="H7559" t="s">
        <v>8</v>
      </c>
    </row>
    <row r="7560" spans="2:8" x14ac:dyDescent="0.2">
      <c r="B7560" s="3">
        <v>45123</v>
      </c>
      <c r="G7560" s="2">
        <f t="shared" si="118"/>
        <v>0</v>
      </c>
      <c r="H7560" t="s">
        <v>6</v>
      </c>
    </row>
    <row r="7561" spans="2:8" x14ac:dyDescent="0.2">
      <c r="B7561" s="3">
        <v>45123</v>
      </c>
      <c r="G7561" s="2">
        <f t="shared" si="118"/>
        <v>0</v>
      </c>
      <c r="H7561" t="s">
        <v>5</v>
      </c>
    </row>
    <row r="7562" spans="2:8" x14ac:dyDescent="0.2">
      <c r="B7562" s="3">
        <v>45123</v>
      </c>
      <c r="G7562" s="2">
        <f t="shared" si="118"/>
        <v>0</v>
      </c>
      <c r="H7562" s="1"/>
    </row>
    <row r="7563" spans="2:8" x14ac:dyDescent="0.2">
      <c r="B7563" s="3">
        <v>45124</v>
      </c>
      <c r="G7563" s="2">
        <f t="shared" si="118"/>
        <v>0</v>
      </c>
      <c r="H7563" t="s">
        <v>14</v>
      </c>
    </row>
    <row r="7564" spans="2:8" x14ac:dyDescent="0.2">
      <c r="B7564" s="3">
        <v>45124</v>
      </c>
      <c r="G7564" s="2">
        <f t="shared" si="118"/>
        <v>0</v>
      </c>
      <c r="H7564" t="s">
        <v>27</v>
      </c>
    </row>
    <row r="7565" spans="2:8" x14ac:dyDescent="0.2">
      <c r="B7565" s="3">
        <v>45124</v>
      </c>
      <c r="G7565" s="2">
        <f t="shared" si="118"/>
        <v>0</v>
      </c>
      <c r="H7565" t="s">
        <v>13</v>
      </c>
    </row>
    <row r="7566" spans="2:8" x14ac:dyDescent="0.2">
      <c r="B7566" s="3">
        <v>45124</v>
      </c>
      <c r="G7566" s="2">
        <f t="shared" si="118"/>
        <v>0</v>
      </c>
      <c r="H7566" t="s">
        <v>30</v>
      </c>
    </row>
    <row r="7567" spans="2:8" x14ac:dyDescent="0.2">
      <c r="B7567" s="3">
        <v>45124</v>
      </c>
      <c r="G7567" s="2">
        <f t="shared" si="118"/>
        <v>0</v>
      </c>
      <c r="H7567" t="s">
        <v>25</v>
      </c>
    </row>
    <row r="7568" spans="2:8" x14ac:dyDescent="0.2">
      <c r="B7568" s="3">
        <v>45124</v>
      </c>
      <c r="G7568" s="2">
        <f t="shared" si="118"/>
        <v>0</v>
      </c>
      <c r="H7568" t="s">
        <v>24</v>
      </c>
    </row>
    <row r="7569" spans="2:8" x14ac:dyDescent="0.2">
      <c r="B7569" s="3">
        <v>45124</v>
      </c>
      <c r="G7569" s="2">
        <f t="shared" si="118"/>
        <v>0</v>
      </c>
      <c r="H7569" t="s">
        <v>9</v>
      </c>
    </row>
    <row r="7570" spans="2:8" x14ac:dyDescent="0.2">
      <c r="B7570" s="3">
        <v>45124</v>
      </c>
      <c r="G7570" s="2">
        <f t="shared" si="118"/>
        <v>0</v>
      </c>
      <c r="H7570" t="s">
        <v>8</v>
      </c>
    </row>
    <row r="7571" spans="2:8" x14ac:dyDescent="0.2">
      <c r="B7571" s="3">
        <v>45124</v>
      </c>
      <c r="G7571" s="2">
        <f t="shared" si="118"/>
        <v>0</v>
      </c>
      <c r="H7571" t="s">
        <v>6</v>
      </c>
    </row>
    <row r="7572" spans="2:8" x14ac:dyDescent="0.2">
      <c r="B7572" s="3">
        <v>45124</v>
      </c>
      <c r="G7572" s="2">
        <f t="shared" si="118"/>
        <v>0</v>
      </c>
      <c r="H7572" t="s">
        <v>5</v>
      </c>
    </row>
    <row r="7573" spans="2:8" x14ac:dyDescent="0.2">
      <c r="B7573" s="3">
        <v>45124</v>
      </c>
      <c r="G7573" s="2">
        <f t="shared" si="118"/>
        <v>0</v>
      </c>
      <c r="H7573" s="1"/>
    </row>
    <row r="7574" spans="2:8" x14ac:dyDescent="0.2">
      <c r="B7574" s="3">
        <v>45125</v>
      </c>
      <c r="G7574" s="2">
        <f t="shared" si="118"/>
        <v>0</v>
      </c>
      <c r="H7574" t="s">
        <v>14</v>
      </c>
    </row>
    <row r="7575" spans="2:8" x14ac:dyDescent="0.2">
      <c r="B7575" s="3">
        <v>45125</v>
      </c>
      <c r="G7575" s="2">
        <f t="shared" si="118"/>
        <v>0</v>
      </c>
      <c r="H7575" t="s">
        <v>27</v>
      </c>
    </row>
    <row r="7576" spans="2:8" x14ac:dyDescent="0.2">
      <c r="B7576" s="3">
        <v>45125</v>
      </c>
      <c r="G7576" s="2">
        <f t="shared" si="118"/>
        <v>0</v>
      </c>
      <c r="H7576" t="s">
        <v>13</v>
      </c>
    </row>
    <row r="7577" spans="2:8" x14ac:dyDescent="0.2">
      <c r="B7577" s="3">
        <v>45125</v>
      </c>
      <c r="G7577" s="2">
        <f t="shared" si="118"/>
        <v>0</v>
      </c>
      <c r="H7577" t="s">
        <v>30</v>
      </c>
    </row>
    <row r="7578" spans="2:8" x14ac:dyDescent="0.2">
      <c r="B7578" s="3">
        <v>45125</v>
      </c>
      <c r="G7578" s="2">
        <f t="shared" si="118"/>
        <v>0</v>
      </c>
      <c r="H7578" t="s">
        <v>25</v>
      </c>
    </row>
    <row r="7579" spans="2:8" x14ac:dyDescent="0.2">
      <c r="B7579" s="3">
        <v>45125</v>
      </c>
      <c r="G7579" s="2">
        <f t="shared" si="118"/>
        <v>0</v>
      </c>
      <c r="H7579" t="s">
        <v>24</v>
      </c>
    </row>
    <row r="7580" spans="2:8" x14ac:dyDescent="0.2">
      <c r="B7580" s="3">
        <v>45125</v>
      </c>
      <c r="G7580" s="2">
        <f t="shared" si="118"/>
        <v>0</v>
      </c>
      <c r="H7580" t="s">
        <v>9</v>
      </c>
    </row>
    <row r="7581" spans="2:8" x14ac:dyDescent="0.2">
      <c r="B7581" s="3">
        <v>45125</v>
      </c>
      <c r="G7581" s="2">
        <f t="shared" si="118"/>
        <v>0</v>
      </c>
      <c r="H7581" t="s">
        <v>8</v>
      </c>
    </row>
    <row r="7582" spans="2:8" x14ac:dyDescent="0.2">
      <c r="B7582" s="3">
        <v>45125</v>
      </c>
      <c r="G7582" s="2">
        <f t="shared" si="118"/>
        <v>0</v>
      </c>
      <c r="H7582" t="s">
        <v>6</v>
      </c>
    </row>
    <row r="7583" spans="2:8" x14ac:dyDescent="0.2">
      <c r="B7583" s="3">
        <v>45125</v>
      </c>
      <c r="G7583" s="2">
        <f t="shared" si="118"/>
        <v>0</v>
      </c>
      <c r="H7583" t="s">
        <v>5</v>
      </c>
    </row>
    <row r="7584" spans="2:8" x14ac:dyDescent="0.2">
      <c r="B7584" s="3">
        <v>45125</v>
      </c>
      <c r="G7584" s="2">
        <f t="shared" si="118"/>
        <v>0</v>
      </c>
      <c r="H7584" s="1"/>
    </row>
    <row r="7585" spans="2:8" x14ac:dyDescent="0.2">
      <c r="B7585" s="3">
        <v>45126</v>
      </c>
      <c r="G7585" s="2">
        <f t="shared" si="118"/>
        <v>0</v>
      </c>
      <c r="H7585" t="s">
        <v>14</v>
      </c>
    </row>
    <row r="7586" spans="2:8" x14ac:dyDescent="0.2">
      <c r="B7586" s="3">
        <v>45126</v>
      </c>
      <c r="G7586" s="2">
        <f t="shared" si="118"/>
        <v>0</v>
      </c>
      <c r="H7586" t="s">
        <v>27</v>
      </c>
    </row>
    <row r="7587" spans="2:8" x14ac:dyDescent="0.2">
      <c r="B7587" s="3">
        <v>45126</v>
      </c>
      <c r="G7587" s="2">
        <f t="shared" si="118"/>
        <v>0</v>
      </c>
      <c r="H7587" t="s">
        <v>13</v>
      </c>
    </row>
    <row r="7588" spans="2:8" x14ac:dyDescent="0.2">
      <c r="B7588" s="3">
        <v>45126</v>
      </c>
      <c r="G7588" s="2">
        <f t="shared" si="118"/>
        <v>0</v>
      </c>
      <c r="H7588" t="s">
        <v>30</v>
      </c>
    </row>
    <row r="7589" spans="2:8" x14ac:dyDescent="0.2">
      <c r="B7589" s="3">
        <v>45126</v>
      </c>
      <c r="G7589" s="2">
        <f t="shared" si="118"/>
        <v>0</v>
      </c>
      <c r="H7589" t="s">
        <v>25</v>
      </c>
    </row>
    <row r="7590" spans="2:8" x14ac:dyDescent="0.2">
      <c r="B7590" s="3">
        <v>45126</v>
      </c>
      <c r="G7590" s="2">
        <f t="shared" si="118"/>
        <v>0</v>
      </c>
      <c r="H7590" t="s">
        <v>24</v>
      </c>
    </row>
    <row r="7591" spans="2:8" x14ac:dyDescent="0.2">
      <c r="B7591" s="3">
        <v>45126</v>
      </c>
      <c r="G7591" s="2">
        <f t="shared" si="118"/>
        <v>0</v>
      </c>
      <c r="H7591" t="s">
        <v>9</v>
      </c>
    </row>
    <row r="7592" spans="2:8" x14ac:dyDescent="0.2">
      <c r="B7592" s="3">
        <v>45126</v>
      </c>
      <c r="G7592" s="2">
        <f t="shared" si="118"/>
        <v>0</v>
      </c>
      <c r="H7592" t="s">
        <v>8</v>
      </c>
    </row>
    <row r="7593" spans="2:8" x14ac:dyDescent="0.2">
      <c r="B7593" s="3">
        <v>45126</v>
      </c>
      <c r="G7593" s="2">
        <f t="shared" si="118"/>
        <v>0</v>
      </c>
      <c r="H7593" t="s">
        <v>6</v>
      </c>
    </row>
    <row r="7594" spans="2:8" x14ac:dyDescent="0.2">
      <c r="B7594" s="3">
        <v>45126</v>
      </c>
      <c r="G7594" s="2">
        <f t="shared" si="118"/>
        <v>0</v>
      </c>
      <c r="H7594" t="s">
        <v>5</v>
      </c>
    </row>
    <row r="7595" spans="2:8" x14ac:dyDescent="0.2">
      <c r="B7595" s="3">
        <v>45126</v>
      </c>
      <c r="G7595" s="2">
        <f t="shared" si="118"/>
        <v>0</v>
      </c>
      <c r="H7595" s="1"/>
    </row>
    <row r="7596" spans="2:8" x14ac:dyDescent="0.2">
      <c r="B7596" s="3">
        <v>45127</v>
      </c>
      <c r="G7596" s="2">
        <f t="shared" si="118"/>
        <v>0</v>
      </c>
      <c r="H7596" t="s">
        <v>14</v>
      </c>
    </row>
    <row r="7597" spans="2:8" x14ac:dyDescent="0.2">
      <c r="B7597" s="3">
        <v>45127</v>
      </c>
      <c r="G7597" s="2">
        <f t="shared" si="118"/>
        <v>0</v>
      </c>
      <c r="H7597" t="s">
        <v>27</v>
      </c>
    </row>
    <row r="7598" spans="2:8" x14ac:dyDescent="0.2">
      <c r="B7598" s="3">
        <v>45127</v>
      </c>
      <c r="G7598" s="2">
        <f t="shared" si="118"/>
        <v>0</v>
      </c>
      <c r="H7598" t="s">
        <v>13</v>
      </c>
    </row>
    <row r="7599" spans="2:8" x14ac:dyDescent="0.2">
      <c r="B7599" s="3">
        <v>45127</v>
      </c>
      <c r="G7599" s="2">
        <f t="shared" si="118"/>
        <v>0</v>
      </c>
      <c r="H7599" t="s">
        <v>30</v>
      </c>
    </row>
    <row r="7600" spans="2:8" x14ac:dyDescent="0.2">
      <c r="B7600" s="3">
        <v>45127</v>
      </c>
      <c r="G7600" s="2">
        <f t="shared" si="118"/>
        <v>0</v>
      </c>
      <c r="H7600" t="s">
        <v>25</v>
      </c>
    </row>
    <row r="7601" spans="2:8" x14ac:dyDescent="0.2">
      <c r="B7601" s="3">
        <v>45127</v>
      </c>
      <c r="G7601" s="2">
        <f t="shared" si="118"/>
        <v>0</v>
      </c>
      <c r="H7601" t="s">
        <v>24</v>
      </c>
    </row>
    <row r="7602" spans="2:8" x14ac:dyDescent="0.2">
      <c r="B7602" s="3">
        <v>45127</v>
      </c>
      <c r="G7602" s="2">
        <f t="shared" si="118"/>
        <v>0</v>
      </c>
      <c r="H7602" t="s">
        <v>9</v>
      </c>
    </row>
    <row r="7603" spans="2:8" x14ac:dyDescent="0.2">
      <c r="B7603" s="3">
        <v>45127</v>
      </c>
      <c r="G7603" s="2">
        <f t="shared" si="118"/>
        <v>0</v>
      </c>
      <c r="H7603" t="s">
        <v>8</v>
      </c>
    </row>
    <row r="7604" spans="2:8" x14ac:dyDescent="0.2">
      <c r="B7604" s="3">
        <v>45127</v>
      </c>
      <c r="G7604" s="2">
        <f t="shared" si="118"/>
        <v>0</v>
      </c>
      <c r="H7604" t="s">
        <v>6</v>
      </c>
    </row>
    <row r="7605" spans="2:8" x14ac:dyDescent="0.2">
      <c r="B7605" s="3">
        <v>45127</v>
      </c>
      <c r="D7605" s="1">
        <v>1863</v>
      </c>
      <c r="E7605" s="1">
        <v>2400</v>
      </c>
      <c r="G7605" s="2">
        <f t="shared" si="118"/>
        <v>2400</v>
      </c>
      <c r="H7605" t="s">
        <v>5</v>
      </c>
    </row>
    <row r="7606" spans="2:8" x14ac:dyDescent="0.2">
      <c r="B7606" s="3">
        <v>45127</v>
      </c>
      <c r="G7606" s="2">
        <f t="shared" si="118"/>
        <v>0</v>
      </c>
      <c r="H7606" s="1"/>
    </row>
    <row r="7607" spans="2:8" x14ac:dyDescent="0.2">
      <c r="B7607" s="3">
        <v>45128</v>
      </c>
      <c r="G7607" s="2">
        <f t="shared" si="118"/>
        <v>0</v>
      </c>
      <c r="H7607" t="s">
        <v>14</v>
      </c>
    </row>
    <row r="7608" spans="2:8" x14ac:dyDescent="0.2">
      <c r="B7608" s="3">
        <v>45128</v>
      </c>
      <c r="G7608" s="2">
        <f t="shared" si="118"/>
        <v>0</v>
      </c>
      <c r="H7608" t="s">
        <v>27</v>
      </c>
    </row>
    <row r="7609" spans="2:8" x14ac:dyDescent="0.2">
      <c r="B7609" s="3">
        <v>45128</v>
      </c>
      <c r="G7609" s="2">
        <f t="shared" si="118"/>
        <v>0</v>
      </c>
      <c r="H7609" t="s">
        <v>13</v>
      </c>
    </row>
    <row r="7610" spans="2:8" x14ac:dyDescent="0.2">
      <c r="B7610" s="3">
        <v>45128</v>
      </c>
      <c r="G7610" s="2">
        <f t="shared" si="118"/>
        <v>0</v>
      </c>
      <c r="H7610" t="s">
        <v>30</v>
      </c>
    </row>
    <row r="7611" spans="2:8" x14ac:dyDescent="0.2">
      <c r="B7611" s="3">
        <v>45128</v>
      </c>
      <c r="G7611" s="2">
        <f t="shared" si="118"/>
        <v>0</v>
      </c>
      <c r="H7611" t="s">
        <v>25</v>
      </c>
    </row>
    <row r="7612" spans="2:8" x14ac:dyDescent="0.2">
      <c r="B7612" s="3">
        <v>45128</v>
      </c>
      <c r="G7612" s="2">
        <f t="shared" si="118"/>
        <v>0</v>
      </c>
      <c r="H7612" t="s">
        <v>24</v>
      </c>
    </row>
    <row r="7613" spans="2:8" x14ac:dyDescent="0.2">
      <c r="B7613" s="3">
        <v>45128</v>
      </c>
      <c r="G7613" s="2">
        <f t="shared" si="118"/>
        <v>0</v>
      </c>
      <c r="H7613" t="s">
        <v>9</v>
      </c>
    </row>
    <row r="7614" spans="2:8" x14ac:dyDescent="0.2">
      <c r="B7614" s="3">
        <v>45128</v>
      </c>
      <c r="G7614" s="2">
        <f t="shared" si="118"/>
        <v>0</v>
      </c>
      <c r="H7614" t="s">
        <v>8</v>
      </c>
    </row>
    <row r="7615" spans="2:8" x14ac:dyDescent="0.2">
      <c r="B7615" s="3">
        <v>45128</v>
      </c>
      <c r="G7615" s="2">
        <f t="shared" si="118"/>
        <v>0</v>
      </c>
      <c r="H7615" t="s">
        <v>6</v>
      </c>
    </row>
    <row r="7616" spans="2:8" x14ac:dyDescent="0.2">
      <c r="B7616" s="3">
        <v>45128</v>
      </c>
      <c r="G7616" s="2">
        <f t="shared" si="118"/>
        <v>0</v>
      </c>
      <c r="H7616" t="s">
        <v>5</v>
      </c>
    </row>
    <row r="7617" spans="2:8" x14ac:dyDescent="0.2">
      <c r="B7617" s="3">
        <v>45128</v>
      </c>
      <c r="G7617" s="2">
        <f t="shared" si="118"/>
        <v>0</v>
      </c>
      <c r="H7617" s="1"/>
    </row>
    <row r="7618" spans="2:8" x14ac:dyDescent="0.2">
      <c r="B7618" s="3">
        <v>45129</v>
      </c>
      <c r="D7618" s="1">
        <v>4304</v>
      </c>
      <c r="E7618" s="1">
        <v>4660</v>
      </c>
      <c r="F7618" s="1">
        <v>10000</v>
      </c>
      <c r="G7618" s="2">
        <f t="shared" si="118"/>
        <v>-5340</v>
      </c>
      <c r="H7618" t="s">
        <v>14</v>
      </c>
    </row>
    <row r="7619" spans="2:8" x14ac:dyDescent="0.2">
      <c r="B7619" s="3">
        <v>45129</v>
      </c>
      <c r="G7619" s="2">
        <f t="shared" ref="G7619:G7682" si="119">E7619-F7619</f>
        <v>0</v>
      </c>
      <c r="H7619" t="s">
        <v>27</v>
      </c>
    </row>
    <row r="7620" spans="2:8" x14ac:dyDescent="0.2">
      <c r="B7620" s="3">
        <v>45129</v>
      </c>
      <c r="G7620" s="2">
        <f t="shared" si="119"/>
        <v>0</v>
      </c>
      <c r="H7620" t="s">
        <v>13</v>
      </c>
    </row>
    <row r="7621" spans="2:8" x14ac:dyDescent="0.2">
      <c r="B7621" s="3">
        <v>45129</v>
      </c>
      <c r="G7621" s="2">
        <f t="shared" si="119"/>
        <v>0</v>
      </c>
      <c r="H7621" t="s">
        <v>30</v>
      </c>
    </row>
    <row r="7622" spans="2:8" x14ac:dyDescent="0.2">
      <c r="B7622" s="3">
        <v>45129</v>
      </c>
      <c r="G7622" s="2">
        <f t="shared" si="119"/>
        <v>0</v>
      </c>
      <c r="H7622" t="s">
        <v>25</v>
      </c>
    </row>
    <row r="7623" spans="2:8" x14ac:dyDescent="0.2">
      <c r="B7623" s="3">
        <v>45129</v>
      </c>
      <c r="G7623" s="2">
        <f t="shared" si="119"/>
        <v>0</v>
      </c>
      <c r="H7623" t="s">
        <v>24</v>
      </c>
    </row>
    <row r="7624" spans="2:8" x14ac:dyDescent="0.2">
      <c r="B7624" s="3">
        <v>45129</v>
      </c>
      <c r="G7624" s="2">
        <f t="shared" si="119"/>
        <v>0</v>
      </c>
      <c r="H7624" t="s">
        <v>9</v>
      </c>
    </row>
    <row r="7625" spans="2:8" x14ac:dyDescent="0.2">
      <c r="B7625" s="3">
        <v>45129</v>
      </c>
      <c r="G7625" s="2">
        <f t="shared" si="119"/>
        <v>0</v>
      </c>
      <c r="H7625" t="s">
        <v>8</v>
      </c>
    </row>
    <row r="7626" spans="2:8" x14ac:dyDescent="0.2">
      <c r="B7626" s="3">
        <v>45129</v>
      </c>
      <c r="G7626" s="2">
        <f t="shared" si="119"/>
        <v>0</v>
      </c>
      <c r="H7626" t="s">
        <v>6</v>
      </c>
    </row>
    <row r="7627" spans="2:8" x14ac:dyDescent="0.2">
      <c r="B7627" s="3">
        <v>45129</v>
      </c>
      <c r="G7627" s="2">
        <f t="shared" si="119"/>
        <v>0</v>
      </c>
      <c r="H7627" t="s">
        <v>5</v>
      </c>
    </row>
    <row r="7628" spans="2:8" x14ac:dyDescent="0.2">
      <c r="B7628" s="3">
        <v>45129</v>
      </c>
      <c r="G7628" s="2">
        <f t="shared" si="119"/>
        <v>0</v>
      </c>
      <c r="H7628" s="1"/>
    </row>
    <row r="7629" spans="2:8" x14ac:dyDescent="0.2">
      <c r="B7629" s="3">
        <v>45130</v>
      </c>
      <c r="G7629" s="2">
        <f t="shared" si="119"/>
        <v>0</v>
      </c>
      <c r="H7629" t="s">
        <v>14</v>
      </c>
    </row>
    <row r="7630" spans="2:8" x14ac:dyDescent="0.2">
      <c r="B7630" s="3">
        <v>45130</v>
      </c>
      <c r="G7630" s="2">
        <f t="shared" si="119"/>
        <v>0</v>
      </c>
      <c r="H7630" t="s">
        <v>27</v>
      </c>
    </row>
    <row r="7631" spans="2:8" x14ac:dyDescent="0.2">
      <c r="B7631" s="3">
        <v>45130</v>
      </c>
      <c r="G7631" s="2">
        <f t="shared" si="119"/>
        <v>0</v>
      </c>
      <c r="H7631" t="s">
        <v>13</v>
      </c>
    </row>
    <row r="7632" spans="2:8" x14ac:dyDescent="0.2">
      <c r="B7632" s="3">
        <v>45130</v>
      </c>
      <c r="G7632" s="2">
        <f t="shared" si="119"/>
        <v>0</v>
      </c>
      <c r="H7632" t="s">
        <v>30</v>
      </c>
    </row>
    <row r="7633" spans="2:8" x14ac:dyDescent="0.2">
      <c r="B7633" s="3">
        <v>45130</v>
      </c>
      <c r="G7633" s="2">
        <f t="shared" si="119"/>
        <v>0</v>
      </c>
      <c r="H7633" t="s">
        <v>25</v>
      </c>
    </row>
    <row r="7634" spans="2:8" x14ac:dyDescent="0.2">
      <c r="B7634" s="3">
        <v>45130</v>
      </c>
      <c r="G7634" s="2">
        <f t="shared" si="119"/>
        <v>0</v>
      </c>
      <c r="H7634" t="s">
        <v>24</v>
      </c>
    </row>
    <row r="7635" spans="2:8" x14ac:dyDescent="0.2">
      <c r="B7635" s="3">
        <v>45130</v>
      </c>
      <c r="G7635" s="2">
        <f t="shared" si="119"/>
        <v>0</v>
      </c>
      <c r="H7635" t="s">
        <v>9</v>
      </c>
    </row>
    <row r="7636" spans="2:8" x14ac:dyDescent="0.2">
      <c r="B7636" s="3">
        <v>45130</v>
      </c>
      <c r="G7636" s="2">
        <f t="shared" si="119"/>
        <v>0</v>
      </c>
      <c r="H7636" t="s">
        <v>8</v>
      </c>
    </row>
    <row r="7637" spans="2:8" x14ac:dyDescent="0.2">
      <c r="B7637" s="3">
        <v>45130</v>
      </c>
      <c r="F7637" s="1">
        <v>3000</v>
      </c>
      <c r="G7637" s="2">
        <f t="shared" si="119"/>
        <v>-3000</v>
      </c>
      <c r="H7637" t="s">
        <v>6</v>
      </c>
    </row>
    <row r="7638" spans="2:8" x14ac:dyDescent="0.2">
      <c r="B7638" s="3">
        <v>45130</v>
      </c>
      <c r="G7638" s="2">
        <f t="shared" si="119"/>
        <v>0</v>
      </c>
      <c r="H7638" t="s">
        <v>5</v>
      </c>
    </row>
    <row r="7639" spans="2:8" x14ac:dyDescent="0.2">
      <c r="B7639" s="3">
        <v>45130</v>
      </c>
      <c r="D7639" s="1">
        <v>1320</v>
      </c>
      <c r="E7639" s="1">
        <v>1452</v>
      </c>
      <c r="F7639" s="1">
        <v>1452</v>
      </c>
      <c r="G7639" s="2">
        <f t="shared" si="119"/>
        <v>0</v>
      </c>
      <c r="H7639" s="1" t="s">
        <v>48</v>
      </c>
    </row>
    <row r="7640" spans="2:8" x14ac:dyDescent="0.2">
      <c r="B7640" s="3">
        <v>45131</v>
      </c>
      <c r="D7640" s="1">
        <v>23452.5</v>
      </c>
      <c r="E7640" s="1">
        <v>25890</v>
      </c>
      <c r="G7640" s="2">
        <f t="shared" si="119"/>
        <v>25890</v>
      </c>
      <c r="H7640" t="s">
        <v>14</v>
      </c>
    </row>
    <row r="7641" spans="2:8" x14ac:dyDescent="0.2">
      <c r="B7641" s="3">
        <v>45131</v>
      </c>
      <c r="F7641" s="1">
        <v>5000</v>
      </c>
      <c r="G7641" s="2">
        <f t="shared" si="119"/>
        <v>-5000</v>
      </c>
      <c r="H7641" t="s">
        <v>27</v>
      </c>
    </row>
    <row r="7642" spans="2:8" x14ac:dyDescent="0.2">
      <c r="B7642" s="3">
        <v>45131</v>
      </c>
      <c r="F7642" s="1">
        <v>8000</v>
      </c>
      <c r="G7642" s="2">
        <f t="shared" si="119"/>
        <v>-8000</v>
      </c>
      <c r="H7642" t="s">
        <v>13</v>
      </c>
    </row>
    <row r="7643" spans="2:8" x14ac:dyDescent="0.2">
      <c r="B7643" s="3">
        <v>45131</v>
      </c>
      <c r="G7643" s="2">
        <f t="shared" si="119"/>
        <v>0</v>
      </c>
      <c r="H7643" t="s">
        <v>30</v>
      </c>
    </row>
    <row r="7644" spans="2:8" x14ac:dyDescent="0.2">
      <c r="B7644" s="3">
        <v>45131</v>
      </c>
      <c r="G7644" s="2">
        <f t="shared" si="119"/>
        <v>0</v>
      </c>
      <c r="H7644" t="s">
        <v>25</v>
      </c>
    </row>
    <row r="7645" spans="2:8" x14ac:dyDescent="0.2">
      <c r="B7645" s="3">
        <v>45131</v>
      </c>
      <c r="G7645" s="2">
        <f t="shared" si="119"/>
        <v>0</v>
      </c>
      <c r="H7645" t="s">
        <v>24</v>
      </c>
    </row>
    <row r="7646" spans="2:8" x14ac:dyDescent="0.2">
      <c r="B7646" s="3">
        <v>45131</v>
      </c>
      <c r="G7646" s="2">
        <f t="shared" si="119"/>
        <v>0</v>
      </c>
      <c r="H7646" t="s">
        <v>9</v>
      </c>
    </row>
    <row r="7647" spans="2:8" x14ac:dyDescent="0.2">
      <c r="B7647" s="3">
        <v>45131</v>
      </c>
      <c r="G7647" s="2">
        <f t="shared" si="119"/>
        <v>0</v>
      </c>
      <c r="H7647" t="s">
        <v>8</v>
      </c>
    </row>
    <row r="7648" spans="2:8" x14ac:dyDescent="0.2">
      <c r="B7648" s="3">
        <v>45131</v>
      </c>
      <c r="G7648" s="2">
        <f t="shared" si="119"/>
        <v>0</v>
      </c>
      <c r="H7648" t="s">
        <v>6</v>
      </c>
    </row>
    <row r="7649" spans="2:8" x14ac:dyDescent="0.2">
      <c r="B7649" s="3">
        <v>45131</v>
      </c>
      <c r="G7649" s="2">
        <f t="shared" si="119"/>
        <v>0</v>
      </c>
      <c r="H7649" t="s">
        <v>5</v>
      </c>
    </row>
    <row r="7650" spans="2:8" x14ac:dyDescent="0.2">
      <c r="B7650" s="3">
        <v>45131</v>
      </c>
      <c r="G7650" s="2">
        <f t="shared" si="119"/>
        <v>0</v>
      </c>
      <c r="H7650" s="1"/>
    </row>
    <row r="7651" spans="2:8" x14ac:dyDescent="0.2">
      <c r="B7651" s="3">
        <v>45132</v>
      </c>
      <c r="G7651" s="2">
        <f t="shared" si="119"/>
        <v>0</v>
      </c>
      <c r="H7651" t="s">
        <v>14</v>
      </c>
    </row>
    <row r="7652" spans="2:8" x14ac:dyDescent="0.2">
      <c r="B7652" s="3">
        <v>45132</v>
      </c>
      <c r="G7652" s="2">
        <f t="shared" si="119"/>
        <v>0</v>
      </c>
      <c r="H7652" t="s">
        <v>27</v>
      </c>
    </row>
    <row r="7653" spans="2:8" x14ac:dyDescent="0.2">
      <c r="B7653" s="3">
        <v>45132</v>
      </c>
      <c r="G7653" s="2">
        <f t="shared" si="119"/>
        <v>0</v>
      </c>
      <c r="H7653" t="s">
        <v>13</v>
      </c>
    </row>
    <row r="7654" spans="2:8" x14ac:dyDescent="0.2">
      <c r="B7654" s="3">
        <v>45132</v>
      </c>
      <c r="G7654" s="2">
        <f t="shared" si="119"/>
        <v>0</v>
      </c>
      <c r="H7654" t="s">
        <v>30</v>
      </c>
    </row>
    <row r="7655" spans="2:8" x14ac:dyDescent="0.2">
      <c r="B7655" s="3">
        <v>45132</v>
      </c>
      <c r="G7655" s="2">
        <f t="shared" si="119"/>
        <v>0</v>
      </c>
      <c r="H7655" t="s">
        <v>25</v>
      </c>
    </row>
    <row r="7656" spans="2:8" x14ac:dyDescent="0.2">
      <c r="B7656" s="3">
        <v>45132</v>
      </c>
      <c r="D7656" s="1">
        <v>1698.75</v>
      </c>
      <c r="E7656" s="1">
        <v>1865</v>
      </c>
      <c r="F7656" s="1">
        <v>4000</v>
      </c>
      <c r="G7656" s="2">
        <f t="shared" si="119"/>
        <v>-2135</v>
      </c>
      <c r="H7656" t="s">
        <v>24</v>
      </c>
    </row>
    <row r="7657" spans="2:8" x14ac:dyDescent="0.2">
      <c r="B7657" s="3">
        <v>45132</v>
      </c>
      <c r="G7657" s="2">
        <f t="shared" si="119"/>
        <v>0</v>
      </c>
      <c r="H7657" t="s">
        <v>9</v>
      </c>
    </row>
    <row r="7658" spans="2:8" x14ac:dyDescent="0.2">
      <c r="B7658" s="3">
        <v>45132</v>
      </c>
      <c r="G7658" s="2">
        <f t="shared" si="119"/>
        <v>0</v>
      </c>
      <c r="H7658" t="s">
        <v>8</v>
      </c>
    </row>
    <row r="7659" spans="2:8" x14ac:dyDescent="0.2">
      <c r="B7659" s="3">
        <v>45132</v>
      </c>
      <c r="G7659" s="2">
        <f t="shared" si="119"/>
        <v>0</v>
      </c>
      <c r="H7659" t="s">
        <v>6</v>
      </c>
    </row>
    <row r="7660" spans="2:8" x14ac:dyDescent="0.2">
      <c r="B7660" s="3">
        <v>45132</v>
      </c>
      <c r="G7660" s="2">
        <f t="shared" si="119"/>
        <v>0</v>
      </c>
      <c r="H7660" t="s">
        <v>5</v>
      </c>
    </row>
    <row r="7661" spans="2:8" x14ac:dyDescent="0.2">
      <c r="B7661" s="3">
        <v>45132</v>
      </c>
      <c r="G7661" s="2">
        <f t="shared" si="119"/>
        <v>0</v>
      </c>
      <c r="H7661" s="1"/>
    </row>
    <row r="7662" spans="2:8" x14ac:dyDescent="0.2">
      <c r="B7662" s="3">
        <v>45133</v>
      </c>
      <c r="G7662" s="2">
        <f t="shared" si="119"/>
        <v>0</v>
      </c>
      <c r="H7662" t="s">
        <v>14</v>
      </c>
    </row>
    <row r="7663" spans="2:8" x14ac:dyDescent="0.2">
      <c r="B7663" s="3">
        <v>45133</v>
      </c>
      <c r="G7663" s="2">
        <f t="shared" si="119"/>
        <v>0</v>
      </c>
      <c r="H7663" t="s">
        <v>27</v>
      </c>
    </row>
    <row r="7664" spans="2:8" x14ac:dyDescent="0.2">
      <c r="B7664" s="3">
        <v>45133</v>
      </c>
      <c r="G7664" s="2">
        <f t="shared" si="119"/>
        <v>0</v>
      </c>
      <c r="H7664" t="s">
        <v>13</v>
      </c>
    </row>
    <row r="7665" spans="2:8" x14ac:dyDescent="0.2">
      <c r="B7665" s="3">
        <v>45133</v>
      </c>
      <c r="G7665" s="2">
        <f t="shared" si="119"/>
        <v>0</v>
      </c>
      <c r="H7665" t="s">
        <v>30</v>
      </c>
    </row>
    <row r="7666" spans="2:8" x14ac:dyDescent="0.2">
      <c r="B7666" s="3">
        <v>45133</v>
      </c>
      <c r="G7666" s="2">
        <f t="shared" si="119"/>
        <v>0</v>
      </c>
      <c r="H7666" t="s">
        <v>25</v>
      </c>
    </row>
    <row r="7667" spans="2:8" x14ac:dyDescent="0.2">
      <c r="B7667" s="3">
        <v>45133</v>
      </c>
      <c r="G7667" s="2">
        <f t="shared" si="119"/>
        <v>0</v>
      </c>
      <c r="H7667" t="s">
        <v>24</v>
      </c>
    </row>
    <row r="7668" spans="2:8" x14ac:dyDescent="0.2">
      <c r="B7668" s="3">
        <v>45133</v>
      </c>
      <c r="G7668" s="2">
        <f t="shared" si="119"/>
        <v>0</v>
      </c>
      <c r="H7668" t="s">
        <v>9</v>
      </c>
    </row>
    <row r="7669" spans="2:8" x14ac:dyDescent="0.2">
      <c r="B7669" s="3">
        <v>45133</v>
      </c>
      <c r="D7669" s="1">
        <v>28825</v>
      </c>
      <c r="E7669" s="1">
        <v>33725</v>
      </c>
      <c r="F7669" s="1">
        <v>10000</v>
      </c>
      <c r="G7669" s="2">
        <f t="shared" si="119"/>
        <v>23725</v>
      </c>
      <c r="H7669" t="s">
        <v>8</v>
      </c>
    </row>
    <row r="7670" spans="2:8" x14ac:dyDescent="0.2">
      <c r="B7670" s="3">
        <v>45133</v>
      </c>
      <c r="G7670" s="2">
        <f t="shared" si="119"/>
        <v>0</v>
      </c>
      <c r="H7670" t="s">
        <v>6</v>
      </c>
    </row>
    <row r="7671" spans="2:8" x14ac:dyDescent="0.2">
      <c r="B7671" s="3">
        <v>45133</v>
      </c>
      <c r="G7671" s="2">
        <f t="shared" si="119"/>
        <v>0</v>
      </c>
      <c r="H7671" t="s">
        <v>5</v>
      </c>
    </row>
    <row r="7672" spans="2:8" x14ac:dyDescent="0.2">
      <c r="B7672" s="3">
        <v>45133</v>
      </c>
      <c r="G7672" s="2">
        <f t="shared" si="119"/>
        <v>0</v>
      </c>
      <c r="H7672" s="1"/>
    </row>
    <row r="7673" spans="2:8" x14ac:dyDescent="0.2">
      <c r="B7673" s="3">
        <v>45134</v>
      </c>
      <c r="G7673" s="2">
        <f t="shared" si="119"/>
        <v>0</v>
      </c>
      <c r="H7673" t="s">
        <v>14</v>
      </c>
    </row>
    <row r="7674" spans="2:8" x14ac:dyDescent="0.2">
      <c r="B7674" s="3">
        <v>45134</v>
      </c>
      <c r="G7674" s="2">
        <f t="shared" si="119"/>
        <v>0</v>
      </c>
      <c r="H7674" t="s">
        <v>27</v>
      </c>
    </row>
    <row r="7675" spans="2:8" x14ac:dyDescent="0.2">
      <c r="B7675" s="3">
        <v>45134</v>
      </c>
      <c r="D7675" s="1">
        <v>5038.72</v>
      </c>
      <c r="E7675" s="1">
        <v>6370.5</v>
      </c>
      <c r="G7675" s="2">
        <f t="shared" si="119"/>
        <v>6370.5</v>
      </c>
      <c r="H7675" t="s">
        <v>13</v>
      </c>
    </row>
    <row r="7676" spans="2:8" x14ac:dyDescent="0.2">
      <c r="B7676" s="3">
        <v>45134</v>
      </c>
      <c r="G7676" s="2">
        <f t="shared" si="119"/>
        <v>0</v>
      </c>
      <c r="H7676" t="s">
        <v>30</v>
      </c>
    </row>
    <row r="7677" spans="2:8" x14ac:dyDescent="0.2">
      <c r="B7677" s="3">
        <v>45134</v>
      </c>
      <c r="G7677" s="2">
        <f t="shared" si="119"/>
        <v>0</v>
      </c>
      <c r="H7677" t="s">
        <v>25</v>
      </c>
    </row>
    <row r="7678" spans="2:8" x14ac:dyDescent="0.2">
      <c r="B7678" s="3">
        <v>45134</v>
      </c>
      <c r="G7678" s="2">
        <f t="shared" si="119"/>
        <v>0</v>
      </c>
      <c r="H7678" t="s">
        <v>24</v>
      </c>
    </row>
    <row r="7679" spans="2:8" x14ac:dyDescent="0.2">
      <c r="B7679" s="3">
        <v>45134</v>
      </c>
      <c r="G7679" s="2">
        <f t="shared" si="119"/>
        <v>0</v>
      </c>
      <c r="H7679" t="s">
        <v>9</v>
      </c>
    </row>
    <row r="7680" spans="2:8" x14ac:dyDescent="0.2">
      <c r="B7680" s="3">
        <v>45134</v>
      </c>
      <c r="G7680" s="2">
        <f t="shared" si="119"/>
        <v>0</v>
      </c>
      <c r="H7680" t="s">
        <v>8</v>
      </c>
    </row>
    <row r="7681" spans="2:8" x14ac:dyDescent="0.2">
      <c r="B7681" s="3">
        <v>45134</v>
      </c>
      <c r="G7681" s="2">
        <f t="shared" si="119"/>
        <v>0</v>
      </c>
      <c r="H7681" t="s">
        <v>6</v>
      </c>
    </row>
    <row r="7682" spans="2:8" x14ac:dyDescent="0.2">
      <c r="B7682" s="3">
        <v>45134</v>
      </c>
      <c r="G7682" s="2">
        <f t="shared" si="119"/>
        <v>0</v>
      </c>
      <c r="H7682" t="s">
        <v>5</v>
      </c>
    </row>
    <row r="7683" spans="2:8" x14ac:dyDescent="0.2">
      <c r="B7683" s="3">
        <v>45134</v>
      </c>
      <c r="G7683" s="2">
        <f t="shared" ref="G7683:G7746" si="120">E7683-F7683</f>
        <v>0</v>
      </c>
      <c r="H7683" s="1"/>
    </row>
    <row r="7684" spans="2:8" x14ac:dyDescent="0.2">
      <c r="B7684" s="3">
        <v>45135</v>
      </c>
      <c r="G7684" s="2">
        <f t="shared" si="120"/>
        <v>0</v>
      </c>
      <c r="H7684" t="s">
        <v>14</v>
      </c>
    </row>
    <row r="7685" spans="2:8" x14ac:dyDescent="0.2">
      <c r="B7685" s="3">
        <v>45135</v>
      </c>
      <c r="G7685" s="2">
        <f t="shared" si="120"/>
        <v>0</v>
      </c>
      <c r="H7685" t="s">
        <v>27</v>
      </c>
    </row>
    <row r="7686" spans="2:8" x14ac:dyDescent="0.2">
      <c r="B7686" s="3">
        <v>45135</v>
      </c>
      <c r="G7686" s="2">
        <f t="shared" si="120"/>
        <v>0</v>
      </c>
      <c r="H7686" t="s">
        <v>13</v>
      </c>
    </row>
    <row r="7687" spans="2:8" x14ac:dyDescent="0.2">
      <c r="B7687" s="3">
        <v>45135</v>
      </c>
      <c r="G7687" s="2">
        <f t="shared" si="120"/>
        <v>0</v>
      </c>
      <c r="H7687" t="s">
        <v>30</v>
      </c>
    </row>
    <row r="7688" spans="2:8" x14ac:dyDescent="0.2">
      <c r="B7688" s="3">
        <v>45135</v>
      </c>
      <c r="G7688" s="2">
        <f t="shared" si="120"/>
        <v>0</v>
      </c>
      <c r="H7688" t="s">
        <v>25</v>
      </c>
    </row>
    <row r="7689" spans="2:8" x14ac:dyDescent="0.2">
      <c r="B7689" s="3">
        <v>45135</v>
      </c>
      <c r="G7689" s="2">
        <f t="shared" si="120"/>
        <v>0</v>
      </c>
      <c r="H7689" t="s">
        <v>24</v>
      </c>
    </row>
    <row r="7690" spans="2:8" x14ac:dyDescent="0.2">
      <c r="B7690" s="3">
        <v>45135</v>
      </c>
      <c r="G7690" s="2">
        <f t="shared" si="120"/>
        <v>0</v>
      </c>
      <c r="H7690" t="s">
        <v>9</v>
      </c>
    </row>
    <row r="7691" spans="2:8" x14ac:dyDescent="0.2">
      <c r="B7691" s="3">
        <v>45135</v>
      </c>
      <c r="G7691" s="2">
        <f t="shared" si="120"/>
        <v>0</v>
      </c>
      <c r="H7691" t="s">
        <v>8</v>
      </c>
    </row>
    <row r="7692" spans="2:8" x14ac:dyDescent="0.2">
      <c r="B7692" s="3">
        <v>45135</v>
      </c>
      <c r="G7692" s="2">
        <f t="shared" si="120"/>
        <v>0</v>
      </c>
      <c r="H7692" t="s">
        <v>6</v>
      </c>
    </row>
    <row r="7693" spans="2:8" x14ac:dyDescent="0.2">
      <c r="B7693" s="3">
        <v>45135</v>
      </c>
      <c r="G7693" s="2">
        <f t="shared" si="120"/>
        <v>0</v>
      </c>
      <c r="H7693" t="s">
        <v>5</v>
      </c>
    </row>
    <row r="7694" spans="2:8" x14ac:dyDescent="0.2">
      <c r="B7694" s="3">
        <v>45135</v>
      </c>
      <c r="G7694" s="2">
        <f t="shared" si="120"/>
        <v>0</v>
      </c>
      <c r="H7694" s="1"/>
    </row>
    <row r="7695" spans="2:8" x14ac:dyDescent="0.2">
      <c r="B7695" s="3">
        <v>45136</v>
      </c>
      <c r="F7695" s="1">
        <v>10000</v>
      </c>
      <c r="G7695" s="2">
        <f t="shared" si="120"/>
        <v>-10000</v>
      </c>
      <c r="H7695" t="s">
        <v>14</v>
      </c>
    </row>
    <row r="7696" spans="2:8" x14ac:dyDescent="0.2">
      <c r="B7696" s="3">
        <v>45136</v>
      </c>
      <c r="G7696" s="2">
        <f t="shared" si="120"/>
        <v>0</v>
      </c>
      <c r="H7696" t="s">
        <v>27</v>
      </c>
    </row>
    <row r="7697" spans="2:8" x14ac:dyDescent="0.2">
      <c r="B7697" s="3">
        <v>45136</v>
      </c>
      <c r="F7697" s="1">
        <v>5000</v>
      </c>
      <c r="G7697" s="2">
        <f t="shared" si="120"/>
        <v>-5000</v>
      </c>
      <c r="H7697" t="s">
        <v>13</v>
      </c>
    </row>
    <row r="7698" spans="2:8" x14ac:dyDescent="0.2">
      <c r="B7698" s="3">
        <v>45136</v>
      </c>
      <c r="G7698" s="2">
        <f t="shared" si="120"/>
        <v>0</v>
      </c>
      <c r="H7698" t="s">
        <v>30</v>
      </c>
    </row>
    <row r="7699" spans="2:8" x14ac:dyDescent="0.2">
      <c r="B7699" s="3">
        <v>45136</v>
      </c>
      <c r="G7699" s="2">
        <f t="shared" si="120"/>
        <v>0</v>
      </c>
      <c r="H7699" t="s">
        <v>25</v>
      </c>
    </row>
    <row r="7700" spans="2:8" x14ac:dyDescent="0.2">
      <c r="B7700" s="3">
        <v>45136</v>
      </c>
      <c r="G7700" s="2">
        <f t="shared" si="120"/>
        <v>0</v>
      </c>
      <c r="H7700" t="s">
        <v>24</v>
      </c>
    </row>
    <row r="7701" spans="2:8" x14ac:dyDescent="0.2">
      <c r="B7701" s="3">
        <v>45136</v>
      </c>
      <c r="G7701" s="2">
        <f t="shared" si="120"/>
        <v>0</v>
      </c>
      <c r="H7701" t="s">
        <v>9</v>
      </c>
    </row>
    <row r="7702" spans="2:8" x14ac:dyDescent="0.2">
      <c r="B7702" s="3">
        <v>45136</v>
      </c>
      <c r="G7702" s="2">
        <f t="shared" si="120"/>
        <v>0</v>
      </c>
      <c r="H7702" t="s">
        <v>8</v>
      </c>
    </row>
    <row r="7703" spans="2:8" x14ac:dyDescent="0.2">
      <c r="B7703" s="3">
        <v>45136</v>
      </c>
      <c r="G7703" s="2">
        <f t="shared" si="120"/>
        <v>0</v>
      </c>
      <c r="H7703" t="s">
        <v>6</v>
      </c>
    </row>
    <row r="7704" spans="2:8" x14ac:dyDescent="0.2">
      <c r="B7704" s="3">
        <v>45136</v>
      </c>
      <c r="G7704" s="2">
        <f t="shared" si="120"/>
        <v>0</v>
      </c>
      <c r="H7704" t="s">
        <v>5</v>
      </c>
    </row>
    <row r="7705" spans="2:8" x14ac:dyDescent="0.2">
      <c r="B7705" s="3">
        <v>45136</v>
      </c>
      <c r="G7705" s="2">
        <f t="shared" si="120"/>
        <v>0</v>
      </c>
      <c r="H7705" s="1"/>
    </row>
    <row r="7706" spans="2:8" x14ac:dyDescent="0.2">
      <c r="B7706" s="3">
        <v>45137</v>
      </c>
      <c r="G7706" s="2">
        <f t="shared" si="120"/>
        <v>0</v>
      </c>
      <c r="H7706" t="s">
        <v>14</v>
      </c>
    </row>
    <row r="7707" spans="2:8" x14ac:dyDescent="0.2">
      <c r="B7707" s="3">
        <v>45137</v>
      </c>
      <c r="G7707" s="2">
        <f t="shared" si="120"/>
        <v>0</v>
      </c>
      <c r="H7707" t="s">
        <v>27</v>
      </c>
    </row>
    <row r="7708" spans="2:8" x14ac:dyDescent="0.2">
      <c r="B7708" s="3">
        <v>45137</v>
      </c>
      <c r="G7708" s="2">
        <f t="shared" si="120"/>
        <v>0</v>
      </c>
      <c r="H7708" t="s">
        <v>13</v>
      </c>
    </row>
    <row r="7709" spans="2:8" x14ac:dyDescent="0.2">
      <c r="B7709" s="3">
        <v>45137</v>
      </c>
      <c r="G7709" s="2">
        <f t="shared" si="120"/>
        <v>0</v>
      </c>
      <c r="H7709" t="s">
        <v>30</v>
      </c>
    </row>
    <row r="7710" spans="2:8" x14ac:dyDescent="0.2">
      <c r="B7710" s="3">
        <v>45137</v>
      </c>
      <c r="G7710" s="2">
        <f t="shared" si="120"/>
        <v>0</v>
      </c>
      <c r="H7710" t="s">
        <v>25</v>
      </c>
    </row>
    <row r="7711" spans="2:8" x14ac:dyDescent="0.2">
      <c r="B7711" s="3">
        <v>45137</v>
      </c>
      <c r="G7711" s="2">
        <f t="shared" si="120"/>
        <v>0</v>
      </c>
      <c r="H7711" t="s">
        <v>24</v>
      </c>
    </row>
    <row r="7712" spans="2:8" x14ac:dyDescent="0.2">
      <c r="B7712" s="3">
        <v>45137</v>
      </c>
      <c r="G7712" s="2">
        <f t="shared" si="120"/>
        <v>0</v>
      </c>
      <c r="H7712" t="s">
        <v>9</v>
      </c>
    </row>
    <row r="7713" spans="2:8" x14ac:dyDescent="0.2">
      <c r="B7713" s="3">
        <v>45137</v>
      </c>
      <c r="G7713" s="2">
        <f t="shared" si="120"/>
        <v>0</v>
      </c>
      <c r="H7713" t="s">
        <v>8</v>
      </c>
    </row>
    <row r="7714" spans="2:8" x14ac:dyDescent="0.2">
      <c r="B7714" s="3">
        <v>45137</v>
      </c>
      <c r="F7714" s="1">
        <v>3000</v>
      </c>
      <c r="G7714" s="2">
        <f t="shared" si="120"/>
        <v>-3000</v>
      </c>
      <c r="H7714" t="s">
        <v>6</v>
      </c>
    </row>
    <row r="7715" spans="2:8" x14ac:dyDescent="0.2">
      <c r="B7715" s="3">
        <v>45137</v>
      </c>
      <c r="G7715" s="2">
        <f t="shared" si="120"/>
        <v>0</v>
      </c>
      <c r="H7715" t="s">
        <v>5</v>
      </c>
    </row>
    <row r="7716" spans="2:8" x14ac:dyDescent="0.2">
      <c r="B7716" s="3">
        <v>45137</v>
      </c>
      <c r="G7716" s="2">
        <f t="shared" si="120"/>
        <v>0</v>
      </c>
      <c r="H7716" s="1"/>
    </row>
    <row r="7717" spans="2:8" x14ac:dyDescent="0.2">
      <c r="B7717" s="3">
        <v>45138</v>
      </c>
      <c r="D7717" s="1">
        <v>37100</v>
      </c>
      <c r="E7717" s="1">
        <v>38700</v>
      </c>
      <c r="G7717" s="2">
        <f t="shared" si="120"/>
        <v>38700</v>
      </c>
      <c r="H7717" t="s">
        <v>14</v>
      </c>
    </row>
    <row r="7718" spans="2:8" x14ac:dyDescent="0.2">
      <c r="B7718" s="3">
        <v>45138</v>
      </c>
      <c r="G7718" s="2">
        <f t="shared" si="120"/>
        <v>0</v>
      </c>
      <c r="H7718" t="s">
        <v>27</v>
      </c>
    </row>
    <row r="7719" spans="2:8" x14ac:dyDescent="0.2">
      <c r="B7719" s="3">
        <v>45138</v>
      </c>
      <c r="G7719" s="2">
        <f t="shared" si="120"/>
        <v>0</v>
      </c>
      <c r="H7719" t="s">
        <v>13</v>
      </c>
    </row>
    <row r="7720" spans="2:8" x14ac:dyDescent="0.2">
      <c r="B7720" s="3">
        <v>45138</v>
      </c>
      <c r="G7720" s="2">
        <f t="shared" si="120"/>
        <v>0</v>
      </c>
      <c r="H7720" t="s">
        <v>30</v>
      </c>
    </row>
    <row r="7721" spans="2:8" x14ac:dyDescent="0.2">
      <c r="B7721" s="3">
        <v>45138</v>
      </c>
      <c r="G7721" s="2">
        <f t="shared" si="120"/>
        <v>0</v>
      </c>
      <c r="H7721" t="s">
        <v>25</v>
      </c>
    </row>
    <row r="7722" spans="2:8" x14ac:dyDescent="0.2">
      <c r="B7722" s="3">
        <v>45138</v>
      </c>
      <c r="G7722" s="2">
        <f t="shared" si="120"/>
        <v>0</v>
      </c>
      <c r="H7722" t="s">
        <v>24</v>
      </c>
    </row>
    <row r="7723" spans="2:8" x14ac:dyDescent="0.2">
      <c r="B7723" s="3">
        <v>45138</v>
      </c>
      <c r="G7723" s="2">
        <f t="shared" si="120"/>
        <v>0</v>
      </c>
      <c r="H7723" t="s">
        <v>9</v>
      </c>
    </row>
    <row r="7724" spans="2:8" x14ac:dyDescent="0.2">
      <c r="B7724" s="3">
        <v>45138</v>
      </c>
      <c r="G7724" s="2">
        <f t="shared" si="120"/>
        <v>0</v>
      </c>
      <c r="H7724" t="s">
        <v>8</v>
      </c>
    </row>
    <row r="7725" spans="2:8" x14ac:dyDescent="0.2">
      <c r="B7725" s="3">
        <v>45138</v>
      </c>
      <c r="G7725" s="2">
        <f t="shared" si="120"/>
        <v>0</v>
      </c>
      <c r="H7725" t="s">
        <v>6</v>
      </c>
    </row>
    <row r="7726" spans="2:8" x14ac:dyDescent="0.2">
      <c r="B7726" s="3">
        <v>45138</v>
      </c>
      <c r="G7726" s="2">
        <f t="shared" si="120"/>
        <v>0</v>
      </c>
      <c r="H7726" t="s">
        <v>5</v>
      </c>
    </row>
    <row r="7727" spans="2:8" x14ac:dyDescent="0.2">
      <c r="B7727" s="3">
        <v>45138</v>
      </c>
      <c r="G7727" s="2">
        <f t="shared" si="120"/>
        <v>0</v>
      </c>
      <c r="H7727" s="1"/>
    </row>
    <row r="7728" spans="2:8" x14ac:dyDescent="0.2">
      <c r="B7728" s="3">
        <v>45139</v>
      </c>
      <c r="G7728" s="2">
        <f t="shared" si="120"/>
        <v>0</v>
      </c>
      <c r="H7728" t="s">
        <v>14</v>
      </c>
    </row>
    <row r="7729" spans="2:8" x14ac:dyDescent="0.2">
      <c r="B7729" s="3">
        <v>45139</v>
      </c>
      <c r="G7729" s="2">
        <f t="shared" si="120"/>
        <v>0</v>
      </c>
      <c r="H7729" t="s">
        <v>27</v>
      </c>
    </row>
    <row r="7730" spans="2:8" x14ac:dyDescent="0.2">
      <c r="B7730" s="3">
        <v>45139</v>
      </c>
      <c r="G7730" s="2">
        <f t="shared" si="120"/>
        <v>0</v>
      </c>
      <c r="H7730" t="s">
        <v>13</v>
      </c>
    </row>
    <row r="7731" spans="2:8" x14ac:dyDescent="0.2">
      <c r="B7731" s="3">
        <v>45139</v>
      </c>
      <c r="G7731" s="2">
        <f t="shared" si="120"/>
        <v>0</v>
      </c>
      <c r="H7731" t="s">
        <v>30</v>
      </c>
    </row>
    <row r="7732" spans="2:8" x14ac:dyDescent="0.2">
      <c r="B7732" s="3">
        <v>45139</v>
      </c>
      <c r="G7732" s="2">
        <f t="shared" si="120"/>
        <v>0</v>
      </c>
      <c r="H7732" t="s">
        <v>25</v>
      </c>
    </row>
    <row r="7733" spans="2:8" x14ac:dyDescent="0.2">
      <c r="B7733" s="3">
        <v>45139</v>
      </c>
      <c r="D7733" s="1">
        <v>2445.5</v>
      </c>
      <c r="E7733" s="1">
        <v>2767.45</v>
      </c>
      <c r="G7733" s="2">
        <f t="shared" si="120"/>
        <v>2767.45</v>
      </c>
      <c r="H7733" t="s">
        <v>24</v>
      </c>
    </row>
    <row r="7734" spans="2:8" x14ac:dyDescent="0.2">
      <c r="B7734" s="3">
        <v>45139</v>
      </c>
      <c r="G7734" s="2">
        <f t="shared" si="120"/>
        <v>0</v>
      </c>
      <c r="H7734" t="s">
        <v>9</v>
      </c>
    </row>
    <row r="7735" spans="2:8" x14ac:dyDescent="0.2">
      <c r="B7735" s="3">
        <v>45139</v>
      </c>
      <c r="G7735" s="2">
        <f t="shared" si="120"/>
        <v>0</v>
      </c>
      <c r="H7735" t="s">
        <v>8</v>
      </c>
    </row>
    <row r="7736" spans="2:8" x14ac:dyDescent="0.2">
      <c r="B7736" s="3">
        <v>45139</v>
      </c>
      <c r="G7736" s="2">
        <f t="shared" si="120"/>
        <v>0</v>
      </c>
      <c r="H7736" t="s">
        <v>6</v>
      </c>
    </row>
    <row r="7737" spans="2:8" x14ac:dyDescent="0.2">
      <c r="B7737" s="3">
        <v>45139</v>
      </c>
      <c r="G7737" s="2">
        <f t="shared" si="120"/>
        <v>0</v>
      </c>
      <c r="H7737" t="s">
        <v>5</v>
      </c>
    </row>
    <row r="7738" spans="2:8" x14ac:dyDescent="0.2">
      <c r="B7738" s="3">
        <v>45139</v>
      </c>
      <c r="F7738" s="1">
        <v>1340</v>
      </c>
      <c r="G7738" s="2">
        <f t="shared" si="120"/>
        <v>-1340</v>
      </c>
      <c r="H7738" s="1" t="s">
        <v>80</v>
      </c>
    </row>
    <row r="7739" spans="2:8" x14ac:dyDescent="0.2">
      <c r="B7739" s="3">
        <v>45140</v>
      </c>
      <c r="G7739" s="2">
        <f t="shared" si="120"/>
        <v>0</v>
      </c>
      <c r="H7739" t="s">
        <v>14</v>
      </c>
    </row>
    <row r="7740" spans="2:8" x14ac:dyDescent="0.2">
      <c r="B7740" s="3">
        <v>45140</v>
      </c>
      <c r="G7740" s="2">
        <f t="shared" si="120"/>
        <v>0</v>
      </c>
      <c r="H7740" t="s">
        <v>27</v>
      </c>
    </row>
    <row r="7741" spans="2:8" x14ac:dyDescent="0.2">
      <c r="B7741" s="3">
        <v>45140</v>
      </c>
      <c r="G7741" s="2">
        <f t="shared" si="120"/>
        <v>0</v>
      </c>
      <c r="H7741" t="s">
        <v>13</v>
      </c>
    </row>
    <row r="7742" spans="2:8" x14ac:dyDescent="0.2">
      <c r="B7742" s="3">
        <v>45140</v>
      </c>
      <c r="G7742" s="2">
        <f t="shared" si="120"/>
        <v>0</v>
      </c>
      <c r="H7742" t="s">
        <v>30</v>
      </c>
    </row>
    <row r="7743" spans="2:8" x14ac:dyDescent="0.2">
      <c r="B7743" s="3">
        <v>45140</v>
      </c>
      <c r="G7743" s="2">
        <f t="shared" si="120"/>
        <v>0</v>
      </c>
      <c r="H7743" t="s">
        <v>25</v>
      </c>
    </row>
    <row r="7744" spans="2:8" x14ac:dyDescent="0.2">
      <c r="B7744" s="3">
        <v>45140</v>
      </c>
      <c r="G7744" s="2">
        <f t="shared" si="120"/>
        <v>0</v>
      </c>
      <c r="H7744" t="s">
        <v>24</v>
      </c>
    </row>
    <row r="7745" spans="2:8" x14ac:dyDescent="0.2">
      <c r="B7745" s="3">
        <v>45140</v>
      </c>
      <c r="G7745" s="2">
        <f t="shared" si="120"/>
        <v>0</v>
      </c>
      <c r="H7745" t="s">
        <v>9</v>
      </c>
    </row>
    <row r="7746" spans="2:8" x14ac:dyDescent="0.2">
      <c r="B7746" s="3">
        <v>45140</v>
      </c>
      <c r="G7746" s="2">
        <f t="shared" si="120"/>
        <v>0</v>
      </c>
      <c r="H7746" t="s">
        <v>8</v>
      </c>
    </row>
    <row r="7747" spans="2:8" x14ac:dyDescent="0.2">
      <c r="B7747" s="3">
        <v>45140</v>
      </c>
      <c r="G7747" s="2">
        <f t="shared" ref="G7747:G7810" si="121">E7747-F7747</f>
        <v>0</v>
      </c>
      <c r="H7747" t="s">
        <v>6</v>
      </c>
    </row>
    <row r="7748" spans="2:8" x14ac:dyDescent="0.2">
      <c r="B7748" s="3">
        <v>45140</v>
      </c>
      <c r="G7748" s="2">
        <f t="shared" si="121"/>
        <v>0</v>
      </c>
      <c r="H7748" t="s">
        <v>5</v>
      </c>
    </row>
    <row r="7749" spans="2:8" x14ac:dyDescent="0.2">
      <c r="B7749" s="3">
        <v>45140</v>
      </c>
      <c r="G7749" s="2">
        <f t="shared" si="121"/>
        <v>0</v>
      </c>
      <c r="H7749" s="1"/>
    </row>
    <row r="7750" spans="2:8" x14ac:dyDescent="0.2">
      <c r="B7750" s="3">
        <v>45141</v>
      </c>
      <c r="F7750" s="1">
        <v>7000</v>
      </c>
      <c r="G7750" s="2">
        <f t="shared" si="121"/>
        <v>-7000</v>
      </c>
      <c r="H7750" t="s">
        <v>14</v>
      </c>
    </row>
    <row r="7751" spans="2:8" x14ac:dyDescent="0.2">
      <c r="B7751" s="3">
        <v>45141</v>
      </c>
      <c r="G7751" s="2">
        <f t="shared" si="121"/>
        <v>0</v>
      </c>
      <c r="H7751" t="s">
        <v>27</v>
      </c>
    </row>
    <row r="7752" spans="2:8" x14ac:dyDescent="0.2">
      <c r="B7752" s="3">
        <v>45141</v>
      </c>
      <c r="G7752" s="2">
        <f t="shared" si="121"/>
        <v>0</v>
      </c>
      <c r="H7752" t="s">
        <v>13</v>
      </c>
    </row>
    <row r="7753" spans="2:8" x14ac:dyDescent="0.2">
      <c r="B7753" s="3">
        <v>45141</v>
      </c>
      <c r="G7753" s="2">
        <f t="shared" si="121"/>
        <v>0</v>
      </c>
      <c r="H7753" t="s">
        <v>30</v>
      </c>
    </row>
    <row r="7754" spans="2:8" x14ac:dyDescent="0.2">
      <c r="B7754" s="3">
        <v>45141</v>
      </c>
      <c r="G7754" s="2">
        <f t="shared" si="121"/>
        <v>0</v>
      </c>
      <c r="H7754" t="s">
        <v>25</v>
      </c>
    </row>
    <row r="7755" spans="2:8" x14ac:dyDescent="0.2">
      <c r="B7755" s="3">
        <v>45141</v>
      </c>
      <c r="G7755" s="2">
        <f t="shared" si="121"/>
        <v>0</v>
      </c>
      <c r="H7755" t="s">
        <v>24</v>
      </c>
    </row>
    <row r="7756" spans="2:8" x14ac:dyDescent="0.2">
      <c r="B7756" s="3">
        <v>45141</v>
      </c>
      <c r="G7756" s="2">
        <f t="shared" si="121"/>
        <v>0</v>
      </c>
      <c r="H7756" t="s">
        <v>9</v>
      </c>
    </row>
    <row r="7757" spans="2:8" x14ac:dyDescent="0.2">
      <c r="B7757" s="3">
        <v>45141</v>
      </c>
      <c r="G7757" s="2">
        <f t="shared" si="121"/>
        <v>0</v>
      </c>
      <c r="H7757" t="s">
        <v>8</v>
      </c>
    </row>
    <row r="7758" spans="2:8" x14ac:dyDescent="0.2">
      <c r="B7758" s="3">
        <v>45141</v>
      </c>
      <c r="G7758" s="2">
        <f t="shared" si="121"/>
        <v>0</v>
      </c>
      <c r="H7758" t="s">
        <v>6</v>
      </c>
    </row>
    <row r="7759" spans="2:8" x14ac:dyDescent="0.2">
      <c r="B7759" s="3">
        <v>45141</v>
      </c>
      <c r="G7759" s="2">
        <f t="shared" si="121"/>
        <v>0</v>
      </c>
      <c r="H7759" t="s">
        <v>5</v>
      </c>
    </row>
    <row r="7760" spans="2:8" x14ac:dyDescent="0.2">
      <c r="B7760" s="3">
        <v>45141</v>
      </c>
      <c r="G7760" s="2">
        <f t="shared" si="121"/>
        <v>0</v>
      </c>
      <c r="H7760" s="1"/>
    </row>
    <row r="7761" spans="2:8" x14ac:dyDescent="0.2">
      <c r="B7761" s="3">
        <v>45142</v>
      </c>
      <c r="G7761" s="2">
        <f t="shared" si="121"/>
        <v>0</v>
      </c>
      <c r="H7761" t="s">
        <v>14</v>
      </c>
    </row>
    <row r="7762" spans="2:8" x14ac:dyDescent="0.2">
      <c r="B7762" s="3">
        <v>45142</v>
      </c>
      <c r="G7762" s="2">
        <f t="shared" si="121"/>
        <v>0</v>
      </c>
      <c r="H7762" t="s">
        <v>27</v>
      </c>
    </row>
    <row r="7763" spans="2:8" x14ac:dyDescent="0.2">
      <c r="B7763" s="3">
        <v>45142</v>
      </c>
      <c r="G7763" s="2">
        <f t="shared" si="121"/>
        <v>0</v>
      </c>
      <c r="H7763" t="s">
        <v>13</v>
      </c>
    </row>
    <row r="7764" spans="2:8" x14ac:dyDescent="0.2">
      <c r="B7764" s="3">
        <v>45142</v>
      </c>
      <c r="G7764" s="2">
        <f t="shared" si="121"/>
        <v>0</v>
      </c>
      <c r="H7764" t="s">
        <v>30</v>
      </c>
    </row>
    <row r="7765" spans="2:8" x14ac:dyDescent="0.2">
      <c r="B7765" s="3">
        <v>45142</v>
      </c>
      <c r="G7765" s="2">
        <f t="shared" si="121"/>
        <v>0</v>
      </c>
      <c r="H7765" t="s">
        <v>25</v>
      </c>
    </row>
    <row r="7766" spans="2:8" x14ac:dyDescent="0.2">
      <c r="B7766" s="3">
        <v>45142</v>
      </c>
      <c r="G7766" s="2">
        <f t="shared" si="121"/>
        <v>0</v>
      </c>
      <c r="H7766" t="s">
        <v>24</v>
      </c>
    </row>
    <row r="7767" spans="2:8" x14ac:dyDescent="0.2">
      <c r="B7767" s="3">
        <v>45142</v>
      </c>
      <c r="G7767" s="2">
        <f t="shared" si="121"/>
        <v>0</v>
      </c>
      <c r="H7767" t="s">
        <v>9</v>
      </c>
    </row>
    <row r="7768" spans="2:8" x14ac:dyDescent="0.2">
      <c r="B7768" s="3">
        <v>45142</v>
      </c>
      <c r="F7768" s="1">
        <v>15000</v>
      </c>
      <c r="G7768" s="2">
        <f t="shared" si="121"/>
        <v>-15000</v>
      </c>
      <c r="H7768" t="s">
        <v>8</v>
      </c>
    </row>
    <row r="7769" spans="2:8" x14ac:dyDescent="0.2">
      <c r="B7769" s="3">
        <v>45142</v>
      </c>
      <c r="G7769" s="2">
        <f t="shared" si="121"/>
        <v>0</v>
      </c>
      <c r="H7769" t="s">
        <v>6</v>
      </c>
    </row>
    <row r="7770" spans="2:8" x14ac:dyDescent="0.2">
      <c r="B7770" s="3">
        <v>45142</v>
      </c>
      <c r="G7770" s="2">
        <f t="shared" si="121"/>
        <v>0</v>
      </c>
      <c r="H7770" t="s">
        <v>5</v>
      </c>
    </row>
    <row r="7771" spans="2:8" x14ac:dyDescent="0.2">
      <c r="B7771" s="3">
        <v>45142</v>
      </c>
      <c r="G7771" s="2">
        <f t="shared" si="121"/>
        <v>0</v>
      </c>
      <c r="H7771" s="1"/>
    </row>
    <row r="7772" spans="2:8" x14ac:dyDescent="0.2">
      <c r="B7772" s="3">
        <v>45143</v>
      </c>
      <c r="F7772" s="1">
        <v>10000</v>
      </c>
      <c r="G7772" s="2">
        <f t="shared" si="121"/>
        <v>-10000</v>
      </c>
      <c r="H7772" t="s">
        <v>14</v>
      </c>
    </row>
    <row r="7773" spans="2:8" x14ac:dyDescent="0.2">
      <c r="B7773" s="3">
        <v>45143</v>
      </c>
      <c r="G7773" s="2">
        <f t="shared" si="121"/>
        <v>0</v>
      </c>
      <c r="H7773" t="s">
        <v>27</v>
      </c>
    </row>
    <row r="7774" spans="2:8" x14ac:dyDescent="0.2">
      <c r="B7774" s="3">
        <v>45143</v>
      </c>
      <c r="D7774" s="1">
        <v>1140.5</v>
      </c>
      <c r="E7774" s="1">
        <v>1387.5</v>
      </c>
      <c r="F7774" s="1">
        <v>5000</v>
      </c>
      <c r="G7774" s="2">
        <f t="shared" si="121"/>
        <v>-3612.5</v>
      </c>
      <c r="H7774" t="s">
        <v>13</v>
      </c>
    </row>
    <row r="7775" spans="2:8" x14ac:dyDescent="0.2">
      <c r="B7775" s="3">
        <v>45143</v>
      </c>
      <c r="G7775" s="2">
        <f t="shared" si="121"/>
        <v>0</v>
      </c>
      <c r="H7775" t="s">
        <v>30</v>
      </c>
    </row>
    <row r="7776" spans="2:8" x14ac:dyDescent="0.2">
      <c r="B7776" s="3">
        <v>45143</v>
      </c>
      <c r="G7776" s="2">
        <f t="shared" si="121"/>
        <v>0</v>
      </c>
      <c r="H7776" t="s">
        <v>25</v>
      </c>
    </row>
    <row r="7777" spans="2:8" x14ac:dyDescent="0.2">
      <c r="B7777" s="3">
        <v>45143</v>
      </c>
      <c r="G7777" s="2">
        <f t="shared" si="121"/>
        <v>0</v>
      </c>
      <c r="H7777" t="s">
        <v>24</v>
      </c>
    </row>
    <row r="7778" spans="2:8" x14ac:dyDescent="0.2">
      <c r="B7778" s="3">
        <v>45143</v>
      </c>
      <c r="G7778" s="2">
        <f t="shared" si="121"/>
        <v>0</v>
      </c>
      <c r="H7778" t="s">
        <v>9</v>
      </c>
    </row>
    <row r="7779" spans="2:8" x14ac:dyDescent="0.2">
      <c r="B7779" s="3">
        <v>45143</v>
      </c>
      <c r="G7779" s="2">
        <f t="shared" si="121"/>
        <v>0</v>
      </c>
      <c r="H7779" t="s">
        <v>8</v>
      </c>
    </row>
    <row r="7780" spans="2:8" x14ac:dyDescent="0.2">
      <c r="B7780" s="3">
        <v>45143</v>
      </c>
      <c r="G7780" s="2">
        <f t="shared" si="121"/>
        <v>0</v>
      </c>
      <c r="H7780" t="s">
        <v>6</v>
      </c>
    </row>
    <row r="7781" spans="2:8" x14ac:dyDescent="0.2">
      <c r="B7781" s="3">
        <v>45143</v>
      </c>
      <c r="G7781" s="2">
        <f t="shared" si="121"/>
        <v>0</v>
      </c>
      <c r="H7781" t="s">
        <v>5</v>
      </c>
    </row>
    <row r="7782" spans="2:8" x14ac:dyDescent="0.2">
      <c r="B7782" s="3">
        <v>45143</v>
      </c>
      <c r="G7782" s="2">
        <f t="shared" si="121"/>
        <v>0</v>
      </c>
      <c r="H7782" s="1"/>
    </row>
    <row r="7783" spans="2:8" x14ac:dyDescent="0.2">
      <c r="B7783" s="3">
        <v>45144</v>
      </c>
      <c r="G7783" s="2">
        <f t="shared" si="121"/>
        <v>0</v>
      </c>
      <c r="H7783" t="s">
        <v>14</v>
      </c>
    </row>
    <row r="7784" spans="2:8" x14ac:dyDescent="0.2">
      <c r="B7784" s="3">
        <v>45144</v>
      </c>
      <c r="G7784" s="2">
        <f t="shared" si="121"/>
        <v>0</v>
      </c>
      <c r="H7784" t="s">
        <v>27</v>
      </c>
    </row>
    <row r="7785" spans="2:8" x14ac:dyDescent="0.2">
      <c r="B7785" s="3">
        <v>45144</v>
      </c>
      <c r="G7785" s="2">
        <f t="shared" si="121"/>
        <v>0</v>
      </c>
      <c r="H7785" t="s">
        <v>13</v>
      </c>
    </row>
    <row r="7786" spans="2:8" x14ac:dyDescent="0.2">
      <c r="B7786" s="3">
        <v>45144</v>
      </c>
      <c r="G7786" s="2">
        <f t="shared" si="121"/>
        <v>0</v>
      </c>
      <c r="H7786" t="s">
        <v>30</v>
      </c>
    </row>
    <row r="7787" spans="2:8" x14ac:dyDescent="0.2">
      <c r="B7787" s="3">
        <v>45144</v>
      </c>
      <c r="G7787" s="2">
        <f t="shared" si="121"/>
        <v>0</v>
      </c>
      <c r="H7787" t="s">
        <v>25</v>
      </c>
    </row>
    <row r="7788" spans="2:8" x14ac:dyDescent="0.2">
      <c r="B7788" s="3">
        <v>45144</v>
      </c>
      <c r="G7788" s="2">
        <f t="shared" si="121"/>
        <v>0</v>
      </c>
      <c r="H7788" t="s">
        <v>24</v>
      </c>
    </row>
    <row r="7789" spans="2:8" x14ac:dyDescent="0.2">
      <c r="B7789" s="3">
        <v>45144</v>
      </c>
      <c r="G7789" s="2">
        <f t="shared" si="121"/>
        <v>0</v>
      </c>
      <c r="H7789" t="s">
        <v>9</v>
      </c>
    </row>
    <row r="7790" spans="2:8" x14ac:dyDescent="0.2">
      <c r="B7790" s="3">
        <v>45144</v>
      </c>
      <c r="G7790" s="2">
        <f t="shared" si="121"/>
        <v>0</v>
      </c>
      <c r="H7790" t="s">
        <v>8</v>
      </c>
    </row>
    <row r="7791" spans="2:8" x14ac:dyDescent="0.2">
      <c r="B7791" s="3">
        <v>45144</v>
      </c>
      <c r="D7791" s="1">
        <v>31800</v>
      </c>
      <c r="E7791" s="1">
        <v>35900</v>
      </c>
      <c r="G7791" s="2">
        <f t="shared" si="121"/>
        <v>35900</v>
      </c>
      <c r="H7791" t="s">
        <v>6</v>
      </c>
    </row>
    <row r="7792" spans="2:8" x14ac:dyDescent="0.2">
      <c r="B7792" s="3">
        <v>45144</v>
      </c>
      <c r="G7792" s="2">
        <f t="shared" si="121"/>
        <v>0</v>
      </c>
      <c r="H7792" t="s">
        <v>5</v>
      </c>
    </row>
    <row r="7793" spans="2:8" x14ac:dyDescent="0.2">
      <c r="B7793" s="3">
        <v>45144</v>
      </c>
      <c r="G7793" s="2">
        <f t="shared" si="121"/>
        <v>0</v>
      </c>
      <c r="H7793" s="1"/>
    </row>
    <row r="7794" spans="2:8" x14ac:dyDescent="0.2">
      <c r="B7794" s="3">
        <v>45145</v>
      </c>
      <c r="G7794" s="2">
        <f t="shared" si="121"/>
        <v>0</v>
      </c>
      <c r="H7794" t="s">
        <v>14</v>
      </c>
    </row>
    <row r="7795" spans="2:8" x14ac:dyDescent="0.2">
      <c r="B7795" s="3">
        <v>45145</v>
      </c>
      <c r="G7795" s="2">
        <f t="shared" si="121"/>
        <v>0</v>
      </c>
      <c r="H7795" t="s">
        <v>27</v>
      </c>
    </row>
    <row r="7796" spans="2:8" x14ac:dyDescent="0.2">
      <c r="B7796" s="3">
        <v>45145</v>
      </c>
      <c r="G7796" s="2">
        <f t="shared" si="121"/>
        <v>0</v>
      </c>
      <c r="H7796" t="s">
        <v>13</v>
      </c>
    </row>
    <row r="7797" spans="2:8" x14ac:dyDescent="0.2">
      <c r="B7797" s="3">
        <v>45145</v>
      </c>
      <c r="G7797" s="2">
        <f t="shared" si="121"/>
        <v>0</v>
      </c>
      <c r="H7797" t="s">
        <v>30</v>
      </c>
    </row>
    <row r="7798" spans="2:8" x14ac:dyDescent="0.2">
      <c r="B7798" s="3">
        <v>45145</v>
      </c>
      <c r="G7798" s="2">
        <f t="shared" si="121"/>
        <v>0</v>
      </c>
      <c r="H7798" t="s">
        <v>25</v>
      </c>
    </row>
    <row r="7799" spans="2:8" x14ac:dyDescent="0.2">
      <c r="B7799" s="3">
        <v>45145</v>
      </c>
      <c r="G7799" s="2">
        <f t="shared" si="121"/>
        <v>0</v>
      </c>
      <c r="H7799" t="s">
        <v>24</v>
      </c>
    </row>
    <row r="7800" spans="2:8" x14ac:dyDescent="0.2">
      <c r="B7800" s="3">
        <v>45145</v>
      </c>
      <c r="G7800" s="2">
        <f t="shared" si="121"/>
        <v>0</v>
      </c>
      <c r="H7800" t="s">
        <v>9</v>
      </c>
    </row>
    <row r="7801" spans="2:8" x14ac:dyDescent="0.2">
      <c r="B7801" s="3">
        <v>45145</v>
      </c>
      <c r="G7801" s="2">
        <f t="shared" si="121"/>
        <v>0</v>
      </c>
      <c r="H7801" t="s">
        <v>8</v>
      </c>
    </row>
    <row r="7802" spans="2:8" x14ac:dyDescent="0.2">
      <c r="B7802" s="3">
        <v>45145</v>
      </c>
      <c r="F7802" s="1">
        <v>3000</v>
      </c>
      <c r="G7802" s="2">
        <f t="shared" si="121"/>
        <v>-3000</v>
      </c>
      <c r="H7802" t="s">
        <v>6</v>
      </c>
    </row>
    <row r="7803" spans="2:8" x14ac:dyDescent="0.2">
      <c r="B7803" s="3">
        <v>45145</v>
      </c>
      <c r="G7803" s="2">
        <f t="shared" si="121"/>
        <v>0</v>
      </c>
      <c r="H7803" t="s">
        <v>5</v>
      </c>
    </row>
    <row r="7804" spans="2:8" x14ac:dyDescent="0.2">
      <c r="B7804" s="3">
        <v>45145</v>
      </c>
      <c r="G7804" s="2">
        <f t="shared" si="121"/>
        <v>0</v>
      </c>
      <c r="H7804" s="1"/>
    </row>
    <row r="7805" spans="2:8" x14ac:dyDescent="0.2">
      <c r="B7805" s="3">
        <v>45146</v>
      </c>
      <c r="G7805" s="2">
        <f t="shared" si="121"/>
        <v>0</v>
      </c>
      <c r="H7805" t="s">
        <v>14</v>
      </c>
    </row>
    <row r="7806" spans="2:8" x14ac:dyDescent="0.2">
      <c r="B7806" s="3">
        <v>45146</v>
      </c>
      <c r="G7806" s="2">
        <f t="shared" si="121"/>
        <v>0</v>
      </c>
      <c r="H7806" t="s">
        <v>27</v>
      </c>
    </row>
    <row r="7807" spans="2:8" x14ac:dyDescent="0.2">
      <c r="B7807" s="3">
        <v>45146</v>
      </c>
      <c r="D7807" s="1">
        <v>3061.74</v>
      </c>
      <c r="E7807" s="1">
        <v>3478</v>
      </c>
      <c r="G7807" s="2">
        <f t="shared" si="121"/>
        <v>3478</v>
      </c>
      <c r="H7807" t="s">
        <v>13</v>
      </c>
    </row>
    <row r="7808" spans="2:8" x14ac:dyDescent="0.2">
      <c r="B7808" s="3">
        <v>45146</v>
      </c>
      <c r="G7808" s="2">
        <f t="shared" si="121"/>
        <v>0</v>
      </c>
      <c r="H7808" t="s">
        <v>30</v>
      </c>
    </row>
    <row r="7809" spans="2:8" x14ac:dyDescent="0.2">
      <c r="B7809" s="3">
        <v>45146</v>
      </c>
      <c r="G7809" s="2">
        <f t="shared" si="121"/>
        <v>0</v>
      </c>
      <c r="H7809" t="s">
        <v>25</v>
      </c>
    </row>
    <row r="7810" spans="2:8" x14ac:dyDescent="0.2">
      <c r="B7810" s="3">
        <v>45146</v>
      </c>
      <c r="D7810" s="1">
        <v>553</v>
      </c>
      <c r="E7810" s="1">
        <v>623</v>
      </c>
      <c r="G7810" s="2">
        <f t="shared" si="121"/>
        <v>623</v>
      </c>
      <c r="H7810" t="s">
        <v>24</v>
      </c>
    </row>
    <row r="7811" spans="2:8" x14ac:dyDescent="0.2">
      <c r="B7811" s="3">
        <v>45146</v>
      </c>
      <c r="G7811" s="2">
        <f t="shared" ref="G7811:G7874" si="122">E7811-F7811</f>
        <v>0</v>
      </c>
      <c r="H7811" t="s">
        <v>9</v>
      </c>
    </row>
    <row r="7812" spans="2:8" x14ac:dyDescent="0.2">
      <c r="B7812" s="3">
        <v>45146</v>
      </c>
      <c r="G7812" s="2">
        <f t="shared" si="122"/>
        <v>0</v>
      </c>
      <c r="H7812" t="s">
        <v>8</v>
      </c>
    </row>
    <row r="7813" spans="2:8" x14ac:dyDescent="0.2">
      <c r="B7813" s="3">
        <v>45146</v>
      </c>
      <c r="G7813" s="2">
        <f t="shared" si="122"/>
        <v>0</v>
      </c>
      <c r="H7813" t="s">
        <v>6</v>
      </c>
    </row>
    <row r="7814" spans="2:8" x14ac:dyDescent="0.2">
      <c r="B7814" s="3">
        <v>45146</v>
      </c>
      <c r="G7814" s="2">
        <f t="shared" si="122"/>
        <v>0</v>
      </c>
      <c r="H7814" t="s">
        <v>5</v>
      </c>
    </row>
    <row r="7815" spans="2:8" x14ac:dyDescent="0.2">
      <c r="B7815" s="3">
        <v>45146</v>
      </c>
      <c r="G7815" s="2">
        <f t="shared" si="122"/>
        <v>0</v>
      </c>
      <c r="H7815" s="1"/>
    </row>
    <row r="7816" spans="2:8" x14ac:dyDescent="0.2">
      <c r="B7816" s="3">
        <v>45147</v>
      </c>
      <c r="G7816" s="2">
        <f t="shared" si="122"/>
        <v>0</v>
      </c>
      <c r="H7816" t="s">
        <v>14</v>
      </c>
    </row>
    <row r="7817" spans="2:8" x14ac:dyDescent="0.2">
      <c r="B7817" s="3">
        <v>45147</v>
      </c>
      <c r="G7817" s="2">
        <f t="shared" si="122"/>
        <v>0</v>
      </c>
      <c r="H7817" t="s">
        <v>27</v>
      </c>
    </row>
    <row r="7818" spans="2:8" x14ac:dyDescent="0.2">
      <c r="B7818" s="3">
        <v>45147</v>
      </c>
      <c r="F7818" s="1">
        <v>5000</v>
      </c>
      <c r="G7818" s="2">
        <f t="shared" si="122"/>
        <v>-5000</v>
      </c>
      <c r="H7818" t="s">
        <v>13</v>
      </c>
    </row>
    <row r="7819" spans="2:8" x14ac:dyDescent="0.2">
      <c r="B7819" s="3">
        <v>45147</v>
      </c>
      <c r="G7819" s="2">
        <f t="shared" si="122"/>
        <v>0</v>
      </c>
      <c r="H7819" t="s">
        <v>30</v>
      </c>
    </row>
    <row r="7820" spans="2:8" x14ac:dyDescent="0.2">
      <c r="B7820" s="3">
        <v>45147</v>
      </c>
      <c r="G7820" s="2">
        <f t="shared" si="122"/>
        <v>0</v>
      </c>
      <c r="H7820" t="s">
        <v>25</v>
      </c>
    </row>
    <row r="7821" spans="2:8" x14ac:dyDescent="0.2">
      <c r="B7821" s="3">
        <v>45147</v>
      </c>
      <c r="G7821" s="2">
        <f t="shared" si="122"/>
        <v>0</v>
      </c>
      <c r="H7821" t="s">
        <v>24</v>
      </c>
    </row>
    <row r="7822" spans="2:8" x14ac:dyDescent="0.2">
      <c r="B7822" s="3">
        <v>45147</v>
      </c>
      <c r="G7822" s="2">
        <f t="shared" si="122"/>
        <v>0</v>
      </c>
      <c r="H7822" t="s">
        <v>9</v>
      </c>
    </row>
    <row r="7823" spans="2:8" x14ac:dyDescent="0.2">
      <c r="B7823" s="3">
        <v>45147</v>
      </c>
      <c r="G7823" s="2">
        <f t="shared" si="122"/>
        <v>0</v>
      </c>
      <c r="H7823" t="s">
        <v>8</v>
      </c>
    </row>
    <row r="7824" spans="2:8" x14ac:dyDescent="0.2">
      <c r="B7824" s="3">
        <v>45147</v>
      </c>
      <c r="G7824" s="2">
        <f t="shared" si="122"/>
        <v>0</v>
      </c>
      <c r="H7824" t="s">
        <v>6</v>
      </c>
    </row>
    <row r="7825" spans="2:8" x14ac:dyDescent="0.2">
      <c r="B7825" s="3">
        <v>45147</v>
      </c>
      <c r="G7825" s="2">
        <f t="shared" si="122"/>
        <v>0</v>
      </c>
      <c r="H7825" t="s">
        <v>5</v>
      </c>
    </row>
    <row r="7826" spans="2:8" x14ac:dyDescent="0.2">
      <c r="B7826" s="3">
        <v>45147</v>
      </c>
      <c r="G7826" s="2">
        <f t="shared" si="122"/>
        <v>0</v>
      </c>
      <c r="H7826" s="1"/>
    </row>
    <row r="7827" spans="2:8" x14ac:dyDescent="0.2">
      <c r="B7827" s="3">
        <v>45148</v>
      </c>
      <c r="F7827" s="1">
        <v>7000</v>
      </c>
      <c r="G7827" s="2">
        <f t="shared" si="122"/>
        <v>-7000</v>
      </c>
      <c r="H7827" t="s">
        <v>14</v>
      </c>
    </row>
    <row r="7828" spans="2:8" x14ac:dyDescent="0.2">
      <c r="B7828" s="3">
        <v>45148</v>
      </c>
      <c r="G7828" s="2">
        <f t="shared" si="122"/>
        <v>0</v>
      </c>
      <c r="H7828" t="s">
        <v>27</v>
      </c>
    </row>
    <row r="7829" spans="2:8" x14ac:dyDescent="0.2">
      <c r="B7829" s="3">
        <v>45148</v>
      </c>
      <c r="G7829" s="2">
        <f t="shared" si="122"/>
        <v>0</v>
      </c>
      <c r="H7829" t="s">
        <v>13</v>
      </c>
    </row>
    <row r="7830" spans="2:8" x14ac:dyDescent="0.2">
      <c r="B7830" s="3">
        <v>45148</v>
      </c>
      <c r="G7830" s="2">
        <f t="shared" si="122"/>
        <v>0</v>
      </c>
      <c r="H7830" t="s">
        <v>30</v>
      </c>
    </row>
    <row r="7831" spans="2:8" x14ac:dyDescent="0.2">
      <c r="B7831" s="3">
        <v>45148</v>
      </c>
      <c r="G7831" s="2">
        <f t="shared" si="122"/>
        <v>0</v>
      </c>
      <c r="H7831" t="s">
        <v>25</v>
      </c>
    </row>
    <row r="7832" spans="2:8" x14ac:dyDescent="0.2">
      <c r="B7832" s="3">
        <v>45148</v>
      </c>
      <c r="G7832" s="2">
        <f t="shared" si="122"/>
        <v>0</v>
      </c>
      <c r="H7832" t="s">
        <v>24</v>
      </c>
    </row>
    <row r="7833" spans="2:8" x14ac:dyDescent="0.2">
      <c r="B7833" s="3">
        <v>45148</v>
      </c>
      <c r="G7833" s="2">
        <f t="shared" si="122"/>
        <v>0</v>
      </c>
      <c r="H7833" t="s">
        <v>9</v>
      </c>
    </row>
    <row r="7834" spans="2:8" x14ac:dyDescent="0.2">
      <c r="B7834" s="3">
        <v>45148</v>
      </c>
      <c r="G7834" s="2">
        <f t="shared" si="122"/>
        <v>0</v>
      </c>
      <c r="H7834" t="s">
        <v>8</v>
      </c>
    </row>
    <row r="7835" spans="2:8" x14ac:dyDescent="0.2">
      <c r="B7835" s="3">
        <v>45148</v>
      </c>
      <c r="G7835" s="2">
        <f t="shared" si="122"/>
        <v>0</v>
      </c>
      <c r="H7835" t="s">
        <v>6</v>
      </c>
    </row>
    <row r="7836" spans="2:8" x14ac:dyDescent="0.2">
      <c r="B7836" s="3">
        <v>45148</v>
      </c>
      <c r="G7836" s="2">
        <f t="shared" si="122"/>
        <v>0</v>
      </c>
      <c r="H7836" t="s">
        <v>5</v>
      </c>
    </row>
    <row r="7837" spans="2:8" x14ac:dyDescent="0.2">
      <c r="B7837" s="3">
        <v>45148</v>
      </c>
      <c r="G7837" s="2">
        <f t="shared" si="122"/>
        <v>0</v>
      </c>
      <c r="H7837" s="1"/>
    </row>
    <row r="7838" spans="2:8" x14ac:dyDescent="0.2">
      <c r="B7838" s="3">
        <v>45149</v>
      </c>
      <c r="G7838" s="2">
        <f t="shared" si="122"/>
        <v>0</v>
      </c>
      <c r="H7838" t="s">
        <v>14</v>
      </c>
    </row>
    <row r="7839" spans="2:8" x14ac:dyDescent="0.2">
      <c r="B7839" s="3">
        <v>45149</v>
      </c>
      <c r="G7839" s="2">
        <f t="shared" si="122"/>
        <v>0</v>
      </c>
      <c r="H7839" t="s">
        <v>27</v>
      </c>
    </row>
    <row r="7840" spans="2:8" x14ac:dyDescent="0.2">
      <c r="B7840" s="3">
        <v>45149</v>
      </c>
      <c r="G7840" s="2">
        <f t="shared" si="122"/>
        <v>0</v>
      </c>
      <c r="H7840" t="s">
        <v>13</v>
      </c>
    </row>
    <row r="7841" spans="2:8" x14ac:dyDescent="0.2">
      <c r="B7841" s="3">
        <v>45149</v>
      </c>
      <c r="G7841" s="2">
        <f t="shared" si="122"/>
        <v>0</v>
      </c>
      <c r="H7841" t="s">
        <v>30</v>
      </c>
    </row>
    <row r="7842" spans="2:8" x14ac:dyDescent="0.2">
      <c r="B7842" s="3">
        <v>45149</v>
      </c>
      <c r="G7842" s="2">
        <f t="shared" si="122"/>
        <v>0</v>
      </c>
      <c r="H7842" t="s">
        <v>25</v>
      </c>
    </row>
    <row r="7843" spans="2:8" x14ac:dyDescent="0.2">
      <c r="B7843" s="3">
        <v>45149</v>
      </c>
      <c r="G7843" s="2">
        <f t="shared" si="122"/>
        <v>0</v>
      </c>
      <c r="H7843" t="s">
        <v>24</v>
      </c>
    </row>
    <row r="7844" spans="2:8" x14ac:dyDescent="0.2">
      <c r="B7844" s="3">
        <v>45149</v>
      </c>
      <c r="G7844" s="2">
        <f t="shared" si="122"/>
        <v>0</v>
      </c>
      <c r="H7844" t="s">
        <v>9</v>
      </c>
    </row>
    <row r="7845" spans="2:8" x14ac:dyDescent="0.2">
      <c r="B7845" s="3">
        <v>45149</v>
      </c>
      <c r="G7845" s="2">
        <f t="shared" si="122"/>
        <v>0</v>
      </c>
      <c r="H7845" t="s">
        <v>8</v>
      </c>
    </row>
    <row r="7846" spans="2:8" x14ac:dyDescent="0.2">
      <c r="B7846" s="3">
        <v>45149</v>
      </c>
      <c r="G7846" s="2">
        <f t="shared" si="122"/>
        <v>0</v>
      </c>
      <c r="H7846" t="s">
        <v>6</v>
      </c>
    </row>
    <row r="7847" spans="2:8" x14ac:dyDescent="0.2">
      <c r="B7847" s="3">
        <v>45149</v>
      </c>
      <c r="G7847" s="2">
        <f t="shared" si="122"/>
        <v>0</v>
      </c>
      <c r="H7847" t="s">
        <v>5</v>
      </c>
    </row>
    <row r="7848" spans="2:8" x14ac:dyDescent="0.2">
      <c r="B7848" s="3">
        <v>45149</v>
      </c>
      <c r="G7848" s="2">
        <f t="shared" si="122"/>
        <v>0</v>
      </c>
      <c r="H7848" s="1"/>
    </row>
    <row r="7849" spans="2:8" x14ac:dyDescent="0.2">
      <c r="B7849" s="3">
        <v>45150</v>
      </c>
      <c r="G7849" s="2">
        <f t="shared" si="122"/>
        <v>0</v>
      </c>
      <c r="H7849" t="s">
        <v>14</v>
      </c>
    </row>
    <row r="7850" spans="2:8" x14ac:dyDescent="0.2">
      <c r="B7850" s="3">
        <v>45150</v>
      </c>
      <c r="G7850" s="2">
        <f t="shared" si="122"/>
        <v>0</v>
      </c>
      <c r="H7850" t="s">
        <v>27</v>
      </c>
    </row>
    <row r="7851" spans="2:8" x14ac:dyDescent="0.2">
      <c r="B7851" s="3">
        <v>45150</v>
      </c>
      <c r="G7851" s="2">
        <f t="shared" si="122"/>
        <v>0</v>
      </c>
      <c r="H7851" t="s">
        <v>13</v>
      </c>
    </row>
    <row r="7852" spans="2:8" x14ac:dyDescent="0.2">
      <c r="B7852" s="3">
        <v>45150</v>
      </c>
      <c r="G7852" s="2">
        <f t="shared" si="122"/>
        <v>0</v>
      </c>
      <c r="H7852" t="s">
        <v>30</v>
      </c>
    </row>
    <row r="7853" spans="2:8" x14ac:dyDescent="0.2">
      <c r="B7853" s="3">
        <v>45150</v>
      </c>
      <c r="G7853" s="2">
        <f t="shared" si="122"/>
        <v>0</v>
      </c>
      <c r="H7853" t="s">
        <v>25</v>
      </c>
    </row>
    <row r="7854" spans="2:8" x14ac:dyDescent="0.2">
      <c r="B7854" s="3">
        <v>45150</v>
      </c>
      <c r="G7854" s="2">
        <f t="shared" si="122"/>
        <v>0</v>
      </c>
      <c r="H7854" t="s">
        <v>24</v>
      </c>
    </row>
    <row r="7855" spans="2:8" x14ac:dyDescent="0.2">
      <c r="B7855" s="3">
        <v>45150</v>
      </c>
      <c r="G7855" s="2">
        <f t="shared" si="122"/>
        <v>0</v>
      </c>
      <c r="H7855" t="s">
        <v>9</v>
      </c>
    </row>
    <row r="7856" spans="2:8" x14ac:dyDescent="0.2">
      <c r="B7856" s="3">
        <v>45150</v>
      </c>
      <c r="G7856" s="2">
        <f t="shared" si="122"/>
        <v>0</v>
      </c>
      <c r="H7856" t="s">
        <v>8</v>
      </c>
    </row>
    <row r="7857" spans="2:8" x14ac:dyDescent="0.2">
      <c r="B7857" s="3">
        <v>45150</v>
      </c>
      <c r="G7857" s="2">
        <f t="shared" si="122"/>
        <v>0</v>
      </c>
      <c r="H7857" t="s">
        <v>6</v>
      </c>
    </row>
    <row r="7858" spans="2:8" x14ac:dyDescent="0.2">
      <c r="B7858" s="3">
        <v>45150</v>
      </c>
      <c r="G7858" s="2">
        <f t="shared" si="122"/>
        <v>0</v>
      </c>
      <c r="H7858" t="s">
        <v>5</v>
      </c>
    </row>
    <row r="7859" spans="2:8" x14ac:dyDescent="0.2">
      <c r="B7859" s="3">
        <v>45150</v>
      </c>
      <c r="G7859" s="2">
        <f t="shared" si="122"/>
        <v>0</v>
      </c>
      <c r="H7859" s="1"/>
    </row>
    <row r="7860" spans="2:8" x14ac:dyDescent="0.2">
      <c r="B7860" s="3">
        <v>45151</v>
      </c>
      <c r="G7860" s="2">
        <f t="shared" si="122"/>
        <v>0</v>
      </c>
      <c r="H7860" t="s">
        <v>14</v>
      </c>
    </row>
    <row r="7861" spans="2:8" x14ac:dyDescent="0.2">
      <c r="B7861" s="3">
        <v>45151</v>
      </c>
      <c r="G7861" s="2">
        <f t="shared" si="122"/>
        <v>0</v>
      </c>
      <c r="H7861" t="s">
        <v>27</v>
      </c>
    </row>
    <row r="7862" spans="2:8" x14ac:dyDescent="0.2">
      <c r="B7862" s="3">
        <v>45151</v>
      </c>
      <c r="G7862" s="2">
        <f t="shared" si="122"/>
        <v>0</v>
      </c>
      <c r="H7862" t="s">
        <v>13</v>
      </c>
    </row>
    <row r="7863" spans="2:8" x14ac:dyDescent="0.2">
      <c r="B7863" s="3">
        <v>45151</v>
      </c>
      <c r="G7863" s="2">
        <f t="shared" si="122"/>
        <v>0</v>
      </c>
      <c r="H7863" t="s">
        <v>30</v>
      </c>
    </row>
    <row r="7864" spans="2:8" x14ac:dyDescent="0.2">
      <c r="B7864" s="3">
        <v>45151</v>
      </c>
      <c r="G7864" s="2">
        <f t="shared" si="122"/>
        <v>0</v>
      </c>
      <c r="H7864" t="s">
        <v>25</v>
      </c>
    </row>
    <row r="7865" spans="2:8" x14ac:dyDescent="0.2">
      <c r="B7865" s="3">
        <v>45151</v>
      </c>
      <c r="G7865" s="2">
        <f t="shared" si="122"/>
        <v>0</v>
      </c>
      <c r="H7865" t="s">
        <v>24</v>
      </c>
    </row>
    <row r="7866" spans="2:8" x14ac:dyDescent="0.2">
      <c r="B7866" s="3">
        <v>45151</v>
      </c>
      <c r="G7866" s="2">
        <f t="shared" si="122"/>
        <v>0</v>
      </c>
      <c r="H7866" t="s">
        <v>9</v>
      </c>
    </row>
    <row r="7867" spans="2:8" x14ac:dyDescent="0.2">
      <c r="B7867" s="3">
        <v>45151</v>
      </c>
      <c r="D7867" s="1">
        <v>10070</v>
      </c>
      <c r="E7867" s="1">
        <v>11012</v>
      </c>
      <c r="G7867" s="2">
        <f t="shared" si="122"/>
        <v>11012</v>
      </c>
      <c r="H7867" t="s">
        <v>8</v>
      </c>
    </row>
    <row r="7868" spans="2:8" x14ac:dyDescent="0.2">
      <c r="B7868" s="3">
        <v>45151</v>
      </c>
      <c r="D7868" s="1">
        <v>9250</v>
      </c>
      <c r="E7868" s="1">
        <v>10750</v>
      </c>
      <c r="F7868" s="1">
        <v>7000</v>
      </c>
      <c r="G7868" s="2">
        <f t="shared" si="122"/>
        <v>3750</v>
      </c>
      <c r="H7868" t="s">
        <v>6</v>
      </c>
    </row>
    <row r="7869" spans="2:8" x14ac:dyDescent="0.2">
      <c r="B7869" s="3">
        <v>45151</v>
      </c>
      <c r="G7869" s="2">
        <f t="shared" si="122"/>
        <v>0</v>
      </c>
      <c r="H7869" t="s">
        <v>5</v>
      </c>
    </row>
    <row r="7870" spans="2:8" x14ac:dyDescent="0.2">
      <c r="B7870" s="3">
        <v>45151</v>
      </c>
      <c r="G7870" s="2">
        <f t="shared" si="122"/>
        <v>0</v>
      </c>
      <c r="H7870" s="1"/>
    </row>
    <row r="7871" spans="2:8" x14ac:dyDescent="0.2">
      <c r="B7871" s="3">
        <v>45152</v>
      </c>
      <c r="G7871" s="2">
        <f t="shared" si="122"/>
        <v>0</v>
      </c>
      <c r="H7871" t="s">
        <v>14</v>
      </c>
    </row>
    <row r="7872" spans="2:8" x14ac:dyDescent="0.2">
      <c r="B7872" s="3">
        <v>45152</v>
      </c>
      <c r="G7872" s="2">
        <f t="shared" si="122"/>
        <v>0</v>
      </c>
      <c r="H7872" t="s">
        <v>27</v>
      </c>
    </row>
    <row r="7873" spans="2:8" x14ac:dyDescent="0.2">
      <c r="B7873" s="3">
        <v>45152</v>
      </c>
      <c r="G7873" s="2">
        <f t="shared" si="122"/>
        <v>0</v>
      </c>
      <c r="H7873" t="s">
        <v>13</v>
      </c>
    </row>
    <row r="7874" spans="2:8" x14ac:dyDescent="0.2">
      <c r="B7874" s="3">
        <v>45152</v>
      </c>
      <c r="G7874" s="2">
        <f t="shared" si="122"/>
        <v>0</v>
      </c>
      <c r="H7874" t="s">
        <v>30</v>
      </c>
    </row>
    <row r="7875" spans="2:8" x14ac:dyDescent="0.2">
      <c r="B7875" s="3">
        <v>45152</v>
      </c>
      <c r="G7875" s="2">
        <f t="shared" ref="G7875:G7938" si="123">E7875-F7875</f>
        <v>0</v>
      </c>
      <c r="H7875" t="s">
        <v>25</v>
      </c>
    </row>
    <row r="7876" spans="2:8" x14ac:dyDescent="0.2">
      <c r="B7876" s="3">
        <v>45152</v>
      </c>
      <c r="G7876" s="2">
        <f t="shared" si="123"/>
        <v>0</v>
      </c>
      <c r="H7876" t="s">
        <v>24</v>
      </c>
    </row>
    <row r="7877" spans="2:8" x14ac:dyDescent="0.2">
      <c r="B7877" s="3">
        <v>45152</v>
      </c>
      <c r="G7877" s="2">
        <f t="shared" si="123"/>
        <v>0</v>
      </c>
      <c r="H7877" t="s">
        <v>9</v>
      </c>
    </row>
    <row r="7878" spans="2:8" x14ac:dyDescent="0.2">
      <c r="B7878" s="3">
        <v>45152</v>
      </c>
      <c r="G7878" s="2">
        <f t="shared" si="123"/>
        <v>0</v>
      </c>
      <c r="H7878" t="s">
        <v>8</v>
      </c>
    </row>
    <row r="7879" spans="2:8" x14ac:dyDescent="0.2">
      <c r="B7879" s="3">
        <v>45152</v>
      </c>
      <c r="G7879" s="2">
        <f t="shared" si="123"/>
        <v>0</v>
      </c>
      <c r="H7879" t="s">
        <v>6</v>
      </c>
    </row>
    <row r="7880" spans="2:8" x14ac:dyDescent="0.2">
      <c r="B7880" s="3">
        <v>45152</v>
      </c>
      <c r="G7880" s="2">
        <f t="shared" si="123"/>
        <v>0</v>
      </c>
      <c r="H7880" t="s">
        <v>5</v>
      </c>
    </row>
    <row r="7881" spans="2:8" x14ac:dyDescent="0.2">
      <c r="B7881" s="3">
        <v>45152</v>
      </c>
      <c r="G7881" s="2">
        <f t="shared" si="123"/>
        <v>0</v>
      </c>
      <c r="H7881" s="1"/>
    </row>
    <row r="7882" spans="2:8" x14ac:dyDescent="0.2">
      <c r="B7882" s="3">
        <v>45153</v>
      </c>
      <c r="G7882" s="2">
        <f t="shared" si="123"/>
        <v>0</v>
      </c>
      <c r="H7882" t="s">
        <v>14</v>
      </c>
    </row>
    <row r="7883" spans="2:8" x14ac:dyDescent="0.2">
      <c r="B7883" s="3">
        <v>45153</v>
      </c>
      <c r="G7883" s="2">
        <f t="shared" si="123"/>
        <v>0</v>
      </c>
      <c r="H7883" t="s">
        <v>27</v>
      </c>
    </row>
    <row r="7884" spans="2:8" x14ac:dyDescent="0.2">
      <c r="B7884" s="3">
        <v>45153</v>
      </c>
      <c r="D7884" s="1">
        <v>2184.5</v>
      </c>
      <c r="E7884" s="1">
        <v>2698.5</v>
      </c>
      <c r="F7884" s="1">
        <v>5000</v>
      </c>
      <c r="G7884" s="2">
        <f t="shared" si="123"/>
        <v>-2301.5</v>
      </c>
      <c r="H7884" t="s">
        <v>13</v>
      </c>
    </row>
    <row r="7885" spans="2:8" x14ac:dyDescent="0.2">
      <c r="B7885" s="3">
        <v>45153</v>
      </c>
      <c r="G7885" s="2">
        <f t="shared" si="123"/>
        <v>0</v>
      </c>
      <c r="H7885" t="s">
        <v>30</v>
      </c>
    </row>
    <row r="7886" spans="2:8" x14ac:dyDescent="0.2">
      <c r="B7886" s="3">
        <v>45153</v>
      </c>
      <c r="G7886" s="2">
        <f t="shared" si="123"/>
        <v>0</v>
      </c>
      <c r="H7886" t="s">
        <v>25</v>
      </c>
    </row>
    <row r="7887" spans="2:8" x14ac:dyDescent="0.2">
      <c r="B7887" s="3">
        <v>45153</v>
      </c>
      <c r="G7887" s="2">
        <f t="shared" si="123"/>
        <v>0</v>
      </c>
      <c r="H7887" t="s">
        <v>24</v>
      </c>
    </row>
    <row r="7888" spans="2:8" x14ac:dyDescent="0.2">
      <c r="B7888" s="3">
        <v>45153</v>
      </c>
      <c r="G7888" s="2">
        <f t="shared" si="123"/>
        <v>0</v>
      </c>
      <c r="H7888" t="s">
        <v>9</v>
      </c>
    </row>
    <row r="7889" spans="2:8" x14ac:dyDescent="0.2">
      <c r="B7889" s="3">
        <v>45153</v>
      </c>
      <c r="G7889" s="2">
        <f t="shared" si="123"/>
        <v>0</v>
      </c>
      <c r="H7889" t="s">
        <v>8</v>
      </c>
    </row>
    <row r="7890" spans="2:8" x14ac:dyDescent="0.2">
      <c r="B7890" s="3">
        <v>45153</v>
      </c>
      <c r="G7890" s="2">
        <f t="shared" si="123"/>
        <v>0</v>
      </c>
      <c r="H7890" t="s">
        <v>6</v>
      </c>
    </row>
    <row r="7891" spans="2:8" x14ac:dyDescent="0.2">
      <c r="B7891" s="3">
        <v>45153</v>
      </c>
      <c r="G7891" s="2">
        <f t="shared" si="123"/>
        <v>0</v>
      </c>
      <c r="H7891" t="s">
        <v>5</v>
      </c>
    </row>
    <row r="7892" spans="2:8" x14ac:dyDescent="0.2">
      <c r="B7892" s="3">
        <v>45153</v>
      </c>
      <c r="G7892" s="2">
        <f t="shared" si="123"/>
        <v>0</v>
      </c>
      <c r="H7892" s="1"/>
    </row>
    <row r="7893" spans="2:8" x14ac:dyDescent="0.2">
      <c r="B7893" s="3">
        <v>45154</v>
      </c>
      <c r="G7893" s="2">
        <f t="shared" si="123"/>
        <v>0</v>
      </c>
      <c r="H7893" t="s">
        <v>14</v>
      </c>
    </row>
    <row r="7894" spans="2:8" x14ac:dyDescent="0.2">
      <c r="B7894" s="3">
        <v>45154</v>
      </c>
      <c r="G7894" s="2">
        <f t="shared" si="123"/>
        <v>0</v>
      </c>
      <c r="H7894" t="s">
        <v>27</v>
      </c>
    </row>
    <row r="7895" spans="2:8" x14ac:dyDescent="0.2">
      <c r="B7895" s="3">
        <v>45154</v>
      </c>
      <c r="G7895" s="2">
        <f t="shared" si="123"/>
        <v>0</v>
      </c>
      <c r="H7895" t="s">
        <v>13</v>
      </c>
    </row>
    <row r="7896" spans="2:8" x14ac:dyDescent="0.2">
      <c r="B7896" s="3">
        <v>45154</v>
      </c>
      <c r="G7896" s="2">
        <f t="shared" si="123"/>
        <v>0</v>
      </c>
      <c r="H7896" t="s">
        <v>30</v>
      </c>
    </row>
    <row r="7897" spans="2:8" x14ac:dyDescent="0.2">
      <c r="B7897" s="3">
        <v>45154</v>
      </c>
      <c r="G7897" s="2">
        <f t="shared" si="123"/>
        <v>0</v>
      </c>
      <c r="H7897" t="s">
        <v>25</v>
      </c>
    </row>
    <row r="7898" spans="2:8" x14ac:dyDescent="0.2">
      <c r="B7898" s="3">
        <v>45154</v>
      </c>
      <c r="F7898" s="1">
        <v>2000</v>
      </c>
      <c r="G7898" s="2">
        <f t="shared" si="123"/>
        <v>-2000</v>
      </c>
      <c r="H7898" t="s">
        <v>24</v>
      </c>
    </row>
    <row r="7899" spans="2:8" x14ac:dyDescent="0.2">
      <c r="B7899" s="3">
        <v>45154</v>
      </c>
      <c r="G7899" s="2">
        <f t="shared" si="123"/>
        <v>0</v>
      </c>
      <c r="H7899" t="s">
        <v>9</v>
      </c>
    </row>
    <row r="7900" spans="2:8" x14ac:dyDescent="0.2">
      <c r="B7900" s="3">
        <v>45154</v>
      </c>
      <c r="G7900" s="2">
        <f t="shared" si="123"/>
        <v>0</v>
      </c>
      <c r="H7900" t="s">
        <v>8</v>
      </c>
    </row>
    <row r="7901" spans="2:8" x14ac:dyDescent="0.2">
      <c r="B7901" s="3">
        <v>45154</v>
      </c>
      <c r="G7901" s="2">
        <f t="shared" si="123"/>
        <v>0</v>
      </c>
      <c r="H7901" t="s">
        <v>6</v>
      </c>
    </row>
    <row r="7902" spans="2:8" x14ac:dyDescent="0.2">
      <c r="B7902" s="3">
        <v>45154</v>
      </c>
      <c r="G7902" s="2">
        <f t="shared" si="123"/>
        <v>0</v>
      </c>
      <c r="H7902" t="s">
        <v>5</v>
      </c>
    </row>
    <row r="7903" spans="2:8" x14ac:dyDescent="0.2">
      <c r="B7903" s="3">
        <v>45154</v>
      </c>
      <c r="G7903" s="2">
        <f t="shared" si="123"/>
        <v>0</v>
      </c>
      <c r="H7903" s="1"/>
    </row>
    <row r="7904" spans="2:8" x14ac:dyDescent="0.2">
      <c r="B7904" s="3">
        <v>45155</v>
      </c>
      <c r="F7904" s="1">
        <v>15000</v>
      </c>
      <c r="G7904" s="2">
        <f t="shared" si="123"/>
        <v>-15000</v>
      </c>
      <c r="H7904" t="s">
        <v>14</v>
      </c>
    </row>
    <row r="7905" spans="2:8" x14ac:dyDescent="0.2">
      <c r="B7905" s="3">
        <v>45155</v>
      </c>
      <c r="G7905" s="2">
        <f t="shared" si="123"/>
        <v>0</v>
      </c>
      <c r="H7905" t="s">
        <v>27</v>
      </c>
    </row>
    <row r="7906" spans="2:8" x14ac:dyDescent="0.2">
      <c r="B7906" s="3">
        <v>45155</v>
      </c>
      <c r="G7906" s="2">
        <f t="shared" si="123"/>
        <v>0</v>
      </c>
      <c r="H7906" t="s">
        <v>13</v>
      </c>
    </row>
    <row r="7907" spans="2:8" x14ac:dyDescent="0.2">
      <c r="B7907" s="3">
        <v>45155</v>
      </c>
      <c r="D7907" s="1">
        <v>4000</v>
      </c>
      <c r="E7907" s="1">
        <v>4500</v>
      </c>
      <c r="F7907" s="1">
        <v>4500</v>
      </c>
      <c r="G7907" s="2">
        <f t="shared" si="123"/>
        <v>0</v>
      </c>
      <c r="H7907" t="s">
        <v>30</v>
      </c>
    </row>
    <row r="7908" spans="2:8" x14ac:dyDescent="0.2">
      <c r="B7908" s="3">
        <v>45155</v>
      </c>
      <c r="G7908" s="2">
        <f t="shared" si="123"/>
        <v>0</v>
      </c>
      <c r="H7908" t="s">
        <v>25</v>
      </c>
    </row>
    <row r="7909" spans="2:8" x14ac:dyDescent="0.2">
      <c r="B7909" s="3">
        <v>45155</v>
      </c>
      <c r="G7909" s="2">
        <f t="shared" si="123"/>
        <v>0</v>
      </c>
      <c r="H7909" t="s">
        <v>24</v>
      </c>
    </row>
    <row r="7910" spans="2:8" x14ac:dyDescent="0.2">
      <c r="B7910" s="3">
        <v>45155</v>
      </c>
      <c r="G7910" s="2">
        <f t="shared" si="123"/>
        <v>0</v>
      </c>
      <c r="H7910" t="s">
        <v>9</v>
      </c>
    </row>
    <row r="7911" spans="2:8" x14ac:dyDescent="0.2">
      <c r="B7911" s="3">
        <v>45155</v>
      </c>
      <c r="G7911" s="2">
        <f t="shared" si="123"/>
        <v>0</v>
      </c>
      <c r="H7911" t="s">
        <v>8</v>
      </c>
    </row>
    <row r="7912" spans="2:8" x14ac:dyDescent="0.2">
      <c r="B7912" s="3">
        <v>45155</v>
      </c>
      <c r="G7912" s="2">
        <f t="shared" si="123"/>
        <v>0</v>
      </c>
      <c r="H7912" t="s">
        <v>6</v>
      </c>
    </row>
    <row r="7913" spans="2:8" x14ac:dyDescent="0.2">
      <c r="B7913" s="3">
        <v>45155</v>
      </c>
      <c r="F7913" s="1">
        <v>2400</v>
      </c>
      <c r="G7913" s="2">
        <f t="shared" si="123"/>
        <v>-2400</v>
      </c>
      <c r="H7913" t="s">
        <v>5</v>
      </c>
    </row>
    <row r="7914" spans="2:8" x14ac:dyDescent="0.2">
      <c r="B7914" s="3">
        <v>45155</v>
      </c>
      <c r="G7914" s="2">
        <f t="shared" si="123"/>
        <v>0</v>
      </c>
      <c r="H7914" s="1"/>
    </row>
    <row r="7915" spans="2:8" x14ac:dyDescent="0.2">
      <c r="B7915" s="3">
        <v>45156</v>
      </c>
      <c r="G7915" s="2">
        <f t="shared" si="123"/>
        <v>0</v>
      </c>
      <c r="H7915" t="s">
        <v>14</v>
      </c>
    </row>
    <row r="7916" spans="2:8" x14ac:dyDescent="0.2">
      <c r="B7916" s="3">
        <v>45156</v>
      </c>
      <c r="G7916" s="2">
        <f t="shared" si="123"/>
        <v>0</v>
      </c>
      <c r="H7916" t="s">
        <v>27</v>
      </c>
    </row>
    <row r="7917" spans="2:8" x14ac:dyDescent="0.2">
      <c r="B7917" s="3">
        <v>45156</v>
      </c>
      <c r="G7917" s="2">
        <f t="shared" si="123"/>
        <v>0</v>
      </c>
      <c r="H7917" t="s">
        <v>13</v>
      </c>
    </row>
    <row r="7918" spans="2:8" x14ac:dyDescent="0.2">
      <c r="B7918" s="3">
        <v>45156</v>
      </c>
      <c r="G7918" s="2">
        <f t="shared" si="123"/>
        <v>0</v>
      </c>
      <c r="H7918" t="s">
        <v>30</v>
      </c>
    </row>
    <row r="7919" spans="2:8" x14ac:dyDescent="0.2">
      <c r="B7919" s="3">
        <v>45156</v>
      </c>
      <c r="G7919" s="2">
        <f t="shared" si="123"/>
        <v>0</v>
      </c>
      <c r="H7919" t="s">
        <v>25</v>
      </c>
    </row>
    <row r="7920" spans="2:8" x14ac:dyDescent="0.2">
      <c r="B7920" s="3">
        <v>45156</v>
      </c>
      <c r="G7920" s="2">
        <f t="shared" si="123"/>
        <v>0</v>
      </c>
      <c r="H7920" t="s">
        <v>24</v>
      </c>
    </row>
    <row r="7921" spans="2:8" x14ac:dyDescent="0.2">
      <c r="B7921" s="3">
        <v>45156</v>
      </c>
      <c r="G7921" s="2">
        <f t="shared" si="123"/>
        <v>0</v>
      </c>
      <c r="H7921" t="s">
        <v>9</v>
      </c>
    </row>
    <row r="7922" spans="2:8" x14ac:dyDescent="0.2">
      <c r="B7922" s="3">
        <v>45156</v>
      </c>
      <c r="G7922" s="2">
        <f t="shared" si="123"/>
        <v>0</v>
      </c>
      <c r="H7922" t="s">
        <v>8</v>
      </c>
    </row>
    <row r="7923" spans="2:8" x14ac:dyDescent="0.2">
      <c r="B7923" s="3">
        <v>45156</v>
      </c>
      <c r="G7923" s="2">
        <f t="shared" si="123"/>
        <v>0</v>
      </c>
      <c r="H7923" t="s">
        <v>6</v>
      </c>
    </row>
    <row r="7924" spans="2:8" x14ac:dyDescent="0.2">
      <c r="B7924" s="3">
        <v>45156</v>
      </c>
      <c r="G7924" s="2">
        <f t="shared" si="123"/>
        <v>0</v>
      </c>
      <c r="H7924" t="s">
        <v>5</v>
      </c>
    </row>
    <row r="7925" spans="2:8" x14ac:dyDescent="0.2">
      <c r="B7925" s="3">
        <v>45156</v>
      </c>
      <c r="G7925" s="2">
        <f t="shared" si="123"/>
        <v>0</v>
      </c>
      <c r="H7925" s="1"/>
    </row>
    <row r="7926" spans="2:8" x14ac:dyDescent="0.2">
      <c r="B7926" s="3">
        <v>45157</v>
      </c>
      <c r="G7926" s="2">
        <f t="shared" si="123"/>
        <v>0</v>
      </c>
      <c r="H7926" t="s">
        <v>14</v>
      </c>
    </row>
    <row r="7927" spans="2:8" x14ac:dyDescent="0.2">
      <c r="B7927" s="3">
        <v>45157</v>
      </c>
      <c r="G7927" s="2">
        <f t="shared" si="123"/>
        <v>0</v>
      </c>
      <c r="H7927" t="s">
        <v>27</v>
      </c>
    </row>
    <row r="7928" spans="2:8" x14ac:dyDescent="0.2">
      <c r="B7928" s="3">
        <v>45157</v>
      </c>
      <c r="G7928" s="2">
        <f t="shared" si="123"/>
        <v>0</v>
      </c>
      <c r="H7928" t="s">
        <v>13</v>
      </c>
    </row>
    <row r="7929" spans="2:8" x14ac:dyDescent="0.2">
      <c r="B7929" s="3">
        <v>45157</v>
      </c>
      <c r="G7929" s="2">
        <f t="shared" si="123"/>
        <v>0</v>
      </c>
      <c r="H7929" t="s">
        <v>30</v>
      </c>
    </row>
    <row r="7930" spans="2:8" x14ac:dyDescent="0.2">
      <c r="B7930" s="3">
        <v>45157</v>
      </c>
      <c r="G7930" s="2">
        <f t="shared" si="123"/>
        <v>0</v>
      </c>
      <c r="H7930" t="s">
        <v>25</v>
      </c>
    </row>
    <row r="7931" spans="2:8" x14ac:dyDescent="0.2">
      <c r="B7931" s="3">
        <v>45157</v>
      </c>
      <c r="G7931" s="2">
        <f t="shared" si="123"/>
        <v>0</v>
      </c>
      <c r="H7931" t="s">
        <v>24</v>
      </c>
    </row>
    <row r="7932" spans="2:8" x14ac:dyDescent="0.2">
      <c r="B7932" s="3">
        <v>45157</v>
      </c>
      <c r="G7932" s="2">
        <f t="shared" si="123"/>
        <v>0</v>
      </c>
      <c r="H7932" t="s">
        <v>9</v>
      </c>
    </row>
    <row r="7933" spans="2:8" x14ac:dyDescent="0.2">
      <c r="B7933" s="3">
        <v>45157</v>
      </c>
      <c r="G7933" s="2">
        <f t="shared" si="123"/>
        <v>0</v>
      </c>
      <c r="H7933" t="s">
        <v>8</v>
      </c>
    </row>
    <row r="7934" spans="2:8" x14ac:dyDescent="0.2">
      <c r="B7934" s="3">
        <v>45157</v>
      </c>
      <c r="G7934" s="2">
        <f t="shared" si="123"/>
        <v>0</v>
      </c>
      <c r="H7934" t="s">
        <v>6</v>
      </c>
    </row>
    <row r="7935" spans="2:8" x14ac:dyDescent="0.2">
      <c r="B7935" s="3">
        <v>45157</v>
      </c>
      <c r="G7935" s="2">
        <f t="shared" si="123"/>
        <v>0</v>
      </c>
      <c r="H7935" t="s">
        <v>5</v>
      </c>
    </row>
    <row r="7936" spans="2:8" x14ac:dyDescent="0.2">
      <c r="B7936" s="3">
        <v>45157</v>
      </c>
      <c r="G7936" s="2">
        <f t="shared" si="123"/>
        <v>0</v>
      </c>
      <c r="H7936" s="1"/>
    </row>
    <row r="7937" spans="2:8" x14ac:dyDescent="0.2">
      <c r="B7937" s="3">
        <v>45158</v>
      </c>
      <c r="G7937" s="2">
        <f t="shared" si="123"/>
        <v>0</v>
      </c>
      <c r="H7937" t="s">
        <v>14</v>
      </c>
    </row>
    <row r="7938" spans="2:8" x14ac:dyDescent="0.2">
      <c r="B7938" s="3">
        <v>45158</v>
      </c>
      <c r="G7938" s="2">
        <f t="shared" si="123"/>
        <v>0</v>
      </c>
      <c r="H7938" t="s">
        <v>27</v>
      </c>
    </row>
    <row r="7939" spans="2:8" x14ac:dyDescent="0.2">
      <c r="B7939" s="3">
        <v>45158</v>
      </c>
      <c r="G7939" s="2">
        <f t="shared" ref="G7939:G8002" si="124">E7939-F7939</f>
        <v>0</v>
      </c>
      <c r="H7939" t="s">
        <v>13</v>
      </c>
    </row>
    <row r="7940" spans="2:8" x14ac:dyDescent="0.2">
      <c r="B7940" s="3">
        <v>45158</v>
      </c>
      <c r="G7940" s="2">
        <f t="shared" si="124"/>
        <v>0</v>
      </c>
      <c r="H7940" t="s">
        <v>30</v>
      </c>
    </row>
    <row r="7941" spans="2:8" x14ac:dyDescent="0.2">
      <c r="B7941" s="3">
        <v>45158</v>
      </c>
      <c r="G7941" s="2">
        <f t="shared" si="124"/>
        <v>0</v>
      </c>
      <c r="H7941" t="s">
        <v>25</v>
      </c>
    </row>
    <row r="7942" spans="2:8" x14ac:dyDescent="0.2">
      <c r="B7942" s="3">
        <v>45158</v>
      </c>
      <c r="G7942" s="2">
        <f t="shared" si="124"/>
        <v>0</v>
      </c>
      <c r="H7942" t="s">
        <v>24</v>
      </c>
    </row>
    <row r="7943" spans="2:8" x14ac:dyDescent="0.2">
      <c r="B7943" s="3">
        <v>45158</v>
      </c>
      <c r="G7943" s="2">
        <f t="shared" si="124"/>
        <v>0</v>
      </c>
      <c r="H7943" t="s">
        <v>9</v>
      </c>
    </row>
    <row r="7944" spans="2:8" x14ac:dyDescent="0.2">
      <c r="B7944" s="3">
        <v>45158</v>
      </c>
      <c r="G7944" s="2">
        <f t="shared" si="124"/>
        <v>0</v>
      </c>
      <c r="H7944" t="s">
        <v>8</v>
      </c>
    </row>
    <row r="7945" spans="2:8" x14ac:dyDescent="0.2">
      <c r="B7945" s="3">
        <v>45158</v>
      </c>
      <c r="F7945" s="1">
        <v>7000</v>
      </c>
      <c r="G7945" s="2">
        <f t="shared" si="124"/>
        <v>-7000</v>
      </c>
      <c r="H7945" t="s">
        <v>6</v>
      </c>
    </row>
    <row r="7946" spans="2:8" x14ac:dyDescent="0.2">
      <c r="B7946" s="3">
        <v>45158</v>
      </c>
      <c r="G7946" s="2">
        <f t="shared" si="124"/>
        <v>0</v>
      </c>
      <c r="H7946" t="s">
        <v>5</v>
      </c>
    </row>
    <row r="7947" spans="2:8" x14ac:dyDescent="0.2">
      <c r="B7947" s="3">
        <v>45158</v>
      </c>
      <c r="G7947" s="2">
        <f t="shared" si="124"/>
        <v>0</v>
      </c>
      <c r="H7947" s="1"/>
    </row>
    <row r="7948" spans="2:8" x14ac:dyDescent="0.2">
      <c r="B7948" s="3">
        <v>45159</v>
      </c>
      <c r="G7948" s="2">
        <f t="shared" si="124"/>
        <v>0</v>
      </c>
      <c r="H7948" t="s">
        <v>14</v>
      </c>
    </row>
    <row r="7949" spans="2:8" x14ac:dyDescent="0.2">
      <c r="B7949" s="3">
        <v>45159</v>
      </c>
      <c r="F7949" s="1">
        <v>3000</v>
      </c>
      <c r="G7949" s="2">
        <f t="shared" si="124"/>
        <v>-3000</v>
      </c>
      <c r="H7949" t="s">
        <v>27</v>
      </c>
    </row>
    <row r="7950" spans="2:8" x14ac:dyDescent="0.2">
      <c r="B7950" s="3">
        <v>45159</v>
      </c>
      <c r="G7950" s="2">
        <f t="shared" si="124"/>
        <v>0</v>
      </c>
      <c r="H7950" t="s">
        <v>13</v>
      </c>
    </row>
    <row r="7951" spans="2:8" x14ac:dyDescent="0.2">
      <c r="B7951" s="3">
        <v>45159</v>
      </c>
      <c r="G7951" s="2">
        <f t="shared" si="124"/>
        <v>0</v>
      </c>
      <c r="H7951" t="s">
        <v>30</v>
      </c>
    </row>
    <row r="7952" spans="2:8" x14ac:dyDescent="0.2">
      <c r="B7952" s="3">
        <v>45159</v>
      </c>
      <c r="G7952" s="2">
        <f t="shared" si="124"/>
        <v>0</v>
      </c>
      <c r="H7952" t="s">
        <v>25</v>
      </c>
    </row>
    <row r="7953" spans="2:8" x14ac:dyDescent="0.2">
      <c r="B7953" s="3">
        <v>45159</v>
      </c>
      <c r="D7953" s="1">
        <v>3225.5</v>
      </c>
      <c r="E7953" s="1">
        <v>3613.25</v>
      </c>
      <c r="F7953" s="1">
        <v>4700</v>
      </c>
      <c r="G7953" s="2">
        <f t="shared" si="124"/>
        <v>-1086.75</v>
      </c>
      <c r="H7953" t="s">
        <v>24</v>
      </c>
    </row>
    <row r="7954" spans="2:8" x14ac:dyDescent="0.2">
      <c r="B7954" s="3">
        <v>45159</v>
      </c>
      <c r="G7954" s="2">
        <f t="shared" si="124"/>
        <v>0</v>
      </c>
      <c r="H7954" t="s">
        <v>9</v>
      </c>
    </row>
    <row r="7955" spans="2:8" x14ac:dyDescent="0.2">
      <c r="B7955" s="3">
        <v>45159</v>
      </c>
      <c r="G7955" s="2">
        <f t="shared" si="124"/>
        <v>0</v>
      </c>
      <c r="H7955" t="s">
        <v>8</v>
      </c>
    </row>
    <row r="7956" spans="2:8" x14ac:dyDescent="0.2">
      <c r="B7956" s="3">
        <v>45159</v>
      </c>
      <c r="G7956" s="2">
        <f t="shared" si="124"/>
        <v>0</v>
      </c>
      <c r="H7956" t="s">
        <v>6</v>
      </c>
    </row>
    <row r="7957" spans="2:8" x14ac:dyDescent="0.2">
      <c r="B7957" s="3">
        <v>45159</v>
      </c>
      <c r="G7957" s="2">
        <f t="shared" si="124"/>
        <v>0</v>
      </c>
      <c r="H7957" t="s">
        <v>5</v>
      </c>
    </row>
    <row r="7958" spans="2:8" x14ac:dyDescent="0.2">
      <c r="B7958" s="3">
        <v>45159</v>
      </c>
      <c r="G7958" s="2">
        <f t="shared" si="124"/>
        <v>0</v>
      </c>
      <c r="H7958" s="1"/>
    </row>
    <row r="7959" spans="2:8" x14ac:dyDescent="0.2">
      <c r="B7959" s="3">
        <v>45160</v>
      </c>
      <c r="G7959" s="2">
        <f t="shared" si="124"/>
        <v>0</v>
      </c>
      <c r="H7959" t="s">
        <v>14</v>
      </c>
    </row>
    <row r="7960" spans="2:8" x14ac:dyDescent="0.2">
      <c r="B7960" s="3">
        <v>45160</v>
      </c>
      <c r="G7960" s="2">
        <f t="shared" si="124"/>
        <v>0</v>
      </c>
      <c r="H7960" t="s">
        <v>27</v>
      </c>
    </row>
    <row r="7961" spans="2:8" x14ac:dyDescent="0.2">
      <c r="B7961" s="3">
        <v>45160</v>
      </c>
      <c r="G7961" s="2">
        <f t="shared" si="124"/>
        <v>0</v>
      </c>
      <c r="H7961" t="s">
        <v>13</v>
      </c>
    </row>
    <row r="7962" spans="2:8" x14ac:dyDescent="0.2">
      <c r="B7962" s="3">
        <v>45160</v>
      </c>
      <c r="G7962" s="2">
        <f t="shared" si="124"/>
        <v>0</v>
      </c>
      <c r="H7962" t="s">
        <v>30</v>
      </c>
    </row>
    <row r="7963" spans="2:8" x14ac:dyDescent="0.2">
      <c r="B7963" s="3">
        <v>45160</v>
      </c>
      <c r="G7963" s="2">
        <f t="shared" si="124"/>
        <v>0</v>
      </c>
      <c r="H7963" t="s">
        <v>25</v>
      </c>
    </row>
    <row r="7964" spans="2:8" x14ac:dyDescent="0.2">
      <c r="B7964" s="3">
        <v>45160</v>
      </c>
      <c r="G7964" s="2">
        <f t="shared" si="124"/>
        <v>0</v>
      </c>
      <c r="H7964" t="s">
        <v>24</v>
      </c>
    </row>
    <row r="7965" spans="2:8" x14ac:dyDescent="0.2">
      <c r="B7965" s="3">
        <v>45160</v>
      </c>
      <c r="G7965" s="2">
        <f t="shared" si="124"/>
        <v>0</v>
      </c>
      <c r="H7965" t="s">
        <v>9</v>
      </c>
    </row>
    <row r="7966" spans="2:8" x14ac:dyDescent="0.2">
      <c r="B7966" s="3">
        <v>45160</v>
      </c>
      <c r="G7966" s="2">
        <f t="shared" si="124"/>
        <v>0</v>
      </c>
      <c r="H7966" t="s">
        <v>8</v>
      </c>
    </row>
    <row r="7967" spans="2:8" x14ac:dyDescent="0.2">
      <c r="B7967" s="3">
        <v>45160</v>
      </c>
      <c r="G7967" s="2">
        <f t="shared" si="124"/>
        <v>0</v>
      </c>
      <c r="H7967" t="s">
        <v>6</v>
      </c>
    </row>
    <row r="7968" spans="2:8" x14ac:dyDescent="0.2">
      <c r="B7968" s="3">
        <v>45160</v>
      </c>
      <c r="G7968" s="2">
        <f t="shared" si="124"/>
        <v>0</v>
      </c>
      <c r="H7968" t="s">
        <v>5</v>
      </c>
    </row>
    <row r="7969" spans="2:8" x14ac:dyDescent="0.2">
      <c r="B7969" s="3">
        <v>45160</v>
      </c>
      <c r="G7969" s="2">
        <f t="shared" si="124"/>
        <v>0</v>
      </c>
      <c r="H7969" s="1"/>
    </row>
    <row r="7970" spans="2:8" x14ac:dyDescent="0.2">
      <c r="B7970" s="3">
        <v>45161</v>
      </c>
      <c r="G7970" s="2">
        <f t="shared" si="124"/>
        <v>0</v>
      </c>
      <c r="H7970" t="s">
        <v>14</v>
      </c>
    </row>
    <row r="7971" spans="2:8" x14ac:dyDescent="0.2">
      <c r="B7971" s="3">
        <v>45161</v>
      </c>
      <c r="G7971" s="2">
        <f t="shared" si="124"/>
        <v>0</v>
      </c>
      <c r="H7971" t="s">
        <v>27</v>
      </c>
    </row>
    <row r="7972" spans="2:8" x14ac:dyDescent="0.2">
      <c r="B7972" s="3">
        <v>45161</v>
      </c>
      <c r="G7972" s="2">
        <f t="shared" si="124"/>
        <v>0</v>
      </c>
      <c r="H7972" t="s">
        <v>13</v>
      </c>
    </row>
    <row r="7973" spans="2:8" x14ac:dyDescent="0.2">
      <c r="B7973" s="3">
        <v>45161</v>
      </c>
      <c r="G7973" s="2">
        <f t="shared" si="124"/>
        <v>0</v>
      </c>
      <c r="H7973" t="s">
        <v>30</v>
      </c>
    </row>
    <row r="7974" spans="2:8" x14ac:dyDescent="0.2">
      <c r="B7974" s="3">
        <v>45161</v>
      </c>
      <c r="G7974" s="2">
        <f t="shared" si="124"/>
        <v>0</v>
      </c>
      <c r="H7974" t="s">
        <v>25</v>
      </c>
    </row>
    <row r="7975" spans="2:8" x14ac:dyDescent="0.2">
      <c r="B7975" s="3">
        <v>45161</v>
      </c>
      <c r="G7975" s="2">
        <f t="shared" si="124"/>
        <v>0</v>
      </c>
      <c r="H7975" t="s">
        <v>24</v>
      </c>
    </row>
    <row r="7976" spans="2:8" x14ac:dyDescent="0.2">
      <c r="B7976" s="3">
        <v>45161</v>
      </c>
      <c r="G7976" s="2">
        <f t="shared" si="124"/>
        <v>0</v>
      </c>
      <c r="H7976" t="s">
        <v>9</v>
      </c>
    </row>
    <row r="7977" spans="2:8" x14ac:dyDescent="0.2">
      <c r="B7977" s="3">
        <v>45161</v>
      </c>
      <c r="D7977" s="1">
        <v>26168.75</v>
      </c>
      <c r="E7977" s="1">
        <v>28950</v>
      </c>
      <c r="G7977" s="2">
        <f t="shared" si="124"/>
        <v>28950</v>
      </c>
      <c r="H7977" t="s">
        <v>8</v>
      </c>
    </row>
    <row r="7978" spans="2:8" x14ac:dyDescent="0.2">
      <c r="B7978" s="3">
        <v>45161</v>
      </c>
      <c r="G7978" s="2">
        <f t="shared" si="124"/>
        <v>0</v>
      </c>
      <c r="H7978" t="s">
        <v>6</v>
      </c>
    </row>
    <row r="7979" spans="2:8" x14ac:dyDescent="0.2">
      <c r="B7979" s="3">
        <v>45161</v>
      </c>
      <c r="G7979" s="2">
        <f t="shared" si="124"/>
        <v>0</v>
      </c>
      <c r="H7979" t="s">
        <v>5</v>
      </c>
    </row>
    <row r="7980" spans="2:8" x14ac:dyDescent="0.2">
      <c r="B7980" s="3">
        <v>45161</v>
      </c>
      <c r="G7980" s="2">
        <f t="shared" si="124"/>
        <v>0</v>
      </c>
      <c r="H7980" s="1"/>
    </row>
    <row r="7981" spans="2:8" x14ac:dyDescent="0.2">
      <c r="B7981" s="3">
        <v>45162</v>
      </c>
      <c r="F7981" s="1">
        <v>10000</v>
      </c>
      <c r="G7981" s="2">
        <f t="shared" si="124"/>
        <v>-10000</v>
      </c>
      <c r="H7981" t="s">
        <v>14</v>
      </c>
    </row>
    <row r="7982" spans="2:8" x14ac:dyDescent="0.2">
      <c r="B7982" s="3">
        <v>45162</v>
      </c>
      <c r="G7982" s="2">
        <f t="shared" si="124"/>
        <v>0</v>
      </c>
      <c r="H7982" t="s">
        <v>27</v>
      </c>
    </row>
    <row r="7983" spans="2:8" x14ac:dyDescent="0.2">
      <c r="B7983" s="3">
        <v>45162</v>
      </c>
      <c r="G7983" s="2">
        <f t="shared" si="124"/>
        <v>0</v>
      </c>
      <c r="H7983" t="s">
        <v>13</v>
      </c>
    </row>
    <row r="7984" spans="2:8" x14ac:dyDescent="0.2">
      <c r="B7984" s="3">
        <v>45162</v>
      </c>
      <c r="G7984" s="2">
        <f t="shared" si="124"/>
        <v>0</v>
      </c>
      <c r="H7984" t="s">
        <v>30</v>
      </c>
    </row>
    <row r="7985" spans="2:8" x14ac:dyDescent="0.2">
      <c r="B7985" s="3">
        <v>45162</v>
      </c>
      <c r="G7985" s="2">
        <f t="shared" si="124"/>
        <v>0</v>
      </c>
      <c r="H7985" t="s">
        <v>25</v>
      </c>
    </row>
    <row r="7986" spans="2:8" x14ac:dyDescent="0.2">
      <c r="B7986" s="3">
        <v>45162</v>
      </c>
      <c r="G7986" s="2">
        <f t="shared" si="124"/>
        <v>0</v>
      </c>
      <c r="H7986" t="s">
        <v>24</v>
      </c>
    </row>
    <row r="7987" spans="2:8" x14ac:dyDescent="0.2">
      <c r="B7987" s="3">
        <v>45162</v>
      </c>
      <c r="G7987" s="2">
        <f t="shared" si="124"/>
        <v>0</v>
      </c>
      <c r="H7987" t="s">
        <v>9</v>
      </c>
    </row>
    <row r="7988" spans="2:8" x14ac:dyDescent="0.2">
      <c r="B7988" s="3">
        <v>45162</v>
      </c>
      <c r="G7988" s="2">
        <f t="shared" si="124"/>
        <v>0</v>
      </c>
      <c r="H7988" t="s">
        <v>8</v>
      </c>
    </row>
    <row r="7989" spans="2:8" x14ac:dyDescent="0.2">
      <c r="B7989" s="3">
        <v>45162</v>
      </c>
      <c r="G7989" s="2">
        <f t="shared" si="124"/>
        <v>0</v>
      </c>
      <c r="H7989" t="s">
        <v>6</v>
      </c>
    </row>
    <row r="7990" spans="2:8" x14ac:dyDescent="0.2">
      <c r="B7990" s="3">
        <v>45162</v>
      </c>
      <c r="G7990" s="2">
        <f t="shared" si="124"/>
        <v>0</v>
      </c>
      <c r="H7990" t="s">
        <v>5</v>
      </c>
    </row>
    <row r="7991" spans="2:8" x14ac:dyDescent="0.2">
      <c r="B7991" s="3">
        <v>45162</v>
      </c>
      <c r="G7991" s="2">
        <f t="shared" si="124"/>
        <v>0</v>
      </c>
      <c r="H7991" s="1"/>
    </row>
    <row r="7992" spans="2:8" x14ac:dyDescent="0.2">
      <c r="B7992" s="3">
        <v>45163</v>
      </c>
      <c r="G7992" s="2">
        <f t="shared" si="124"/>
        <v>0</v>
      </c>
      <c r="H7992" t="s">
        <v>14</v>
      </c>
    </row>
    <row r="7993" spans="2:8" x14ac:dyDescent="0.2">
      <c r="B7993" s="3">
        <v>45163</v>
      </c>
      <c r="G7993" s="2">
        <f t="shared" si="124"/>
        <v>0</v>
      </c>
      <c r="H7993" t="s">
        <v>27</v>
      </c>
    </row>
    <row r="7994" spans="2:8" x14ac:dyDescent="0.2">
      <c r="B7994" s="3">
        <v>45163</v>
      </c>
      <c r="G7994" s="2">
        <f t="shared" si="124"/>
        <v>0</v>
      </c>
      <c r="H7994" t="s">
        <v>13</v>
      </c>
    </row>
    <row r="7995" spans="2:8" x14ac:dyDescent="0.2">
      <c r="B7995" s="3">
        <v>45163</v>
      </c>
      <c r="G7995" s="2">
        <f t="shared" si="124"/>
        <v>0</v>
      </c>
      <c r="H7995" t="s">
        <v>30</v>
      </c>
    </row>
    <row r="7996" spans="2:8" x14ac:dyDescent="0.2">
      <c r="B7996" s="3">
        <v>45163</v>
      </c>
      <c r="G7996" s="2">
        <f t="shared" si="124"/>
        <v>0</v>
      </c>
      <c r="H7996" t="s">
        <v>25</v>
      </c>
    </row>
    <row r="7997" spans="2:8" x14ac:dyDescent="0.2">
      <c r="B7997" s="3">
        <v>45163</v>
      </c>
      <c r="G7997" s="2">
        <f t="shared" si="124"/>
        <v>0</v>
      </c>
      <c r="H7997" t="s">
        <v>24</v>
      </c>
    </row>
    <row r="7998" spans="2:8" x14ac:dyDescent="0.2">
      <c r="B7998" s="3">
        <v>45163</v>
      </c>
      <c r="G7998" s="2">
        <f t="shared" si="124"/>
        <v>0</v>
      </c>
      <c r="H7998" t="s">
        <v>9</v>
      </c>
    </row>
    <row r="7999" spans="2:8" x14ac:dyDescent="0.2">
      <c r="B7999" s="3">
        <v>45163</v>
      </c>
      <c r="G7999" s="2">
        <f t="shared" si="124"/>
        <v>0</v>
      </c>
      <c r="H7999" t="s">
        <v>8</v>
      </c>
    </row>
    <row r="8000" spans="2:8" x14ac:dyDescent="0.2">
      <c r="B8000" s="3">
        <v>45163</v>
      </c>
      <c r="G8000" s="2">
        <f t="shared" si="124"/>
        <v>0</v>
      </c>
      <c r="H8000" t="s">
        <v>6</v>
      </c>
    </row>
    <row r="8001" spans="2:8" x14ac:dyDescent="0.2">
      <c r="B8001" s="3">
        <v>45163</v>
      </c>
      <c r="G8001" s="2">
        <f t="shared" si="124"/>
        <v>0</v>
      </c>
      <c r="H8001" t="s">
        <v>5</v>
      </c>
    </row>
    <row r="8002" spans="2:8" x14ac:dyDescent="0.2">
      <c r="B8002" s="3">
        <v>45163</v>
      </c>
      <c r="G8002" s="2">
        <f t="shared" si="124"/>
        <v>0</v>
      </c>
      <c r="H8002" s="1"/>
    </row>
    <row r="8003" spans="2:8" x14ac:dyDescent="0.2">
      <c r="B8003" s="3">
        <v>45164</v>
      </c>
      <c r="D8003" s="1">
        <v>6105</v>
      </c>
      <c r="E8003" s="1">
        <v>6645</v>
      </c>
      <c r="F8003" s="1">
        <v>10000</v>
      </c>
      <c r="G8003" s="2">
        <f t="shared" ref="G8003:G8066" si="125">E8003-F8003</f>
        <v>-3355</v>
      </c>
      <c r="H8003" t="s">
        <v>14</v>
      </c>
    </row>
    <row r="8004" spans="2:8" x14ac:dyDescent="0.2">
      <c r="B8004" s="3">
        <v>45164</v>
      </c>
      <c r="G8004" s="2">
        <f t="shared" si="125"/>
        <v>0</v>
      </c>
      <c r="H8004" t="s">
        <v>27</v>
      </c>
    </row>
    <row r="8005" spans="2:8" x14ac:dyDescent="0.2">
      <c r="B8005" s="3">
        <v>45164</v>
      </c>
      <c r="G8005" s="2">
        <f t="shared" si="125"/>
        <v>0</v>
      </c>
      <c r="H8005" t="s">
        <v>13</v>
      </c>
    </row>
    <row r="8006" spans="2:8" x14ac:dyDescent="0.2">
      <c r="B8006" s="3">
        <v>45164</v>
      </c>
      <c r="G8006" s="2">
        <f t="shared" si="125"/>
        <v>0</v>
      </c>
      <c r="H8006" t="s">
        <v>30</v>
      </c>
    </row>
    <row r="8007" spans="2:8" x14ac:dyDescent="0.2">
      <c r="B8007" s="3">
        <v>45164</v>
      </c>
      <c r="G8007" s="2">
        <f t="shared" si="125"/>
        <v>0</v>
      </c>
      <c r="H8007" t="s">
        <v>25</v>
      </c>
    </row>
    <row r="8008" spans="2:8" x14ac:dyDescent="0.2">
      <c r="B8008" s="3">
        <v>45164</v>
      </c>
      <c r="G8008" s="2">
        <f t="shared" si="125"/>
        <v>0</v>
      </c>
      <c r="H8008" t="s">
        <v>24</v>
      </c>
    </row>
    <row r="8009" spans="2:8" x14ac:dyDescent="0.2">
      <c r="B8009" s="3">
        <v>45164</v>
      </c>
      <c r="G8009" s="2">
        <f t="shared" si="125"/>
        <v>0</v>
      </c>
      <c r="H8009" t="s">
        <v>9</v>
      </c>
    </row>
    <row r="8010" spans="2:8" x14ac:dyDescent="0.2">
      <c r="B8010" s="3">
        <v>45164</v>
      </c>
      <c r="G8010" s="2">
        <f t="shared" si="125"/>
        <v>0</v>
      </c>
      <c r="H8010" t="s">
        <v>8</v>
      </c>
    </row>
    <row r="8011" spans="2:8" x14ac:dyDescent="0.2">
      <c r="B8011" s="3">
        <v>45164</v>
      </c>
      <c r="G8011" s="2">
        <f t="shared" si="125"/>
        <v>0</v>
      </c>
      <c r="H8011" t="s">
        <v>6</v>
      </c>
    </row>
    <row r="8012" spans="2:8" x14ac:dyDescent="0.2">
      <c r="B8012" s="3">
        <v>45164</v>
      </c>
      <c r="G8012" s="2">
        <f t="shared" si="125"/>
        <v>0</v>
      </c>
      <c r="H8012" t="s">
        <v>5</v>
      </c>
    </row>
    <row r="8013" spans="2:8" x14ac:dyDescent="0.2">
      <c r="B8013" s="3">
        <v>45164</v>
      </c>
      <c r="G8013" s="2">
        <f t="shared" si="125"/>
        <v>0</v>
      </c>
      <c r="H8013" s="1"/>
    </row>
    <row r="8014" spans="2:8" x14ac:dyDescent="0.2">
      <c r="B8014" s="3">
        <v>45165</v>
      </c>
      <c r="G8014" s="2">
        <f t="shared" si="125"/>
        <v>0</v>
      </c>
      <c r="H8014" t="s">
        <v>14</v>
      </c>
    </row>
    <row r="8015" spans="2:8" x14ac:dyDescent="0.2">
      <c r="B8015" s="3">
        <v>45165</v>
      </c>
      <c r="G8015" s="2">
        <f t="shared" si="125"/>
        <v>0</v>
      </c>
      <c r="H8015" t="s">
        <v>27</v>
      </c>
    </row>
    <row r="8016" spans="2:8" x14ac:dyDescent="0.2">
      <c r="B8016" s="3">
        <v>45165</v>
      </c>
      <c r="G8016" s="2">
        <f t="shared" si="125"/>
        <v>0</v>
      </c>
      <c r="H8016" t="s">
        <v>13</v>
      </c>
    </row>
    <row r="8017" spans="2:8" x14ac:dyDescent="0.2">
      <c r="B8017" s="3">
        <v>45165</v>
      </c>
      <c r="G8017" s="2">
        <f t="shared" si="125"/>
        <v>0</v>
      </c>
      <c r="H8017" t="s">
        <v>30</v>
      </c>
    </row>
    <row r="8018" spans="2:8" x14ac:dyDescent="0.2">
      <c r="B8018" s="3">
        <v>45165</v>
      </c>
      <c r="G8018" s="2">
        <f t="shared" si="125"/>
        <v>0</v>
      </c>
      <c r="H8018" t="s">
        <v>25</v>
      </c>
    </row>
    <row r="8019" spans="2:8" x14ac:dyDescent="0.2">
      <c r="B8019" s="3">
        <v>45165</v>
      </c>
      <c r="G8019" s="2">
        <f t="shared" si="125"/>
        <v>0</v>
      </c>
      <c r="H8019" t="s">
        <v>24</v>
      </c>
    </row>
    <row r="8020" spans="2:8" x14ac:dyDescent="0.2">
      <c r="B8020" s="3">
        <v>45165</v>
      </c>
      <c r="G8020" s="2">
        <f t="shared" si="125"/>
        <v>0</v>
      </c>
      <c r="H8020" t="s">
        <v>9</v>
      </c>
    </row>
    <row r="8021" spans="2:8" x14ac:dyDescent="0.2">
      <c r="B8021" s="3">
        <v>45165</v>
      </c>
      <c r="G8021" s="2">
        <f t="shared" si="125"/>
        <v>0</v>
      </c>
      <c r="H8021" t="s">
        <v>8</v>
      </c>
    </row>
    <row r="8022" spans="2:8" x14ac:dyDescent="0.2">
      <c r="B8022" s="3">
        <v>45165</v>
      </c>
      <c r="G8022" s="2">
        <f t="shared" si="125"/>
        <v>0</v>
      </c>
      <c r="H8022" t="s">
        <v>6</v>
      </c>
    </row>
    <row r="8023" spans="2:8" x14ac:dyDescent="0.2">
      <c r="B8023" s="3">
        <v>45165</v>
      </c>
      <c r="G8023" s="2">
        <f t="shared" si="125"/>
        <v>0</v>
      </c>
      <c r="H8023" t="s">
        <v>5</v>
      </c>
    </row>
    <row r="8024" spans="2:8" x14ac:dyDescent="0.2">
      <c r="B8024" s="3">
        <v>45165</v>
      </c>
      <c r="G8024" s="2">
        <f t="shared" si="125"/>
        <v>0</v>
      </c>
      <c r="H8024" s="1"/>
    </row>
    <row r="8025" spans="2:8" x14ac:dyDescent="0.2">
      <c r="B8025" s="3">
        <v>45166</v>
      </c>
      <c r="G8025" s="2">
        <f t="shared" si="125"/>
        <v>0</v>
      </c>
      <c r="H8025" t="s">
        <v>14</v>
      </c>
    </row>
    <row r="8026" spans="2:8" x14ac:dyDescent="0.2">
      <c r="B8026" s="3">
        <v>45166</v>
      </c>
      <c r="G8026" s="2">
        <f t="shared" si="125"/>
        <v>0</v>
      </c>
      <c r="H8026" t="s">
        <v>27</v>
      </c>
    </row>
    <row r="8027" spans="2:8" x14ac:dyDescent="0.2">
      <c r="B8027" s="3">
        <v>45166</v>
      </c>
      <c r="G8027" s="2">
        <f t="shared" si="125"/>
        <v>0</v>
      </c>
      <c r="H8027" t="s">
        <v>13</v>
      </c>
    </row>
    <row r="8028" spans="2:8" x14ac:dyDescent="0.2">
      <c r="B8028" s="3">
        <v>45166</v>
      </c>
      <c r="G8028" s="2">
        <f t="shared" si="125"/>
        <v>0</v>
      </c>
      <c r="H8028" t="s">
        <v>30</v>
      </c>
    </row>
    <row r="8029" spans="2:8" x14ac:dyDescent="0.2">
      <c r="B8029" s="3">
        <v>45166</v>
      </c>
      <c r="G8029" s="2">
        <f t="shared" si="125"/>
        <v>0</v>
      </c>
      <c r="H8029" t="s">
        <v>25</v>
      </c>
    </row>
    <row r="8030" spans="2:8" x14ac:dyDescent="0.2">
      <c r="B8030" s="3">
        <v>45166</v>
      </c>
      <c r="G8030" s="2">
        <f t="shared" si="125"/>
        <v>0</v>
      </c>
      <c r="H8030" t="s">
        <v>24</v>
      </c>
    </row>
    <row r="8031" spans="2:8" x14ac:dyDescent="0.2">
      <c r="B8031" s="3">
        <v>45166</v>
      </c>
      <c r="G8031" s="2">
        <f t="shared" si="125"/>
        <v>0</v>
      </c>
      <c r="H8031" t="s">
        <v>9</v>
      </c>
    </row>
    <row r="8032" spans="2:8" x14ac:dyDescent="0.2">
      <c r="B8032" s="3">
        <v>45166</v>
      </c>
      <c r="G8032" s="2">
        <f t="shared" si="125"/>
        <v>0</v>
      </c>
      <c r="H8032" t="s">
        <v>8</v>
      </c>
    </row>
    <row r="8033" spans="2:8" x14ac:dyDescent="0.2">
      <c r="B8033" s="3">
        <v>45166</v>
      </c>
      <c r="G8033" s="2">
        <f t="shared" si="125"/>
        <v>0</v>
      </c>
      <c r="H8033" t="s">
        <v>6</v>
      </c>
    </row>
    <row r="8034" spans="2:8" x14ac:dyDescent="0.2">
      <c r="B8034" s="3">
        <v>45166</v>
      </c>
      <c r="G8034" s="2">
        <f t="shared" si="125"/>
        <v>0</v>
      </c>
      <c r="H8034" t="s">
        <v>5</v>
      </c>
    </row>
    <row r="8035" spans="2:8" x14ac:dyDescent="0.2">
      <c r="B8035" s="3">
        <v>45166</v>
      </c>
      <c r="G8035" s="2">
        <f t="shared" si="125"/>
        <v>0</v>
      </c>
      <c r="H8035" s="1"/>
    </row>
    <row r="8036" spans="2:8" x14ac:dyDescent="0.2">
      <c r="B8036" s="3">
        <v>45167</v>
      </c>
      <c r="G8036" s="2">
        <f t="shared" si="125"/>
        <v>0</v>
      </c>
      <c r="H8036" t="s">
        <v>14</v>
      </c>
    </row>
    <row r="8037" spans="2:8" x14ac:dyDescent="0.2">
      <c r="B8037" s="3">
        <v>45167</v>
      </c>
      <c r="G8037" s="2">
        <f t="shared" si="125"/>
        <v>0</v>
      </c>
      <c r="H8037" t="s">
        <v>27</v>
      </c>
    </row>
    <row r="8038" spans="2:8" x14ac:dyDescent="0.2">
      <c r="B8038" s="3">
        <v>45167</v>
      </c>
      <c r="G8038" s="2">
        <f t="shared" si="125"/>
        <v>0</v>
      </c>
      <c r="H8038" t="s">
        <v>13</v>
      </c>
    </row>
    <row r="8039" spans="2:8" x14ac:dyDescent="0.2">
      <c r="B8039" s="3">
        <v>45167</v>
      </c>
      <c r="D8039" s="1">
        <v>14500</v>
      </c>
      <c r="E8039" s="1">
        <v>16650</v>
      </c>
      <c r="G8039" s="2">
        <f t="shared" si="125"/>
        <v>16650</v>
      </c>
      <c r="H8039" t="s">
        <v>30</v>
      </c>
    </row>
    <row r="8040" spans="2:8" x14ac:dyDescent="0.2">
      <c r="B8040" s="3">
        <v>45167</v>
      </c>
      <c r="G8040" s="2">
        <f t="shared" si="125"/>
        <v>0</v>
      </c>
      <c r="H8040" t="s">
        <v>25</v>
      </c>
    </row>
    <row r="8041" spans="2:8" x14ac:dyDescent="0.2">
      <c r="B8041" s="3">
        <v>45167</v>
      </c>
      <c r="G8041" s="2">
        <f t="shared" si="125"/>
        <v>0</v>
      </c>
      <c r="H8041" t="s">
        <v>24</v>
      </c>
    </row>
    <row r="8042" spans="2:8" x14ac:dyDescent="0.2">
      <c r="B8042" s="3">
        <v>45167</v>
      </c>
      <c r="G8042" s="2">
        <f t="shared" si="125"/>
        <v>0</v>
      </c>
      <c r="H8042" t="s">
        <v>9</v>
      </c>
    </row>
    <row r="8043" spans="2:8" x14ac:dyDescent="0.2">
      <c r="B8043" s="3">
        <v>45167</v>
      </c>
      <c r="G8043" s="2">
        <f t="shared" si="125"/>
        <v>0</v>
      </c>
      <c r="H8043" t="s">
        <v>8</v>
      </c>
    </row>
    <row r="8044" spans="2:8" x14ac:dyDescent="0.2">
      <c r="B8044" s="3">
        <v>45167</v>
      </c>
      <c r="G8044" s="2">
        <f t="shared" si="125"/>
        <v>0</v>
      </c>
      <c r="H8044" t="s">
        <v>6</v>
      </c>
    </row>
    <row r="8045" spans="2:8" x14ac:dyDescent="0.2">
      <c r="B8045" s="3">
        <v>45167</v>
      </c>
      <c r="G8045" s="2">
        <f t="shared" si="125"/>
        <v>0</v>
      </c>
      <c r="H8045" t="s">
        <v>5</v>
      </c>
    </row>
    <row r="8046" spans="2:8" x14ac:dyDescent="0.2">
      <c r="B8046" s="3">
        <v>45167</v>
      </c>
      <c r="G8046" s="2">
        <f t="shared" si="125"/>
        <v>0</v>
      </c>
      <c r="H8046" s="1"/>
    </row>
    <row r="8047" spans="2:8" x14ac:dyDescent="0.2">
      <c r="B8047" s="3">
        <v>45168</v>
      </c>
      <c r="G8047" s="2">
        <f t="shared" si="125"/>
        <v>0</v>
      </c>
      <c r="H8047" t="s">
        <v>14</v>
      </c>
    </row>
    <row r="8048" spans="2:8" x14ac:dyDescent="0.2">
      <c r="B8048" s="3">
        <v>45168</v>
      </c>
      <c r="G8048" s="2">
        <f t="shared" si="125"/>
        <v>0</v>
      </c>
      <c r="H8048" t="s">
        <v>27</v>
      </c>
    </row>
    <row r="8049" spans="2:8" x14ac:dyDescent="0.2">
      <c r="B8049" s="3">
        <v>45168</v>
      </c>
      <c r="G8049" s="2">
        <f t="shared" si="125"/>
        <v>0</v>
      </c>
      <c r="H8049" t="s">
        <v>13</v>
      </c>
    </row>
    <row r="8050" spans="2:8" x14ac:dyDescent="0.2">
      <c r="B8050" s="3">
        <v>45168</v>
      </c>
      <c r="G8050" s="2">
        <f t="shared" si="125"/>
        <v>0</v>
      </c>
      <c r="H8050" t="s">
        <v>30</v>
      </c>
    </row>
    <row r="8051" spans="2:8" x14ac:dyDescent="0.2">
      <c r="B8051" s="3">
        <v>45168</v>
      </c>
      <c r="G8051" s="2">
        <f t="shared" si="125"/>
        <v>0</v>
      </c>
      <c r="H8051" t="s">
        <v>25</v>
      </c>
    </row>
    <row r="8052" spans="2:8" x14ac:dyDescent="0.2">
      <c r="B8052" s="3">
        <v>45168</v>
      </c>
      <c r="G8052" s="2">
        <f t="shared" si="125"/>
        <v>0</v>
      </c>
      <c r="H8052" t="s">
        <v>24</v>
      </c>
    </row>
    <row r="8053" spans="2:8" x14ac:dyDescent="0.2">
      <c r="B8053" s="3">
        <v>45168</v>
      </c>
      <c r="G8053" s="2">
        <f t="shared" si="125"/>
        <v>0</v>
      </c>
      <c r="H8053" t="s">
        <v>9</v>
      </c>
    </row>
    <row r="8054" spans="2:8" x14ac:dyDescent="0.2">
      <c r="B8054" s="3">
        <v>45168</v>
      </c>
      <c r="G8054" s="2">
        <f t="shared" si="125"/>
        <v>0</v>
      </c>
      <c r="H8054" t="s">
        <v>8</v>
      </c>
    </row>
    <row r="8055" spans="2:8" x14ac:dyDescent="0.2">
      <c r="B8055" s="3">
        <v>45168</v>
      </c>
      <c r="G8055" s="2">
        <f t="shared" si="125"/>
        <v>0</v>
      </c>
      <c r="H8055" t="s">
        <v>6</v>
      </c>
    </row>
    <row r="8056" spans="2:8" x14ac:dyDescent="0.2">
      <c r="B8056" s="3">
        <v>45168</v>
      </c>
      <c r="G8056" s="2">
        <f t="shared" si="125"/>
        <v>0</v>
      </c>
      <c r="H8056" t="s">
        <v>5</v>
      </c>
    </row>
    <row r="8057" spans="2:8" x14ac:dyDescent="0.2">
      <c r="B8057" s="3">
        <v>45168</v>
      </c>
      <c r="G8057" s="2">
        <f t="shared" si="125"/>
        <v>0</v>
      </c>
      <c r="H8057" s="1"/>
    </row>
    <row r="8058" spans="2:8" x14ac:dyDescent="0.2">
      <c r="B8058" s="3">
        <v>45169</v>
      </c>
      <c r="G8058" s="2">
        <f t="shared" si="125"/>
        <v>0</v>
      </c>
      <c r="H8058" t="s">
        <v>14</v>
      </c>
    </row>
    <row r="8059" spans="2:8" x14ac:dyDescent="0.2">
      <c r="B8059" s="3">
        <v>45169</v>
      </c>
      <c r="G8059" s="2">
        <f t="shared" si="125"/>
        <v>0</v>
      </c>
      <c r="H8059" t="s">
        <v>27</v>
      </c>
    </row>
    <row r="8060" spans="2:8" x14ac:dyDescent="0.2">
      <c r="B8060" s="3">
        <v>45169</v>
      </c>
      <c r="F8060" s="1">
        <v>3000</v>
      </c>
      <c r="G8060" s="2">
        <f t="shared" si="125"/>
        <v>-3000</v>
      </c>
      <c r="H8060" t="s">
        <v>13</v>
      </c>
    </row>
    <row r="8061" spans="2:8" x14ac:dyDescent="0.2">
      <c r="B8061" s="3">
        <v>45169</v>
      </c>
      <c r="G8061" s="2">
        <f t="shared" si="125"/>
        <v>0</v>
      </c>
      <c r="H8061" t="s">
        <v>30</v>
      </c>
    </row>
    <row r="8062" spans="2:8" x14ac:dyDescent="0.2">
      <c r="B8062" s="3">
        <v>45169</v>
      </c>
      <c r="G8062" s="2">
        <f t="shared" si="125"/>
        <v>0</v>
      </c>
      <c r="H8062" t="s">
        <v>25</v>
      </c>
    </row>
    <row r="8063" spans="2:8" x14ac:dyDescent="0.2">
      <c r="B8063" s="3">
        <v>45169</v>
      </c>
      <c r="F8063" s="1">
        <v>3000</v>
      </c>
      <c r="G8063" s="2">
        <f t="shared" si="125"/>
        <v>-3000</v>
      </c>
      <c r="H8063" t="s">
        <v>24</v>
      </c>
    </row>
    <row r="8064" spans="2:8" x14ac:dyDescent="0.2">
      <c r="B8064" s="3">
        <v>45169</v>
      </c>
      <c r="G8064" s="2">
        <f t="shared" si="125"/>
        <v>0</v>
      </c>
      <c r="H8064" t="s">
        <v>9</v>
      </c>
    </row>
    <row r="8065" spans="2:8" x14ac:dyDescent="0.2">
      <c r="B8065" s="3">
        <v>45169</v>
      </c>
      <c r="D8065" s="1">
        <v>5689</v>
      </c>
      <c r="E8065" s="1">
        <v>6574.25</v>
      </c>
      <c r="F8065" s="1">
        <v>10000</v>
      </c>
      <c r="G8065" s="2">
        <f t="shared" si="125"/>
        <v>-3425.75</v>
      </c>
      <c r="H8065" t="s">
        <v>8</v>
      </c>
    </row>
    <row r="8066" spans="2:8" x14ac:dyDescent="0.2">
      <c r="B8066" s="3">
        <v>45169</v>
      </c>
      <c r="G8066" s="2">
        <f t="shared" si="125"/>
        <v>0</v>
      </c>
      <c r="H8066" t="s">
        <v>6</v>
      </c>
    </row>
    <row r="8067" spans="2:8" x14ac:dyDescent="0.2">
      <c r="B8067" s="3">
        <v>45169</v>
      </c>
      <c r="G8067" s="2">
        <f t="shared" ref="G8067:G8130" si="126">E8067-F8067</f>
        <v>0</v>
      </c>
      <c r="H8067" t="s">
        <v>5</v>
      </c>
    </row>
    <row r="8068" spans="2:8" x14ac:dyDescent="0.2">
      <c r="B8068" s="3">
        <v>45169</v>
      </c>
      <c r="G8068" s="2">
        <f t="shared" si="126"/>
        <v>0</v>
      </c>
      <c r="H8068" s="1"/>
    </row>
    <row r="8069" spans="2:8" x14ac:dyDescent="0.2">
      <c r="B8069" s="3">
        <v>45170</v>
      </c>
      <c r="G8069" s="2">
        <f t="shared" si="126"/>
        <v>0</v>
      </c>
      <c r="H8069" t="s">
        <v>14</v>
      </c>
    </row>
    <row r="8070" spans="2:8" x14ac:dyDescent="0.2">
      <c r="B8070" s="3">
        <v>45170</v>
      </c>
      <c r="G8070" s="2">
        <f t="shared" si="126"/>
        <v>0</v>
      </c>
      <c r="H8070" t="s">
        <v>27</v>
      </c>
    </row>
    <row r="8071" spans="2:8" x14ac:dyDescent="0.2">
      <c r="B8071" s="3">
        <v>45170</v>
      </c>
      <c r="G8071" s="2">
        <f t="shared" si="126"/>
        <v>0</v>
      </c>
      <c r="H8071" t="s">
        <v>13</v>
      </c>
    </row>
    <row r="8072" spans="2:8" x14ac:dyDescent="0.2">
      <c r="B8072" s="3">
        <v>45170</v>
      </c>
      <c r="G8072" s="2">
        <f t="shared" si="126"/>
        <v>0</v>
      </c>
      <c r="H8072" t="s">
        <v>30</v>
      </c>
    </row>
    <row r="8073" spans="2:8" x14ac:dyDescent="0.2">
      <c r="B8073" s="3">
        <v>45170</v>
      </c>
      <c r="G8073" s="2">
        <f t="shared" si="126"/>
        <v>0</v>
      </c>
      <c r="H8073" t="s">
        <v>25</v>
      </c>
    </row>
    <row r="8074" spans="2:8" x14ac:dyDescent="0.2">
      <c r="B8074" s="3">
        <v>45170</v>
      </c>
      <c r="G8074" s="2">
        <f t="shared" si="126"/>
        <v>0</v>
      </c>
      <c r="H8074" t="s">
        <v>24</v>
      </c>
    </row>
    <row r="8075" spans="2:8" x14ac:dyDescent="0.2">
      <c r="B8075" s="3">
        <v>45170</v>
      </c>
      <c r="G8075" s="2">
        <f t="shared" si="126"/>
        <v>0</v>
      </c>
      <c r="H8075" t="s">
        <v>9</v>
      </c>
    </row>
    <row r="8076" spans="2:8" x14ac:dyDescent="0.2">
      <c r="B8076" s="3">
        <v>45170</v>
      </c>
      <c r="G8076" s="2">
        <f t="shared" si="126"/>
        <v>0</v>
      </c>
      <c r="H8076" t="s">
        <v>8</v>
      </c>
    </row>
    <row r="8077" spans="2:8" x14ac:dyDescent="0.2">
      <c r="B8077" s="3">
        <v>45170</v>
      </c>
      <c r="G8077" s="2">
        <f t="shared" si="126"/>
        <v>0</v>
      </c>
      <c r="H8077" t="s">
        <v>6</v>
      </c>
    </row>
    <row r="8078" spans="2:8" x14ac:dyDescent="0.2">
      <c r="B8078" s="3">
        <v>45170</v>
      </c>
      <c r="G8078" s="2">
        <f t="shared" si="126"/>
        <v>0</v>
      </c>
      <c r="H8078" t="s">
        <v>5</v>
      </c>
    </row>
    <row r="8079" spans="2:8" x14ac:dyDescent="0.2">
      <c r="B8079" s="3">
        <v>45170</v>
      </c>
      <c r="G8079" s="2">
        <f t="shared" si="126"/>
        <v>0</v>
      </c>
      <c r="H8079" s="1"/>
    </row>
    <row r="8080" spans="2:8" x14ac:dyDescent="0.2">
      <c r="B8080" s="3">
        <v>45171</v>
      </c>
      <c r="F8080" s="1">
        <v>15000</v>
      </c>
      <c r="G8080" s="2">
        <f t="shared" si="126"/>
        <v>-15000</v>
      </c>
      <c r="H8080" t="s">
        <v>14</v>
      </c>
    </row>
    <row r="8081" spans="2:8" x14ac:dyDescent="0.2">
      <c r="B8081" s="3">
        <v>45171</v>
      </c>
      <c r="G8081" s="2">
        <f t="shared" si="126"/>
        <v>0</v>
      </c>
      <c r="H8081" t="s">
        <v>27</v>
      </c>
    </row>
    <row r="8082" spans="2:8" x14ac:dyDescent="0.2">
      <c r="B8082" s="3">
        <v>45171</v>
      </c>
      <c r="G8082" s="2">
        <f t="shared" si="126"/>
        <v>0</v>
      </c>
      <c r="H8082" t="s">
        <v>13</v>
      </c>
    </row>
    <row r="8083" spans="2:8" x14ac:dyDescent="0.2">
      <c r="B8083" s="3">
        <v>45171</v>
      </c>
      <c r="G8083" s="2">
        <f t="shared" si="126"/>
        <v>0</v>
      </c>
      <c r="H8083" t="s">
        <v>30</v>
      </c>
    </row>
    <row r="8084" spans="2:8" x14ac:dyDescent="0.2">
      <c r="B8084" s="3">
        <v>45171</v>
      </c>
      <c r="G8084" s="2">
        <f t="shared" si="126"/>
        <v>0</v>
      </c>
      <c r="H8084" t="s">
        <v>25</v>
      </c>
    </row>
    <row r="8085" spans="2:8" x14ac:dyDescent="0.2">
      <c r="B8085" s="3">
        <v>45171</v>
      </c>
      <c r="G8085" s="2">
        <f t="shared" si="126"/>
        <v>0</v>
      </c>
      <c r="H8085" t="s">
        <v>24</v>
      </c>
    </row>
    <row r="8086" spans="2:8" x14ac:dyDescent="0.2">
      <c r="B8086" s="3">
        <v>45171</v>
      </c>
      <c r="G8086" s="2">
        <f t="shared" si="126"/>
        <v>0</v>
      </c>
      <c r="H8086" t="s">
        <v>9</v>
      </c>
    </row>
    <row r="8087" spans="2:8" x14ac:dyDescent="0.2">
      <c r="B8087" s="3">
        <v>45171</v>
      </c>
      <c r="G8087" s="2">
        <f t="shared" si="126"/>
        <v>0</v>
      </c>
      <c r="H8087" t="s">
        <v>8</v>
      </c>
    </row>
    <row r="8088" spans="2:8" x14ac:dyDescent="0.2">
      <c r="B8088" s="3">
        <v>45171</v>
      </c>
      <c r="G8088" s="2">
        <f t="shared" si="126"/>
        <v>0</v>
      </c>
      <c r="H8088" t="s">
        <v>6</v>
      </c>
    </row>
    <row r="8089" spans="2:8" x14ac:dyDescent="0.2">
      <c r="B8089" s="3">
        <v>45171</v>
      </c>
      <c r="G8089" s="2">
        <f t="shared" si="126"/>
        <v>0</v>
      </c>
      <c r="H8089" t="s">
        <v>5</v>
      </c>
    </row>
    <row r="8090" spans="2:8" x14ac:dyDescent="0.2">
      <c r="B8090" s="3">
        <v>45171</v>
      </c>
      <c r="G8090" s="2">
        <f t="shared" si="126"/>
        <v>0</v>
      </c>
      <c r="H8090" s="1"/>
    </row>
    <row r="8091" spans="2:8" x14ac:dyDescent="0.2">
      <c r="B8091" s="3">
        <v>45172</v>
      </c>
      <c r="G8091" s="2">
        <f t="shared" si="126"/>
        <v>0</v>
      </c>
      <c r="H8091" t="s">
        <v>14</v>
      </c>
    </row>
    <row r="8092" spans="2:8" x14ac:dyDescent="0.2">
      <c r="B8092" s="3">
        <v>45172</v>
      </c>
      <c r="G8092" s="2">
        <f t="shared" si="126"/>
        <v>0</v>
      </c>
      <c r="H8092" t="s">
        <v>27</v>
      </c>
    </row>
    <row r="8093" spans="2:8" x14ac:dyDescent="0.2">
      <c r="B8093" s="3">
        <v>45172</v>
      </c>
      <c r="G8093" s="2">
        <f t="shared" si="126"/>
        <v>0</v>
      </c>
      <c r="H8093" t="s">
        <v>13</v>
      </c>
    </row>
    <row r="8094" spans="2:8" x14ac:dyDescent="0.2">
      <c r="B8094" s="3">
        <v>45172</v>
      </c>
      <c r="G8094" s="2">
        <f t="shared" si="126"/>
        <v>0</v>
      </c>
      <c r="H8094" t="s">
        <v>30</v>
      </c>
    </row>
    <row r="8095" spans="2:8" x14ac:dyDescent="0.2">
      <c r="B8095" s="3">
        <v>45172</v>
      </c>
      <c r="G8095" s="2">
        <f t="shared" si="126"/>
        <v>0</v>
      </c>
      <c r="H8095" t="s">
        <v>25</v>
      </c>
    </row>
    <row r="8096" spans="2:8" x14ac:dyDescent="0.2">
      <c r="B8096" s="3">
        <v>45172</v>
      </c>
      <c r="G8096" s="2">
        <f t="shared" si="126"/>
        <v>0</v>
      </c>
      <c r="H8096" t="s">
        <v>24</v>
      </c>
    </row>
    <row r="8097" spans="2:8" x14ac:dyDescent="0.2">
      <c r="B8097" s="3">
        <v>45172</v>
      </c>
      <c r="G8097" s="2">
        <f t="shared" si="126"/>
        <v>0</v>
      </c>
      <c r="H8097" t="s">
        <v>9</v>
      </c>
    </row>
    <row r="8098" spans="2:8" x14ac:dyDescent="0.2">
      <c r="B8098" s="3">
        <v>45172</v>
      </c>
      <c r="G8098" s="2">
        <f t="shared" si="126"/>
        <v>0</v>
      </c>
      <c r="H8098" t="s">
        <v>8</v>
      </c>
    </row>
    <row r="8099" spans="2:8" x14ac:dyDescent="0.2">
      <c r="B8099" s="3">
        <v>45172</v>
      </c>
      <c r="F8099" s="1">
        <v>7000</v>
      </c>
      <c r="G8099" s="2">
        <f t="shared" si="126"/>
        <v>-7000</v>
      </c>
      <c r="H8099" t="s">
        <v>6</v>
      </c>
    </row>
    <row r="8100" spans="2:8" x14ac:dyDescent="0.2">
      <c r="B8100" s="3">
        <v>45172</v>
      </c>
      <c r="G8100" s="2">
        <f t="shared" si="126"/>
        <v>0</v>
      </c>
      <c r="H8100" t="s">
        <v>5</v>
      </c>
    </row>
    <row r="8101" spans="2:8" x14ac:dyDescent="0.2">
      <c r="B8101" s="3">
        <v>45172</v>
      </c>
      <c r="G8101" s="2">
        <f t="shared" si="126"/>
        <v>0</v>
      </c>
      <c r="H8101" s="1"/>
    </row>
    <row r="8102" spans="2:8" x14ac:dyDescent="0.2">
      <c r="B8102" s="3">
        <v>45173</v>
      </c>
      <c r="G8102" s="2">
        <f t="shared" si="126"/>
        <v>0</v>
      </c>
      <c r="H8102" t="s">
        <v>14</v>
      </c>
    </row>
    <row r="8103" spans="2:8" x14ac:dyDescent="0.2">
      <c r="B8103" s="3">
        <v>45173</v>
      </c>
      <c r="G8103" s="2">
        <f t="shared" si="126"/>
        <v>0</v>
      </c>
      <c r="H8103" t="s">
        <v>27</v>
      </c>
    </row>
    <row r="8104" spans="2:8" x14ac:dyDescent="0.2">
      <c r="B8104" s="3">
        <v>45173</v>
      </c>
      <c r="G8104" s="2">
        <f t="shared" si="126"/>
        <v>0</v>
      </c>
      <c r="H8104" t="s">
        <v>13</v>
      </c>
    </row>
    <row r="8105" spans="2:8" x14ac:dyDescent="0.2">
      <c r="B8105" s="3">
        <v>45173</v>
      </c>
      <c r="G8105" s="2">
        <f t="shared" si="126"/>
        <v>0</v>
      </c>
      <c r="H8105" t="s">
        <v>30</v>
      </c>
    </row>
    <row r="8106" spans="2:8" x14ac:dyDescent="0.2">
      <c r="B8106" s="3">
        <v>45173</v>
      </c>
      <c r="G8106" s="2">
        <f t="shared" si="126"/>
        <v>0</v>
      </c>
      <c r="H8106" t="s">
        <v>25</v>
      </c>
    </row>
    <row r="8107" spans="2:8" x14ac:dyDescent="0.2">
      <c r="B8107" s="3">
        <v>45173</v>
      </c>
      <c r="G8107" s="2">
        <f t="shared" si="126"/>
        <v>0</v>
      </c>
      <c r="H8107" t="s">
        <v>24</v>
      </c>
    </row>
    <row r="8108" spans="2:8" x14ac:dyDescent="0.2">
      <c r="B8108" s="3">
        <v>45173</v>
      </c>
      <c r="G8108" s="2">
        <f t="shared" si="126"/>
        <v>0</v>
      </c>
      <c r="H8108" t="s">
        <v>9</v>
      </c>
    </row>
    <row r="8109" spans="2:8" x14ac:dyDescent="0.2">
      <c r="B8109" s="3">
        <v>45173</v>
      </c>
      <c r="G8109" s="2">
        <f t="shared" si="126"/>
        <v>0</v>
      </c>
      <c r="H8109" t="s">
        <v>8</v>
      </c>
    </row>
    <row r="8110" spans="2:8" x14ac:dyDescent="0.2">
      <c r="B8110" s="3">
        <v>45173</v>
      </c>
      <c r="G8110" s="2">
        <f t="shared" si="126"/>
        <v>0</v>
      </c>
      <c r="H8110" t="s">
        <v>6</v>
      </c>
    </row>
    <row r="8111" spans="2:8" x14ac:dyDescent="0.2">
      <c r="B8111" s="3">
        <v>45173</v>
      </c>
      <c r="G8111" s="2">
        <f t="shared" si="126"/>
        <v>0</v>
      </c>
      <c r="H8111" t="s">
        <v>5</v>
      </c>
    </row>
    <row r="8112" spans="2:8" x14ac:dyDescent="0.2">
      <c r="B8112" s="3">
        <v>45173</v>
      </c>
      <c r="G8112" s="2">
        <f t="shared" si="126"/>
        <v>0</v>
      </c>
      <c r="H8112" s="1"/>
    </row>
    <row r="8113" spans="2:8" x14ac:dyDescent="0.2">
      <c r="B8113" s="3">
        <v>45174</v>
      </c>
      <c r="G8113" s="2">
        <f t="shared" si="126"/>
        <v>0</v>
      </c>
      <c r="H8113" t="s">
        <v>14</v>
      </c>
    </row>
    <row r="8114" spans="2:8" x14ac:dyDescent="0.2">
      <c r="B8114" s="3">
        <v>45174</v>
      </c>
      <c r="G8114" s="2">
        <f t="shared" si="126"/>
        <v>0</v>
      </c>
      <c r="H8114" t="s">
        <v>27</v>
      </c>
    </row>
    <row r="8115" spans="2:8" x14ac:dyDescent="0.2">
      <c r="B8115" s="3">
        <v>45174</v>
      </c>
      <c r="G8115" s="2">
        <f t="shared" si="126"/>
        <v>0</v>
      </c>
      <c r="H8115" t="s">
        <v>13</v>
      </c>
    </row>
    <row r="8116" spans="2:8" x14ac:dyDescent="0.2">
      <c r="B8116" s="3">
        <v>45174</v>
      </c>
      <c r="F8116" s="1">
        <v>16650</v>
      </c>
      <c r="G8116" s="2">
        <f t="shared" si="126"/>
        <v>-16650</v>
      </c>
      <c r="H8116" t="s">
        <v>30</v>
      </c>
    </row>
    <row r="8117" spans="2:8" x14ac:dyDescent="0.2">
      <c r="B8117" s="3">
        <v>45174</v>
      </c>
      <c r="G8117" s="2">
        <f t="shared" si="126"/>
        <v>0</v>
      </c>
      <c r="H8117" t="s">
        <v>25</v>
      </c>
    </row>
    <row r="8118" spans="2:8" x14ac:dyDescent="0.2">
      <c r="B8118" s="3">
        <v>45174</v>
      </c>
      <c r="G8118" s="2">
        <f t="shared" si="126"/>
        <v>0</v>
      </c>
      <c r="H8118" t="s">
        <v>24</v>
      </c>
    </row>
    <row r="8119" spans="2:8" x14ac:dyDescent="0.2">
      <c r="B8119" s="3">
        <v>45174</v>
      </c>
      <c r="G8119" s="2">
        <f t="shared" si="126"/>
        <v>0</v>
      </c>
      <c r="H8119" t="s">
        <v>9</v>
      </c>
    </row>
    <row r="8120" spans="2:8" x14ac:dyDescent="0.2">
      <c r="B8120" s="3">
        <v>45174</v>
      </c>
      <c r="G8120" s="2">
        <f t="shared" si="126"/>
        <v>0</v>
      </c>
      <c r="H8120" t="s">
        <v>8</v>
      </c>
    </row>
    <row r="8121" spans="2:8" x14ac:dyDescent="0.2">
      <c r="B8121" s="3">
        <v>45174</v>
      </c>
      <c r="G8121" s="2">
        <f t="shared" si="126"/>
        <v>0</v>
      </c>
      <c r="H8121" t="s">
        <v>6</v>
      </c>
    </row>
    <row r="8122" spans="2:8" x14ac:dyDescent="0.2">
      <c r="B8122" s="3">
        <v>45174</v>
      </c>
      <c r="G8122" s="2">
        <f t="shared" si="126"/>
        <v>0</v>
      </c>
      <c r="H8122" t="s">
        <v>5</v>
      </c>
    </row>
    <row r="8123" spans="2:8" x14ac:dyDescent="0.2">
      <c r="B8123" s="3">
        <v>45174</v>
      </c>
      <c r="G8123" s="2">
        <f t="shared" si="126"/>
        <v>0</v>
      </c>
      <c r="H8123" s="1"/>
    </row>
    <row r="8124" spans="2:8" x14ac:dyDescent="0.2">
      <c r="B8124" s="3">
        <v>45175</v>
      </c>
      <c r="G8124" s="2">
        <f t="shared" si="126"/>
        <v>0</v>
      </c>
      <c r="H8124" t="s">
        <v>14</v>
      </c>
    </row>
    <row r="8125" spans="2:8" x14ac:dyDescent="0.2">
      <c r="B8125" s="3">
        <v>45175</v>
      </c>
      <c r="G8125" s="2">
        <f t="shared" si="126"/>
        <v>0</v>
      </c>
      <c r="H8125" t="s">
        <v>27</v>
      </c>
    </row>
    <row r="8126" spans="2:8" x14ac:dyDescent="0.2">
      <c r="B8126" s="3">
        <v>45175</v>
      </c>
      <c r="G8126" s="2">
        <f t="shared" si="126"/>
        <v>0</v>
      </c>
      <c r="H8126" t="s">
        <v>13</v>
      </c>
    </row>
    <row r="8127" spans="2:8" x14ac:dyDescent="0.2">
      <c r="B8127" s="3">
        <v>45175</v>
      </c>
      <c r="G8127" s="2">
        <f t="shared" si="126"/>
        <v>0</v>
      </c>
      <c r="H8127" t="s">
        <v>30</v>
      </c>
    </row>
    <row r="8128" spans="2:8" x14ac:dyDescent="0.2">
      <c r="B8128" s="3">
        <v>45175</v>
      </c>
      <c r="G8128" s="2">
        <f t="shared" si="126"/>
        <v>0</v>
      </c>
      <c r="H8128" t="s">
        <v>25</v>
      </c>
    </row>
    <row r="8129" spans="2:8" x14ac:dyDescent="0.2">
      <c r="B8129" s="3">
        <v>45175</v>
      </c>
      <c r="G8129" s="2">
        <f t="shared" si="126"/>
        <v>0</v>
      </c>
      <c r="H8129" t="s">
        <v>24</v>
      </c>
    </row>
    <row r="8130" spans="2:8" x14ac:dyDescent="0.2">
      <c r="B8130" s="3">
        <v>45175</v>
      </c>
      <c r="G8130" s="2">
        <f t="shared" si="126"/>
        <v>0</v>
      </c>
      <c r="H8130" t="s">
        <v>9</v>
      </c>
    </row>
    <row r="8131" spans="2:8" x14ac:dyDescent="0.2">
      <c r="B8131" s="3">
        <v>45175</v>
      </c>
      <c r="G8131" s="2">
        <f t="shared" ref="G8131:G8194" si="127">E8131-F8131</f>
        <v>0</v>
      </c>
      <c r="H8131" t="s">
        <v>8</v>
      </c>
    </row>
    <row r="8132" spans="2:8" x14ac:dyDescent="0.2">
      <c r="B8132" s="3">
        <v>45175</v>
      </c>
      <c r="G8132" s="2">
        <f t="shared" si="127"/>
        <v>0</v>
      </c>
      <c r="H8132" t="s">
        <v>6</v>
      </c>
    </row>
    <row r="8133" spans="2:8" x14ac:dyDescent="0.2">
      <c r="B8133" s="3">
        <v>45175</v>
      </c>
      <c r="G8133" s="2">
        <f t="shared" si="127"/>
        <v>0</v>
      </c>
      <c r="H8133" t="s">
        <v>5</v>
      </c>
    </row>
    <row r="8134" spans="2:8" x14ac:dyDescent="0.2">
      <c r="B8134" s="3">
        <v>45175</v>
      </c>
      <c r="G8134" s="2">
        <f t="shared" si="127"/>
        <v>0</v>
      </c>
      <c r="H8134" s="1"/>
    </row>
    <row r="8135" spans="2:8" x14ac:dyDescent="0.2">
      <c r="B8135" s="3">
        <v>45176</v>
      </c>
      <c r="D8135" s="1">
        <v>8238</v>
      </c>
      <c r="E8135" s="1">
        <v>9355</v>
      </c>
      <c r="G8135" s="2">
        <f t="shared" si="127"/>
        <v>9355</v>
      </c>
      <c r="H8135" t="s">
        <v>14</v>
      </c>
    </row>
    <row r="8136" spans="2:8" x14ac:dyDescent="0.2">
      <c r="B8136" s="3">
        <v>45176</v>
      </c>
      <c r="G8136" s="2">
        <f t="shared" si="127"/>
        <v>0</v>
      </c>
      <c r="H8136" t="s">
        <v>27</v>
      </c>
    </row>
    <row r="8137" spans="2:8" x14ac:dyDescent="0.2">
      <c r="B8137" s="3">
        <v>45176</v>
      </c>
      <c r="D8137" s="1">
        <v>2768</v>
      </c>
      <c r="E8137" s="1">
        <v>4217.5</v>
      </c>
      <c r="G8137" s="2">
        <f t="shared" si="127"/>
        <v>4217.5</v>
      </c>
      <c r="H8137" t="s">
        <v>13</v>
      </c>
    </row>
    <row r="8138" spans="2:8" x14ac:dyDescent="0.2">
      <c r="B8138" s="3">
        <v>45176</v>
      </c>
      <c r="G8138" s="2">
        <f t="shared" si="127"/>
        <v>0</v>
      </c>
      <c r="H8138" t="s">
        <v>30</v>
      </c>
    </row>
    <row r="8139" spans="2:8" x14ac:dyDescent="0.2">
      <c r="B8139" s="3">
        <v>45176</v>
      </c>
      <c r="G8139" s="2">
        <f t="shared" si="127"/>
        <v>0</v>
      </c>
      <c r="H8139" t="s">
        <v>25</v>
      </c>
    </row>
    <row r="8140" spans="2:8" x14ac:dyDescent="0.2">
      <c r="B8140" s="3">
        <v>45176</v>
      </c>
      <c r="G8140" s="2">
        <f t="shared" si="127"/>
        <v>0</v>
      </c>
      <c r="H8140" t="s">
        <v>24</v>
      </c>
    </row>
    <row r="8141" spans="2:8" x14ac:dyDescent="0.2">
      <c r="B8141" s="3">
        <v>45176</v>
      </c>
      <c r="G8141" s="2">
        <f t="shared" si="127"/>
        <v>0</v>
      </c>
      <c r="H8141" t="s">
        <v>9</v>
      </c>
    </row>
    <row r="8142" spans="2:8" x14ac:dyDescent="0.2">
      <c r="B8142" s="3">
        <v>45176</v>
      </c>
      <c r="G8142" s="2">
        <f t="shared" si="127"/>
        <v>0</v>
      </c>
      <c r="H8142" t="s">
        <v>8</v>
      </c>
    </row>
    <row r="8143" spans="2:8" x14ac:dyDescent="0.2">
      <c r="B8143" s="3">
        <v>45176</v>
      </c>
      <c r="G8143" s="2">
        <f t="shared" si="127"/>
        <v>0</v>
      </c>
      <c r="H8143" t="s">
        <v>6</v>
      </c>
    </row>
    <row r="8144" spans="2:8" x14ac:dyDescent="0.2">
      <c r="B8144" s="3">
        <v>45176</v>
      </c>
      <c r="G8144" s="2">
        <f t="shared" si="127"/>
        <v>0</v>
      </c>
      <c r="H8144" t="s">
        <v>5</v>
      </c>
    </row>
    <row r="8145" spans="2:8" x14ac:dyDescent="0.2">
      <c r="B8145" s="3">
        <v>45176</v>
      </c>
      <c r="D8145" s="1">
        <v>806.25</v>
      </c>
      <c r="E8145" s="1">
        <v>838.5</v>
      </c>
      <c r="F8145" s="1">
        <v>838.5</v>
      </c>
      <c r="G8145" s="2">
        <f t="shared" si="127"/>
        <v>0</v>
      </c>
      <c r="H8145" s="1" t="s">
        <v>48</v>
      </c>
    </row>
    <row r="8146" spans="2:8" x14ac:dyDescent="0.2">
      <c r="B8146" s="3">
        <v>45177</v>
      </c>
      <c r="G8146" s="2">
        <f t="shared" si="127"/>
        <v>0</v>
      </c>
      <c r="H8146" t="s">
        <v>14</v>
      </c>
    </row>
    <row r="8147" spans="2:8" x14ac:dyDescent="0.2">
      <c r="B8147" s="3">
        <v>45177</v>
      </c>
      <c r="G8147" s="2">
        <f t="shared" si="127"/>
        <v>0</v>
      </c>
      <c r="H8147" t="s">
        <v>27</v>
      </c>
    </row>
    <row r="8148" spans="2:8" x14ac:dyDescent="0.2">
      <c r="B8148" s="3">
        <v>45177</v>
      </c>
      <c r="G8148" s="2">
        <f t="shared" si="127"/>
        <v>0</v>
      </c>
      <c r="H8148" t="s">
        <v>13</v>
      </c>
    </row>
    <row r="8149" spans="2:8" x14ac:dyDescent="0.2">
      <c r="B8149" s="3">
        <v>45177</v>
      </c>
      <c r="G8149" s="2">
        <f t="shared" si="127"/>
        <v>0</v>
      </c>
      <c r="H8149" t="s">
        <v>30</v>
      </c>
    </row>
    <row r="8150" spans="2:8" x14ac:dyDescent="0.2">
      <c r="B8150" s="3">
        <v>45177</v>
      </c>
      <c r="G8150" s="2">
        <f t="shared" si="127"/>
        <v>0</v>
      </c>
      <c r="H8150" t="s">
        <v>25</v>
      </c>
    </row>
    <row r="8151" spans="2:8" x14ac:dyDescent="0.2">
      <c r="B8151" s="3">
        <v>45177</v>
      </c>
      <c r="G8151" s="2">
        <f t="shared" si="127"/>
        <v>0</v>
      </c>
      <c r="H8151" t="s">
        <v>24</v>
      </c>
    </row>
    <row r="8152" spans="2:8" x14ac:dyDescent="0.2">
      <c r="B8152" s="3">
        <v>45177</v>
      </c>
      <c r="G8152" s="2">
        <f t="shared" si="127"/>
        <v>0</v>
      </c>
      <c r="H8152" t="s">
        <v>9</v>
      </c>
    </row>
    <row r="8153" spans="2:8" x14ac:dyDescent="0.2">
      <c r="B8153" s="3">
        <v>45177</v>
      </c>
      <c r="G8153" s="2">
        <f t="shared" si="127"/>
        <v>0</v>
      </c>
      <c r="H8153" t="s">
        <v>8</v>
      </c>
    </row>
    <row r="8154" spans="2:8" x14ac:dyDescent="0.2">
      <c r="B8154" s="3">
        <v>45177</v>
      </c>
      <c r="G8154" s="2">
        <f t="shared" si="127"/>
        <v>0</v>
      </c>
      <c r="H8154" t="s">
        <v>6</v>
      </c>
    </row>
    <row r="8155" spans="2:8" x14ac:dyDescent="0.2">
      <c r="B8155" s="3">
        <v>45177</v>
      </c>
      <c r="G8155" s="2">
        <f t="shared" si="127"/>
        <v>0</v>
      </c>
      <c r="H8155" t="s">
        <v>5</v>
      </c>
    </row>
    <row r="8156" spans="2:8" x14ac:dyDescent="0.2">
      <c r="B8156" s="3">
        <v>45177</v>
      </c>
      <c r="G8156" s="2">
        <f t="shared" si="127"/>
        <v>0</v>
      </c>
      <c r="H8156" s="1"/>
    </row>
    <row r="8157" spans="2:8" x14ac:dyDescent="0.2">
      <c r="B8157" s="3">
        <v>45178</v>
      </c>
      <c r="G8157" s="2">
        <f t="shared" si="127"/>
        <v>0</v>
      </c>
      <c r="H8157" t="s">
        <v>14</v>
      </c>
    </row>
    <row r="8158" spans="2:8" x14ac:dyDescent="0.2">
      <c r="B8158" s="3">
        <v>45178</v>
      </c>
      <c r="G8158" s="2">
        <f t="shared" si="127"/>
        <v>0</v>
      </c>
      <c r="H8158" t="s">
        <v>27</v>
      </c>
    </row>
    <row r="8159" spans="2:8" x14ac:dyDescent="0.2">
      <c r="B8159" s="3">
        <v>45178</v>
      </c>
      <c r="G8159" s="2">
        <f t="shared" si="127"/>
        <v>0</v>
      </c>
      <c r="H8159" t="s">
        <v>13</v>
      </c>
    </row>
    <row r="8160" spans="2:8" x14ac:dyDescent="0.2">
      <c r="B8160" s="3">
        <v>45178</v>
      </c>
      <c r="G8160" s="2">
        <f t="shared" si="127"/>
        <v>0</v>
      </c>
      <c r="H8160" t="s">
        <v>30</v>
      </c>
    </row>
    <row r="8161" spans="2:8" x14ac:dyDescent="0.2">
      <c r="B8161" s="3">
        <v>45178</v>
      </c>
      <c r="G8161" s="2">
        <f t="shared" si="127"/>
        <v>0</v>
      </c>
      <c r="H8161" t="s">
        <v>25</v>
      </c>
    </row>
    <row r="8162" spans="2:8" x14ac:dyDescent="0.2">
      <c r="B8162" s="3">
        <v>45178</v>
      </c>
      <c r="G8162" s="2">
        <f t="shared" si="127"/>
        <v>0</v>
      </c>
      <c r="H8162" t="s">
        <v>24</v>
      </c>
    </row>
    <row r="8163" spans="2:8" x14ac:dyDescent="0.2">
      <c r="B8163" s="3">
        <v>45178</v>
      </c>
      <c r="G8163" s="2">
        <f t="shared" si="127"/>
        <v>0</v>
      </c>
      <c r="H8163" t="s">
        <v>9</v>
      </c>
    </row>
    <row r="8164" spans="2:8" x14ac:dyDescent="0.2">
      <c r="B8164" s="3">
        <v>45178</v>
      </c>
      <c r="G8164" s="2">
        <f t="shared" si="127"/>
        <v>0</v>
      </c>
      <c r="H8164" t="s">
        <v>8</v>
      </c>
    </row>
    <row r="8165" spans="2:8" x14ac:dyDescent="0.2">
      <c r="B8165" s="3">
        <v>45178</v>
      </c>
      <c r="G8165" s="2">
        <f t="shared" si="127"/>
        <v>0</v>
      </c>
      <c r="H8165" t="s">
        <v>6</v>
      </c>
    </row>
    <row r="8166" spans="2:8" x14ac:dyDescent="0.2">
      <c r="B8166" s="3">
        <v>45178</v>
      </c>
      <c r="D8166" s="1">
        <v>2952.5</v>
      </c>
      <c r="E8166" s="1">
        <v>4000</v>
      </c>
      <c r="G8166" s="2">
        <f t="shared" si="127"/>
        <v>4000</v>
      </c>
      <c r="H8166" t="s">
        <v>5</v>
      </c>
    </row>
    <row r="8167" spans="2:8" x14ac:dyDescent="0.2">
      <c r="B8167" s="3">
        <v>45178</v>
      </c>
      <c r="G8167" s="2">
        <f t="shared" si="127"/>
        <v>0</v>
      </c>
      <c r="H8167" s="1"/>
    </row>
    <row r="8168" spans="2:8" x14ac:dyDescent="0.2">
      <c r="B8168" s="3">
        <v>45179</v>
      </c>
      <c r="G8168" s="2">
        <f t="shared" si="127"/>
        <v>0</v>
      </c>
      <c r="H8168" t="s">
        <v>14</v>
      </c>
    </row>
    <row r="8169" spans="2:8" x14ac:dyDescent="0.2">
      <c r="B8169" s="3">
        <v>45179</v>
      </c>
      <c r="G8169" s="2">
        <f t="shared" si="127"/>
        <v>0</v>
      </c>
      <c r="H8169" t="s">
        <v>27</v>
      </c>
    </row>
    <row r="8170" spans="2:8" x14ac:dyDescent="0.2">
      <c r="B8170" s="3">
        <v>45179</v>
      </c>
      <c r="G8170" s="2">
        <f t="shared" si="127"/>
        <v>0</v>
      </c>
      <c r="H8170" t="s">
        <v>13</v>
      </c>
    </row>
    <row r="8171" spans="2:8" x14ac:dyDescent="0.2">
      <c r="B8171" s="3">
        <v>45179</v>
      </c>
      <c r="G8171" s="2">
        <f t="shared" si="127"/>
        <v>0</v>
      </c>
      <c r="H8171" t="s">
        <v>30</v>
      </c>
    </row>
    <row r="8172" spans="2:8" x14ac:dyDescent="0.2">
      <c r="B8172" s="3">
        <v>45179</v>
      </c>
      <c r="G8172" s="2">
        <f t="shared" si="127"/>
        <v>0</v>
      </c>
      <c r="H8172" t="s">
        <v>25</v>
      </c>
    </row>
    <row r="8173" spans="2:8" x14ac:dyDescent="0.2">
      <c r="B8173" s="3">
        <v>45179</v>
      </c>
      <c r="G8173" s="2">
        <f t="shared" si="127"/>
        <v>0</v>
      </c>
      <c r="H8173" t="s">
        <v>24</v>
      </c>
    </row>
    <row r="8174" spans="2:8" x14ac:dyDescent="0.2">
      <c r="B8174" s="3">
        <v>45179</v>
      </c>
      <c r="G8174" s="2">
        <f t="shared" si="127"/>
        <v>0</v>
      </c>
      <c r="H8174" t="s">
        <v>9</v>
      </c>
    </row>
    <row r="8175" spans="2:8" x14ac:dyDescent="0.2">
      <c r="B8175" s="3">
        <v>45179</v>
      </c>
      <c r="F8175" s="1">
        <v>5000</v>
      </c>
      <c r="G8175" s="2">
        <f t="shared" si="127"/>
        <v>-5000</v>
      </c>
      <c r="H8175" t="s">
        <v>8</v>
      </c>
    </row>
    <row r="8176" spans="2:8" x14ac:dyDescent="0.2">
      <c r="B8176" s="3">
        <v>45179</v>
      </c>
      <c r="F8176" s="1">
        <v>7000</v>
      </c>
      <c r="G8176" s="2">
        <f t="shared" si="127"/>
        <v>-7000</v>
      </c>
      <c r="H8176" t="s">
        <v>6</v>
      </c>
    </row>
    <row r="8177" spans="2:8" x14ac:dyDescent="0.2">
      <c r="B8177" s="3">
        <v>45179</v>
      </c>
      <c r="G8177" s="2">
        <f t="shared" si="127"/>
        <v>0</v>
      </c>
      <c r="H8177" t="s">
        <v>5</v>
      </c>
    </row>
    <row r="8178" spans="2:8" x14ac:dyDescent="0.2">
      <c r="B8178" s="3">
        <v>45179</v>
      </c>
      <c r="G8178" s="2">
        <f t="shared" si="127"/>
        <v>0</v>
      </c>
      <c r="H8178" s="1"/>
    </row>
    <row r="8179" spans="2:8" x14ac:dyDescent="0.2">
      <c r="B8179" s="3">
        <v>45180</v>
      </c>
      <c r="D8179" s="1">
        <v>24678</v>
      </c>
      <c r="E8179" s="1">
        <v>26345</v>
      </c>
      <c r="G8179" s="2">
        <f t="shared" si="127"/>
        <v>26345</v>
      </c>
      <c r="H8179" t="s">
        <v>14</v>
      </c>
    </row>
    <row r="8180" spans="2:8" x14ac:dyDescent="0.2">
      <c r="B8180" s="3">
        <v>45180</v>
      </c>
      <c r="G8180" s="2">
        <f t="shared" si="127"/>
        <v>0</v>
      </c>
      <c r="H8180" t="s">
        <v>27</v>
      </c>
    </row>
    <row r="8181" spans="2:8" x14ac:dyDescent="0.2">
      <c r="B8181" s="3">
        <v>45180</v>
      </c>
      <c r="F8181" s="1">
        <v>3000</v>
      </c>
      <c r="G8181" s="2">
        <f t="shared" si="127"/>
        <v>-3000</v>
      </c>
      <c r="H8181" t="s">
        <v>13</v>
      </c>
    </row>
    <row r="8182" spans="2:8" x14ac:dyDescent="0.2">
      <c r="B8182" s="3">
        <v>45180</v>
      </c>
      <c r="G8182" s="2">
        <f t="shared" si="127"/>
        <v>0</v>
      </c>
      <c r="H8182" t="s">
        <v>30</v>
      </c>
    </row>
    <row r="8183" spans="2:8" x14ac:dyDescent="0.2">
      <c r="B8183" s="3">
        <v>45180</v>
      </c>
      <c r="G8183" s="2">
        <f t="shared" si="127"/>
        <v>0</v>
      </c>
      <c r="H8183" t="s">
        <v>25</v>
      </c>
    </row>
    <row r="8184" spans="2:8" x14ac:dyDescent="0.2">
      <c r="B8184" s="3">
        <v>45180</v>
      </c>
      <c r="G8184" s="2">
        <f t="shared" si="127"/>
        <v>0</v>
      </c>
      <c r="H8184" t="s">
        <v>24</v>
      </c>
    </row>
    <row r="8185" spans="2:8" x14ac:dyDescent="0.2">
      <c r="B8185" s="3">
        <v>45180</v>
      </c>
      <c r="G8185" s="2">
        <f t="shared" si="127"/>
        <v>0</v>
      </c>
      <c r="H8185" t="s">
        <v>9</v>
      </c>
    </row>
    <row r="8186" spans="2:8" x14ac:dyDescent="0.2">
      <c r="B8186" s="3">
        <v>45180</v>
      </c>
      <c r="G8186" s="2">
        <f t="shared" si="127"/>
        <v>0</v>
      </c>
      <c r="H8186" t="s">
        <v>8</v>
      </c>
    </row>
    <row r="8187" spans="2:8" x14ac:dyDescent="0.2">
      <c r="B8187" s="3">
        <v>45180</v>
      </c>
      <c r="G8187" s="2">
        <f t="shared" si="127"/>
        <v>0</v>
      </c>
      <c r="H8187" t="s">
        <v>6</v>
      </c>
    </row>
    <row r="8188" spans="2:8" x14ac:dyDescent="0.2">
      <c r="B8188" s="3">
        <v>45180</v>
      </c>
      <c r="G8188" s="2">
        <f t="shared" si="127"/>
        <v>0</v>
      </c>
      <c r="H8188" t="s">
        <v>5</v>
      </c>
    </row>
    <row r="8189" spans="2:8" x14ac:dyDescent="0.2">
      <c r="B8189" s="3">
        <v>45180</v>
      </c>
      <c r="G8189" s="2">
        <f t="shared" si="127"/>
        <v>0</v>
      </c>
      <c r="H8189" s="1"/>
    </row>
    <row r="8190" spans="2:8" x14ac:dyDescent="0.2">
      <c r="B8190" s="3">
        <v>45181</v>
      </c>
      <c r="F8190" s="1">
        <v>10000</v>
      </c>
      <c r="G8190" s="2">
        <f t="shared" si="127"/>
        <v>-10000</v>
      </c>
      <c r="H8190" t="s">
        <v>14</v>
      </c>
    </row>
    <row r="8191" spans="2:8" x14ac:dyDescent="0.2">
      <c r="B8191" s="3">
        <v>45181</v>
      </c>
      <c r="F8191" s="1">
        <v>4000</v>
      </c>
      <c r="G8191" s="2">
        <f t="shared" si="127"/>
        <v>-4000</v>
      </c>
      <c r="H8191" t="s">
        <v>27</v>
      </c>
    </row>
    <row r="8192" spans="2:8" x14ac:dyDescent="0.2">
      <c r="B8192" s="3">
        <v>45181</v>
      </c>
      <c r="G8192" s="2">
        <f t="shared" si="127"/>
        <v>0</v>
      </c>
      <c r="H8192" t="s">
        <v>13</v>
      </c>
    </row>
    <row r="8193" spans="2:8" x14ac:dyDescent="0.2">
      <c r="B8193" s="3">
        <v>45181</v>
      </c>
      <c r="G8193" s="2">
        <f t="shared" si="127"/>
        <v>0</v>
      </c>
      <c r="H8193" t="s">
        <v>30</v>
      </c>
    </row>
    <row r="8194" spans="2:8" x14ac:dyDescent="0.2">
      <c r="B8194" s="3">
        <v>45181</v>
      </c>
      <c r="G8194" s="2">
        <f t="shared" si="127"/>
        <v>0</v>
      </c>
      <c r="H8194" t="s">
        <v>25</v>
      </c>
    </row>
    <row r="8195" spans="2:8" x14ac:dyDescent="0.2">
      <c r="B8195" s="3">
        <v>45181</v>
      </c>
      <c r="G8195" s="2">
        <f t="shared" ref="G8195:G8258" si="128">E8195-F8195</f>
        <v>0</v>
      </c>
      <c r="H8195" t="s">
        <v>24</v>
      </c>
    </row>
    <row r="8196" spans="2:8" x14ac:dyDescent="0.2">
      <c r="B8196" s="3">
        <v>45181</v>
      </c>
      <c r="G8196" s="2">
        <f t="shared" si="128"/>
        <v>0</v>
      </c>
      <c r="H8196" t="s">
        <v>9</v>
      </c>
    </row>
    <row r="8197" spans="2:8" x14ac:dyDescent="0.2">
      <c r="B8197" s="3">
        <v>45181</v>
      </c>
      <c r="G8197" s="2">
        <f t="shared" si="128"/>
        <v>0</v>
      </c>
      <c r="H8197" t="s">
        <v>8</v>
      </c>
    </row>
    <row r="8198" spans="2:8" x14ac:dyDescent="0.2">
      <c r="B8198" s="3">
        <v>45181</v>
      </c>
      <c r="G8198" s="2">
        <f t="shared" si="128"/>
        <v>0</v>
      </c>
      <c r="H8198" t="s">
        <v>6</v>
      </c>
    </row>
    <row r="8199" spans="2:8" x14ac:dyDescent="0.2">
      <c r="B8199" s="3">
        <v>45181</v>
      </c>
      <c r="G8199" s="2">
        <f t="shared" si="128"/>
        <v>0</v>
      </c>
      <c r="H8199" t="s">
        <v>5</v>
      </c>
    </row>
    <row r="8200" spans="2:8" x14ac:dyDescent="0.2">
      <c r="B8200" s="3">
        <v>45181</v>
      </c>
      <c r="G8200" s="2">
        <f t="shared" si="128"/>
        <v>0</v>
      </c>
      <c r="H8200" s="1"/>
    </row>
    <row r="8201" spans="2:8" x14ac:dyDescent="0.2">
      <c r="B8201" s="3">
        <v>45182</v>
      </c>
      <c r="G8201" s="2">
        <f t="shared" si="128"/>
        <v>0</v>
      </c>
      <c r="H8201" t="s">
        <v>14</v>
      </c>
    </row>
    <row r="8202" spans="2:8" x14ac:dyDescent="0.2">
      <c r="B8202" s="3">
        <v>45182</v>
      </c>
      <c r="G8202" s="2">
        <f t="shared" si="128"/>
        <v>0</v>
      </c>
      <c r="H8202" t="s">
        <v>27</v>
      </c>
    </row>
    <row r="8203" spans="2:8" x14ac:dyDescent="0.2">
      <c r="B8203" s="3">
        <v>45182</v>
      </c>
      <c r="G8203" s="2">
        <f t="shared" si="128"/>
        <v>0</v>
      </c>
      <c r="H8203" t="s">
        <v>13</v>
      </c>
    </row>
    <row r="8204" spans="2:8" x14ac:dyDescent="0.2">
      <c r="B8204" s="3">
        <v>45182</v>
      </c>
      <c r="G8204" s="2">
        <f t="shared" si="128"/>
        <v>0</v>
      </c>
      <c r="H8204" t="s">
        <v>30</v>
      </c>
    </row>
    <row r="8205" spans="2:8" x14ac:dyDescent="0.2">
      <c r="B8205" s="3">
        <v>45182</v>
      </c>
      <c r="G8205" s="2">
        <f t="shared" si="128"/>
        <v>0</v>
      </c>
      <c r="H8205" t="s">
        <v>25</v>
      </c>
    </row>
    <row r="8206" spans="2:8" x14ac:dyDescent="0.2">
      <c r="B8206" s="3">
        <v>45182</v>
      </c>
      <c r="F8206" s="1">
        <v>3000</v>
      </c>
      <c r="G8206" s="2">
        <f t="shared" si="128"/>
        <v>-3000</v>
      </c>
      <c r="H8206" t="s">
        <v>24</v>
      </c>
    </row>
    <row r="8207" spans="2:8" x14ac:dyDescent="0.2">
      <c r="B8207" s="3">
        <v>45182</v>
      </c>
      <c r="G8207" s="2">
        <f t="shared" si="128"/>
        <v>0</v>
      </c>
      <c r="H8207" t="s">
        <v>9</v>
      </c>
    </row>
    <row r="8208" spans="2:8" x14ac:dyDescent="0.2">
      <c r="B8208" s="3">
        <v>45182</v>
      </c>
      <c r="F8208" s="1">
        <v>10000</v>
      </c>
      <c r="G8208" s="2">
        <f t="shared" si="128"/>
        <v>-10000</v>
      </c>
      <c r="H8208" t="s">
        <v>8</v>
      </c>
    </row>
    <row r="8209" spans="2:8" x14ac:dyDescent="0.2">
      <c r="B8209" s="3">
        <v>45182</v>
      </c>
      <c r="G8209" s="2">
        <f t="shared" si="128"/>
        <v>0</v>
      </c>
      <c r="H8209" t="s">
        <v>6</v>
      </c>
    </row>
    <row r="8210" spans="2:8" x14ac:dyDescent="0.2">
      <c r="B8210" s="3">
        <v>45182</v>
      </c>
      <c r="G8210" s="2">
        <f t="shared" si="128"/>
        <v>0</v>
      </c>
      <c r="H8210" t="s">
        <v>5</v>
      </c>
    </row>
    <row r="8211" spans="2:8" x14ac:dyDescent="0.2">
      <c r="B8211" s="3">
        <v>45182</v>
      </c>
      <c r="G8211" s="2">
        <f t="shared" si="128"/>
        <v>0</v>
      </c>
      <c r="H8211" s="1"/>
    </row>
    <row r="8212" spans="2:8" x14ac:dyDescent="0.2">
      <c r="B8212" s="3">
        <v>45183</v>
      </c>
      <c r="D8212" s="1">
        <v>19440</v>
      </c>
      <c r="E8212" s="1">
        <v>21280</v>
      </c>
      <c r="F8212" s="1">
        <v>3000</v>
      </c>
      <c r="G8212" s="2">
        <f t="shared" si="128"/>
        <v>18280</v>
      </c>
      <c r="H8212" t="s">
        <v>14</v>
      </c>
    </row>
    <row r="8213" spans="2:8" x14ac:dyDescent="0.2">
      <c r="B8213" s="3">
        <v>45183</v>
      </c>
      <c r="G8213" s="2">
        <f t="shared" si="128"/>
        <v>0</v>
      </c>
      <c r="H8213" t="s">
        <v>27</v>
      </c>
    </row>
    <row r="8214" spans="2:8" x14ac:dyDescent="0.2">
      <c r="B8214" s="3">
        <v>45183</v>
      </c>
      <c r="G8214" s="2">
        <f t="shared" si="128"/>
        <v>0</v>
      </c>
      <c r="H8214" t="s">
        <v>13</v>
      </c>
    </row>
    <row r="8215" spans="2:8" x14ac:dyDescent="0.2">
      <c r="B8215" s="3">
        <v>45183</v>
      </c>
      <c r="G8215" s="2">
        <f t="shared" si="128"/>
        <v>0</v>
      </c>
      <c r="H8215" t="s">
        <v>30</v>
      </c>
    </row>
    <row r="8216" spans="2:8" x14ac:dyDescent="0.2">
      <c r="B8216" s="3">
        <v>45183</v>
      </c>
      <c r="G8216" s="2">
        <f t="shared" si="128"/>
        <v>0</v>
      </c>
      <c r="H8216" t="s">
        <v>25</v>
      </c>
    </row>
    <row r="8217" spans="2:8" x14ac:dyDescent="0.2">
      <c r="B8217" s="3">
        <v>45183</v>
      </c>
      <c r="D8217" s="1">
        <v>1694</v>
      </c>
      <c r="E8217" s="1">
        <v>1872.5</v>
      </c>
      <c r="G8217" s="2">
        <f t="shared" si="128"/>
        <v>1872.5</v>
      </c>
      <c r="H8217" t="s">
        <v>24</v>
      </c>
    </row>
    <row r="8218" spans="2:8" x14ac:dyDescent="0.2">
      <c r="B8218" s="3">
        <v>45183</v>
      </c>
      <c r="G8218" s="2">
        <f t="shared" si="128"/>
        <v>0</v>
      </c>
      <c r="H8218" t="s">
        <v>9</v>
      </c>
    </row>
    <row r="8219" spans="2:8" x14ac:dyDescent="0.2">
      <c r="B8219" s="3">
        <v>45183</v>
      </c>
      <c r="G8219" s="2">
        <f t="shared" si="128"/>
        <v>0</v>
      </c>
      <c r="H8219" t="s">
        <v>8</v>
      </c>
    </row>
    <row r="8220" spans="2:8" x14ac:dyDescent="0.2">
      <c r="B8220" s="3">
        <v>45183</v>
      </c>
      <c r="G8220" s="2">
        <f t="shared" si="128"/>
        <v>0</v>
      </c>
      <c r="H8220" t="s">
        <v>6</v>
      </c>
    </row>
    <row r="8221" spans="2:8" x14ac:dyDescent="0.2">
      <c r="B8221" s="3">
        <v>45183</v>
      </c>
      <c r="G8221" s="2">
        <f t="shared" si="128"/>
        <v>0</v>
      </c>
      <c r="H8221" t="s">
        <v>5</v>
      </c>
    </row>
    <row r="8222" spans="2:8" x14ac:dyDescent="0.2">
      <c r="B8222" s="3">
        <v>45183</v>
      </c>
      <c r="G8222" s="2">
        <f t="shared" si="128"/>
        <v>0</v>
      </c>
      <c r="H8222" s="1"/>
    </row>
    <row r="8223" spans="2:8" x14ac:dyDescent="0.2">
      <c r="B8223" s="3">
        <v>45184</v>
      </c>
      <c r="G8223" s="2">
        <f t="shared" si="128"/>
        <v>0</v>
      </c>
      <c r="H8223" t="s">
        <v>14</v>
      </c>
    </row>
    <row r="8224" spans="2:8" x14ac:dyDescent="0.2">
      <c r="B8224" s="3">
        <v>45184</v>
      </c>
      <c r="G8224" s="2">
        <f t="shared" si="128"/>
        <v>0</v>
      </c>
      <c r="H8224" t="s">
        <v>27</v>
      </c>
    </row>
    <row r="8225" spans="2:8" x14ac:dyDescent="0.2">
      <c r="B8225" s="3">
        <v>45184</v>
      </c>
      <c r="G8225" s="2">
        <f t="shared" si="128"/>
        <v>0</v>
      </c>
      <c r="H8225" t="s">
        <v>13</v>
      </c>
    </row>
    <row r="8226" spans="2:8" x14ac:dyDescent="0.2">
      <c r="B8226" s="3">
        <v>45184</v>
      </c>
      <c r="G8226" s="2">
        <f t="shared" si="128"/>
        <v>0</v>
      </c>
      <c r="H8226" t="s">
        <v>30</v>
      </c>
    </row>
    <row r="8227" spans="2:8" x14ac:dyDescent="0.2">
      <c r="B8227" s="3">
        <v>45184</v>
      </c>
      <c r="G8227" s="2">
        <f t="shared" si="128"/>
        <v>0</v>
      </c>
      <c r="H8227" t="s">
        <v>25</v>
      </c>
    </row>
    <row r="8228" spans="2:8" x14ac:dyDescent="0.2">
      <c r="B8228" s="3">
        <v>45184</v>
      </c>
      <c r="G8228" s="2">
        <f t="shared" si="128"/>
        <v>0</v>
      </c>
      <c r="H8228" t="s">
        <v>24</v>
      </c>
    </row>
    <row r="8229" spans="2:8" x14ac:dyDescent="0.2">
      <c r="B8229" s="3">
        <v>45184</v>
      </c>
      <c r="G8229" s="2">
        <f t="shared" si="128"/>
        <v>0</v>
      </c>
      <c r="H8229" t="s">
        <v>9</v>
      </c>
    </row>
    <row r="8230" spans="2:8" x14ac:dyDescent="0.2">
      <c r="B8230" s="3">
        <v>45184</v>
      </c>
      <c r="G8230" s="2">
        <f t="shared" si="128"/>
        <v>0</v>
      </c>
      <c r="H8230" t="s">
        <v>8</v>
      </c>
    </row>
    <row r="8231" spans="2:8" x14ac:dyDescent="0.2">
      <c r="B8231" s="3">
        <v>45184</v>
      </c>
      <c r="G8231" s="2">
        <f t="shared" si="128"/>
        <v>0</v>
      </c>
      <c r="H8231" t="s">
        <v>6</v>
      </c>
    </row>
    <row r="8232" spans="2:8" x14ac:dyDescent="0.2">
      <c r="B8232" s="3">
        <v>45184</v>
      </c>
      <c r="G8232" s="2">
        <f t="shared" si="128"/>
        <v>0</v>
      </c>
      <c r="H8232" t="s">
        <v>5</v>
      </c>
    </row>
    <row r="8233" spans="2:8" x14ac:dyDescent="0.2">
      <c r="B8233" s="3">
        <v>45184</v>
      </c>
      <c r="G8233" s="2">
        <f t="shared" si="128"/>
        <v>0</v>
      </c>
      <c r="H8233" s="1"/>
    </row>
    <row r="8234" spans="2:8" x14ac:dyDescent="0.2">
      <c r="B8234" s="3">
        <v>45185</v>
      </c>
      <c r="G8234" s="2">
        <f t="shared" si="128"/>
        <v>0</v>
      </c>
      <c r="H8234" t="s">
        <v>14</v>
      </c>
    </row>
    <row r="8235" spans="2:8" x14ac:dyDescent="0.2">
      <c r="B8235" s="3">
        <v>45185</v>
      </c>
      <c r="G8235" s="2">
        <f t="shared" si="128"/>
        <v>0</v>
      </c>
      <c r="H8235" t="s">
        <v>27</v>
      </c>
    </row>
    <row r="8236" spans="2:8" x14ac:dyDescent="0.2">
      <c r="B8236" s="3">
        <v>45185</v>
      </c>
      <c r="G8236" s="2">
        <f t="shared" si="128"/>
        <v>0</v>
      </c>
      <c r="H8236" t="s">
        <v>13</v>
      </c>
    </row>
    <row r="8237" spans="2:8" x14ac:dyDescent="0.2">
      <c r="B8237" s="3">
        <v>45185</v>
      </c>
      <c r="G8237" s="2">
        <f t="shared" si="128"/>
        <v>0</v>
      </c>
      <c r="H8237" t="s">
        <v>30</v>
      </c>
    </row>
    <row r="8238" spans="2:8" x14ac:dyDescent="0.2">
      <c r="B8238" s="3">
        <v>45185</v>
      </c>
      <c r="G8238" s="2">
        <f t="shared" si="128"/>
        <v>0</v>
      </c>
      <c r="H8238" t="s">
        <v>25</v>
      </c>
    </row>
    <row r="8239" spans="2:8" x14ac:dyDescent="0.2">
      <c r="B8239" s="3">
        <v>45185</v>
      </c>
      <c r="G8239" s="2">
        <f t="shared" si="128"/>
        <v>0</v>
      </c>
      <c r="H8239" t="s">
        <v>24</v>
      </c>
    </row>
    <row r="8240" spans="2:8" x14ac:dyDescent="0.2">
      <c r="B8240" s="3">
        <v>45185</v>
      </c>
      <c r="G8240" s="2">
        <f t="shared" si="128"/>
        <v>0</v>
      </c>
      <c r="H8240" t="s">
        <v>9</v>
      </c>
    </row>
    <row r="8241" spans="2:8" x14ac:dyDescent="0.2">
      <c r="B8241" s="3">
        <v>45185</v>
      </c>
      <c r="G8241" s="2">
        <f t="shared" si="128"/>
        <v>0</v>
      </c>
      <c r="H8241" t="s">
        <v>8</v>
      </c>
    </row>
    <row r="8242" spans="2:8" x14ac:dyDescent="0.2">
      <c r="B8242" s="3">
        <v>45185</v>
      </c>
      <c r="G8242" s="2">
        <f t="shared" si="128"/>
        <v>0</v>
      </c>
      <c r="H8242" t="s">
        <v>6</v>
      </c>
    </row>
    <row r="8243" spans="2:8" x14ac:dyDescent="0.2">
      <c r="B8243" s="3">
        <v>45185</v>
      </c>
      <c r="G8243" s="2">
        <f t="shared" si="128"/>
        <v>0</v>
      </c>
      <c r="H8243" t="s">
        <v>5</v>
      </c>
    </row>
    <row r="8244" spans="2:8" x14ac:dyDescent="0.2">
      <c r="B8244" s="3">
        <v>45185</v>
      </c>
      <c r="G8244" s="2">
        <f t="shared" si="128"/>
        <v>0</v>
      </c>
      <c r="H8244" s="1"/>
    </row>
    <row r="8245" spans="2:8" x14ac:dyDescent="0.2">
      <c r="B8245" s="3">
        <v>45186</v>
      </c>
      <c r="D8245" s="1">
        <v>9240</v>
      </c>
      <c r="E8245" s="1">
        <v>10080</v>
      </c>
      <c r="G8245" s="2">
        <f t="shared" si="128"/>
        <v>10080</v>
      </c>
      <c r="H8245" t="s">
        <v>14</v>
      </c>
    </row>
    <row r="8246" spans="2:8" x14ac:dyDescent="0.2">
      <c r="B8246" s="3">
        <v>45186</v>
      </c>
      <c r="G8246" s="2">
        <f t="shared" si="128"/>
        <v>0</v>
      </c>
      <c r="H8246" t="s">
        <v>27</v>
      </c>
    </row>
    <row r="8247" spans="2:8" x14ac:dyDescent="0.2">
      <c r="B8247" s="3">
        <v>45186</v>
      </c>
      <c r="G8247" s="2">
        <f t="shared" si="128"/>
        <v>0</v>
      </c>
      <c r="H8247" t="s">
        <v>13</v>
      </c>
    </row>
    <row r="8248" spans="2:8" x14ac:dyDescent="0.2">
      <c r="B8248" s="3">
        <v>45186</v>
      </c>
      <c r="G8248" s="2">
        <f t="shared" si="128"/>
        <v>0</v>
      </c>
      <c r="H8248" t="s">
        <v>30</v>
      </c>
    </row>
    <row r="8249" spans="2:8" x14ac:dyDescent="0.2">
      <c r="B8249" s="3">
        <v>45186</v>
      </c>
      <c r="G8249" s="2">
        <f t="shared" si="128"/>
        <v>0</v>
      </c>
      <c r="H8249" t="s">
        <v>25</v>
      </c>
    </row>
    <row r="8250" spans="2:8" x14ac:dyDescent="0.2">
      <c r="B8250" s="3">
        <v>45186</v>
      </c>
      <c r="G8250" s="2">
        <f t="shared" si="128"/>
        <v>0</v>
      </c>
      <c r="H8250" t="s">
        <v>24</v>
      </c>
    </row>
    <row r="8251" spans="2:8" x14ac:dyDescent="0.2">
      <c r="B8251" s="3">
        <v>45186</v>
      </c>
      <c r="G8251" s="2">
        <f t="shared" si="128"/>
        <v>0</v>
      </c>
      <c r="H8251" t="s">
        <v>9</v>
      </c>
    </row>
    <row r="8252" spans="2:8" x14ac:dyDescent="0.2">
      <c r="B8252" s="3">
        <v>45186</v>
      </c>
      <c r="G8252" s="2">
        <f t="shared" si="128"/>
        <v>0</v>
      </c>
      <c r="H8252" t="s">
        <v>8</v>
      </c>
    </row>
    <row r="8253" spans="2:8" x14ac:dyDescent="0.2">
      <c r="B8253" s="3">
        <v>45186</v>
      </c>
      <c r="F8253" s="1">
        <v>7000</v>
      </c>
      <c r="G8253" s="2">
        <f t="shared" si="128"/>
        <v>-7000</v>
      </c>
      <c r="H8253" t="s">
        <v>6</v>
      </c>
    </row>
    <row r="8254" spans="2:8" x14ac:dyDescent="0.2">
      <c r="B8254" s="3">
        <v>45186</v>
      </c>
      <c r="G8254" s="2">
        <f t="shared" si="128"/>
        <v>0</v>
      </c>
      <c r="H8254" t="s">
        <v>5</v>
      </c>
    </row>
    <row r="8255" spans="2:8" x14ac:dyDescent="0.2">
      <c r="B8255" s="3">
        <v>45186</v>
      </c>
      <c r="G8255" s="2">
        <f t="shared" si="128"/>
        <v>0</v>
      </c>
      <c r="H8255" s="1"/>
    </row>
    <row r="8256" spans="2:8" x14ac:dyDescent="0.2">
      <c r="B8256" s="3">
        <v>45187</v>
      </c>
      <c r="G8256" s="2">
        <f t="shared" si="128"/>
        <v>0</v>
      </c>
      <c r="H8256" t="s">
        <v>14</v>
      </c>
    </row>
    <row r="8257" spans="2:8" x14ac:dyDescent="0.2">
      <c r="B8257" s="3">
        <v>45187</v>
      </c>
      <c r="G8257" s="2">
        <f t="shared" si="128"/>
        <v>0</v>
      </c>
      <c r="H8257" t="s">
        <v>27</v>
      </c>
    </row>
    <row r="8258" spans="2:8" x14ac:dyDescent="0.2">
      <c r="B8258" s="3">
        <v>45187</v>
      </c>
      <c r="D8258" s="1">
        <v>5846.5</v>
      </c>
      <c r="E8258" s="1">
        <v>8456.25</v>
      </c>
      <c r="G8258" s="2">
        <f t="shared" si="128"/>
        <v>8456.25</v>
      </c>
      <c r="H8258" t="s">
        <v>13</v>
      </c>
    </row>
    <row r="8259" spans="2:8" x14ac:dyDescent="0.2">
      <c r="B8259" s="3">
        <v>45187</v>
      </c>
      <c r="G8259" s="2">
        <f t="shared" ref="G8259:G8322" si="129">E8259-F8259</f>
        <v>0</v>
      </c>
      <c r="H8259" t="s">
        <v>30</v>
      </c>
    </row>
    <row r="8260" spans="2:8" x14ac:dyDescent="0.2">
      <c r="B8260" s="3">
        <v>45187</v>
      </c>
      <c r="G8260" s="2">
        <f t="shared" si="129"/>
        <v>0</v>
      </c>
      <c r="H8260" t="s">
        <v>25</v>
      </c>
    </row>
    <row r="8261" spans="2:8" x14ac:dyDescent="0.2">
      <c r="B8261" s="3">
        <v>45187</v>
      </c>
      <c r="G8261" s="2">
        <f t="shared" si="129"/>
        <v>0</v>
      </c>
      <c r="H8261" t="s">
        <v>24</v>
      </c>
    </row>
    <row r="8262" spans="2:8" x14ac:dyDescent="0.2">
      <c r="B8262" s="3">
        <v>45187</v>
      </c>
      <c r="G8262" s="2">
        <f t="shared" si="129"/>
        <v>0</v>
      </c>
      <c r="H8262" t="s">
        <v>9</v>
      </c>
    </row>
    <row r="8263" spans="2:8" x14ac:dyDescent="0.2">
      <c r="B8263" s="3">
        <v>45187</v>
      </c>
      <c r="G8263" s="2">
        <f t="shared" si="129"/>
        <v>0</v>
      </c>
      <c r="H8263" t="s">
        <v>8</v>
      </c>
    </row>
    <row r="8264" spans="2:8" x14ac:dyDescent="0.2">
      <c r="B8264" s="3">
        <v>45187</v>
      </c>
      <c r="G8264" s="2">
        <f t="shared" si="129"/>
        <v>0</v>
      </c>
      <c r="H8264" t="s">
        <v>6</v>
      </c>
    </row>
    <row r="8265" spans="2:8" x14ac:dyDescent="0.2">
      <c r="B8265" s="3">
        <v>45187</v>
      </c>
      <c r="G8265" s="2">
        <f t="shared" si="129"/>
        <v>0</v>
      </c>
      <c r="H8265" t="s">
        <v>5</v>
      </c>
    </row>
    <row r="8266" spans="2:8" x14ac:dyDescent="0.2">
      <c r="B8266" s="3">
        <v>45187</v>
      </c>
      <c r="G8266" s="2">
        <f t="shared" si="129"/>
        <v>0</v>
      </c>
      <c r="H8266" s="1"/>
    </row>
    <row r="8267" spans="2:8" x14ac:dyDescent="0.2">
      <c r="B8267" s="3">
        <v>45188</v>
      </c>
      <c r="G8267" s="2">
        <f t="shared" si="129"/>
        <v>0</v>
      </c>
      <c r="H8267" t="s">
        <v>14</v>
      </c>
    </row>
    <row r="8268" spans="2:8" x14ac:dyDescent="0.2">
      <c r="B8268" s="3">
        <v>45188</v>
      </c>
      <c r="G8268" s="2">
        <f t="shared" si="129"/>
        <v>0</v>
      </c>
      <c r="H8268" t="s">
        <v>27</v>
      </c>
    </row>
    <row r="8269" spans="2:8" x14ac:dyDescent="0.2">
      <c r="B8269" s="3">
        <v>45188</v>
      </c>
      <c r="F8269" s="1">
        <v>1140</v>
      </c>
      <c r="G8269" s="2">
        <f t="shared" si="129"/>
        <v>-1140</v>
      </c>
      <c r="H8269" t="s">
        <v>13</v>
      </c>
    </row>
    <row r="8270" spans="2:8" x14ac:dyDescent="0.2">
      <c r="B8270" s="3">
        <v>45188</v>
      </c>
      <c r="G8270" s="2">
        <f t="shared" si="129"/>
        <v>0</v>
      </c>
      <c r="H8270" t="s">
        <v>30</v>
      </c>
    </row>
    <row r="8271" spans="2:8" x14ac:dyDescent="0.2">
      <c r="B8271" s="3">
        <v>45188</v>
      </c>
      <c r="G8271" s="2">
        <f t="shared" si="129"/>
        <v>0</v>
      </c>
      <c r="H8271" t="s">
        <v>25</v>
      </c>
    </row>
    <row r="8272" spans="2:8" x14ac:dyDescent="0.2">
      <c r="B8272" s="3">
        <v>45188</v>
      </c>
      <c r="D8272" s="1">
        <v>1050</v>
      </c>
      <c r="E8272" s="1">
        <v>1140</v>
      </c>
      <c r="G8272" s="2">
        <f t="shared" si="129"/>
        <v>1140</v>
      </c>
      <c r="H8272" t="s">
        <v>24</v>
      </c>
    </row>
    <row r="8273" spans="2:8" x14ac:dyDescent="0.2">
      <c r="B8273" s="3">
        <v>45188</v>
      </c>
      <c r="G8273" s="2">
        <f t="shared" si="129"/>
        <v>0</v>
      </c>
      <c r="H8273" t="s">
        <v>9</v>
      </c>
    </row>
    <row r="8274" spans="2:8" x14ac:dyDescent="0.2">
      <c r="B8274" s="3">
        <v>45188</v>
      </c>
      <c r="D8274" s="1">
        <v>8170</v>
      </c>
      <c r="E8274" s="1">
        <v>9530</v>
      </c>
      <c r="G8274" s="2">
        <f t="shared" si="129"/>
        <v>9530</v>
      </c>
      <c r="H8274" t="s">
        <v>8</v>
      </c>
    </row>
    <row r="8275" spans="2:8" x14ac:dyDescent="0.2">
      <c r="B8275" s="3">
        <v>45188</v>
      </c>
      <c r="G8275" s="2">
        <f t="shared" si="129"/>
        <v>0</v>
      </c>
      <c r="H8275" t="s">
        <v>6</v>
      </c>
    </row>
    <row r="8276" spans="2:8" x14ac:dyDescent="0.2">
      <c r="B8276" s="3">
        <v>45188</v>
      </c>
      <c r="G8276" s="2">
        <f t="shared" si="129"/>
        <v>0</v>
      </c>
      <c r="H8276" t="s">
        <v>5</v>
      </c>
    </row>
    <row r="8277" spans="2:8" x14ac:dyDescent="0.2">
      <c r="B8277" s="3">
        <v>45188</v>
      </c>
      <c r="G8277" s="2">
        <f t="shared" si="129"/>
        <v>0</v>
      </c>
      <c r="H8277" s="1"/>
    </row>
    <row r="8278" spans="2:8" x14ac:dyDescent="0.2">
      <c r="B8278" s="3">
        <v>45189</v>
      </c>
      <c r="G8278" s="2">
        <f t="shared" si="129"/>
        <v>0</v>
      </c>
      <c r="H8278" t="s">
        <v>14</v>
      </c>
    </row>
    <row r="8279" spans="2:8" x14ac:dyDescent="0.2">
      <c r="B8279" s="3">
        <v>45189</v>
      </c>
      <c r="G8279" s="2">
        <f t="shared" si="129"/>
        <v>0</v>
      </c>
      <c r="H8279" t="s">
        <v>27</v>
      </c>
    </row>
    <row r="8280" spans="2:8" x14ac:dyDescent="0.2">
      <c r="B8280" s="3">
        <v>45189</v>
      </c>
      <c r="D8280" s="1">
        <v>3854.45</v>
      </c>
      <c r="E8280" s="1">
        <v>4552</v>
      </c>
      <c r="F8280" s="1">
        <v>8000</v>
      </c>
      <c r="G8280" s="2">
        <f t="shared" si="129"/>
        <v>-3448</v>
      </c>
      <c r="H8280" t="s">
        <v>13</v>
      </c>
    </row>
    <row r="8281" spans="2:8" x14ac:dyDescent="0.2">
      <c r="B8281" s="3">
        <v>45189</v>
      </c>
      <c r="G8281" s="2">
        <f t="shared" si="129"/>
        <v>0</v>
      </c>
      <c r="H8281" t="s">
        <v>30</v>
      </c>
    </row>
    <row r="8282" spans="2:8" x14ac:dyDescent="0.2">
      <c r="B8282" s="3">
        <v>45189</v>
      </c>
      <c r="G8282" s="2">
        <f t="shared" si="129"/>
        <v>0</v>
      </c>
      <c r="H8282" t="s">
        <v>25</v>
      </c>
    </row>
    <row r="8283" spans="2:8" x14ac:dyDescent="0.2">
      <c r="B8283" s="3">
        <v>45189</v>
      </c>
      <c r="G8283" s="2">
        <f t="shared" si="129"/>
        <v>0</v>
      </c>
      <c r="H8283" t="s">
        <v>24</v>
      </c>
    </row>
    <row r="8284" spans="2:8" x14ac:dyDescent="0.2">
      <c r="B8284" s="3">
        <v>45189</v>
      </c>
      <c r="G8284" s="2">
        <f t="shared" si="129"/>
        <v>0</v>
      </c>
      <c r="H8284" t="s">
        <v>9</v>
      </c>
    </row>
    <row r="8285" spans="2:8" x14ac:dyDescent="0.2">
      <c r="B8285" s="3">
        <v>45189</v>
      </c>
      <c r="G8285" s="2">
        <f t="shared" si="129"/>
        <v>0</v>
      </c>
      <c r="H8285" t="s">
        <v>8</v>
      </c>
    </row>
    <row r="8286" spans="2:8" x14ac:dyDescent="0.2">
      <c r="B8286" s="3">
        <v>45189</v>
      </c>
      <c r="G8286" s="2">
        <f t="shared" si="129"/>
        <v>0</v>
      </c>
      <c r="H8286" t="s">
        <v>6</v>
      </c>
    </row>
    <row r="8287" spans="2:8" x14ac:dyDescent="0.2">
      <c r="B8287" s="3">
        <v>45189</v>
      </c>
      <c r="G8287" s="2">
        <f t="shared" si="129"/>
        <v>0</v>
      </c>
      <c r="H8287" t="s">
        <v>5</v>
      </c>
    </row>
    <row r="8288" spans="2:8" x14ac:dyDescent="0.2">
      <c r="B8288" s="3">
        <v>45189</v>
      </c>
      <c r="G8288" s="2">
        <f t="shared" si="129"/>
        <v>0</v>
      </c>
      <c r="H8288" s="1"/>
    </row>
    <row r="8289" spans="2:8" x14ac:dyDescent="0.2">
      <c r="B8289" s="3">
        <v>45190</v>
      </c>
      <c r="G8289" s="2">
        <f t="shared" si="129"/>
        <v>0</v>
      </c>
      <c r="H8289" t="s">
        <v>14</v>
      </c>
    </row>
    <row r="8290" spans="2:8" x14ac:dyDescent="0.2">
      <c r="B8290" s="3">
        <v>45190</v>
      </c>
      <c r="G8290" s="2">
        <f t="shared" si="129"/>
        <v>0</v>
      </c>
      <c r="H8290" t="s">
        <v>27</v>
      </c>
    </row>
    <row r="8291" spans="2:8" x14ac:dyDescent="0.2">
      <c r="B8291" s="3">
        <v>45190</v>
      </c>
      <c r="G8291" s="2">
        <f t="shared" si="129"/>
        <v>0</v>
      </c>
      <c r="H8291" t="s">
        <v>13</v>
      </c>
    </row>
    <row r="8292" spans="2:8" x14ac:dyDescent="0.2">
      <c r="B8292" s="3">
        <v>45190</v>
      </c>
      <c r="G8292" s="2">
        <f t="shared" si="129"/>
        <v>0</v>
      </c>
      <c r="H8292" t="s">
        <v>30</v>
      </c>
    </row>
    <row r="8293" spans="2:8" x14ac:dyDescent="0.2">
      <c r="B8293" s="3">
        <v>45190</v>
      </c>
      <c r="G8293" s="2">
        <f t="shared" si="129"/>
        <v>0</v>
      </c>
      <c r="H8293" t="s">
        <v>25</v>
      </c>
    </row>
    <row r="8294" spans="2:8" x14ac:dyDescent="0.2">
      <c r="B8294" s="3">
        <v>45190</v>
      </c>
      <c r="G8294" s="2">
        <f t="shared" si="129"/>
        <v>0</v>
      </c>
      <c r="H8294" t="s">
        <v>24</v>
      </c>
    </row>
    <row r="8295" spans="2:8" x14ac:dyDescent="0.2">
      <c r="B8295" s="3">
        <v>45190</v>
      </c>
      <c r="G8295" s="2">
        <f t="shared" si="129"/>
        <v>0</v>
      </c>
      <c r="H8295" t="s">
        <v>9</v>
      </c>
    </row>
    <row r="8296" spans="2:8" x14ac:dyDescent="0.2">
      <c r="B8296" s="3">
        <v>45190</v>
      </c>
      <c r="G8296" s="2">
        <f t="shared" si="129"/>
        <v>0</v>
      </c>
      <c r="H8296" t="s">
        <v>8</v>
      </c>
    </row>
    <row r="8297" spans="2:8" x14ac:dyDescent="0.2">
      <c r="B8297" s="3">
        <v>45190</v>
      </c>
      <c r="G8297" s="2">
        <f t="shared" si="129"/>
        <v>0</v>
      </c>
      <c r="H8297" t="s">
        <v>6</v>
      </c>
    </row>
    <row r="8298" spans="2:8" x14ac:dyDescent="0.2">
      <c r="B8298" s="3">
        <v>45190</v>
      </c>
      <c r="G8298" s="2">
        <f t="shared" si="129"/>
        <v>0</v>
      </c>
      <c r="H8298" t="s">
        <v>5</v>
      </c>
    </row>
    <row r="8299" spans="2:8" x14ac:dyDescent="0.2">
      <c r="B8299" s="3">
        <v>45190</v>
      </c>
      <c r="G8299" s="2">
        <f t="shared" si="129"/>
        <v>0</v>
      </c>
      <c r="H8299" s="1"/>
    </row>
    <row r="8300" spans="2:8" x14ac:dyDescent="0.2">
      <c r="B8300" s="3">
        <v>45191</v>
      </c>
      <c r="G8300" s="2">
        <f t="shared" si="129"/>
        <v>0</v>
      </c>
      <c r="H8300" t="s">
        <v>14</v>
      </c>
    </row>
    <row r="8301" spans="2:8" x14ac:dyDescent="0.2">
      <c r="B8301" s="3">
        <v>45191</v>
      </c>
      <c r="G8301" s="2">
        <f t="shared" si="129"/>
        <v>0</v>
      </c>
      <c r="H8301" t="s">
        <v>27</v>
      </c>
    </row>
    <row r="8302" spans="2:8" x14ac:dyDescent="0.2">
      <c r="B8302" s="3">
        <v>45191</v>
      </c>
      <c r="G8302" s="2">
        <f t="shared" si="129"/>
        <v>0</v>
      </c>
      <c r="H8302" t="s">
        <v>13</v>
      </c>
    </row>
    <row r="8303" spans="2:8" x14ac:dyDescent="0.2">
      <c r="B8303" s="3">
        <v>45191</v>
      </c>
      <c r="G8303" s="2">
        <f t="shared" si="129"/>
        <v>0</v>
      </c>
      <c r="H8303" t="s">
        <v>30</v>
      </c>
    </row>
    <row r="8304" spans="2:8" x14ac:dyDescent="0.2">
      <c r="B8304" s="3">
        <v>45191</v>
      </c>
      <c r="G8304" s="2">
        <f t="shared" si="129"/>
        <v>0</v>
      </c>
      <c r="H8304" t="s">
        <v>25</v>
      </c>
    </row>
    <row r="8305" spans="2:8" x14ac:dyDescent="0.2">
      <c r="B8305" s="3">
        <v>45191</v>
      </c>
      <c r="G8305" s="2">
        <f t="shared" si="129"/>
        <v>0</v>
      </c>
      <c r="H8305" t="s">
        <v>24</v>
      </c>
    </row>
    <row r="8306" spans="2:8" x14ac:dyDescent="0.2">
      <c r="B8306" s="3">
        <v>45191</v>
      </c>
      <c r="G8306" s="2">
        <f t="shared" si="129"/>
        <v>0</v>
      </c>
      <c r="H8306" t="s">
        <v>9</v>
      </c>
    </row>
    <row r="8307" spans="2:8" x14ac:dyDescent="0.2">
      <c r="B8307" s="3">
        <v>45191</v>
      </c>
      <c r="G8307" s="2">
        <f t="shared" si="129"/>
        <v>0</v>
      </c>
      <c r="H8307" t="s">
        <v>8</v>
      </c>
    </row>
    <row r="8308" spans="2:8" x14ac:dyDescent="0.2">
      <c r="B8308" s="3">
        <v>45191</v>
      </c>
      <c r="G8308" s="2">
        <f t="shared" si="129"/>
        <v>0</v>
      </c>
      <c r="H8308" t="s">
        <v>6</v>
      </c>
    </row>
    <row r="8309" spans="2:8" x14ac:dyDescent="0.2">
      <c r="B8309" s="3">
        <v>45191</v>
      </c>
      <c r="G8309" s="2">
        <f t="shared" si="129"/>
        <v>0</v>
      </c>
      <c r="H8309" t="s">
        <v>5</v>
      </c>
    </row>
    <row r="8310" spans="2:8" x14ac:dyDescent="0.2">
      <c r="B8310" s="3">
        <v>45191</v>
      </c>
      <c r="G8310" s="2">
        <f t="shared" si="129"/>
        <v>0</v>
      </c>
      <c r="H8310" s="1"/>
    </row>
    <row r="8311" spans="2:8" x14ac:dyDescent="0.2">
      <c r="B8311" s="3">
        <v>45192</v>
      </c>
      <c r="G8311" s="2">
        <f t="shared" si="129"/>
        <v>0</v>
      </c>
      <c r="H8311" t="s">
        <v>14</v>
      </c>
    </row>
    <row r="8312" spans="2:8" x14ac:dyDescent="0.2">
      <c r="B8312" s="3">
        <v>45192</v>
      </c>
      <c r="G8312" s="2">
        <f t="shared" si="129"/>
        <v>0</v>
      </c>
      <c r="H8312" t="s">
        <v>27</v>
      </c>
    </row>
    <row r="8313" spans="2:8" x14ac:dyDescent="0.2">
      <c r="B8313" s="3">
        <v>45192</v>
      </c>
      <c r="G8313" s="2">
        <f t="shared" si="129"/>
        <v>0</v>
      </c>
      <c r="H8313" t="s">
        <v>13</v>
      </c>
    </row>
    <row r="8314" spans="2:8" x14ac:dyDescent="0.2">
      <c r="B8314" s="3">
        <v>45192</v>
      </c>
      <c r="G8314" s="2">
        <f t="shared" si="129"/>
        <v>0</v>
      </c>
      <c r="H8314" t="s">
        <v>30</v>
      </c>
    </row>
    <row r="8315" spans="2:8" x14ac:dyDescent="0.2">
      <c r="B8315" s="3">
        <v>45192</v>
      </c>
      <c r="G8315" s="2">
        <f t="shared" si="129"/>
        <v>0</v>
      </c>
      <c r="H8315" t="s">
        <v>25</v>
      </c>
    </row>
    <row r="8316" spans="2:8" x14ac:dyDescent="0.2">
      <c r="B8316" s="3">
        <v>45192</v>
      </c>
      <c r="G8316" s="2">
        <f t="shared" si="129"/>
        <v>0</v>
      </c>
      <c r="H8316" t="s">
        <v>24</v>
      </c>
    </row>
    <row r="8317" spans="2:8" x14ac:dyDescent="0.2">
      <c r="B8317" s="3">
        <v>45192</v>
      </c>
      <c r="G8317" s="2">
        <f t="shared" si="129"/>
        <v>0</v>
      </c>
      <c r="H8317" t="s">
        <v>9</v>
      </c>
    </row>
    <row r="8318" spans="2:8" x14ac:dyDescent="0.2">
      <c r="B8318" s="3">
        <v>45192</v>
      </c>
      <c r="G8318" s="2">
        <f t="shared" si="129"/>
        <v>0</v>
      </c>
      <c r="H8318" t="s">
        <v>8</v>
      </c>
    </row>
    <row r="8319" spans="2:8" x14ac:dyDescent="0.2">
      <c r="B8319" s="3">
        <v>45192</v>
      </c>
      <c r="G8319" s="2">
        <f t="shared" si="129"/>
        <v>0</v>
      </c>
      <c r="H8319" t="s">
        <v>6</v>
      </c>
    </row>
    <row r="8320" spans="2:8" x14ac:dyDescent="0.2">
      <c r="B8320" s="3">
        <v>45192</v>
      </c>
      <c r="F8320" s="1">
        <v>4000</v>
      </c>
      <c r="G8320" s="2">
        <f t="shared" si="129"/>
        <v>-4000</v>
      </c>
      <c r="H8320" t="s">
        <v>5</v>
      </c>
    </row>
    <row r="8321" spans="2:8" x14ac:dyDescent="0.2">
      <c r="B8321" s="3">
        <v>45192</v>
      </c>
      <c r="G8321" s="2">
        <f t="shared" si="129"/>
        <v>0</v>
      </c>
      <c r="H8321" s="1"/>
    </row>
    <row r="8322" spans="2:8" x14ac:dyDescent="0.2">
      <c r="B8322" s="3">
        <v>45193</v>
      </c>
      <c r="F8322" s="1">
        <v>5000</v>
      </c>
      <c r="G8322" s="2">
        <f t="shared" si="129"/>
        <v>-5000</v>
      </c>
      <c r="H8322" t="s">
        <v>14</v>
      </c>
    </row>
    <row r="8323" spans="2:8" x14ac:dyDescent="0.2">
      <c r="B8323" s="3">
        <v>45193</v>
      </c>
      <c r="G8323" s="2">
        <f t="shared" ref="G8323:G8386" si="130">E8323-F8323</f>
        <v>0</v>
      </c>
      <c r="H8323" t="s">
        <v>27</v>
      </c>
    </row>
    <row r="8324" spans="2:8" x14ac:dyDescent="0.2">
      <c r="B8324" s="3">
        <v>45193</v>
      </c>
      <c r="G8324" s="2">
        <f t="shared" si="130"/>
        <v>0</v>
      </c>
      <c r="H8324" t="s">
        <v>13</v>
      </c>
    </row>
    <row r="8325" spans="2:8" x14ac:dyDescent="0.2">
      <c r="B8325" s="3">
        <v>45193</v>
      </c>
      <c r="G8325" s="2">
        <f t="shared" si="130"/>
        <v>0</v>
      </c>
      <c r="H8325" t="s">
        <v>30</v>
      </c>
    </row>
    <row r="8326" spans="2:8" x14ac:dyDescent="0.2">
      <c r="B8326" s="3">
        <v>45193</v>
      </c>
      <c r="G8326" s="2">
        <f t="shared" si="130"/>
        <v>0</v>
      </c>
      <c r="H8326" t="s">
        <v>25</v>
      </c>
    </row>
    <row r="8327" spans="2:8" x14ac:dyDescent="0.2">
      <c r="B8327" s="3">
        <v>45193</v>
      </c>
      <c r="G8327" s="2">
        <f t="shared" si="130"/>
        <v>0</v>
      </c>
      <c r="H8327" t="s">
        <v>24</v>
      </c>
    </row>
    <row r="8328" spans="2:8" x14ac:dyDescent="0.2">
      <c r="B8328" s="3">
        <v>45193</v>
      </c>
      <c r="G8328" s="2">
        <f t="shared" si="130"/>
        <v>0</v>
      </c>
      <c r="H8328" t="s">
        <v>9</v>
      </c>
    </row>
    <row r="8329" spans="2:8" x14ac:dyDescent="0.2">
      <c r="B8329" s="3">
        <v>45193</v>
      </c>
      <c r="D8329" s="1">
        <v>16195</v>
      </c>
      <c r="E8329" s="1">
        <v>17840</v>
      </c>
      <c r="G8329" s="2">
        <f t="shared" si="130"/>
        <v>17840</v>
      </c>
      <c r="H8329" t="s">
        <v>8</v>
      </c>
    </row>
    <row r="8330" spans="2:8" x14ac:dyDescent="0.2">
      <c r="B8330" s="3">
        <v>45193</v>
      </c>
      <c r="G8330" s="2">
        <f t="shared" si="130"/>
        <v>0</v>
      </c>
      <c r="H8330" t="s">
        <v>6</v>
      </c>
    </row>
    <row r="8331" spans="2:8" x14ac:dyDescent="0.2">
      <c r="B8331" s="3">
        <v>45193</v>
      </c>
      <c r="G8331" s="2">
        <f t="shared" si="130"/>
        <v>0</v>
      </c>
      <c r="H8331" t="s">
        <v>5</v>
      </c>
    </row>
    <row r="8332" spans="2:8" x14ac:dyDescent="0.2">
      <c r="B8332" s="3">
        <v>45193</v>
      </c>
      <c r="G8332" s="2">
        <f t="shared" si="130"/>
        <v>0</v>
      </c>
      <c r="H8332" s="1"/>
    </row>
    <row r="8333" spans="2:8" x14ac:dyDescent="0.2">
      <c r="B8333" s="3">
        <v>45194</v>
      </c>
      <c r="G8333" s="2">
        <f t="shared" si="130"/>
        <v>0</v>
      </c>
      <c r="H8333" t="s">
        <v>14</v>
      </c>
    </row>
    <row r="8334" spans="2:8" x14ac:dyDescent="0.2">
      <c r="B8334" s="3">
        <v>45194</v>
      </c>
      <c r="G8334" s="2">
        <f t="shared" si="130"/>
        <v>0</v>
      </c>
      <c r="H8334" t="s">
        <v>27</v>
      </c>
    </row>
    <row r="8335" spans="2:8" x14ac:dyDescent="0.2">
      <c r="B8335" s="3">
        <v>45194</v>
      </c>
      <c r="G8335" s="2">
        <f t="shared" si="130"/>
        <v>0</v>
      </c>
      <c r="H8335" t="s">
        <v>13</v>
      </c>
    </row>
    <row r="8336" spans="2:8" x14ac:dyDescent="0.2">
      <c r="B8336" s="3">
        <v>45194</v>
      </c>
      <c r="G8336" s="2">
        <f t="shared" si="130"/>
        <v>0</v>
      </c>
      <c r="H8336" t="s">
        <v>30</v>
      </c>
    </row>
    <row r="8337" spans="2:8" x14ac:dyDescent="0.2">
      <c r="B8337" s="3">
        <v>45194</v>
      </c>
      <c r="G8337" s="2">
        <f t="shared" si="130"/>
        <v>0</v>
      </c>
      <c r="H8337" t="s">
        <v>25</v>
      </c>
    </row>
    <row r="8338" spans="2:8" x14ac:dyDescent="0.2">
      <c r="B8338" s="3">
        <v>45194</v>
      </c>
      <c r="G8338" s="2">
        <f t="shared" si="130"/>
        <v>0</v>
      </c>
      <c r="H8338" t="s">
        <v>24</v>
      </c>
    </row>
    <row r="8339" spans="2:8" x14ac:dyDescent="0.2">
      <c r="B8339" s="3">
        <v>45194</v>
      </c>
      <c r="D8339" s="1">
        <v>12870</v>
      </c>
      <c r="E8339" s="1">
        <v>14785</v>
      </c>
      <c r="G8339" s="2">
        <f t="shared" si="130"/>
        <v>14785</v>
      </c>
      <c r="H8339" t="s">
        <v>9</v>
      </c>
    </row>
    <row r="8340" spans="2:8" x14ac:dyDescent="0.2">
      <c r="B8340" s="3">
        <v>45194</v>
      </c>
      <c r="F8340" s="1">
        <v>10000</v>
      </c>
      <c r="G8340" s="2">
        <f t="shared" si="130"/>
        <v>-10000</v>
      </c>
      <c r="H8340" t="s">
        <v>8</v>
      </c>
    </row>
    <row r="8341" spans="2:8" x14ac:dyDescent="0.2">
      <c r="B8341" s="3">
        <v>45194</v>
      </c>
      <c r="F8341" s="1">
        <v>7000</v>
      </c>
      <c r="G8341" s="2">
        <f t="shared" si="130"/>
        <v>-7000</v>
      </c>
      <c r="H8341" t="s">
        <v>6</v>
      </c>
    </row>
    <row r="8342" spans="2:8" x14ac:dyDescent="0.2">
      <c r="B8342" s="3">
        <v>45194</v>
      </c>
      <c r="G8342" s="2">
        <f t="shared" si="130"/>
        <v>0</v>
      </c>
      <c r="H8342" t="s">
        <v>5</v>
      </c>
    </row>
    <row r="8343" spans="2:8" x14ac:dyDescent="0.2">
      <c r="B8343" s="3">
        <v>45194</v>
      </c>
      <c r="G8343" s="2">
        <f t="shared" si="130"/>
        <v>0</v>
      </c>
      <c r="H8343" s="1"/>
    </row>
    <row r="8344" spans="2:8" x14ac:dyDescent="0.2">
      <c r="B8344" s="3">
        <v>45195</v>
      </c>
      <c r="G8344" s="2">
        <f t="shared" si="130"/>
        <v>0</v>
      </c>
      <c r="H8344" t="s">
        <v>14</v>
      </c>
    </row>
    <row r="8345" spans="2:8" x14ac:dyDescent="0.2">
      <c r="B8345" s="3">
        <v>45195</v>
      </c>
      <c r="G8345" s="2">
        <f t="shared" si="130"/>
        <v>0</v>
      </c>
      <c r="H8345" t="s">
        <v>27</v>
      </c>
    </row>
    <row r="8346" spans="2:8" x14ac:dyDescent="0.2">
      <c r="B8346" s="3">
        <v>45195</v>
      </c>
      <c r="D8346" s="1">
        <v>7983</v>
      </c>
      <c r="E8346" s="1">
        <v>9340</v>
      </c>
      <c r="F8346" s="1">
        <v>6000</v>
      </c>
      <c r="G8346" s="2">
        <f t="shared" si="130"/>
        <v>3340</v>
      </c>
      <c r="H8346" t="s">
        <v>13</v>
      </c>
    </row>
    <row r="8347" spans="2:8" x14ac:dyDescent="0.2">
      <c r="B8347" s="3">
        <v>45195</v>
      </c>
      <c r="G8347" s="2">
        <f t="shared" si="130"/>
        <v>0</v>
      </c>
      <c r="H8347" t="s">
        <v>30</v>
      </c>
    </row>
    <row r="8348" spans="2:8" x14ac:dyDescent="0.2">
      <c r="B8348" s="3">
        <v>45195</v>
      </c>
      <c r="G8348" s="2">
        <f t="shared" si="130"/>
        <v>0</v>
      </c>
      <c r="H8348" t="s">
        <v>25</v>
      </c>
    </row>
    <row r="8349" spans="2:8" x14ac:dyDescent="0.2">
      <c r="B8349" s="3">
        <v>45195</v>
      </c>
      <c r="G8349" s="2">
        <f t="shared" si="130"/>
        <v>0</v>
      </c>
      <c r="H8349" t="s">
        <v>24</v>
      </c>
    </row>
    <row r="8350" spans="2:8" x14ac:dyDescent="0.2">
      <c r="B8350" s="3">
        <v>45195</v>
      </c>
      <c r="G8350" s="2">
        <f t="shared" si="130"/>
        <v>0</v>
      </c>
      <c r="H8350" t="s">
        <v>9</v>
      </c>
    </row>
    <row r="8351" spans="2:8" x14ac:dyDescent="0.2">
      <c r="B8351" s="3">
        <v>45195</v>
      </c>
      <c r="G8351" s="2">
        <f t="shared" si="130"/>
        <v>0</v>
      </c>
      <c r="H8351" t="s">
        <v>8</v>
      </c>
    </row>
    <row r="8352" spans="2:8" x14ac:dyDescent="0.2">
      <c r="B8352" s="3">
        <v>45195</v>
      </c>
      <c r="G8352" s="2">
        <f t="shared" si="130"/>
        <v>0</v>
      </c>
      <c r="H8352" t="s">
        <v>6</v>
      </c>
    </row>
    <row r="8353" spans="2:8" x14ac:dyDescent="0.2">
      <c r="B8353" s="3">
        <v>45195</v>
      </c>
      <c r="G8353" s="2">
        <f t="shared" si="130"/>
        <v>0</v>
      </c>
      <c r="H8353" t="s">
        <v>5</v>
      </c>
    </row>
    <row r="8354" spans="2:8" x14ac:dyDescent="0.2">
      <c r="B8354" s="3">
        <v>45195</v>
      </c>
      <c r="G8354" s="2">
        <f t="shared" si="130"/>
        <v>0</v>
      </c>
      <c r="H8354" s="1"/>
    </row>
    <row r="8355" spans="2:8" x14ac:dyDescent="0.2">
      <c r="B8355" s="3">
        <v>45196</v>
      </c>
      <c r="F8355" s="1">
        <v>10000</v>
      </c>
      <c r="G8355" s="2">
        <f t="shared" si="130"/>
        <v>-10000</v>
      </c>
      <c r="H8355" t="s">
        <v>14</v>
      </c>
    </row>
    <row r="8356" spans="2:8" x14ac:dyDescent="0.2">
      <c r="B8356" s="3">
        <v>45196</v>
      </c>
      <c r="G8356" s="2">
        <f t="shared" si="130"/>
        <v>0</v>
      </c>
      <c r="H8356" t="s">
        <v>27</v>
      </c>
    </row>
    <row r="8357" spans="2:8" x14ac:dyDescent="0.2">
      <c r="B8357" s="3">
        <v>45196</v>
      </c>
      <c r="G8357" s="2">
        <f t="shared" si="130"/>
        <v>0</v>
      </c>
      <c r="H8357" t="s">
        <v>13</v>
      </c>
    </row>
    <row r="8358" spans="2:8" x14ac:dyDescent="0.2">
      <c r="B8358" s="3">
        <v>45196</v>
      </c>
      <c r="G8358" s="2">
        <f t="shared" si="130"/>
        <v>0</v>
      </c>
      <c r="H8358" t="s">
        <v>30</v>
      </c>
    </row>
    <row r="8359" spans="2:8" x14ac:dyDescent="0.2">
      <c r="B8359" s="3">
        <v>45196</v>
      </c>
      <c r="G8359" s="2">
        <f t="shared" si="130"/>
        <v>0</v>
      </c>
      <c r="H8359" t="s">
        <v>25</v>
      </c>
    </row>
    <row r="8360" spans="2:8" x14ac:dyDescent="0.2">
      <c r="B8360" s="3">
        <v>45196</v>
      </c>
      <c r="G8360" s="2">
        <f t="shared" si="130"/>
        <v>0</v>
      </c>
      <c r="H8360" t="s">
        <v>24</v>
      </c>
    </row>
    <row r="8361" spans="2:8" x14ac:dyDescent="0.2">
      <c r="B8361" s="3">
        <v>45196</v>
      </c>
      <c r="G8361" s="2">
        <f t="shared" si="130"/>
        <v>0</v>
      </c>
      <c r="H8361" t="s">
        <v>9</v>
      </c>
    </row>
    <row r="8362" spans="2:8" x14ac:dyDescent="0.2">
      <c r="B8362" s="3">
        <v>45196</v>
      </c>
      <c r="G8362" s="2">
        <f t="shared" si="130"/>
        <v>0</v>
      </c>
      <c r="H8362" t="s">
        <v>8</v>
      </c>
    </row>
    <row r="8363" spans="2:8" x14ac:dyDescent="0.2">
      <c r="B8363" s="3">
        <v>45196</v>
      </c>
      <c r="G8363" s="2">
        <f t="shared" si="130"/>
        <v>0</v>
      </c>
      <c r="H8363" t="s">
        <v>6</v>
      </c>
    </row>
    <row r="8364" spans="2:8" x14ac:dyDescent="0.2">
      <c r="B8364" s="3">
        <v>45196</v>
      </c>
      <c r="G8364" s="2">
        <f t="shared" si="130"/>
        <v>0</v>
      </c>
      <c r="H8364" t="s">
        <v>5</v>
      </c>
    </row>
    <row r="8365" spans="2:8" x14ac:dyDescent="0.2">
      <c r="B8365" s="3">
        <v>45196</v>
      </c>
      <c r="G8365" s="2">
        <f t="shared" si="130"/>
        <v>0</v>
      </c>
      <c r="H8365" s="1"/>
    </row>
    <row r="8366" spans="2:8" x14ac:dyDescent="0.2">
      <c r="B8366" s="3">
        <v>45197</v>
      </c>
      <c r="G8366" s="2">
        <f t="shared" si="130"/>
        <v>0</v>
      </c>
      <c r="H8366" t="s">
        <v>14</v>
      </c>
    </row>
    <row r="8367" spans="2:8" x14ac:dyDescent="0.2">
      <c r="B8367" s="3">
        <v>45197</v>
      </c>
      <c r="G8367" s="2">
        <f t="shared" si="130"/>
        <v>0</v>
      </c>
      <c r="H8367" t="s">
        <v>27</v>
      </c>
    </row>
    <row r="8368" spans="2:8" x14ac:dyDescent="0.2">
      <c r="B8368" s="3">
        <v>45197</v>
      </c>
      <c r="G8368" s="2">
        <f t="shared" si="130"/>
        <v>0</v>
      </c>
      <c r="H8368" t="s">
        <v>13</v>
      </c>
    </row>
    <row r="8369" spans="2:8" x14ac:dyDescent="0.2">
      <c r="B8369" s="3">
        <v>45197</v>
      </c>
      <c r="G8369" s="2">
        <f t="shared" si="130"/>
        <v>0</v>
      </c>
      <c r="H8369" t="s">
        <v>30</v>
      </c>
    </row>
    <row r="8370" spans="2:8" x14ac:dyDescent="0.2">
      <c r="B8370" s="3">
        <v>45197</v>
      </c>
      <c r="G8370" s="2">
        <f t="shared" si="130"/>
        <v>0</v>
      </c>
      <c r="H8370" t="s">
        <v>25</v>
      </c>
    </row>
    <row r="8371" spans="2:8" x14ac:dyDescent="0.2">
      <c r="B8371" s="3">
        <v>45197</v>
      </c>
      <c r="G8371" s="2">
        <f t="shared" si="130"/>
        <v>0</v>
      </c>
      <c r="H8371" t="s">
        <v>24</v>
      </c>
    </row>
    <row r="8372" spans="2:8" x14ac:dyDescent="0.2">
      <c r="B8372" s="3">
        <v>45197</v>
      </c>
      <c r="G8372" s="2">
        <f t="shared" si="130"/>
        <v>0</v>
      </c>
      <c r="H8372" t="s">
        <v>9</v>
      </c>
    </row>
    <row r="8373" spans="2:8" x14ac:dyDescent="0.2">
      <c r="B8373" s="3">
        <v>45197</v>
      </c>
      <c r="D8373" s="1">
        <v>16831</v>
      </c>
      <c r="E8373" s="1">
        <v>18574</v>
      </c>
      <c r="G8373" s="2">
        <f t="shared" si="130"/>
        <v>18574</v>
      </c>
      <c r="H8373" t="s">
        <v>8</v>
      </c>
    </row>
    <row r="8374" spans="2:8" x14ac:dyDescent="0.2">
      <c r="B8374" s="3">
        <v>45197</v>
      </c>
      <c r="G8374" s="2">
        <f t="shared" si="130"/>
        <v>0</v>
      </c>
      <c r="H8374" t="s">
        <v>6</v>
      </c>
    </row>
    <row r="8375" spans="2:8" x14ac:dyDescent="0.2">
      <c r="B8375" s="3">
        <v>45197</v>
      </c>
      <c r="G8375" s="2">
        <f t="shared" si="130"/>
        <v>0</v>
      </c>
      <c r="H8375" t="s">
        <v>5</v>
      </c>
    </row>
    <row r="8376" spans="2:8" x14ac:dyDescent="0.2">
      <c r="B8376" s="3">
        <v>45197</v>
      </c>
      <c r="G8376" s="2">
        <f t="shared" si="130"/>
        <v>0</v>
      </c>
      <c r="H8376" s="1"/>
    </row>
    <row r="8377" spans="2:8" x14ac:dyDescent="0.2">
      <c r="B8377" s="3">
        <v>45198</v>
      </c>
      <c r="G8377" s="2">
        <f t="shared" si="130"/>
        <v>0</v>
      </c>
      <c r="H8377" t="s">
        <v>14</v>
      </c>
    </row>
    <row r="8378" spans="2:8" x14ac:dyDescent="0.2">
      <c r="B8378" s="3">
        <v>45198</v>
      </c>
      <c r="G8378" s="2">
        <f t="shared" si="130"/>
        <v>0</v>
      </c>
      <c r="H8378" t="s">
        <v>27</v>
      </c>
    </row>
    <row r="8379" spans="2:8" x14ac:dyDescent="0.2">
      <c r="B8379" s="3">
        <v>45198</v>
      </c>
      <c r="G8379" s="2">
        <f t="shared" si="130"/>
        <v>0</v>
      </c>
      <c r="H8379" t="s">
        <v>13</v>
      </c>
    </row>
    <row r="8380" spans="2:8" x14ac:dyDescent="0.2">
      <c r="B8380" s="3">
        <v>45198</v>
      </c>
      <c r="G8380" s="2">
        <f t="shared" si="130"/>
        <v>0</v>
      </c>
      <c r="H8380" t="s">
        <v>30</v>
      </c>
    </row>
    <row r="8381" spans="2:8" x14ac:dyDescent="0.2">
      <c r="B8381" s="3">
        <v>45198</v>
      </c>
      <c r="G8381" s="2">
        <f t="shared" si="130"/>
        <v>0</v>
      </c>
      <c r="H8381" t="s">
        <v>25</v>
      </c>
    </row>
    <row r="8382" spans="2:8" x14ac:dyDescent="0.2">
      <c r="B8382" s="3">
        <v>45198</v>
      </c>
      <c r="G8382" s="2">
        <f t="shared" si="130"/>
        <v>0</v>
      </c>
      <c r="H8382" t="s">
        <v>24</v>
      </c>
    </row>
    <row r="8383" spans="2:8" x14ac:dyDescent="0.2">
      <c r="B8383" s="3">
        <v>45198</v>
      </c>
      <c r="G8383" s="2">
        <f t="shared" si="130"/>
        <v>0</v>
      </c>
      <c r="H8383" t="s">
        <v>9</v>
      </c>
    </row>
    <row r="8384" spans="2:8" x14ac:dyDescent="0.2">
      <c r="B8384" s="3">
        <v>45198</v>
      </c>
      <c r="G8384" s="2">
        <f t="shared" si="130"/>
        <v>0</v>
      </c>
      <c r="H8384" t="s">
        <v>8</v>
      </c>
    </row>
    <row r="8385" spans="2:8" x14ac:dyDescent="0.2">
      <c r="B8385" s="3">
        <v>45198</v>
      </c>
      <c r="G8385" s="2">
        <f t="shared" si="130"/>
        <v>0</v>
      </c>
      <c r="H8385" t="s">
        <v>6</v>
      </c>
    </row>
    <row r="8386" spans="2:8" x14ac:dyDescent="0.2">
      <c r="B8386" s="3">
        <v>45198</v>
      </c>
      <c r="G8386" s="2">
        <f t="shared" si="130"/>
        <v>0</v>
      </c>
      <c r="H8386" t="s">
        <v>5</v>
      </c>
    </row>
    <row r="8387" spans="2:8" x14ac:dyDescent="0.2">
      <c r="B8387" s="3">
        <v>45198</v>
      </c>
      <c r="G8387" s="2">
        <f t="shared" ref="G8387:G8450" si="131">E8387-F8387</f>
        <v>0</v>
      </c>
      <c r="H8387" s="1"/>
    </row>
    <row r="8388" spans="2:8" x14ac:dyDescent="0.2">
      <c r="B8388" s="3">
        <v>45199</v>
      </c>
      <c r="G8388" s="2">
        <f t="shared" si="131"/>
        <v>0</v>
      </c>
      <c r="H8388" t="s">
        <v>14</v>
      </c>
    </row>
    <row r="8389" spans="2:8" x14ac:dyDescent="0.2">
      <c r="B8389" s="3">
        <v>45199</v>
      </c>
      <c r="G8389" s="2">
        <f t="shared" si="131"/>
        <v>0</v>
      </c>
      <c r="H8389" t="s">
        <v>27</v>
      </c>
    </row>
    <row r="8390" spans="2:8" x14ac:dyDescent="0.2">
      <c r="B8390" s="3">
        <v>45199</v>
      </c>
      <c r="F8390" s="1">
        <v>6000</v>
      </c>
      <c r="G8390" s="2">
        <f t="shared" si="131"/>
        <v>-6000</v>
      </c>
      <c r="H8390" t="s">
        <v>13</v>
      </c>
    </row>
    <row r="8391" spans="2:8" x14ac:dyDescent="0.2">
      <c r="B8391" s="3">
        <v>45199</v>
      </c>
      <c r="G8391" s="2">
        <f t="shared" si="131"/>
        <v>0</v>
      </c>
      <c r="H8391" t="s">
        <v>30</v>
      </c>
    </row>
    <row r="8392" spans="2:8" x14ac:dyDescent="0.2">
      <c r="B8392" s="3">
        <v>45199</v>
      </c>
      <c r="G8392" s="2">
        <f t="shared" si="131"/>
        <v>0</v>
      </c>
      <c r="H8392" t="s">
        <v>25</v>
      </c>
    </row>
    <row r="8393" spans="2:8" x14ac:dyDescent="0.2">
      <c r="B8393" s="3">
        <v>45199</v>
      </c>
      <c r="G8393" s="2">
        <f t="shared" si="131"/>
        <v>0</v>
      </c>
      <c r="H8393" t="s">
        <v>24</v>
      </c>
    </row>
    <row r="8394" spans="2:8" x14ac:dyDescent="0.2">
      <c r="B8394" s="3">
        <v>45199</v>
      </c>
      <c r="F8394" s="1">
        <v>14785</v>
      </c>
      <c r="G8394" s="2">
        <f t="shared" si="131"/>
        <v>-14785</v>
      </c>
      <c r="H8394" t="s">
        <v>9</v>
      </c>
    </row>
    <row r="8395" spans="2:8" x14ac:dyDescent="0.2">
      <c r="B8395" s="3">
        <v>45199</v>
      </c>
      <c r="G8395" s="2">
        <f t="shared" si="131"/>
        <v>0</v>
      </c>
      <c r="H8395" t="s">
        <v>8</v>
      </c>
    </row>
    <row r="8396" spans="2:8" x14ac:dyDescent="0.2">
      <c r="B8396" s="3">
        <v>45199</v>
      </c>
      <c r="G8396" s="2">
        <f t="shared" si="131"/>
        <v>0</v>
      </c>
      <c r="H8396" t="s">
        <v>6</v>
      </c>
    </row>
    <row r="8397" spans="2:8" x14ac:dyDescent="0.2">
      <c r="B8397" s="3">
        <v>45199</v>
      </c>
      <c r="G8397" s="2">
        <f t="shared" si="131"/>
        <v>0</v>
      </c>
      <c r="H8397" t="s">
        <v>5</v>
      </c>
    </row>
    <row r="8398" spans="2:8" x14ac:dyDescent="0.2">
      <c r="B8398" s="3">
        <v>45199</v>
      </c>
      <c r="G8398" s="2">
        <f t="shared" si="131"/>
        <v>0</v>
      </c>
      <c r="H8398" s="1"/>
    </row>
    <row r="8399" spans="2:8" x14ac:dyDescent="0.2">
      <c r="B8399" s="3">
        <v>45200</v>
      </c>
      <c r="G8399" s="2">
        <f t="shared" si="131"/>
        <v>0</v>
      </c>
      <c r="H8399" t="s">
        <v>14</v>
      </c>
    </row>
    <row r="8400" spans="2:8" x14ac:dyDescent="0.2">
      <c r="B8400" s="3">
        <v>45200</v>
      </c>
      <c r="G8400" s="2">
        <f t="shared" si="131"/>
        <v>0</v>
      </c>
      <c r="H8400" t="s">
        <v>27</v>
      </c>
    </row>
    <row r="8401" spans="2:8" x14ac:dyDescent="0.2">
      <c r="B8401" s="3">
        <v>45200</v>
      </c>
      <c r="D8401" s="1">
        <v>4183.5</v>
      </c>
      <c r="E8401" s="1">
        <v>4860</v>
      </c>
      <c r="G8401" s="2">
        <f t="shared" si="131"/>
        <v>4860</v>
      </c>
      <c r="H8401" t="s">
        <v>13</v>
      </c>
    </row>
    <row r="8402" spans="2:8" x14ac:dyDescent="0.2">
      <c r="B8402" s="3">
        <v>45200</v>
      </c>
      <c r="G8402" s="2">
        <f t="shared" si="131"/>
        <v>0</v>
      </c>
      <c r="H8402" t="s">
        <v>30</v>
      </c>
    </row>
    <row r="8403" spans="2:8" x14ac:dyDescent="0.2">
      <c r="B8403" s="3">
        <v>45200</v>
      </c>
      <c r="G8403" s="2">
        <f t="shared" si="131"/>
        <v>0</v>
      </c>
      <c r="H8403" t="s">
        <v>25</v>
      </c>
    </row>
    <row r="8404" spans="2:8" x14ac:dyDescent="0.2">
      <c r="B8404" s="3">
        <v>45200</v>
      </c>
      <c r="G8404" s="2">
        <f t="shared" si="131"/>
        <v>0</v>
      </c>
      <c r="H8404" t="s">
        <v>24</v>
      </c>
    </row>
    <row r="8405" spans="2:8" x14ac:dyDescent="0.2">
      <c r="B8405" s="3">
        <v>45200</v>
      </c>
      <c r="G8405" s="2">
        <f t="shared" si="131"/>
        <v>0</v>
      </c>
      <c r="H8405" t="s">
        <v>9</v>
      </c>
    </row>
    <row r="8406" spans="2:8" x14ac:dyDescent="0.2">
      <c r="B8406" s="3">
        <v>45200</v>
      </c>
      <c r="F8406" s="1">
        <v>10000</v>
      </c>
      <c r="G8406" s="2">
        <f t="shared" si="131"/>
        <v>-10000</v>
      </c>
      <c r="H8406" t="s">
        <v>8</v>
      </c>
    </row>
    <row r="8407" spans="2:8" x14ac:dyDescent="0.2">
      <c r="B8407" s="3">
        <v>45200</v>
      </c>
      <c r="F8407" s="1">
        <v>3500</v>
      </c>
      <c r="G8407" s="2">
        <f t="shared" si="131"/>
        <v>-3500</v>
      </c>
      <c r="H8407" t="s">
        <v>6</v>
      </c>
    </row>
    <row r="8408" spans="2:8" x14ac:dyDescent="0.2">
      <c r="B8408" s="3">
        <v>45200</v>
      </c>
      <c r="G8408" s="2">
        <f t="shared" si="131"/>
        <v>0</v>
      </c>
      <c r="H8408" t="s">
        <v>5</v>
      </c>
    </row>
    <row r="8409" spans="2:8" x14ac:dyDescent="0.2">
      <c r="B8409" s="3">
        <v>45200</v>
      </c>
      <c r="G8409" s="2">
        <f t="shared" si="131"/>
        <v>0</v>
      </c>
      <c r="H8409" s="1"/>
    </row>
    <row r="8410" spans="2:8" x14ac:dyDescent="0.2">
      <c r="B8410" s="3">
        <v>45201</v>
      </c>
      <c r="G8410" s="2">
        <f t="shared" si="131"/>
        <v>0</v>
      </c>
      <c r="H8410" t="s">
        <v>14</v>
      </c>
    </row>
    <row r="8411" spans="2:8" x14ac:dyDescent="0.2">
      <c r="B8411" s="3">
        <v>45201</v>
      </c>
      <c r="G8411" s="2">
        <f t="shared" si="131"/>
        <v>0</v>
      </c>
      <c r="H8411" t="s">
        <v>27</v>
      </c>
    </row>
    <row r="8412" spans="2:8" x14ac:dyDescent="0.2">
      <c r="B8412" s="3">
        <v>45201</v>
      </c>
      <c r="G8412" s="2">
        <f t="shared" si="131"/>
        <v>0</v>
      </c>
      <c r="H8412" t="s">
        <v>13</v>
      </c>
    </row>
    <row r="8413" spans="2:8" x14ac:dyDescent="0.2">
      <c r="B8413" s="3">
        <v>45201</v>
      </c>
      <c r="G8413" s="2">
        <f t="shared" si="131"/>
        <v>0</v>
      </c>
      <c r="H8413" t="s">
        <v>30</v>
      </c>
    </row>
    <row r="8414" spans="2:8" x14ac:dyDescent="0.2">
      <c r="B8414" s="3">
        <v>45201</v>
      </c>
      <c r="G8414" s="2">
        <f t="shared" si="131"/>
        <v>0</v>
      </c>
      <c r="H8414" t="s">
        <v>25</v>
      </c>
    </row>
    <row r="8415" spans="2:8" x14ac:dyDescent="0.2">
      <c r="B8415" s="3">
        <v>45201</v>
      </c>
      <c r="G8415" s="2">
        <f t="shared" si="131"/>
        <v>0</v>
      </c>
      <c r="H8415" t="s">
        <v>24</v>
      </c>
    </row>
    <row r="8416" spans="2:8" x14ac:dyDescent="0.2">
      <c r="B8416" s="3">
        <v>45201</v>
      </c>
      <c r="G8416" s="2">
        <f t="shared" si="131"/>
        <v>0</v>
      </c>
      <c r="H8416" t="s">
        <v>9</v>
      </c>
    </row>
    <row r="8417" spans="2:8" x14ac:dyDescent="0.2">
      <c r="B8417" s="3">
        <v>45201</v>
      </c>
      <c r="G8417" s="2">
        <f t="shared" si="131"/>
        <v>0</v>
      </c>
      <c r="H8417" t="s">
        <v>8</v>
      </c>
    </row>
    <row r="8418" spans="2:8" x14ac:dyDescent="0.2">
      <c r="B8418" s="3">
        <v>45201</v>
      </c>
      <c r="G8418" s="2">
        <f t="shared" si="131"/>
        <v>0</v>
      </c>
      <c r="H8418" t="s">
        <v>6</v>
      </c>
    </row>
    <row r="8419" spans="2:8" x14ac:dyDescent="0.2">
      <c r="B8419" s="3">
        <v>45201</v>
      </c>
      <c r="G8419" s="2">
        <f t="shared" si="131"/>
        <v>0</v>
      </c>
      <c r="H8419" t="s">
        <v>5</v>
      </c>
    </row>
    <row r="8420" spans="2:8" x14ac:dyDescent="0.2">
      <c r="B8420" s="3">
        <v>45201</v>
      </c>
      <c r="G8420" s="2">
        <f t="shared" si="131"/>
        <v>0</v>
      </c>
      <c r="H8420" s="1"/>
    </row>
    <row r="8421" spans="2:8" x14ac:dyDescent="0.2">
      <c r="B8421" s="3">
        <v>45202</v>
      </c>
      <c r="G8421" s="2">
        <f t="shared" si="131"/>
        <v>0</v>
      </c>
      <c r="H8421" t="s">
        <v>14</v>
      </c>
    </row>
    <row r="8422" spans="2:8" x14ac:dyDescent="0.2">
      <c r="B8422" s="3">
        <v>45202</v>
      </c>
      <c r="G8422" s="2">
        <f t="shared" si="131"/>
        <v>0</v>
      </c>
      <c r="H8422" t="s">
        <v>27</v>
      </c>
    </row>
    <row r="8423" spans="2:8" x14ac:dyDescent="0.2">
      <c r="B8423" s="3">
        <v>45202</v>
      </c>
      <c r="G8423" s="2">
        <f t="shared" si="131"/>
        <v>0</v>
      </c>
      <c r="H8423" t="s">
        <v>13</v>
      </c>
    </row>
    <row r="8424" spans="2:8" x14ac:dyDescent="0.2">
      <c r="B8424" s="3">
        <v>45202</v>
      </c>
      <c r="G8424" s="2">
        <f t="shared" si="131"/>
        <v>0</v>
      </c>
      <c r="H8424" t="s">
        <v>30</v>
      </c>
    </row>
    <row r="8425" spans="2:8" x14ac:dyDescent="0.2">
      <c r="B8425" s="3">
        <v>45202</v>
      </c>
      <c r="G8425" s="2">
        <f t="shared" si="131"/>
        <v>0</v>
      </c>
      <c r="H8425" t="s">
        <v>25</v>
      </c>
    </row>
    <row r="8426" spans="2:8" x14ac:dyDescent="0.2">
      <c r="B8426" s="3">
        <v>45202</v>
      </c>
      <c r="D8426" s="1">
        <v>1853</v>
      </c>
      <c r="E8426" s="1">
        <v>1990</v>
      </c>
      <c r="G8426" s="2">
        <f t="shared" si="131"/>
        <v>1990</v>
      </c>
      <c r="H8426" t="s">
        <v>24</v>
      </c>
    </row>
    <row r="8427" spans="2:8" x14ac:dyDescent="0.2">
      <c r="B8427" s="3">
        <v>45202</v>
      </c>
      <c r="D8427" s="1">
        <v>19000</v>
      </c>
      <c r="E8427" s="1">
        <v>20000</v>
      </c>
      <c r="F8427" s="1">
        <v>20000</v>
      </c>
      <c r="G8427" s="2">
        <f t="shared" si="131"/>
        <v>0</v>
      </c>
      <c r="H8427" t="s">
        <v>9</v>
      </c>
    </row>
    <row r="8428" spans="2:8" x14ac:dyDescent="0.2">
      <c r="B8428" s="3">
        <v>45202</v>
      </c>
      <c r="D8428" s="1">
        <v>11990</v>
      </c>
      <c r="E8428" s="1">
        <v>13110</v>
      </c>
      <c r="G8428" s="2">
        <f t="shared" si="131"/>
        <v>13110</v>
      </c>
      <c r="H8428" t="s">
        <v>8</v>
      </c>
    </row>
    <row r="8429" spans="2:8" x14ac:dyDescent="0.2">
      <c r="B8429" s="3">
        <v>45202</v>
      </c>
      <c r="G8429" s="2">
        <f t="shared" si="131"/>
        <v>0</v>
      </c>
      <c r="H8429" t="s">
        <v>6</v>
      </c>
    </row>
    <row r="8430" spans="2:8" x14ac:dyDescent="0.2">
      <c r="B8430" s="3">
        <v>45202</v>
      </c>
      <c r="G8430" s="2">
        <f t="shared" si="131"/>
        <v>0</v>
      </c>
      <c r="H8430" t="s">
        <v>5</v>
      </c>
    </row>
    <row r="8431" spans="2:8" x14ac:dyDescent="0.2">
      <c r="B8431" s="3">
        <v>45202</v>
      </c>
      <c r="G8431" s="2">
        <f t="shared" si="131"/>
        <v>0</v>
      </c>
      <c r="H8431" s="1"/>
    </row>
    <row r="8432" spans="2:8" x14ac:dyDescent="0.2">
      <c r="B8432" s="3">
        <v>45203</v>
      </c>
      <c r="F8432" s="1">
        <v>8000</v>
      </c>
      <c r="G8432" s="2">
        <f t="shared" si="131"/>
        <v>-8000</v>
      </c>
      <c r="H8432" t="s">
        <v>14</v>
      </c>
    </row>
    <row r="8433" spans="2:8" x14ac:dyDescent="0.2">
      <c r="B8433" s="3">
        <v>45203</v>
      </c>
      <c r="G8433" s="2">
        <f t="shared" si="131"/>
        <v>0</v>
      </c>
      <c r="H8433" t="s">
        <v>27</v>
      </c>
    </row>
    <row r="8434" spans="2:8" x14ac:dyDescent="0.2">
      <c r="B8434" s="3">
        <v>45203</v>
      </c>
      <c r="D8434" s="1">
        <v>8436</v>
      </c>
      <c r="E8434" s="1">
        <v>9910</v>
      </c>
      <c r="F8434" s="1">
        <v>6000</v>
      </c>
      <c r="G8434" s="2">
        <f t="shared" si="131"/>
        <v>3910</v>
      </c>
      <c r="H8434" t="s">
        <v>13</v>
      </c>
    </row>
    <row r="8435" spans="2:8" x14ac:dyDescent="0.2">
      <c r="B8435" s="3">
        <v>45203</v>
      </c>
      <c r="G8435" s="2">
        <f t="shared" si="131"/>
        <v>0</v>
      </c>
      <c r="H8435" t="s">
        <v>30</v>
      </c>
    </row>
    <row r="8436" spans="2:8" x14ac:dyDescent="0.2">
      <c r="B8436" s="3">
        <v>45203</v>
      </c>
      <c r="G8436" s="2">
        <f t="shared" si="131"/>
        <v>0</v>
      </c>
      <c r="H8436" t="s">
        <v>25</v>
      </c>
    </row>
    <row r="8437" spans="2:8" x14ac:dyDescent="0.2">
      <c r="B8437" s="3">
        <v>45203</v>
      </c>
      <c r="D8437" s="1">
        <v>369</v>
      </c>
      <c r="E8437" s="1">
        <v>405</v>
      </c>
      <c r="F8437" s="1">
        <v>2500</v>
      </c>
      <c r="G8437" s="2">
        <f t="shared" si="131"/>
        <v>-2095</v>
      </c>
      <c r="H8437" t="s">
        <v>24</v>
      </c>
    </row>
    <row r="8438" spans="2:8" x14ac:dyDescent="0.2">
      <c r="B8438" s="3">
        <v>45203</v>
      </c>
      <c r="G8438" s="2">
        <f t="shared" si="131"/>
        <v>0</v>
      </c>
      <c r="H8438" t="s">
        <v>9</v>
      </c>
    </row>
    <row r="8439" spans="2:8" x14ac:dyDescent="0.2">
      <c r="B8439" s="3">
        <v>45203</v>
      </c>
      <c r="G8439" s="2">
        <f t="shared" si="131"/>
        <v>0</v>
      </c>
      <c r="H8439" t="s">
        <v>8</v>
      </c>
    </row>
    <row r="8440" spans="2:8" x14ac:dyDescent="0.2">
      <c r="B8440" s="3">
        <v>45203</v>
      </c>
      <c r="G8440" s="2">
        <f t="shared" si="131"/>
        <v>0</v>
      </c>
      <c r="H8440" t="s">
        <v>6</v>
      </c>
    </row>
    <row r="8441" spans="2:8" x14ac:dyDescent="0.2">
      <c r="B8441" s="3">
        <v>45203</v>
      </c>
      <c r="G8441" s="2">
        <f t="shared" si="131"/>
        <v>0</v>
      </c>
      <c r="H8441" t="s">
        <v>5</v>
      </c>
    </row>
    <row r="8442" spans="2:8" x14ac:dyDescent="0.2">
      <c r="B8442" s="3">
        <v>45203</v>
      </c>
      <c r="G8442" s="2">
        <f t="shared" si="131"/>
        <v>0</v>
      </c>
      <c r="H8442" s="1"/>
    </row>
    <row r="8443" spans="2:8" x14ac:dyDescent="0.2">
      <c r="B8443" s="3">
        <v>45204</v>
      </c>
      <c r="G8443" s="2">
        <f t="shared" si="131"/>
        <v>0</v>
      </c>
      <c r="H8443" t="s">
        <v>14</v>
      </c>
    </row>
    <row r="8444" spans="2:8" x14ac:dyDescent="0.2">
      <c r="B8444" s="3">
        <v>45204</v>
      </c>
      <c r="G8444" s="2">
        <f t="shared" si="131"/>
        <v>0</v>
      </c>
      <c r="H8444" t="s">
        <v>27</v>
      </c>
    </row>
    <row r="8445" spans="2:8" x14ac:dyDescent="0.2">
      <c r="B8445" s="3">
        <v>45204</v>
      </c>
      <c r="G8445" s="2">
        <f t="shared" si="131"/>
        <v>0</v>
      </c>
      <c r="H8445" t="s">
        <v>13</v>
      </c>
    </row>
    <row r="8446" spans="2:8" x14ac:dyDescent="0.2">
      <c r="B8446" s="3">
        <v>45204</v>
      </c>
      <c r="G8446" s="2">
        <f t="shared" si="131"/>
        <v>0</v>
      </c>
      <c r="H8446" t="s">
        <v>30</v>
      </c>
    </row>
    <row r="8447" spans="2:8" x14ac:dyDescent="0.2">
      <c r="B8447" s="3">
        <v>45204</v>
      </c>
      <c r="G8447" s="2">
        <f t="shared" si="131"/>
        <v>0</v>
      </c>
      <c r="H8447" t="s">
        <v>25</v>
      </c>
    </row>
    <row r="8448" spans="2:8" x14ac:dyDescent="0.2">
      <c r="B8448" s="3">
        <v>45204</v>
      </c>
      <c r="G8448" s="2">
        <f t="shared" si="131"/>
        <v>0</v>
      </c>
      <c r="H8448" t="s">
        <v>24</v>
      </c>
    </row>
    <row r="8449" spans="2:8" x14ac:dyDescent="0.2">
      <c r="B8449" s="3">
        <v>45204</v>
      </c>
      <c r="G8449" s="2">
        <f t="shared" si="131"/>
        <v>0</v>
      </c>
      <c r="H8449" t="s">
        <v>9</v>
      </c>
    </row>
    <row r="8450" spans="2:8" x14ac:dyDescent="0.2">
      <c r="B8450" s="3">
        <v>45204</v>
      </c>
      <c r="G8450" s="2">
        <f t="shared" si="131"/>
        <v>0</v>
      </c>
      <c r="H8450" t="s">
        <v>8</v>
      </c>
    </row>
    <row r="8451" spans="2:8" x14ac:dyDescent="0.2">
      <c r="B8451" s="3">
        <v>45204</v>
      </c>
      <c r="G8451" s="2">
        <f t="shared" ref="G8451:G8514" si="132">E8451-F8451</f>
        <v>0</v>
      </c>
      <c r="H8451" t="s">
        <v>6</v>
      </c>
    </row>
    <row r="8452" spans="2:8" x14ac:dyDescent="0.2">
      <c r="B8452" s="3">
        <v>45204</v>
      </c>
      <c r="G8452" s="2">
        <f t="shared" si="132"/>
        <v>0</v>
      </c>
      <c r="H8452" t="s">
        <v>5</v>
      </c>
    </row>
    <row r="8453" spans="2:8" x14ac:dyDescent="0.2">
      <c r="B8453" s="3">
        <v>45204</v>
      </c>
      <c r="G8453" s="2">
        <f t="shared" si="132"/>
        <v>0</v>
      </c>
      <c r="H8453" s="1"/>
    </row>
    <row r="8454" spans="2:8" x14ac:dyDescent="0.2">
      <c r="B8454" s="3">
        <v>45205</v>
      </c>
      <c r="G8454" s="2">
        <f t="shared" si="132"/>
        <v>0</v>
      </c>
      <c r="H8454" t="s">
        <v>14</v>
      </c>
    </row>
    <row r="8455" spans="2:8" x14ac:dyDescent="0.2">
      <c r="B8455" s="3">
        <v>45205</v>
      </c>
      <c r="G8455" s="2">
        <f t="shared" si="132"/>
        <v>0</v>
      </c>
      <c r="H8455" t="s">
        <v>27</v>
      </c>
    </row>
    <row r="8456" spans="2:8" x14ac:dyDescent="0.2">
      <c r="B8456" s="3">
        <v>45205</v>
      </c>
      <c r="G8456" s="2">
        <f t="shared" si="132"/>
        <v>0</v>
      </c>
      <c r="H8456" t="s">
        <v>13</v>
      </c>
    </row>
    <row r="8457" spans="2:8" x14ac:dyDescent="0.2">
      <c r="B8457" s="3">
        <v>45205</v>
      </c>
      <c r="G8457" s="2">
        <f t="shared" si="132"/>
        <v>0</v>
      </c>
      <c r="H8457" t="s">
        <v>30</v>
      </c>
    </row>
    <row r="8458" spans="2:8" x14ac:dyDescent="0.2">
      <c r="B8458" s="3">
        <v>45205</v>
      </c>
      <c r="G8458" s="2">
        <f t="shared" si="132"/>
        <v>0</v>
      </c>
      <c r="H8458" t="s">
        <v>25</v>
      </c>
    </row>
    <row r="8459" spans="2:8" x14ac:dyDescent="0.2">
      <c r="B8459" s="3">
        <v>45205</v>
      </c>
      <c r="G8459" s="2">
        <f t="shared" si="132"/>
        <v>0</v>
      </c>
      <c r="H8459" t="s">
        <v>24</v>
      </c>
    </row>
    <row r="8460" spans="2:8" x14ac:dyDescent="0.2">
      <c r="B8460" s="3">
        <v>45205</v>
      </c>
      <c r="G8460" s="2">
        <f t="shared" si="132"/>
        <v>0</v>
      </c>
      <c r="H8460" t="s">
        <v>9</v>
      </c>
    </row>
    <row r="8461" spans="2:8" x14ac:dyDescent="0.2">
      <c r="B8461" s="3">
        <v>45205</v>
      </c>
      <c r="G8461" s="2">
        <f t="shared" si="132"/>
        <v>0</v>
      </c>
      <c r="H8461" t="s">
        <v>8</v>
      </c>
    </row>
    <row r="8462" spans="2:8" x14ac:dyDescent="0.2">
      <c r="B8462" s="3">
        <v>45205</v>
      </c>
      <c r="G8462" s="2">
        <f t="shared" si="132"/>
        <v>0</v>
      </c>
      <c r="H8462" t="s">
        <v>6</v>
      </c>
    </row>
    <row r="8463" spans="2:8" x14ac:dyDescent="0.2">
      <c r="B8463" s="3">
        <v>45205</v>
      </c>
      <c r="G8463" s="2">
        <f t="shared" si="132"/>
        <v>0</v>
      </c>
      <c r="H8463" t="s">
        <v>5</v>
      </c>
    </row>
    <row r="8464" spans="2:8" x14ac:dyDescent="0.2">
      <c r="B8464" s="3">
        <v>45205</v>
      </c>
      <c r="G8464" s="2">
        <f t="shared" si="132"/>
        <v>0</v>
      </c>
      <c r="H8464" s="1"/>
    </row>
    <row r="8465" spans="2:8" x14ac:dyDescent="0.2">
      <c r="B8465" s="3">
        <v>45206</v>
      </c>
      <c r="G8465" s="2">
        <f t="shared" si="132"/>
        <v>0</v>
      </c>
      <c r="H8465" t="s">
        <v>14</v>
      </c>
    </row>
    <row r="8466" spans="2:8" x14ac:dyDescent="0.2">
      <c r="B8466" s="3">
        <v>45206</v>
      </c>
      <c r="G8466" s="2">
        <f t="shared" si="132"/>
        <v>0</v>
      </c>
      <c r="H8466" t="s">
        <v>27</v>
      </c>
    </row>
    <row r="8467" spans="2:8" x14ac:dyDescent="0.2">
      <c r="B8467" s="3">
        <v>45206</v>
      </c>
      <c r="G8467" s="2">
        <f t="shared" si="132"/>
        <v>0</v>
      </c>
      <c r="H8467" t="s">
        <v>13</v>
      </c>
    </row>
    <row r="8468" spans="2:8" x14ac:dyDescent="0.2">
      <c r="B8468" s="3">
        <v>45206</v>
      </c>
      <c r="G8468" s="2">
        <f t="shared" si="132"/>
        <v>0</v>
      </c>
      <c r="H8468" t="s">
        <v>30</v>
      </c>
    </row>
    <row r="8469" spans="2:8" x14ac:dyDescent="0.2">
      <c r="B8469" s="3">
        <v>45206</v>
      </c>
      <c r="G8469" s="2">
        <f t="shared" si="132"/>
        <v>0</v>
      </c>
      <c r="H8469" t="s">
        <v>25</v>
      </c>
    </row>
    <row r="8470" spans="2:8" x14ac:dyDescent="0.2">
      <c r="B8470" s="3">
        <v>45206</v>
      </c>
      <c r="G8470" s="2">
        <f t="shared" si="132"/>
        <v>0</v>
      </c>
      <c r="H8470" t="s">
        <v>24</v>
      </c>
    </row>
    <row r="8471" spans="2:8" x14ac:dyDescent="0.2">
      <c r="B8471" s="3">
        <v>45206</v>
      </c>
      <c r="G8471" s="2">
        <f t="shared" si="132"/>
        <v>0</v>
      </c>
      <c r="H8471" t="s">
        <v>9</v>
      </c>
    </row>
    <row r="8472" spans="2:8" x14ac:dyDescent="0.2">
      <c r="B8472" s="3">
        <v>45206</v>
      </c>
      <c r="G8472" s="2">
        <f t="shared" si="132"/>
        <v>0</v>
      </c>
      <c r="H8472" t="s">
        <v>8</v>
      </c>
    </row>
    <row r="8473" spans="2:8" x14ac:dyDescent="0.2">
      <c r="B8473" s="3">
        <v>45206</v>
      </c>
      <c r="G8473" s="2">
        <f t="shared" si="132"/>
        <v>0</v>
      </c>
      <c r="H8473" t="s">
        <v>6</v>
      </c>
    </row>
    <row r="8474" spans="2:8" x14ac:dyDescent="0.2">
      <c r="B8474" s="3">
        <v>45206</v>
      </c>
      <c r="G8474" s="2">
        <f t="shared" si="132"/>
        <v>0</v>
      </c>
      <c r="H8474" t="s">
        <v>5</v>
      </c>
    </row>
    <row r="8475" spans="2:8" x14ac:dyDescent="0.2">
      <c r="B8475" s="3">
        <v>45206</v>
      </c>
      <c r="G8475" s="2">
        <f t="shared" si="132"/>
        <v>0</v>
      </c>
      <c r="H8475" s="1"/>
    </row>
    <row r="8476" spans="2:8" x14ac:dyDescent="0.2">
      <c r="B8476" s="3">
        <v>45207</v>
      </c>
      <c r="G8476" s="2">
        <f t="shared" si="132"/>
        <v>0</v>
      </c>
      <c r="H8476" t="s">
        <v>14</v>
      </c>
    </row>
    <row r="8477" spans="2:8" x14ac:dyDescent="0.2">
      <c r="B8477" s="3">
        <v>45207</v>
      </c>
      <c r="G8477" s="2">
        <f t="shared" si="132"/>
        <v>0</v>
      </c>
      <c r="H8477" t="s">
        <v>27</v>
      </c>
    </row>
    <row r="8478" spans="2:8" x14ac:dyDescent="0.2">
      <c r="B8478" s="3">
        <v>45207</v>
      </c>
      <c r="G8478" s="2">
        <f t="shared" si="132"/>
        <v>0</v>
      </c>
      <c r="H8478" t="s">
        <v>13</v>
      </c>
    </row>
    <row r="8479" spans="2:8" x14ac:dyDescent="0.2">
      <c r="B8479" s="3">
        <v>45207</v>
      </c>
      <c r="G8479" s="2">
        <f t="shared" si="132"/>
        <v>0</v>
      </c>
      <c r="H8479" t="s">
        <v>30</v>
      </c>
    </row>
    <row r="8480" spans="2:8" x14ac:dyDescent="0.2">
      <c r="B8480" s="3">
        <v>45207</v>
      </c>
      <c r="G8480" s="2">
        <f t="shared" si="132"/>
        <v>0</v>
      </c>
      <c r="H8480" t="s">
        <v>25</v>
      </c>
    </row>
    <row r="8481" spans="2:8" x14ac:dyDescent="0.2">
      <c r="B8481" s="3">
        <v>45207</v>
      </c>
      <c r="G8481" s="2">
        <f t="shared" si="132"/>
        <v>0</v>
      </c>
      <c r="H8481" t="s">
        <v>24</v>
      </c>
    </row>
    <row r="8482" spans="2:8" x14ac:dyDescent="0.2">
      <c r="B8482" s="3">
        <v>45207</v>
      </c>
      <c r="G8482" s="2">
        <f t="shared" si="132"/>
        <v>0</v>
      </c>
      <c r="H8482" t="s">
        <v>9</v>
      </c>
    </row>
    <row r="8483" spans="2:8" x14ac:dyDescent="0.2">
      <c r="B8483" s="3">
        <v>45207</v>
      </c>
      <c r="G8483" s="2">
        <f t="shared" si="132"/>
        <v>0</v>
      </c>
      <c r="H8483" t="s">
        <v>8</v>
      </c>
    </row>
    <row r="8484" spans="2:8" x14ac:dyDescent="0.2">
      <c r="B8484" s="3">
        <v>45207</v>
      </c>
      <c r="F8484" s="1">
        <v>10000</v>
      </c>
      <c r="G8484" s="2">
        <f t="shared" si="132"/>
        <v>-10000</v>
      </c>
      <c r="H8484" t="s">
        <v>6</v>
      </c>
    </row>
    <row r="8485" spans="2:8" x14ac:dyDescent="0.2">
      <c r="B8485" s="3">
        <v>45207</v>
      </c>
      <c r="G8485" s="2">
        <f t="shared" si="132"/>
        <v>0</v>
      </c>
      <c r="H8485" t="s">
        <v>5</v>
      </c>
    </row>
    <row r="8486" spans="2:8" x14ac:dyDescent="0.2">
      <c r="B8486" s="3">
        <v>45207</v>
      </c>
      <c r="G8486" s="2">
        <f t="shared" si="132"/>
        <v>0</v>
      </c>
      <c r="H8486" s="1"/>
    </row>
    <row r="8487" spans="2:8" x14ac:dyDescent="0.2">
      <c r="B8487" s="3">
        <v>45208</v>
      </c>
      <c r="D8487" s="1">
        <v>3000</v>
      </c>
      <c r="E8487" s="1">
        <v>3600</v>
      </c>
      <c r="G8487" s="2">
        <f t="shared" si="132"/>
        <v>3600</v>
      </c>
      <c r="H8487" t="s">
        <v>14</v>
      </c>
    </row>
    <row r="8488" spans="2:8" x14ac:dyDescent="0.2">
      <c r="B8488" s="3">
        <v>45208</v>
      </c>
      <c r="G8488" s="2">
        <f t="shared" si="132"/>
        <v>0</v>
      </c>
      <c r="H8488" t="s">
        <v>27</v>
      </c>
    </row>
    <row r="8489" spans="2:8" x14ac:dyDescent="0.2">
      <c r="B8489" s="3">
        <v>45208</v>
      </c>
      <c r="D8489" s="1">
        <v>4215</v>
      </c>
      <c r="E8489" s="1">
        <v>4865</v>
      </c>
      <c r="F8489" s="1">
        <v>8000</v>
      </c>
      <c r="G8489" s="2">
        <f t="shared" si="132"/>
        <v>-3135</v>
      </c>
      <c r="H8489" t="s">
        <v>13</v>
      </c>
    </row>
    <row r="8490" spans="2:8" x14ac:dyDescent="0.2">
      <c r="B8490" s="3">
        <v>45208</v>
      </c>
      <c r="G8490" s="2">
        <f t="shared" si="132"/>
        <v>0</v>
      </c>
      <c r="H8490" t="s">
        <v>30</v>
      </c>
    </row>
    <row r="8491" spans="2:8" x14ac:dyDescent="0.2">
      <c r="B8491" s="3">
        <v>45208</v>
      </c>
      <c r="G8491" s="2">
        <f t="shared" si="132"/>
        <v>0</v>
      </c>
      <c r="H8491" t="s">
        <v>25</v>
      </c>
    </row>
    <row r="8492" spans="2:8" x14ac:dyDescent="0.2">
      <c r="B8492" s="3">
        <v>45208</v>
      </c>
      <c r="G8492" s="2">
        <f t="shared" si="132"/>
        <v>0</v>
      </c>
      <c r="H8492" t="s">
        <v>24</v>
      </c>
    </row>
    <row r="8493" spans="2:8" x14ac:dyDescent="0.2">
      <c r="B8493" s="3">
        <v>45208</v>
      </c>
      <c r="G8493" s="2">
        <f t="shared" si="132"/>
        <v>0</v>
      </c>
      <c r="H8493" t="s">
        <v>9</v>
      </c>
    </row>
    <row r="8494" spans="2:8" x14ac:dyDescent="0.2">
      <c r="B8494" s="3">
        <v>45208</v>
      </c>
      <c r="G8494" s="2">
        <f t="shared" si="132"/>
        <v>0</v>
      </c>
      <c r="H8494" t="s">
        <v>8</v>
      </c>
    </row>
    <row r="8495" spans="2:8" x14ac:dyDescent="0.2">
      <c r="B8495" s="3">
        <v>45208</v>
      </c>
      <c r="G8495" s="2">
        <f t="shared" si="132"/>
        <v>0</v>
      </c>
      <c r="H8495" t="s">
        <v>6</v>
      </c>
    </row>
    <row r="8496" spans="2:8" x14ac:dyDescent="0.2">
      <c r="B8496" s="3">
        <v>45208</v>
      </c>
      <c r="G8496" s="2">
        <f t="shared" si="132"/>
        <v>0</v>
      </c>
      <c r="H8496" t="s">
        <v>5</v>
      </c>
    </row>
    <row r="8497" spans="2:8" x14ac:dyDescent="0.2">
      <c r="B8497" s="3">
        <v>45208</v>
      </c>
      <c r="G8497" s="2">
        <f t="shared" si="132"/>
        <v>0</v>
      </c>
      <c r="H8497" s="1"/>
    </row>
    <row r="8498" spans="2:8" x14ac:dyDescent="0.2">
      <c r="B8498" s="3">
        <v>45209</v>
      </c>
      <c r="G8498" s="2">
        <f t="shared" si="132"/>
        <v>0</v>
      </c>
      <c r="H8498" t="s">
        <v>14</v>
      </c>
    </row>
    <row r="8499" spans="2:8" x14ac:dyDescent="0.2">
      <c r="B8499" s="3">
        <v>45209</v>
      </c>
      <c r="G8499" s="2">
        <f t="shared" si="132"/>
        <v>0</v>
      </c>
      <c r="H8499" t="s">
        <v>27</v>
      </c>
    </row>
    <row r="8500" spans="2:8" x14ac:dyDescent="0.2">
      <c r="B8500" s="3">
        <v>45209</v>
      </c>
      <c r="G8500" s="2">
        <f t="shared" si="132"/>
        <v>0</v>
      </c>
      <c r="H8500" t="s">
        <v>13</v>
      </c>
    </row>
    <row r="8501" spans="2:8" x14ac:dyDescent="0.2">
      <c r="B8501" s="3">
        <v>45209</v>
      </c>
      <c r="G8501" s="2">
        <f t="shared" si="132"/>
        <v>0</v>
      </c>
      <c r="H8501" t="s">
        <v>30</v>
      </c>
    </row>
    <row r="8502" spans="2:8" x14ac:dyDescent="0.2">
      <c r="B8502" s="3">
        <v>45209</v>
      </c>
      <c r="G8502" s="2">
        <f t="shared" si="132"/>
        <v>0</v>
      </c>
      <c r="H8502" t="s">
        <v>25</v>
      </c>
    </row>
    <row r="8503" spans="2:8" x14ac:dyDescent="0.2">
      <c r="B8503" s="3">
        <v>45209</v>
      </c>
      <c r="G8503" s="2">
        <f t="shared" si="132"/>
        <v>0</v>
      </c>
      <c r="H8503" t="s">
        <v>24</v>
      </c>
    </row>
    <row r="8504" spans="2:8" x14ac:dyDescent="0.2">
      <c r="B8504" s="3">
        <v>45209</v>
      </c>
      <c r="G8504" s="2">
        <f t="shared" si="132"/>
        <v>0</v>
      </c>
      <c r="H8504" t="s">
        <v>9</v>
      </c>
    </row>
    <row r="8505" spans="2:8" x14ac:dyDescent="0.2">
      <c r="B8505" s="3">
        <v>45209</v>
      </c>
      <c r="G8505" s="2">
        <f t="shared" si="132"/>
        <v>0</v>
      </c>
      <c r="H8505" t="s">
        <v>8</v>
      </c>
    </row>
    <row r="8506" spans="2:8" x14ac:dyDescent="0.2">
      <c r="B8506" s="3">
        <v>45209</v>
      </c>
      <c r="G8506" s="2">
        <f t="shared" si="132"/>
        <v>0</v>
      </c>
      <c r="H8506" t="s">
        <v>6</v>
      </c>
    </row>
    <row r="8507" spans="2:8" x14ac:dyDescent="0.2">
      <c r="B8507" s="3">
        <v>45209</v>
      </c>
      <c r="G8507" s="2">
        <f t="shared" si="132"/>
        <v>0</v>
      </c>
      <c r="H8507" t="s">
        <v>5</v>
      </c>
    </row>
    <row r="8508" spans="2:8" x14ac:dyDescent="0.2">
      <c r="B8508" s="3">
        <v>45209</v>
      </c>
      <c r="G8508" s="2">
        <f t="shared" si="132"/>
        <v>0</v>
      </c>
      <c r="H8508" s="1"/>
    </row>
    <row r="8509" spans="2:8" x14ac:dyDescent="0.2">
      <c r="B8509" s="3">
        <v>45210</v>
      </c>
      <c r="F8509" s="1">
        <v>10000</v>
      </c>
      <c r="G8509" s="2">
        <f t="shared" si="132"/>
        <v>-10000</v>
      </c>
      <c r="H8509" t="s">
        <v>14</v>
      </c>
    </row>
    <row r="8510" spans="2:8" x14ac:dyDescent="0.2">
      <c r="B8510" s="3">
        <v>45210</v>
      </c>
      <c r="G8510" s="2">
        <f t="shared" si="132"/>
        <v>0</v>
      </c>
      <c r="H8510" t="s">
        <v>27</v>
      </c>
    </row>
    <row r="8511" spans="2:8" x14ac:dyDescent="0.2">
      <c r="B8511" s="3">
        <v>45210</v>
      </c>
      <c r="G8511" s="2">
        <f t="shared" si="132"/>
        <v>0</v>
      </c>
      <c r="H8511" t="s">
        <v>13</v>
      </c>
    </row>
    <row r="8512" spans="2:8" x14ac:dyDescent="0.2">
      <c r="B8512" s="3">
        <v>45210</v>
      </c>
      <c r="G8512" s="2">
        <f t="shared" si="132"/>
        <v>0</v>
      </c>
      <c r="H8512" t="s">
        <v>30</v>
      </c>
    </row>
    <row r="8513" spans="2:8" x14ac:dyDescent="0.2">
      <c r="B8513" s="3">
        <v>45210</v>
      </c>
      <c r="G8513" s="2">
        <f t="shared" si="132"/>
        <v>0</v>
      </c>
      <c r="H8513" t="s">
        <v>25</v>
      </c>
    </row>
    <row r="8514" spans="2:8" x14ac:dyDescent="0.2">
      <c r="B8514" s="3">
        <v>45210</v>
      </c>
      <c r="D8514" s="1">
        <v>2515</v>
      </c>
      <c r="E8514" s="1">
        <v>2870</v>
      </c>
      <c r="G8514" s="2">
        <f t="shared" si="132"/>
        <v>2870</v>
      </c>
      <c r="H8514" t="s">
        <v>24</v>
      </c>
    </row>
    <row r="8515" spans="2:8" x14ac:dyDescent="0.2">
      <c r="B8515" s="3">
        <v>45210</v>
      </c>
      <c r="G8515" s="2">
        <f t="shared" ref="G8515:G8578" si="133">E8515-F8515</f>
        <v>0</v>
      </c>
      <c r="H8515" t="s">
        <v>9</v>
      </c>
    </row>
    <row r="8516" spans="2:8" x14ac:dyDescent="0.2">
      <c r="B8516" s="3">
        <v>45210</v>
      </c>
      <c r="D8516" s="1">
        <v>23856.25</v>
      </c>
      <c r="E8516" s="1">
        <v>28575</v>
      </c>
      <c r="G8516" s="2">
        <f t="shared" si="133"/>
        <v>28575</v>
      </c>
      <c r="H8516" t="s">
        <v>8</v>
      </c>
    </row>
    <row r="8517" spans="2:8" x14ac:dyDescent="0.2">
      <c r="B8517" s="3">
        <v>45210</v>
      </c>
      <c r="G8517" s="2">
        <f t="shared" si="133"/>
        <v>0</v>
      </c>
      <c r="H8517" t="s">
        <v>6</v>
      </c>
    </row>
    <row r="8518" spans="2:8" x14ac:dyDescent="0.2">
      <c r="B8518" s="3">
        <v>45210</v>
      </c>
      <c r="G8518" s="2">
        <f t="shared" si="133"/>
        <v>0</v>
      </c>
      <c r="H8518" t="s">
        <v>5</v>
      </c>
    </row>
    <row r="8519" spans="2:8" x14ac:dyDescent="0.2">
      <c r="B8519" s="3">
        <v>45210</v>
      </c>
      <c r="G8519" s="2">
        <f t="shared" si="133"/>
        <v>0</v>
      </c>
      <c r="H8519" s="1"/>
    </row>
    <row r="8520" spans="2:8" x14ac:dyDescent="0.2">
      <c r="B8520" s="3">
        <v>45211</v>
      </c>
      <c r="G8520" s="2">
        <f t="shared" si="133"/>
        <v>0</v>
      </c>
      <c r="H8520" t="s">
        <v>14</v>
      </c>
    </row>
    <row r="8521" spans="2:8" x14ac:dyDescent="0.2">
      <c r="B8521" s="3">
        <v>45211</v>
      </c>
      <c r="G8521" s="2">
        <f t="shared" si="133"/>
        <v>0</v>
      </c>
      <c r="H8521" t="s">
        <v>27</v>
      </c>
    </row>
    <row r="8522" spans="2:8" x14ac:dyDescent="0.2">
      <c r="B8522" s="3">
        <v>45211</v>
      </c>
      <c r="F8522" s="1">
        <v>3000</v>
      </c>
      <c r="G8522" s="2">
        <f t="shared" si="133"/>
        <v>-3000</v>
      </c>
      <c r="H8522" t="s">
        <v>13</v>
      </c>
    </row>
    <row r="8523" spans="2:8" x14ac:dyDescent="0.2">
      <c r="B8523" s="3">
        <v>45211</v>
      </c>
      <c r="G8523" s="2">
        <f t="shared" si="133"/>
        <v>0</v>
      </c>
      <c r="H8523" t="s">
        <v>30</v>
      </c>
    </row>
    <row r="8524" spans="2:8" x14ac:dyDescent="0.2">
      <c r="B8524" s="3">
        <v>45211</v>
      </c>
      <c r="G8524" s="2">
        <f t="shared" si="133"/>
        <v>0</v>
      </c>
      <c r="H8524" t="s">
        <v>25</v>
      </c>
    </row>
    <row r="8525" spans="2:8" x14ac:dyDescent="0.2">
      <c r="B8525" s="3">
        <v>45211</v>
      </c>
      <c r="F8525" s="1">
        <v>2000</v>
      </c>
      <c r="G8525" s="2">
        <f t="shared" si="133"/>
        <v>-2000</v>
      </c>
      <c r="H8525" t="s">
        <v>24</v>
      </c>
    </row>
    <row r="8526" spans="2:8" x14ac:dyDescent="0.2">
      <c r="B8526" s="3">
        <v>45211</v>
      </c>
      <c r="G8526" s="2">
        <f t="shared" si="133"/>
        <v>0</v>
      </c>
      <c r="H8526" t="s">
        <v>9</v>
      </c>
    </row>
    <row r="8527" spans="2:8" x14ac:dyDescent="0.2">
      <c r="B8527" s="3">
        <v>45211</v>
      </c>
      <c r="F8527" s="1">
        <v>20000</v>
      </c>
      <c r="G8527" s="2">
        <f t="shared" si="133"/>
        <v>-20000</v>
      </c>
      <c r="H8527" t="s">
        <v>8</v>
      </c>
    </row>
    <row r="8528" spans="2:8" x14ac:dyDescent="0.2">
      <c r="B8528" s="3">
        <v>45211</v>
      </c>
      <c r="G8528" s="2">
        <f t="shared" si="133"/>
        <v>0</v>
      </c>
      <c r="H8528" t="s">
        <v>6</v>
      </c>
    </row>
    <row r="8529" spans="2:8" x14ac:dyDescent="0.2">
      <c r="B8529" s="3">
        <v>45211</v>
      </c>
      <c r="G8529" s="2">
        <f t="shared" si="133"/>
        <v>0</v>
      </c>
      <c r="H8529" t="s">
        <v>5</v>
      </c>
    </row>
    <row r="8530" spans="2:8" x14ac:dyDescent="0.2">
      <c r="B8530" s="3">
        <v>45211</v>
      </c>
      <c r="G8530" s="2">
        <f t="shared" si="133"/>
        <v>0</v>
      </c>
      <c r="H8530" s="1"/>
    </row>
    <row r="8531" spans="2:8" x14ac:dyDescent="0.2">
      <c r="B8531" s="3">
        <v>45212</v>
      </c>
      <c r="G8531" s="2">
        <f t="shared" si="133"/>
        <v>0</v>
      </c>
      <c r="H8531" t="s">
        <v>14</v>
      </c>
    </row>
    <row r="8532" spans="2:8" x14ac:dyDescent="0.2">
      <c r="B8532" s="3">
        <v>45212</v>
      </c>
      <c r="G8532" s="2">
        <f t="shared" si="133"/>
        <v>0</v>
      </c>
      <c r="H8532" t="s">
        <v>27</v>
      </c>
    </row>
    <row r="8533" spans="2:8" x14ac:dyDescent="0.2">
      <c r="B8533" s="3">
        <v>45212</v>
      </c>
      <c r="G8533" s="2">
        <f t="shared" si="133"/>
        <v>0</v>
      </c>
      <c r="H8533" t="s">
        <v>13</v>
      </c>
    </row>
    <row r="8534" spans="2:8" x14ac:dyDescent="0.2">
      <c r="B8534" s="3">
        <v>45212</v>
      </c>
      <c r="G8534" s="2">
        <f t="shared" si="133"/>
        <v>0</v>
      </c>
      <c r="H8534" t="s">
        <v>30</v>
      </c>
    </row>
    <row r="8535" spans="2:8" x14ac:dyDescent="0.2">
      <c r="B8535" s="3">
        <v>45212</v>
      </c>
      <c r="G8535" s="2">
        <f t="shared" si="133"/>
        <v>0</v>
      </c>
      <c r="H8535" t="s">
        <v>25</v>
      </c>
    </row>
    <row r="8536" spans="2:8" x14ac:dyDescent="0.2">
      <c r="B8536" s="3">
        <v>45212</v>
      </c>
      <c r="G8536" s="2">
        <f t="shared" si="133"/>
        <v>0</v>
      </c>
      <c r="H8536" t="s">
        <v>24</v>
      </c>
    </row>
    <row r="8537" spans="2:8" x14ac:dyDescent="0.2">
      <c r="B8537" s="3">
        <v>45212</v>
      </c>
      <c r="G8537" s="2">
        <f t="shared" si="133"/>
        <v>0</v>
      </c>
      <c r="H8537" t="s">
        <v>9</v>
      </c>
    </row>
    <row r="8538" spans="2:8" x14ac:dyDescent="0.2">
      <c r="B8538" s="3">
        <v>45212</v>
      </c>
      <c r="G8538" s="2">
        <f t="shared" si="133"/>
        <v>0</v>
      </c>
      <c r="H8538" t="s">
        <v>8</v>
      </c>
    </row>
    <row r="8539" spans="2:8" x14ac:dyDescent="0.2">
      <c r="B8539" s="3">
        <v>45212</v>
      </c>
      <c r="G8539" s="2">
        <f t="shared" si="133"/>
        <v>0</v>
      </c>
      <c r="H8539" t="s">
        <v>6</v>
      </c>
    </row>
    <row r="8540" spans="2:8" x14ac:dyDescent="0.2">
      <c r="B8540" s="3">
        <v>45212</v>
      </c>
      <c r="G8540" s="2">
        <f t="shared" si="133"/>
        <v>0</v>
      </c>
      <c r="H8540" t="s">
        <v>5</v>
      </c>
    </row>
    <row r="8541" spans="2:8" x14ac:dyDescent="0.2">
      <c r="B8541" s="3">
        <v>45212</v>
      </c>
      <c r="G8541" s="2">
        <f t="shared" si="133"/>
        <v>0</v>
      </c>
      <c r="H8541" s="1"/>
    </row>
    <row r="8542" spans="2:8" x14ac:dyDescent="0.2">
      <c r="B8542" s="3">
        <v>45213</v>
      </c>
      <c r="G8542" s="2">
        <f t="shared" si="133"/>
        <v>0</v>
      </c>
      <c r="H8542" t="s">
        <v>14</v>
      </c>
    </row>
    <row r="8543" spans="2:8" x14ac:dyDescent="0.2">
      <c r="B8543" s="3">
        <v>45213</v>
      </c>
      <c r="G8543" s="2">
        <f t="shared" si="133"/>
        <v>0</v>
      </c>
      <c r="H8543" t="s">
        <v>27</v>
      </c>
    </row>
    <row r="8544" spans="2:8" x14ac:dyDescent="0.2">
      <c r="B8544" s="3">
        <v>45213</v>
      </c>
      <c r="G8544" s="2">
        <f t="shared" si="133"/>
        <v>0</v>
      </c>
      <c r="H8544" t="s">
        <v>13</v>
      </c>
    </row>
    <row r="8545" spans="2:8" x14ac:dyDescent="0.2">
      <c r="B8545" s="3">
        <v>45213</v>
      </c>
      <c r="G8545" s="2">
        <f t="shared" si="133"/>
        <v>0</v>
      </c>
      <c r="H8545" t="s">
        <v>30</v>
      </c>
    </row>
    <row r="8546" spans="2:8" x14ac:dyDescent="0.2">
      <c r="B8546" s="3">
        <v>45213</v>
      </c>
      <c r="G8546" s="2">
        <f t="shared" si="133"/>
        <v>0</v>
      </c>
      <c r="H8546" t="s">
        <v>25</v>
      </c>
    </row>
    <row r="8547" spans="2:8" x14ac:dyDescent="0.2">
      <c r="B8547" s="3">
        <v>45213</v>
      </c>
      <c r="G8547" s="2">
        <f t="shared" si="133"/>
        <v>0</v>
      </c>
      <c r="H8547" t="s">
        <v>24</v>
      </c>
    </row>
    <row r="8548" spans="2:8" x14ac:dyDescent="0.2">
      <c r="B8548" s="3">
        <v>45213</v>
      </c>
      <c r="G8548" s="2">
        <f t="shared" si="133"/>
        <v>0</v>
      </c>
      <c r="H8548" t="s">
        <v>9</v>
      </c>
    </row>
    <row r="8549" spans="2:8" x14ac:dyDescent="0.2">
      <c r="B8549" s="3">
        <v>45213</v>
      </c>
      <c r="G8549" s="2">
        <f t="shared" si="133"/>
        <v>0</v>
      </c>
      <c r="H8549" t="s">
        <v>8</v>
      </c>
    </row>
    <row r="8550" spans="2:8" x14ac:dyDescent="0.2">
      <c r="B8550" s="3">
        <v>45213</v>
      </c>
      <c r="G8550" s="2">
        <f t="shared" si="133"/>
        <v>0</v>
      </c>
      <c r="H8550" t="s">
        <v>6</v>
      </c>
    </row>
    <row r="8551" spans="2:8" x14ac:dyDescent="0.2">
      <c r="B8551" s="3">
        <v>45213</v>
      </c>
      <c r="G8551" s="2">
        <f t="shared" si="133"/>
        <v>0</v>
      </c>
      <c r="H8551" t="s">
        <v>5</v>
      </c>
    </row>
    <row r="8552" spans="2:8" x14ac:dyDescent="0.2">
      <c r="B8552" s="3">
        <v>45213</v>
      </c>
      <c r="G8552" s="2">
        <f t="shared" si="133"/>
        <v>0</v>
      </c>
      <c r="H8552" s="1"/>
    </row>
    <row r="8553" spans="2:8" x14ac:dyDescent="0.2">
      <c r="B8553" s="3">
        <v>45214</v>
      </c>
      <c r="G8553" s="2">
        <f t="shared" si="133"/>
        <v>0</v>
      </c>
      <c r="H8553" t="s">
        <v>14</v>
      </c>
    </row>
    <row r="8554" spans="2:8" x14ac:dyDescent="0.2">
      <c r="B8554" s="3">
        <v>45214</v>
      </c>
      <c r="G8554" s="2">
        <f t="shared" si="133"/>
        <v>0</v>
      </c>
      <c r="H8554" t="s">
        <v>27</v>
      </c>
    </row>
    <row r="8555" spans="2:8" x14ac:dyDescent="0.2">
      <c r="B8555" s="3">
        <v>45214</v>
      </c>
      <c r="G8555" s="2">
        <f t="shared" si="133"/>
        <v>0</v>
      </c>
      <c r="H8555" t="s">
        <v>13</v>
      </c>
    </row>
    <row r="8556" spans="2:8" x14ac:dyDescent="0.2">
      <c r="B8556" s="3">
        <v>45214</v>
      </c>
      <c r="G8556" s="2">
        <f t="shared" si="133"/>
        <v>0</v>
      </c>
      <c r="H8556" t="s">
        <v>30</v>
      </c>
    </row>
    <row r="8557" spans="2:8" x14ac:dyDescent="0.2">
      <c r="B8557" s="3">
        <v>45214</v>
      </c>
      <c r="G8557" s="2">
        <f t="shared" si="133"/>
        <v>0</v>
      </c>
      <c r="H8557" t="s">
        <v>25</v>
      </c>
    </row>
    <row r="8558" spans="2:8" x14ac:dyDescent="0.2">
      <c r="B8558" s="3">
        <v>45214</v>
      </c>
      <c r="G8558" s="2">
        <f t="shared" si="133"/>
        <v>0</v>
      </c>
      <c r="H8558" t="s">
        <v>24</v>
      </c>
    </row>
    <row r="8559" spans="2:8" x14ac:dyDescent="0.2">
      <c r="B8559" s="3">
        <v>45214</v>
      </c>
      <c r="G8559" s="2">
        <f t="shared" si="133"/>
        <v>0</v>
      </c>
      <c r="H8559" t="s">
        <v>9</v>
      </c>
    </row>
    <row r="8560" spans="2:8" x14ac:dyDescent="0.2">
      <c r="B8560" s="3">
        <v>45214</v>
      </c>
      <c r="G8560" s="2">
        <f t="shared" si="133"/>
        <v>0</v>
      </c>
      <c r="H8560" t="s">
        <v>8</v>
      </c>
    </row>
    <row r="8561" spans="2:8" x14ac:dyDescent="0.2">
      <c r="B8561" s="3">
        <v>45214</v>
      </c>
      <c r="F8561" s="1">
        <v>7000</v>
      </c>
      <c r="G8561" s="2">
        <f t="shared" si="133"/>
        <v>-7000</v>
      </c>
      <c r="H8561" t="s">
        <v>6</v>
      </c>
    </row>
    <row r="8562" spans="2:8" x14ac:dyDescent="0.2">
      <c r="B8562" s="3">
        <v>45214</v>
      </c>
      <c r="G8562" s="2">
        <f t="shared" si="133"/>
        <v>0</v>
      </c>
      <c r="H8562" t="s">
        <v>5</v>
      </c>
    </row>
    <row r="8563" spans="2:8" x14ac:dyDescent="0.2">
      <c r="B8563" s="3">
        <v>45214</v>
      </c>
      <c r="D8563" s="1">
        <v>2835</v>
      </c>
      <c r="E8563" s="1">
        <v>3500</v>
      </c>
      <c r="F8563" s="1">
        <v>3500</v>
      </c>
      <c r="G8563" s="2">
        <f t="shared" si="133"/>
        <v>0</v>
      </c>
      <c r="H8563" s="1"/>
    </row>
    <row r="8564" spans="2:8" x14ac:dyDescent="0.2">
      <c r="B8564" s="3">
        <v>45215</v>
      </c>
      <c r="F8564" s="1">
        <v>10000</v>
      </c>
      <c r="G8564" s="2">
        <f t="shared" si="133"/>
        <v>-10000</v>
      </c>
      <c r="H8564" t="s">
        <v>14</v>
      </c>
    </row>
    <row r="8565" spans="2:8" x14ac:dyDescent="0.2">
      <c r="B8565" s="3">
        <v>45215</v>
      </c>
      <c r="G8565" s="2">
        <f t="shared" si="133"/>
        <v>0</v>
      </c>
      <c r="H8565" t="s">
        <v>27</v>
      </c>
    </row>
    <row r="8566" spans="2:8" x14ac:dyDescent="0.2">
      <c r="B8566" s="3">
        <v>45215</v>
      </c>
      <c r="G8566" s="2">
        <f t="shared" si="133"/>
        <v>0</v>
      </c>
      <c r="H8566" t="s">
        <v>13</v>
      </c>
    </row>
    <row r="8567" spans="2:8" x14ac:dyDescent="0.2">
      <c r="B8567" s="3">
        <v>45215</v>
      </c>
      <c r="G8567" s="2">
        <f t="shared" si="133"/>
        <v>0</v>
      </c>
      <c r="H8567" t="s">
        <v>30</v>
      </c>
    </row>
    <row r="8568" spans="2:8" x14ac:dyDescent="0.2">
      <c r="B8568" s="3">
        <v>45215</v>
      </c>
      <c r="G8568" s="2">
        <f t="shared" si="133"/>
        <v>0</v>
      </c>
      <c r="H8568" t="s">
        <v>25</v>
      </c>
    </row>
    <row r="8569" spans="2:8" x14ac:dyDescent="0.2">
      <c r="B8569" s="3">
        <v>45215</v>
      </c>
      <c r="G8569" s="2">
        <f t="shared" si="133"/>
        <v>0</v>
      </c>
      <c r="H8569" t="s">
        <v>24</v>
      </c>
    </row>
    <row r="8570" spans="2:8" x14ac:dyDescent="0.2">
      <c r="B8570" s="3">
        <v>45215</v>
      </c>
      <c r="G8570" s="2">
        <f t="shared" si="133"/>
        <v>0</v>
      </c>
      <c r="H8570" t="s">
        <v>9</v>
      </c>
    </row>
    <row r="8571" spans="2:8" x14ac:dyDescent="0.2">
      <c r="B8571" s="3">
        <v>45215</v>
      </c>
      <c r="D8571" s="1">
        <v>17306.25</v>
      </c>
      <c r="E8571" s="1">
        <v>19427.5</v>
      </c>
      <c r="G8571" s="2">
        <f t="shared" si="133"/>
        <v>19427.5</v>
      </c>
      <c r="H8571" t="s">
        <v>8</v>
      </c>
    </row>
    <row r="8572" spans="2:8" x14ac:dyDescent="0.2">
      <c r="B8572" s="3">
        <v>45215</v>
      </c>
      <c r="G8572" s="2">
        <f t="shared" si="133"/>
        <v>0</v>
      </c>
      <c r="H8572" t="s">
        <v>6</v>
      </c>
    </row>
    <row r="8573" spans="2:8" x14ac:dyDescent="0.2">
      <c r="B8573" s="3">
        <v>45215</v>
      </c>
      <c r="G8573" s="2">
        <f t="shared" si="133"/>
        <v>0</v>
      </c>
      <c r="H8573" t="s">
        <v>5</v>
      </c>
    </row>
    <row r="8574" spans="2:8" x14ac:dyDescent="0.2">
      <c r="B8574" s="3">
        <v>45215</v>
      </c>
      <c r="G8574" s="2">
        <f t="shared" si="133"/>
        <v>0</v>
      </c>
      <c r="H8574" s="1"/>
    </row>
    <row r="8575" spans="2:8" x14ac:dyDescent="0.2">
      <c r="B8575" s="3">
        <v>45216</v>
      </c>
      <c r="G8575" s="2">
        <f t="shared" si="133"/>
        <v>0</v>
      </c>
      <c r="H8575" t="s">
        <v>14</v>
      </c>
    </row>
    <row r="8576" spans="2:8" x14ac:dyDescent="0.2">
      <c r="B8576" s="3">
        <v>45216</v>
      </c>
      <c r="G8576" s="2">
        <f t="shared" si="133"/>
        <v>0</v>
      </c>
      <c r="H8576" t="s">
        <v>27</v>
      </c>
    </row>
    <row r="8577" spans="2:8" x14ac:dyDescent="0.2">
      <c r="B8577" s="3">
        <v>45216</v>
      </c>
      <c r="G8577" s="2">
        <f t="shared" si="133"/>
        <v>0</v>
      </c>
      <c r="H8577" t="s">
        <v>13</v>
      </c>
    </row>
    <row r="8578" spans="2:8" x14ac:dyDescent="0.2">
      <c r="B8578" s="3">
        <v>45216</v>
      </c>
      <c r="G8578" s="2">
        <f t="shared" si="133"/>
        <v>0</v>
      </c>
      <c r="H8578" t="s">
        <v>30</v>
      </c>
    </row>
    <row r="8579" spans="2:8" x14ac:dyDescent="0.2">
      <c r="B8579" s="3">
        <v>45216</v>
      </c>
      <c r="G8579" s="2">
        <f t="shared" ref="G8579:G8642" si="134">E8579-F8579</f>
        <v>0</v>
      </c>
      <c r="H8579" t="s">
        <v>25</v>
      </c>
    </row>
    <row r="8580" spans="2:8" x14ac:dyDescent="0.2">
      <c r="B8580" s="3">
        <v>45216</v>
      </c>
      <c r="G8580" s="2">
        <f t="shared" si="134"/>
        <v>0</v>
      </c>
      <c r="H8580" t="s">
        <v>24</v>
      </c>
    </row>
    <row r="8581" spans="2:8" x14ac:dyDescent="0.2">
      <c r="B8581" s="3">
        <v>45216</v>
      </c>
      <c r="G8581" s="2">
        <f t="shared" si="134"/>
        <v>0</v>
      </c>
      <c r="H8581" t="s">
        <v>9</v>
      </c>
    </row>
    <row r="8582" spans="2:8" x14ac:dyDescent="0.2">
      <c r="B8582" s="3">
        <v>45216</v>
      </c>
      <c r="G8582" s="2">
        <f t="shared" si="134"/>
        <v>0</v>
      </c>
      <c r="H8582" t="s">
        <v>8</v>
      </c>
    </row>
    <row r="8583" spans="2:8" x14ac:dyDescent="0.2">
      <c r="B8583" s="3">
        <v>45216</v>
      </c>
      <c r="G8583" s="2">
        <f t="shared" si="134"/>
        <v>0</v>
      </c>
      <c r="H8583" t="s">
        <v>6</v>
      </c>
    </row>
    <row r="8584" spans="2:8" x14ac:dyDescent="0.2">
      <c r="B8584" s="3">
        <v>45216</v>
      </c>
      <c r="G8584" s="2">
        <f t="shared" si="134"/>
        <v>0</v>
      </c>
      <c r="H8584" t="s">
        <v>5</v>
      </c>
    </row>
    <row r="8585" spans="2:8" x14ac:dyDescent="0.2">
      <c r="B8585" s="3">
        <v>45216</v>
      </c>
      <c r="G8585" s="2">
        <f t="shared" si="134"/>
        <v>0</v>
      </c>
      <c r="H8585" s="1"/>
    </row>
    <row r="8586" spans="2:8" x14ac:dyDescent="0.2">
      <c r="B8586" s="3">
        <v>45217</v>
      </c>
      <c r="G8586" s="2">
        <f t="shared" si="134"/>
        <v>0</v>
      </c>
      <c r="H8586" t="s">
        <v>14</v>
      </c>
    </row>
    <row r="8587" spans="2:8" x14ac:dyDescent="0.2">
      <c r="B8587" s="3">
        <v>45217</v>
      </c>
      <c r="G8587" s="2">
        <f t="shared" si="134"/>
        <v>0</v>
      </c>
      <c r="H8587" t="s">
        <v>27</v>
      </c>
    </row>
    <row r="8588" spans="2:8" x14ac:dyDescent="0.2">
      <c r="B8588" s="3">
        <v>45217</v>
      </c>
      <c r="G8588" s="2">
        <f t="shared" si="134"/>
        <v>0</v>
      </c>
      <c r="H8588" t="s">
        <v>13</v>
      </c>
    </row>
    <row r="8589" spans="2:8" x14ac:dyDescent="0.2">
      <c r="B8589" s="3">
        <v>45217</v>
      </c>
      <c r="G8589" s="2">
        <f t="shared" si="134"/>
        <v>0</v>
      </c>
      <c r="H8589" t="s">
        <v>30</v>
      </c>
    </row>
    <row r="8590" spans="2:8" x14ac:dyDescent="0.2">
      <c r="B8590" s="3">
        <v>45217</v>
      </c>
      <c r="G8590" s="2">
        <f t="shared" si="134"/>
        <v>0</v>
      </c>
      <c r="H8590" t="s">
        <v>25</v>
      </c>
    </row>
    <row r="8591" spans="2:8" x14ac:dyDescent="0.2">
      <c r="B8591" s="3">
        <v>45217</v>
      </c>
      <c r="G8591" s="2">
        <f t="shared" si="134"/>
        <v>0</v>
      </c>
      <c r="H8591" t="s">
        <v>24</v>
      </c>
    </row>
    <row r="8592" spans="2:8" x14ac:dyDescent="0.2">
      <c r="B8592" s="3">
        <v>45217</v>
      </c>
      <c r="G8592" s="2">
        <f t="shared" si="134"/>
        <v>0</v>
      </c>
      <c r="H8592" t="s">
        <v>9</v>
      </c>
    </row>
    <row r="8593" spans="2:8" x14ac:dyDescent="0.2">
      <c r="B8593" s="3">
        <v>45217</v>
      </c>
      <c r="G8593" s="2">
        <f t="shared" si="134"/>
        <v>0</v>
      </c>
      <c r="H8593" t="s">
        <v>8</v>
      </c>
    </row>
    <row r="8594" spans="2:8" x14ac:dyDescent="0.2">
      <c r="B8594" s="3">
        <v>45217</v>
      </c>
      <c r="G8594" s="2">
        <f t="shared" si="134"/>
        <v>0</v>
      </c>
      <c r="H8594" t="s">
        <v>6</v>
      </c>
    </row>
    <row r="8595" spans="2:8" x14ac:dyDescent="0.2">
      <c r="B8595" s="3">
        <v>45217</v>
      </c>
      <c r="G8595" s="2">
        <f t="shared" si="134"/>
        <v>0</v>
      </c>
      <c r="H8595" t="s">
        <v>5</v>
      </c>
    </row>
    <row r="8596" spans="2:8" x14ac:dyDescent="0.2">
      <c r="B8596" s="3">
        <v>45217</v>
      </c>
      <c r="G8596" s="2">
        <f t="shared" si="134"/>
        <v>0</v>
      </c>
      <c r="H8596" s="1"/>
    </row>
    <row r="8597" spans="2:8" x14ac:dyDescent="0.2">
      <c r="B8597" s="3">
        <v>45218</v>
      </c>
      <c r="D8597" s="1">
        <v>2450</v>
      </c>
      <c r="E8597" s="1">
        <v>3500</v>
      </c>
      <c r="G8597" s="2">
        <f t="shared" si="134"/>
        <v>3500</v>
      </c>
      <c r="H8597" t="s">
        <v>14</v>
      </c>
    </row>
    <row r="8598" spans="2:8" x14ac:dyDescent="0.2">
      <c r="B8598" s="3">
        <v>45218</v>
      </c>
      <c r="F8598" s="1">
        <v>5000</v>
      </c>
      <c r="G8598" s="2">
        <f t="shared" si="134"/>
        <v>-5000</v>
      </c>
      <c r="H8598" t="s">
        <v>27</v>
      </c>
    </row>
    <row r="8599" spans="2:8" x14ac:dyDescent="0.2">
      <c r="B8599" s="3">
        <v>45218</v>
      </c>
      <c r="G8599" s="2">
        <f t="shared" si="134"/>
        <v>0</v>
      </c>
      <c r="H8599" t="s">
        <v>13</v>
      </c>
    </row>
    <row r="8600" spans="2:8" x14ac:dyDescent="0.2">
      <c r="B8600" s="3">
        <v>45218</v>
      </c>
      <c r="G8600" s="2">
        <f t="shared" si="134"/>
        <v>0</v>
      </c>
      <c r="H8600" t="s">
        <v>30</v>
      </c>
    </row>
    <row r="8601" spans="2:8" x14ac:dyDescent="0.2">
      <c r="B8601" s="3">
        <v>45218</v>
      </c>
      <c r="G8601" s="2">
        <f t="shared" si="134"/>
        <v>0</v>
      </c>
      <c r="H8601" t="s">
        <v>25</v>
      </c>
    </row>
    <row r="8602" spans="2:8" x14ac:dyDescent="0.2">
      <c r="B8602" s="3">
        <v>45218</v>
      </c>
      <c r="G8602" s="2">
        <f t="shared" si="134"/>
        <v>0</v>
      </c>
      <c r="H8602" t="s">
        <v>24</v>
      </c>
    </row>
    <row r="8603" spans="2:8" x14ac:dyDescent="0.2">
      <c r="B8603" s="3">
        <v>45218</v>
      </c>
      <c r="G8603" s="2">
        <f t="shared" si="134"/>
        <v>0</v>
      </c>
      <c r="H8603" t="s">
        <v>9</v>
      </c>
    </row>
    <row r="8604" spans="2:8" x14ac:dyDescent="0.2">
      <c r="B8604" s="3">
        <v>45218</v>
      </c>
      <c r="D8604" s="1">
        <v>16417.5</v>
      </c>
      <c r="E8604" s="1">
        <v>19092.5</v>
      </c>
      <c r="F8604" s="1">
        <v>20000</v>
      </c>
      <c r="G8604" s="2">
        <f t="shared" si="134"/>
        <v>-907.5</v>
      </c>
      <c r="H8604" t="s">
        <v>8</v>
      </c>
    </row>
    <row r="8605" spans="2:8" x14ac:dyDescent="0.2">
      <c r="B8605" s="3">
        <v>45218</v>
      </c>
      <c r="G8605" s="2">
        <f t="shared" si="134"/>
        <v>0</v>
      </c>
      <c r="H8605" t="s">
        <v>6</v>
      </c>
    </row>
    <row r="8606" spans="2:8" x14ac:dyDescent="0.2">
      <c r="B8606" s="3">
        <v>45218</v>
      </c>
      <c r="G8606" s="2">
        <f t="shared" si="134"/>
        <v>0</v>
      </c>
      <c r="H8606" t="s">
        <v>5</v>
      </c>
    </row>
    <row r="8607" spans="2:8" x14ac:dyDescent="0.2">
      <c r="B8607" s="3">
        <v>45218</v>
      </c>
      <c r="G8607" s="2">
        <f t="shared" si="134"/>
        <v>0</v>
      </c>
      <c r="H8607" s="1"/>
    </row>
    <row r="8608" spans="2:8" x14ac:dyDescent="0.2">
      <c r="B8608" s="3">
        <v>45219</v>
      </c>
      <c r="G8608" s="2">
        <f t="shared" si="134"/>
        <v>0</v>
      </c>
      <c r="H8608" t="s">
        <v>14</v>
      </c>
    </row>
    <row r="8609" spans="2:8" x14ac:dyDescent="0.2">
      <c r="B8609" s="3">
        <v>45219</v>
      </c>
      <c r="G8609" s="2">
        <f t="shared" si="134"/>
        <v>0</v>
      </c>
      <c r="H8609" t="s">
        <v>27</v>
      </c>
    </row>
    <row r="8610" spans="2:8" x14ac:dyDescent="0.2">
      <c r="B8610" s="3">
        <v>45219</v>
      </c>
      <c r="G8610" s="2">
        <f t="shared" si="134"/>
        <v>0</v>
      </c>
      <c r="H8610" t="s">
        <v>13</v>
      </c>
    </row>
    <row r="8611" spans="2:8" x14ac:dyDescent="0.2">
      <c r="B8611" s="3">
        <v>45219</v>
      </c>
      <c r="G8611" s="2">
        <f t="shared" si="134"/>
        <v>0</v>
      </c>
      <c r="H8611" t="s">
        <v>30</v>
      </c>
    </row>
    <row r="8612" spans="2:8" x14ac:dyDescent="0.2">
      <c r="B8612" s="3">
        <v>45219</v>
      </c>
      <c r="G8612" s="2">
        <f t="shared" si="134"/>
        <v>0</v>
      </c>
      <c r="H8612" t="s">
        <v>25</v>
      </c>
    </row>
    <row r="8613" spans="2:8" x14ac:dyDescent="0.2">
      <c r="B8613" s="3">
        <v>45219</v>
      </c>
      <c r="G8613" s="2">
        <f t="shared" si="134"/>
        <v>0</v>
      </c>
      <c r="H8613" t="s">
        <v>24</v>
      </c>
    </row>
    <row r="8614" spans="2:8" x14ac:dyDescent="0.2">
      <c r="B8614" s="3">
        <v>45219</v>
      </c>
      <c r="G8614" s="2">
        <f t="shared" si="134"/>
        <v>0</v>
      </c>
      <c r="H8614" t="s">
        <v>9</v>
      </c>
    </row>
    <row r="8615" spans="2:8" x14ac:dyDescent="0.2">
      <c r="B8615" s="3">
        <v>45219</v>
      </c>
      <c r="G8615" s="2">
        <f t="shared" si="134"/>
        <v>0</v>
      </c>
      <c r="H8615" t="s">
        <v>8</v>
      </c>
    </row>
    <row r="8616" spans="2:8" x14ac:dyDescent="0.2">
      <c r="B8616" s="3">
        <v>45219</v>
      </c>
      <c r="G8616" s="2">
        <f t="shared" si="134"/>
        <v>0</v>
      </c>
      <c r="H8616" t="s">
        <v>6</v>
      </c>
    </row>
    <row r="8617" spans="2:8" x14ac:dyDescent="0.2">
      <c r="B8617" s="3">
        <v>45219</v>
      </c>
      <c r="G8617" s="2">
        <f t="shared" si="134"/>
        <v>0</v>
      </c>
      <c r="H8617" t="s">
        <v>5</v>
      </c>
    </row>
    <row r="8618" spans="2:8" x14ac:dyDescent="0.2">
      <c r="B8618" s="3">
        <v>45219</v>
      </c>
      <c r="G8618" s="2">
        <f t="shared" si="134"/>
        <v>0</v>
      </c>
      <c r="H8618" s="1"/>
    </row>
    <row r="8619" spans="2:8" x14ac:dyDescent="0.2">
      <c r="B8619" s="3">
        <v>45220</v>
      </c>
      <c r="G8619" s="2">
        <f t="shared" si="134"/>
        <v>0</v>
      </c>
      <c r="H8619" t="s">
        <v>14</v>
      </c>
    </row>
    <row r="8620" spans="2:8" x14ac:dyDescent="0.2">
      <c r="B8620" s="3">
        <v>45220</v>
      </c>
      <c r="G8620" s="2">
        <f t="shared" si="134"/>
        <v>0</v>
      </c>
      <c r="H8620" t="s">
        <v>27</v>
      </c>
    </row>
    <row r="8621" spans="2:8" x14ac:dyDescent="0.2">
      <c r="B8621" s="3">
        <v>45220</v>
      </c>
      <c r="G8621" s="2">
        <f t="shared" si="134"/>
        <v>0</v>
      </c>
      <c r="H8621" t="s">
        <v>13</v>
      </c>
    </row>
    <row r="8622" spans="2:8" x14ac:dyDescent="0.2">
      <c r="B8622" s="3">
        <v>45220</v>
      </c>
      <c r="G8622" s="2">
        <f t="shared" si="134"/>
        <v>0</v>
      </c>
      <c r="H8622" t="s">
        <v>30</v>
      </c>
    </row>
    <row r="8623" spans="2:8" x14ac:dyDescent="0.2">
      <c r="B8623" s="3">
        <v>45220</v>
      </c>
      <c r="G8623" s="2">
        <f t="shared" si="134"/>
        <v>0</v>
      </c>
      <c r="H8623" t="s">
        <v>25</v>
      </c>
    </row>
    <row r="8624" spans="2:8" x14ac:dyDescent="0.2">
      <c r="B8624" s="3">
        <v>45220</v>
      </c>
      <c r="G8624" s="2">
        <f t="shared" si="134"/>
        <v>0</v>
      </c>
      <c r="H8624" t="s">
        <v>24</v>
      </c>
    </row>
    <row r="8625" spans="2:8" x14ac:dyDescent="0.2">
      <c r="B8625" s="3">
        <v>45220</v>
      </c>
      <c r="G8625" s="2">
        <f t="shared" si="134"/>
        <v>0</v>
      </c>
      <c r="H8625" t="s">
        <v>9</v>
      </c>
    </row>
    <row r="8626" spans="2:8" x14ac:dyDescent="0.2">
      <c r="B8626" s="3">
        <v>45220</v>
      </c>
      <c r="G8626" s="2">
        <f t="shared" si="134"/>
        <v>0</v>
      </c>
      <c r="H8626" t="s">
        <v>8</v>
      </c>
    </row>
    <row r="8627" spans="2:8" x14ac:dyDescent="0.2">
      <c r="B8627" s="3">
        <v>45220</v>
      </c>
      <c r="G8627" s="2">
        <f t="shared" si="134"/>
        <v>0</v>
      </c>
      <c r="H8627" t="s">
        <v>6</v>
      </c>
    </row>
    <row r="8628" spans="2:8" x14ac:dyDescent="0.2">
      <c r="B8628" s="3">
        <v>45220</v>
      </c>
      <c r="G8628" s="2">
        <f t="shared" si="134"/>
        <v>0</v>
      </c>
      <c r="H8628" t="s">
        <v>5</v>
      </c>
    </row>
    <row r="8629" spans="2:8" x14ac:dyDescent="0.2">
      <c r="B8629" s="3">
        <v>45220</v>
      </c>
      <c r="G8629" s="2">
        <f t="shared" si="134"/>
        <v>0</v>
      </c>
      <c r="H8629" s="1"/>
    </row>
    <row r="8630" spans="2:8" x14ac:dyDescent="0.2">
      <c r="B8630" s="3">
        <v>45221</v>
      </c>
      <c r="G8630" s="2">
        <f t="shared" si="134"/>
        <v>0</v>
      </c>
      <c r="H8630" t="s">
        <v>14</v>
      </c>
    </row>
    <row r="8631" spans="2:8" x14ac:dyDescent="0.2">
      <c r="B8631" s="3">
        <v>45221</v>
      </c>
      <c r="G8631" s="2">
        <f t="shared" si="134"/>
        <v>0</v>
      </c>
      <c r="H8631" t="s">
        <v>27</v>
      </c>
    </row>
    <row r="8632" spans="2:8" x14ac:dyDescent="0.2">
      <c r="B8632" s="3">
        <v>45221</v>
      </c>
      <c r="F8632" s="1">
        <v>9000</v>
      </c>
      <c r="G8632" s="2">
        <f t="shared" si="134"/>
        <v>-9000</v>
      </c>
      <c r="H8632" t="s">
        <v>13</v>
      </c>
    </row>
    <row r="8633" spans="2:8" x14ac:dyDescent="0.2">
      <c r="B8633" s="3">
        <v>45221</v>
      </c>
      <c r="G8633" s="2">
        <f t="shared" si="134"/>
        <v>0</v>
      </c>
      <c r="H8633" t="s">
        <v>30</v>
      </c>
    </row>
    <row r="8634" spans="2:8" x14ac:dyDescent="0.2">
      <c r="B8634" s="3">
        <v>45221</v>
      </c>
      <c r="F8634" s="1">
        <v>3000</v>
      </c>
      <c r="G8634" s="2">
        <f t="shared" si="134"/>
        <v>-3000</v>
      </c>
      <c r="H8634" t="s">
        <v>25</v>
      </c>
    </row>
    <row r="8635" spans="2:8" x14ac:dyDescent="0.2">
      <c r="B8635" s="3">
        <v>45221</v>
      </c>
      <c r="G8635" s="2">
        <f t="shared" si="134"/>
        <v>0</v>
      </c>
      <c r="H8635" t="s">
        <v>24</v>
      </c>
    </row>
    <row r="8636" spans="2:8" x14ac:dyDescent="0.2">
      <c r="B8636" s="3">
        <v>45221</v>
      </c>
      <c r="G8636" s="2">
        <f t="shared" si="134"/>
        <v>0</v>
      </c>
      <c r="H8636" t="s">
        <v>9</v>
      </c>
    </row>
    <row r="8637" spans="2:8" x14ac:dyDescent="0.2">
      <c r="B8637" s="3">
        <v>45221</v>
      </c>
      <c r="G8637" s="2">
        <f t="shared" si="134"/>
        <v>0</v>
      </c>
      <c r="H8637" t="s">
        <v>8</v>
      </c>
    </row>
    <row r="8638" spans="2:8" x14ac:dyDescent="0.2">
      <c r="B8638" s="3">
        <v>45221</v>
      </c>
      <c r="G8638" s="2">
        <f t="shared" si="134"/>
        <v>0</v>
      </c>
      <c r="H8638" t="s">
        <v>6</v>
      </c>
    </row>
    <row r="8639" spans="2:8" x14ac:dyDescent="0.2">
      <c r="B8639" s="3">
        <v>45221</v>
      </c>
      <c r="G8639" s="2">
        <f t="shared" si="134"/>
        <v>0</v>
      </c>
      <c r="H8639" t="s">
        <v>5</v>
      </c>
    </row>
    <row r="8640" spans="2:8" x14ac:dyDescent="0.2">
      <c r="B8640" s="3">
        <v>45221</v>
      </c>
      <c r="G8640" s="2">
        <f t="shared" si="134"/>
        <v>0</v>
      </c>
      <c r="H8640" s="1"/>
    </row>
    <row r="8641" spans="2:8" x14ac:dyDescent="0.2">
      <c r="B8641" s="3">
        <v>45222</v>
      </c>
      <c r="D8641" s="1">
        <v>14565</v>
      </c>
      <c r="E8641" s="1">
        <v>16208</v>
      </c>
      <c r="F8641" s="1">
        <v>10000</v>
      </c>
      <c r="G8641" s="2">
        <f t="shared" si="134"/>
        <v>6208</v>
      </c>
      <c r="H8641" t="s">
        <v>14</v>
      </c>
    </row>
    <row r="8642" spans="2:8" x14ac:dyDescent="0.2">
      <c r="B8642" s="3">
        <v>45222</v>
      </c>
      <c r="G8642" s="2">
        <f t="shared" si="134"/>
        <v>0</v>
      </c>
      <c r="H8642" t="s">
        <v>27</v>
      </c>
    </row>
    <row r="8643" spans="2:8" x14ac:dyDescent="0.2">
      <c r="B8643" s="3">
        <v>45222</v>
      </c>
      <c r="D8643" s="1">
        <v>5421</v>
      </c>
      <c r="E8643" s="1">
        <v>6265</v>
      </c>
      <c r="G8643" s="2">
        <f t="shared" ref="G8643:G8706" si="135">E8643-F8643</f>
        <v>6265</v>
      </c>
      <c r="H8643" t="s">
        <v>13</v>
      </c>
    </row>
    <row r="8644" spans="2:8" x14ac:dyDescent="0.2">
      <c r="B8644" s="3">
        <v>45222</v>
      </c>
      <c r="G8644" s="2">
        <f t="shared" si="135"/>
        <v>0</v>
      </c>
      <c r="H8644" t="s">
        <v>30</v>
      </c>
    </row>
    <row r="8645" spans="2:8" x14ac:dyDescent="0.2">
      <c r="B8645" s="3">
        <v>45222</v>
      </c>
      <c r="G8645" s="2">
        <f t="shared" si="135"/>
        <v>0</v>
      </c>
      <c r="H8645" t="s">
        <v>25</v>
      </c>
    </row>
    <row r="8646" spans="2:8" x14ac:dyDescent="0.2">
      <c r="B8646" s="3">
        <v>45222</v>
      </c>
      <c r="G8646" s="2">
        <f t="shared" si="135"/>
        <v>0</v>
      </c>
      <c r="H8646" t="s">
        <v>24</v>
      </c>
    </row>
    <row r="8647" spans="2:8" x14ac:dyDescent="0.2">
      <c r="B8647" s="3">
        <v>45222</v>
      </c>
      <c r="G8647" s="2">
        <f t="shared" si="135"/>
        <v>0</v>
      </c>
      <c r="H8647" t="s">
        <v>9</v>
      </c>
    </row>
    <row r="8648" spans="2:8" x14ac:dyDescent="0.2">
      <c r="B8648" s="3">
        <v>45222</v>
      </c>
      <c r="F8648" s="1">
        <v>10000</v>
      </c>
      <c r="G8648" s="2">
        <f t="shared" si="135"/>
        <v>-10000</v>
      </c>
      <c r="H8648" t="s">
        <v>8</v>
      </c>
    </row>
    <row r="8649" spans="2:8" x14ac:dyDescent="0.2">
      <c r="B8649" s="3">
        <v>45222</v>
      </c>
      <c r="F8649" s="1">
        <v>5060</v>
      </c>
      <c r="G8649" s="2">
        <f t="shared" si="135"/>
        <v>-5060</v>
      </c>
      <c r="H8649" t="s">
        <v>6</v>
      </c>
    </row>
    <row r="8650" spans="2:8" x14ac:dyDescent="0.2">
      <c r="B8650" s="3">
        <v>45222</v>
      </c>
      <c r="G8650" s="2">
        <f t="shared" si="135"/>
        <v>0</v>
      </c>
      <c r="H8650" t="s">
        <v>5</v>
      </c>
    </row>
    <row r="8651" spans="2:8" x14ac:dyDescent="0.2">
      <c r="B8651" s="3">
        <v>45222</v>
      </c>
      <c r="G8651" s="2">
        <f t="shared" si="135"/>
        <v>0</v>
      </c>
      <c r="H8651" s="1"/>
    </row>
    <row r="8652" spans="2:8" x14ac:dyDescent="0.2">
      <c r="B8652" s="3">
        <v>45223</v>
      </c>
      <c r="G8652" s="2">
        <f t="shared" si="135"/>
        <v>0</v>
      </c>
      <c r="H8652" t="s">
        <v>14</v>
      </c>
    </row>
    <row r="8653" spans="2:8" x14ac:dyDescent="0.2">
      <c r="B8653" s="3">
        <v>45223</v>
      </c>
      <c r="G8653" s="2">
        <f t="shared" si="135"/>
        <v>0</v>
      </c>
      <c r="H8653" t="s">
        <v>27</v>
      </c>
    </row>
    <row r="8654" spans="2:8" x14ac:dyDescent="0.2">
      <c r="B8654" s="3">
        <v>45223</v>
      </c>
      <c r="F8654" s="1">
        <v>704</v>
      </c>
      <c r="G8654" s="2">
        <f t="shared" si="135"/>
        <v>-704</v>
      </c>
      <c r="H8654" t="s">
        <v>13</v>
      </c>
    </row>
    <row r="8655" spans="2:8" x14ac:dyDescent="0.2">
      <c r="B8655" s="3">
        <v>45223</v>
      </c>
      <c r="G8655" s="2">
        <f t="shared" si="135"/>
        <v>0</v>
      </c>
      <c r="H8655" t="s">
        <v>30</v>
      </c>
    </row>
    <row r="8656" spans="2:8" x14ac:dyDescent="0.2">
      <c r="B8656" s="3">
        <v>45223</v>
      </c>
      <c r="G8656" s="2">
        <f t="shared" si="135"/>
        <v>0</v>
      </c>
      <c r="H8656" t="s">
        <v>25</v>
      </c>
    </row>
    <row r="8657" spans="2:8" x14ac:dyDescent="0.2">
      <c r="B8657" s="3">
        <v>45223</v>
      </c>
      <c r="G8657" s="2">
        <f t="shared" si="135"/>
        <v>0</v>
      </c>
      <c r="H8657" t="s">
        <v>24</v>
      </c>
    </row>
    <row r="8658" spans="2:8" x14ac:dyDescent="0.2">
      <c r="B8658" s="3">
        <v>45223</v>
      </c>
      <c r="G8658" s="2">
        <f t="shared" si="135"/>
        <v>0</v>
      </c>
      <c r="H8658" t="s">
        <v>9</v>
      </c>
    </row>
    <row r="8659" spans="2:8" x14ac:dyDescent="0.2">
      <c r="B8659" s="3">
        <v>45223</v>
      </c>
      <c r="D8659" s="1">
        <v>13585</v>
      </c>
      <c r="E8659" s="1">
        <v>15063.5</v>
      </c>
      <c r="G8659" s="2">
        <f t="shared" si="135"/>
        <v>15063.5</v>
      </c>
      <c r="H8659" t="s">
        <v>8</v>
      </c>
    </row>
    <row r="8660" spans="2:8" x14ac:dyDescent="0.2">
      <c r="B8660" s="3">
        <v>45223</v>
      </c>
      <c r="G8660" s="2">
        <f t="shared" si="135"/>
        <v>0</v>
      </c>
      <c r="H8660" t="s">
        <v>6</v>
      </c>
    </row>
    <row r="8661" spans="2:8" x14ac:dyDescent="0.2">
      <c r="B8661" s="3">
        <v>45223</v>
      </c>
      <c r="G8661" s="2">
        <f t="shared" si="135"/>
        <v>0</v>
      </c>
      <c r="H8661" t="s">
        <v>5</v>
      </c>
    </row>
    <row r="8662" spans="2:8" x14ac:dyDescent="0.2">
      <c r="B8662" s="3">
        <v>45223</v>
      </c>
      <c r="G8662" s="2">
        <f t="shared" si="135"/>
        <v>0</v>
      </c>
      <c r="H8662" s="1"/>
    </row>
    <row r="8663" spans="2:8" x14ac:dyDescent="0.2">
      <c r="B8663" s="3">
        <v>45224</v>
      </c>
      <c r="G8663" s="2">
        <f t="shared" si="135"/>
        <v>0</v>
      </c>
      <c r="H8663" t="s">
        <v>14</v>
      </c>
    </row>
    <row r="8664" spans="2:8" x14ac:dyDescent="0.2">
      <c r="B8664" s="3">
        <v>45224</v>
      </c>
      <c r="G8664" s="2">
        <f t="shared" si="135"/>
        <v>0</v>
      </c>
      <c r="H8664" t="s">
        <v>27</v>
      </c>
    </row>
    <row r="8665" spans="2:8" x14ac:dyDescent="0.2">
      <c r="B8665" s="3">
        <v>45224</v>
      </c>
      <c r="G8665" s="2">
        <f t="shared" si="135"/>
        <v>0</v>
      </c>
      <c r="H8665" t="s">
        <v>13</v>
      </c>
    </row>
    <row r="8666" spans="2:8" x14ac:dyDescent="0.2">
      <c r="B8666" s="3">
        <v>45224</v>
      </c>
      <c r="G8666" s="2">
        <f t="shared" si="135"/>
        <v>0</v>
      </c>
      <c r="H8666" t="s">
        <v>30</v>
      </c>
    </row>
    <row r="8667" spans="2:8" x14ac:dyDescent="0.2">
      <c r="B8667" s="3">
        <v>45224</v>
      </c>
      <c r="G8667" s="2">
        <f t="shared" si="135"/>
        <v>0</v>
      </c>
      <c r="H8667" t="s">
        <v>25</v>
      </c>
    </row>
    <row r="8668" spans="2:8" x14ac:dyDescent="0.2">
      <c r="B8668" s="3">
        <v>45224</v>
      </c>
      <c r="G8668" s="2">
        <f t="shared" si="135"/>
        <v>0</v>
      </c>
      <c r="H8668" t="s">
        <v>24</v>
      </c>
    </row>
    <row r="8669" spans="2:8" x14ac:dyDescent="0.2">
      <c r="B8669" s="3">
        <v>45224</v>
      </c>
      <c r="G8669" s="2">
        <f t="shared" si="135"/>
        <v>0</v>
      </c>
      <c r="H8669" t="s">
        <v>9</v>
      </c>
    </row>
    <row r="8670" spans="2:8" x14ac:dyDescent="0.2">
      <c r="B8670" s="3">
        <v>45224</v>
      </c>
      <c r="G8670" s="2">
        <f t="shared" si="135"/>
        <v>0</v>
      </c>
      <c r="H8670" t="s">
        <v>8</v>
      </c>
    </row>
    <row r="8671" spans="2:8" x14ac:dyDescent="0.2">
      <c r="B8671" s="3">
        <v>45224</v>
      </c>
      <c r="G8671" s="2">
        <f t="shared" si="135"/>
        <v>0</v>
      </c>
      <c r="H8671" t="s">
        <v>6</v>
      </c>
    </row>
    <row r="8672" spans="2:8" x14ac:dyDescent="0.2">
      <c r="B8672" s="3">
        <v>45224</v>
      </c>
      <c r="G8672" s="2">
        <f t="shared" si="135"/>
        <v>0</v>
      </c>
      <c r="H8672" t="s">
        <v>5</v>
      </c>
    </row>
    <row r="8673" spans="2:8" x14ac:dyDescent="0.2">
      <c r="B8673" s="3">
        <v>45224</v>
      </c>
      <c r="G8673" s="2">
        <f t="shared" si="135"/>
        <v>0</v>
      </c>
      <c r="H8673" s="1"/>
    </row>
    <row r="8674" spans="2:8" x14ac:dyDescent="0.2">
      <c r="B8674" s="3">
        <v>45225</v>
      </c>
      <c r="G8674" s="2">
        <f t="shared" si="135"/>
        <v>0</v>
      </c>
      <c r="H8674" t="s">
        <v>14</v>
      </c>
    </row>
    <row r="8675" spans="2:8" x14ac:dyDescent="0.2">
      <c r="B8675" s="3">
        <v>45225</v>
      </c>
      <c r="G8675" s="2">
        <f t="shared" si="135"/>
        <v>0</v>
      </c>
      <c r="H8675" t="s">
        <v>27</v>
      </c>
    </row>
    <row r="8676" spans="2:8" x14ac:dyDescent="0.2">
      <c r="B8676" s="3">
        <v>45225</v>
      </c>
      <c r="G8676" s="2">
        <f t="shared" si="135"/>
        <v>0</v>
      </c>
      <c r="H8676" t="s">
        <v>13</v>
      </c>
    </row>
    <row r="8677" spans="2:8" x14ac:dyDescent="0.2">
      <c r="B8677" s="3">
        <v>45225</v>
      </c>
      <c r="G8677" s="2">
        <f t="shared" si="135"/>
        <v>0</v>
      </c>
      <c r="H8677" t="s">
        <v>30</v>
      </c>
    </row>
    <row r="8678" spans="2:8" x14ac:dyDescent="0.2">
      <c r="B8678" s="3">
        <v>45225</v>
      </c>
      <c r="G8678" s="2">
        <f t="shared" si="135"/>
        <v>0</v>
      </c>
      <c r="H8678" t="s">
        <v>25</v>
      </c>
    </row>
    <row r="8679" spans="2:8" x14ac:dyDescent="0.2">
      <c r="B8679" s="3">
        <v>45225</v>
      </c>
      <c r="G8679" s="2">
        <f t="shared" si="135"/>
        <v>0</v>
      </c>
      <c r="H8679" t="s">
        <v>24</v>
      </c>
    </row>
    <row r="8680" spans="2:8" x14ac:dyDescent="0.2">
      <c r="B8680" s="3">
        <v>45225</v>
      </c>
      <c r="G8680" s="2">
        <f t="shared" si="135"/>
        <v>0</v>
      </c>
      <c r="H8680" t="s">
        <v>9</v>
      </c>
    </row>
    <row r="8681" spans="2:8" x14ac:dyDescent="0.2">
      <c r="B8681" s="3">
        <v>45225</v>
      </c>
      <c r="D8681" s="1">
        <v>18989.75</v>
      </c>
      <c r="E8681" s="1">
        <v>21875</v>
      </c>
      <c r="G8681" s="2">
        <f t="shared" si="135"/>
        <v>21875</v>
      </c>
      <c r="H8681" t="s">
        <v>8</v>
      </c>
    </row>
    <row r="8682" spans="2:8" x14ac:dyDescent="0.2">
      <c r="B8682" s="3">
        <v>45225</v>
      </c>
      <c r="G8682" s="2">
        <f t="shared" si="135"/>
        <v>0</v>
      </c>
      <c r="H8682" t="s">
        <v>6</v>
      </c>
    </row>
    <row r="8683" spans="2:8" x14ac:dyDescent="0.2">
      <c r="B8683" s="3">
        <v>45225</v>
      </c>
      <c r="G8683" s="2">
        <f t="shared" si="135"/>
        <v>0</v>
      </c>
      <c r="H8683" t="s">
        <v>5</v>
      </c>
    </row>
    <row r="8684" spans="2:8" x14ac:dyDescent="0.2">
      <c r="B8684" s="3">
        <v>45225</v>
      </c>
      <c r="G8684" s="2">
        <f t="shared" si="135"/>
        <v>0</v>
      </c>
      <c r="H8684" s="1"/>
    </row>
    <row r="8685" spans="2:8" x14ac:dyDescent="0.2">
      <c r="B8685" s="3">
        <v>45226</v>
      </c>
      <c r="G8685" s="2">
        <f t="shared" si="135"/>
        <v>0</v>
      </c>
      <c r="H8685" t="s">
        <v>14</v>
      </c>
    </row>
    <row r="8686" spans="2:8" x14ac:dyDescent="0.2">
      <c r="B8686" s="3">
        <v>45226</v>
      </c>
      <c r="G8686" s="2">
        <f t="shared" si="135"/>
        <v>0</v>
      </c>
      <c r="H8686" t="s">
        <v>27</v>
      </c>
    </row>
    <row r="8687" spans="2:8" x14ac:dyDescent="0.2">
      <c r="B8687" s="3">
        <v>45226</v>
      </c>
      <c r="G8687" s="2">
        <f t="shared" si="135"/>
        <v>0</v>
      </c>
      <c r="H8687" t="s">
        <v>13</v>
      </c>
    </row>
    <row r="8688" spans="2:8" x14ac:dyDescent="0.2">
      <c r="B8688" s="3">
        <v>45226</v>
      </c>
      <c r="G8688" s="2">
        <f t="shared" si="135"/>
        <v>0</v>
      </c>
      <c r="H8688" t="s">
        <v>30</v>
      </c>
    </row>
    <row r="8689" spans="2:8" x14ac:dyDescent="0.2">
      <c r="B8689" s="3">
        <v>45226</v>
      </c>
      <c r="G8689" s="2">
        <f t="shared" si="135"/>
        <v>0</v>
      </c>
      <c r="H8689" t="s">
        <v>25</v>
      </c>
    </row>
    <row r="8690" spans="2:8" x14ac:dyDescent="0.2">
      <c r="B8690" s="3">
        <v>45226</v>
      </c>
      <c r="G8690" s="2">
        <f t="shared" si="135"/>
        <v>0</v>
      </c>
      <c r="H8690" t="s">
        <v>24</v>
      </c>
    </row>
    <row r="8691" spans="2:8" x14ac:dyDescent="0.2">
      <c r="B8691" s="3">
        <v>45226</v>
      </c>
      <c r="G8691" s="2">
        <f t="shared" si="135"/>
        <v>0</v>
      </c>
      <c r="H8691" t="s">
        <v>9</v>
      </c>
    </row>
    <row r="8692" spans="2:8" x14ac:dyDescent="0.2">
      <c r="B8692" s="3">
        <v>45226</v>
      </c>
      <c r="F8692" s="1">
        <v>3150</v>
      </c>
      <c r="G8692" s="2">
        <f t="shared" si="135"/>
        <v>-3150</v>
      </c>
      <c r="H8692" t="s">
        <v>8</v>
      </c>
    </row>
    <row r="8693" spans="2:8" x14ac:dyDescent="0.2">
      <c r="B8693" s="3">
        <v>45226</v>
      </c>
      <c r="G8693" s="2">
        <f t="shared" si="135"/>
        <v>0</v>
      </c>
      <c r="H8693" t="s">
        <v>6</v>
      </c>
    </row>
    <row r="8694" spans="2:8" x14ac:dyDescent="0.2">
      <c r="B8694" s="3">
        <v>45226</v>
      </c>
      <c r="G8694" s="2">
        <f t="shared" si="135"/>
        <v>0</v>
      </c>
      <c r="H8694" t="s">
        <v>5</v>
      </c>
    </row>
    <row r="8695" spans="2:8" x14ac:dyDescent="0.2">
      <c r="B8695" s="3">
        <v>45226</v>
      </c>
      <c r="G8695" s="2">
        <f t="shared" si="135"/>
        <v>0</v>
      </c>
      <c r="H8695" s="1"/>
    </row>
    <row r="8696" spans="2:8" x14ac:dyDescent="0.2">
      <c r="B8696" s="3">
        <v>45227</v>
      </c>
      <c r="F8696" s="1">
        <v>10000</v>
      </c>
      <c r="G8696" s="2">
        <f t="shared" si="135"/>
        <v>-10000</v>
      </c>
      <c r="H8696" t="s">
        <v>14</v>
      </c>
    </row>
    <row r="8697" spans="2:8" x14ac:dyDescent="0.2">
      <c r="B8697" s="3">
        <v>45227</v>
      </c>
      <c r="G8697" s="2">
        <f t="shared" si="135"/>
        <v>0</v>
      </c>
      <c r="H8697" t="s">
        <v>27</v>
      </c>
    </row>
    <row r="8698" spans="2:8" x14ac:dyDescent="0.2">
      <c r="B8698" s="3">
        <v>45227</v>
      </c>
      <c r="D8698" s="1">
        <v>6920</v>
      </c>
      <c r="E8698" s="1">
        <v>7855</v>
      </c>
      <c r="F8698" s="1">
        <v>3000</v>
      </c>
      <c r="G8698" s="2">
        <f t="shared" si="135"/>
        <v>4855</v>
      </c>
      <c r="H8698" t="s">
        <v>13</v>
      </c>
    </row>
    <row r="8699" spans="2:8" x14ac:dyDescent="0.2">
      <c r="B8699" s="3">
        <v>45227</v>
      </c>
      <c r="G8699" s="2">
        <f t="shared" si="135"/>
        <v>0</v>
      </c>
      <c r="H8699" t="s">
        <v>30</v>
      </c>
    </row>
    <row r="8700" spans="2:8" x14ac:dyDescent="0.2">
      <c r="B8700" s="3">
        <v>45227</v>
      </c>
      <c r="G8700" s="2">
        <f t="shared" si="135"/>
        <v>0</v>
      </c>
      <c r="H8700" t="s">
        <v>25</v>
      </c>
    </row>
    <row r="8701" spans="2:8" x14ac:dyDescent="0.2">
      <c r="B8701" s="3">
        <v>45227</v>
      </c>
      <c r="G8701" s="2">
        <f t="shared" si="135"/>
        <v>0</v>
      </c>
      <c r="H8701" t="s">
        <v>24</v>
      </c>
    </row>
    <row r="8702" spans="2:8" x14ac:dyDescent="0.2">
      <c r="B8702" s="3">
        <v>45227</v>
      </c>
      <c r="G8702" s="2">
        <f t="shared" si="135"/>
        <v>0</v>
      </c>
      <c r="H8702" t="s">
        <v>9</v>
      </c>
    </row>
    <row r="8703" spans="2:8" x14ac:dyDescent="0.2">
      <c r="B8703" s="3">
        <v>45227</v>
      </c>
      <c r="F8703" s="1">
        <v>22500</v>
      </c>
      <c r="G8703" s="2">
        <f t="shared" si="135"/>
        <v>-22500</v>
      </c>
      <c r="H8703" t="s">
        <v>8</v>
      </c>
    </row>
    <row r="8704" spans="2:8" x14ac:dyDescent="0.2">
      <c r="B8704" s="3">
        <v>45227</v>
      </c>
      <c r="G8704" s="2">
        <f t="shared" si="135"/>
        <v>0</v>
      </c>
      <c r="H8704" t="s">
        <v>6</v>
      </c>
    </row>
    <row r="8705" spans="2:8" x14ac:dyDescent="0.2">
      <c r="B8705" s="3">
        <v>45227</v>
      </c>
      <c r="G8705" s="2">
        <f t="shared" si="135"/>
        <v>0</v>
      </c>
      <c r="H8705" t="s">
        <v>5</v>
      </c>
    </row>
    <row r="8706" spans="2:8" x14ac:dyDescent="0.2">
      <c r="B8706" s="3">
        <v>45227</v>
      </c>
      <c r="G8706" s="2">
        <f t="shared" si="135"/>
        <v>0</v>
      </c>
      <c r="H8706" s="1"/>
    </row>
    <row r="8707" spans="2:8" x14ac:dyDescent="0.2">
      <c r="B8707" s="3">
        <v>45228</v>
      </c>
      <c r="D8707" s="1">
        <v>22500</v>
      </c>
      <c r="E8707" s="1">
        <v>23500</v>
      </c>
      <c r="G8707" s="2">
        <f t="shared" ref="G8707:G8770" si="136">E8707-F8707</f>
        <v>23500</v>
      </c>
      <c r="H8707" t="s">
        <v>14</v>
      </c>
    </row>
    <row r="8708" spans="2:8" x14ac:dyDescent="0.2">
      <c r="B8708" s="3">
        <v>45228</v>
      </c>
      <c r="G8708" s="2">
        <f t="shared" si="136"/>
        <v>0</v>
      </c>
      <c r="H8708" t="s">
        <v>27</v>
      </c>
    </row>
    <row r="8709" spans="2:8" x14ac:dyDescent="0.2">
      <c r="B8709" s="3">
        <v>45228</v>
      </c>
      <c r="F8709" s="1">
        <v>2600</v>
      </c>
      <c r="G8709" s="2">
        <f t="shared" si="136"/>
        <v>-2600</v>
      </c>
      <c r="H8709" t="s">
        <v>13</v>
      </c>
    </row>
    <row r="8710" spans="2:8" x14ac:dyDescent="0.2">
      <c r="B8710" s="3">
        <v>45228</v>
      </c>
      <c r="G8710" s="2">
        <f t="shared" si="136"/>
        <v>0</v>
      </c>
      <c r="H8710" t="s">
        <v>30</v>
      </c>
    </row>
    <row r="8711" spans="2:8" x14ac:dyDescent="0.2">
      <c r="B8711" s="3">
        <v>45228</v>
      </c>
      <c r="G8711" s="2">
        <f t="shared" si="136"/>
        <v>0</v>
      </c>
      <c r="H8711" t="s">
        <v>25</v>
      </c>
    </row>
    <row r="8712" spans="2:8" x14ac:dyDescent="0.2">
      <c r="B8712" s="3">
        <v>45228</v>
      </c>
      <c r="G8712" s="2">
        <f t="shared" si="136"/>
        <v>0</v>
      </c>
      <c r="H8712" t="s">
        <v>24</v>
      </c>
    </row>
    <row r="8713" spans="2:8" x14ac:dyDescent="0.2">
      <c r="B8713" s="3">
        <v>45228</v>
      </c>
      <c r="G8713" s="2">
        <f t="shared" si="136"/>
        <v>0</v>
      </c>
      <c r="H8713" t="s">
        <v>9</v>
      </c>
    </row>
    <row r="8714" spans="2:8" x14ac:dyDescent="0.2">
      <c r="B8714" s="3">
        <v>45228</v>
      </c>
      <c r="G8714" s="2">
        <f t="shared" si="136"/>
        <v>0</v>
      </c>
      <c r="H8714" t="s">
        <v>8</v>
      </c>
    </row>
    <row r="8715" spans="2:8" x14ac:dyDescent="0.2">
      <c r="B8715" s="3">
        <v>45228</v>
      </c>
      <c r="G8715" s="2">
        <f t="shared" si="136"/>
        <v>0</v>
      </c>
      <c r="H8715" t="s">
        <v>6</v>
      </c>
    </row>
    <row r="8716" spans="2:8" x14ac:dyDescent="0.2">
      <c r="B8716" s="3">
        <v>45228</v>
      </c>
      <c r="G8716" s="2">
        <f t="shared" si="136"/>
        <v>0</v>
      </c>
      <c r="H8716" t="s">
        <v>5</v>
      </c>
    </row>
    <row r="8717" spans="2:8" x14ac:dyDescent="0.2">
      <c r="B8717" s="3">
        <v>45228</v>
      </c>
      <c r="G8717" s="2">
        <f t="shared" si="136"/>
        <v>0</v>
      </c>
      <c r="H8717" s="1"/>
    </row>
    <row r="8718" spans="2:8" x14ac:dyDescent="0.2">
      <c r="B8718" s="3">
        <v>45229</v>
      </c>
      <c r="F8718" s="1">
        <v>10000</v>
      </c>
      <c r="G8718" s="2">
        <f t="shared" si="136"/>
        <v>-10000</v>
      </c>
      <c r="H8718" t="s">
        <v>14</v>
      </c>
    </row>
    <row r="8719" spans="2:8" x14ac:dyDescent="0.2">
      <c r="B8719" s="3">
        <v>45229</v>
      </c>
      <c r="G8719" s="2">
        <f t="shared" si="136"/>
        <v>0</v>
      </c>
      <c r="H8719" t="s">
        <v>27</v>
      </c>
    </row>
    <row r="8720" spans="2:8" x14ac:dyDescent="0.2">
      <c r="B8720" s="3">
        <v>45229</v>
      </c>
      <c r="F8720" s="1">
        <v>6000</v>
      </c>
      <c r="G8720" s="2">
        <f t="shared" si="136"/>
        <v>-6000</v>
      </c>
      <c r="H8720" t="s">
        <v>13</v>
      </c>
    </row>
    <row r="8721" spans="2:8" x14ac:dyDescent="0.2">
      <c r="B8721" s="3">
        <v>45229</v>
      </c>
      <c r="G8721" s="2">
        <f t="shared" si="136"/>
        <v>0</v>
      </c>
      <c r="H8721" t="s">
        <v>30</v>
      </c>
    </row>
    <row r="8722" spans="2:8" x14ac:dyDescent="0.2">
      <c r="B8722" s="3">
        <v>45229</v>
      </c>
      <c r="G8722" s="2">
        <f t="shared" si="136"/>
        <v>0</v>
      </c>
      <c r="H8722" t="s">
        <v>25</v>
      </c>
    </row>
    <row r="8723" spans="2:8" x14ac:dyDescent="0.2">
      <c r="B8723" s="3">
        <v>45229</v>
      </c>
      <c r="G8723" s="2">
        <f t="shared" si="136"/>
        <v>0</v>
      </c>
      <c r="H8723" t="s">
        <v>24</v>
      </c>
    </row>
    <row r="8724" spans="2:8" x14ac:dyDescent="0.2">
      <c r="B8724" s="3">
        <v>45229</v>
      </c>
      <c r="G8724" s="2">
        <f t="shared" si="136"/>
        <v>0</v>
      </c>
      <c r="H8724" t="s">
        <v>9</v>
      </c>
    </row>
    <row r="8725" spans="2:8" x14ac:dyDescent="0.2">
      <c r="B8725" s="3">
        <v>45229</v>
      </c>
      <c r="G8725" s="2">
        <f t="shared" si="136"/>
        <v>0</v>
      </c>
      <c r="H8725" t="s">
        <v>8</v>
      </c>
    </row>
    <row r="8726" spans="2:8" x14ac:dyDescent="0.2">
      <c r="B8726" s="3">
        <v>45229</v>
      </c>
      <c r="G8726" s="2">
        <f t="shared" si="136"/>
        <v>0</v>
      </c>
      <c r="H8726" t="s">
        <v>6</v>
      </c>
    </row>
    <row r="8727" spans="2:8" x14ac:dyDescent="0.2">
      <c r="B8727" s="3">
        <v>45229</v>
      </c>
      <c r="G8727" s="2">
        <f t="shared" si="136"/>
        <v>0</v>
      </c>
      <c r="H8727" t="s">
        <v>5</v>
      </c>
    </row>
    <row r="8728" spans="2:8" x14ac:dyDescent="0.2">
      <c r="B8728" s="3">
        <v>45229</v>
      </c>
      <c r="G8728" s="2">
        <f t="shared" si="136"/>
        <v>0</v>
      </c>
      <c r="H8728" s="1"/>
    </row>
    <row r="8729" spans="2:8" x14ac:dyDescent="0.2">
      <c r="B8729" s="3">
        <v>45230</v>
      </c>
      <c r="D8729" s="1">
        <v>36650</v>
      </c>
      <c r="E8729" s="1">
        <v>38000</v>
      </c>
      <c r="F8729" s="1">
        <v>10000</v>
      </c>
      <c r="G8729" s="2">
        <f t="shared" si="136"/>
        <v>28000</v>
      </c>
      <c r="H8729" t="s">
        <v>14</v>
      </c>
    </row>
    <row r="8730" spans="2:8" x14ac:dyDescent="0.2">
      <c r="B8730" s="3">
        <v>45230</v>
      </c>
      <c r="G8730" s="2">
        <f t="shared" si="136"/>
        <v>0</v>
      </c>
      <c r="H8730" t="s">
        <v>27</v>
      </c>
    </row>
    <row r="8731" spans="2:8" x14ac:dyDescent="0.2">
      <c r="B8731" s="3">
        <v>45230</v>
      </c>
      <c r="G8731" s="2">
        <f t="shared" si="136"/>
        <v>0</v>
      </c>
      <c r="H8731" t="s">
        <v>13</v>
      </c>
    </row>
    <row r="8732" spans="2:8" x14ac:dyDescent="0.2">
      <c r="B8732" s="3">
        <v>45230</v>
      </c>
      <c r="G8732" s="2">
        <f t="shared" si="136"/>
        <v>0</v>
      </c>
      <c r="H8732" t="s">
        <v>30</v>
      </c>
    </row>
    <row r="8733" spans="2:8" x14ac:dyDescent="0.2">
      <c r="B8733" s="3">
        <v>45230</v>
      </c>
      <c r="G8733" s="2">
        <f t="shared" si="136"/>
        <v>0</v>
      </c>
      <c r="H8733" t="s">
        <v>25</v>
      </c>
    </row>
    <row r="8734" spans="2:8" x14ac:dyDescent="0.2">
      <c r="B8734" s="3">
        <v>45230</v>
      </c>
      <c r="G8734" s="2">
        <f t="shared" si="136"/>
        <v>0</v>
      </c>
      <c r="H8734" t="s">
        <v>24</v>
      </c>
    </row>
    <row r="8735" spans="2:8" x14ac:dyDescent="0.2">
      <c r="B8735" s="3">
        <v>45230</v>
      </c>
      <c r="G8735" s="2">
        <f t="shared" si="136"/>
        <v>0</v>
      </c>
      <c r="H8735" t="s">
        <v>9</v>
      </c>
    </row>
    <row r="8736" spans="2:8" x14ac:dyDescent="0.2">
      <c r="B8736" s="3">
        <v>45230</v>
      </c>
      <c r="G8736" s="2">
        <f t="shared" si="136"/>
        <v>0</v>
      </c>
      <c r="H8736" t="s">
        <v>8</v>
      </c>
    </row>
    <row r="8737" spans="2:8" x14ac:dyDescent="0.2">
      <c r="B8737" s="3">
        <v>45230</v>
      </c>
      <c r="G8737" s="2">
        <f t="shared" si="136"/>
        <v>0</v>
      </c>
      <c r="H8737" t="s">
        <v>6</v>
      </c>
    </row>
    <row r="8738" spans="2:8" x14ac:dyDescent="0.2">
      <c r="B8738" s="3">
        <v>45230</v>
      </c>
      <c r="G8738" s="2">
        <f t="shared" si="136"/>
        <v>0</v>
      </c>
      <c r="H8738" t="s">
        <v>5</v>
      </c>
    </row>
    <row r="8739" spans="2:8" x14ac:dyDescent="0.2">
      <c r="B8739" s="3">
        <v>45230</v>
      </c>
      <c r="G8739" s="2">
        <f t="shared" si="136"/>
        <v>0</v>
      </c>
      <c r="H8739" s="1"/>
    </row>
    <row r="8740" spans="2:8" x14ac:dyDescent="0.2">
      <c r="B8740" s="3">
        <v>45231</v>
      </c>
      <c r="G8740" s="2">
        <f t="shared" si="136"/>
        <v>0</v>
      </c>
      <c r="H8740" t="s">
        <v>14</v>
      </c>
    </row>
    <row r="8741" spans="2:8" x14ac:dyDescent="0.2">
      <c r="B8741" s="3">
        <v>45231</v>
      </c>
      <c r="G8741" s="2">
        <f t="shared" si="136"/>
        <v>0</v>
      </c>
      <c r="H8741" t="s">
        <v>27</v>
      </c>
    </row>
    <row r="8742" spans="2:8" x14ac:dyDescent="0.2">
      <c r="B8742" s="3">
        <v>45231</v>
      </c>
      <c r="G8742" s="2">
        <f t="shared" si="136"/>
        <v>0</v>
      </c>
      <c r="H8742" t="s">
        <v>13</v>
      </c>
    </row>
    <row r="8743" spans="2:8" x14ac:dyDescent="0.2">
      <c r="B8743" s="3">
        <v>45231</v>
      </c>
      <c r="G8743" s="2">
        <f t="shared" si="136"/>
        <v>0</v>
      </c>
      <c r="H8743" t="s">
        <v>30</v>
      </c>
    </row>
    <row r="8744" spans="2:8" x14ac:dyDescent="0.2">
      <c r="B8744" s="3">
        <v>45231</v>
      </c>
      <c r="G8744" s="2">
        <f t="shared" si="136"/>
        <v>0</v>
      </c>
      <c r="H8744" t="s">
        <v>25</v>
      </c>
    </row>
    <row r="8745" spans="2:8" x14ac:dyDescent="0.2">
      <c r="B8745" s="3">
        <v>45231</v>
      </c>
      <c r="G8745" s="2">
        <f t="shared" si="136"/>
        <v>0</v>
      </c>
      <c r="H8745" t="s">
        <v>24</v>
      </c>
    </row>
    <row r="8746" spans="2:8" x14ac:dyDescent="0.2">
      <c r="B8746" s="3">
        <v>45231</v>
      </c>
      <c r="D8746" s="1">
        <v>8500</v>
      </c>
      <c r="E8746" s="1">
        <v>9000</v>
      </c>
      <c r="G8746" s="2">
        <f t="shared" si="136"/>
        <v>9000</v>
      </c>
      <c r="H8746" t="s">
        <v>9</v>
      </c>
    </row>
    <row r="8747" spans="2:8" x14ac:dyDescent="0.2">
      <c r="B8747" s="3">
        <v>45231</v>
      </c>
      <c r="G8747" s="2">
        <f t="shared" si="136"/>
        <v>0</v>
      </c>
      <c r="H8747" t="s">
        <v>8</v>
      </c>
    </row>
    <row r="8748" spans="2:8" x14ac:dyDescent="0.2">
      <c r="B8748" s="3">
        <v>45231</v>
      </c>
      <c r="G8748" s="2">
        <f t="shared" si="136"/>
        <v>0</v>
      </c>
      <c r="H8748" t="s">
        <v>6</v>
      </c>
    </row>
    <row r="8749" spans="2:8" x14ac:dyDescent="0.2">
      <c r="B8749" s="3">
        <v>45231</v>
      </c>
      <c r="G8749" s="2">
        <f t="shared" si="136"/>
        <v>0</v>
      </c>
      <c r="H8749" t="s">
        <v>5</v>
      </c>
    </row>
    <row r="8750" spans="2:8" x14ac:dyDescent="0.2">
      <c r="B8750" s="3">
        <v>45231</v>
      </c>
      <c r="G8750" s="2">
        <f t="shared" si="136"/>
        <v>0</v>
      </c>
      <c r="H8750" s="1"/>
    </row>
    <row r="8751" spans="2:8" x14ac:dyDescent="0.2">
      <c r="B8751" s="3">
        <v>45232</v>
      </c>
      <c r="G8751" s="2">
        <f t="shared" si="136"/>
        <v>0</v>
      </c>
      <c r="H8751" t="s">
        <v>14</v>
      </c>
    </row>
    <row r="8752" spans="2:8" x14ac:dyDescent="0.2">
      <c r="B8752" s="3">
        <v>45232</v>
      </c>
      <c r="G8752" s="2">
        <f t="shared" si="136"/>
        <v>0</v>
      </c>
      <c r="H8752" t="s">
        <v>27</v>
      </c>
    </row>
    <row r="8753" spans="2:8" x14ac:dyDescent="0.2">
      <c r="B8753" s="3">
        <v>45232</v>
      </c>
      <c r="G8753" s="2">
        <f t="shared" si="136"/>
        <v>0</v>
      </c>
      <c r="H8753" t="s">
        <v>13</v>
      </c>
    </row>
    <row r="8754" spans="2:8" x14ac:dyDescent="0.2">
      <c r="B8754" s="3">
        <v>45232</v>
      </c>
      <c r="G8754" s="2">
        <f t="shared" si="136"/>
        <v>0</v>
      </c>
      <c r="H8754" t="s">
        <v>30</v>
      </c>
    </row>
    <row r="8755" spans="2:8" x14ac:dyDescent="0.2">
      <c r="B8755" s="3">
        <v>45232</v>
      </c>
      <c r="G8755" s="2">
        <f t="shared" si="136"/>
        <v>0</v>
      </c>
      <c r="H8755" t="s">
        <v>25</v>
      </c>
    </row>
    <row r="8756" spans="2:8" x14ac:dyDescent="0.2">
      <c r="B8756" s="3">
        <v>45232</v>
      </c>
      <c r="G8756" s="2">
        <f t="shared" si="136"/>
        <v>0</v>
      </c>
      <c r="H8756" t="s">
        <v>24</v>
      </c>
    </row>
    <row r="8757" spans="2:8" x14ac:dyDescent="0.2">
      <c r="B8757" s="3">
        <v>45232</v>
      </c>
      <c r="G8757" s="2">
        <f t="shared" si="136"/>
        <v>0</v>
      </c>
      <c r="H8757" t="s">
        <v>9</v>
      </c>
    </row>
    <row r="8758" spans="2:8" x14ac:dyDescent="0.2">
      <c r="B8758" s="3">
        <v>45232</v>
      </c>
      <c r="G8758" s="2">
        <f t="shared" si="136"/>
        <v>0</v>
      </c>
      <c r="H8758" t="s">
        <v>8</v>
      </c>
    </row>
    <row r="8759" spans="2:8" x14ac:dyDescent="0.2">
      <c r="B8759" s="3">
        <v>45232</v>
      </c>
      <c r="G8759" s="2">
        <f t="shared" si="136"/>
        <v>0</v>
      </c>
      <c r="H8759" t="s">
        <v>6</v>
      </c>
    </row>
    <row r="8760" spans="2:8" x14ac:dyDescent="0.2">
      <c r="B8760" s="3">
        <v>45232</v>
      </c>
      <c r="G8760" s="2">
        <f t="shared" si="136"/>
        <v>0</v>
      </c>
      <c r="H8760" t="s">
        <v>5</v>
      </c>
    </row>
    <row r="8761" spans="2:8" x14ac:dyDescent="0.2">
      <c r="B8761" s="3">
        <v>45232</v>
      </c>
      <c r="G8761" s="2">
        <f t="shared" si="136"/>
        <v>0</v>
      </c>
      <c r="H8761" s="1"/>
    </row>
    <row r="8762" spans="2:8" x14ac:dyDescent="0.2">
      <c r="B8762" s="3">
        <v>45233</v>
      </c>
      <c r="G8762" s="2">
        <f t="shared" si="136"/>
        <v>0</v>
      </c>
      <c r="H8762" t="s">
        <v>14</v>
      </c>
    </row>
    <row r="8763" spans="2:8" x14ac:dyDescent="0.2">
      <c r="B8763" s="3">
        <v>45233</v>
      </c>
      <c r="G8763" s="2">
        <f t="shared" si="136"/>
        <v>0</v>
      </c>
      <c r="H8763" t="s">
        <v>27</v>
      </c>
    </row>
    <row r="8764" spans="2:8" x14ac:dyDescent="0.2">
      <c r="B8764" s="3">
        <v>45233</v>
      </c>
      <c r="G8764" s="2">
        <f t="shared" si="136"/>
        <v>0</v>
      </c>
      <c r="H8764" t="s">
        <v>13</v>
      </c>
    </row>
    <row r="8765" spans="2:8" x14ac:dyDescent="0.2">
      <c r="B8765" s="3">
        <v>45233</v>
      </c>
      <c r="G8765" s="2">
        <f t="shared" si="136"/>
        <v>0</v>
      </c>
      <c r="H8765" t="s">
        <v>30</v>
      </c>
    </row>
    <row r="8766" spans="2:8" x14ac:dyDescent="0.2">
      <c r="B8766" s="3">
        <v>45233</v>
      </c>
      <c r="G8766" s="2">
        <f t="shared" si="136"/>
        <v>0</v>
      </c>
      <c r="H8766" t="s">
        <v>25</v>
      </c>
    </row>
    <row r="8767" spans="2:8" x14ac:dyDescent="0.2">
      <c r="B8767" s="3">
        <v>45233</v>
      </c>
      <c r="G8767" s="2">
        <f t="shared" si="136"/>
        <v>0</v>
      </c>
      <c r="H8767" t="s">
        <v>24</v>
      </c>
    </row>
    <row r="8768" spans="2:8" x14ac:dyDescent="0.2">
      <c r="B8768" s="3">
        <v>45233</v>
      </c>
      <c r="G8768" s="2">
        <f t="shared" si="136"/>
        <v>0</v>
      </c>
      <c r="H8768" t="s">
        <v>9</v>
      </c>
    </row>
    <row r="8769" spans="2:8" x14ac:dyDescent="0.2">
      <c r="B8769" s="3">
        <v>45233</v>
      </c>
      <c r="G8769" s="2">
        <f t="shared" si="136"/>
        <v>0</v>
      </c>
      <c r="H8769" t="s">
        <v>8</v>
      </c>
    </row>
    <row r="8770" spans="2:8" x14ac:dyDescent="0.2">
      <c r="B8770" s="3">
        <v>45233</v>
      </c>
      <c r="G8770" s="2">
        <f t="shared" si="136"/>
        <v>0</v>
      </c>
      <c r="H8770" t="s">
        <v>6</v>
      </c>
    </row>
    <row r="8771" spans="2:8" x14ac:dyDescent="0.2">
      <c r="B8771" s="3">
        <v>45233</v>
      </c>
      <c r="G8771" s="2">
        <f t="shared" ref="G8771:G8834" si="137">E8771-F8771</f>
        <v>0</v>
      </c>
      <c r="H8771" t="s">
        <v>5</v>
      </c>
    </row>
    <row r="8772" spans="2:8" x14ac:dyDescent="0.2">
      <c r="B8772" s="3">
        <v>45233</v>
      </c>
      <c r="G8772" s="2">
        <f t="shared" si="137"/>
        <v>0</v>
      </c>
      <c r="H8772" s="1"/>
    </row>
    <row r="8773" spans="2:8" x14ac:dyDescent="0.2">
      <c r="B8773" s="3">
        <v>45234</v>
      </c>
      <c r="G8773" s="2">
        <f t="shared" si="137"/>
        <v>0</v>
      </c>
      <c r="H8773" t="s">
        <v>14</v>
      </c>
    </row>
    <row r="8774" spans="2:8" x14ac:dyDescent="0.2">
      <c r="B8774" s="3">
        <v>45234</v>
      </c>
      <c r="G8774" s="2">
        <f t="shared" si="137"/>
        <v>0</v>
      </c>
      <c r="H8774" t="s">
        <v>27</v>
      </c>
    </row>
    <row r="8775" spans="2:8" x14ac:dyDescent="0.2">
      <c r="B8775" s="3">
        <v>45234</v>
      </c>
      <c r="G8775" s="2">
        <f t="shared" si="137"/>
        <v>0</v>
      </c>
      <c r="H8775" t="s">
        <v>13</v>
      </c>
    </row>
    <row r="8776" spans="2:8" x14ac:dyDescent="0.2">
      <c r="B8776" s="3">
        <v>45234</v>
      </c>
      <c r="G8776" s="2">
        <f t="shared" si="137"/>
        <v>0</v>
      </c>
      <c r="H8776" t="s">
        <v>30</v>
      </c>
    </row>
    <row r="8777" spans="2:8" x14ac:dyDescent="0.2">
      <c r="B8777" s="3">
        <v>45234</v>
      </c>
      <c r="G8777" s="2">
        <f t="shared" si="137"/>
        <v>0</v>
      </c>
      <c r="H8777" t="s">
        <v>25</v>
      </c>
    </row>
    <row r="8778" spans="2:8" x14ac:dyDescent="0.2">
      <c r="B8778" s="3">
        <v>45234</v>
      </c>
      <c r="G8778" s="2">
        <f t="shared" si="137"/>
        <v>0</v>
      </c>
      <c r="H8778" t="s">
        <v>24</v>
      </c>
    </row>
    <row r="8779" spans="2:8" x14ac:dyDescent="0.2">
      <c r="B8779" s="3">
        <v>45234</v>
      </c>
      <c r="G8779" s="2">
        <f t="shared" si="137"/>
        <v>0</v>
      </c>
      <c r="H8779" t="s">
        <v>9</v>
      </c>
    </row>
    <row r="8780" spans="2:8" x14ac:dyDescent="0.2">
      <c r="B8780" s="3">
        <v>45234</v>
      </c>
      <c r="F8780" s="1">
        <v>20000</v>
      </c>
      <c r="G8780" s="2">
        <f t="shared" si="137"/>
        <v>-20000</v>
      </c>
      <c r="H8780" t="s">
        <v>8</v>
      </c>
    </row>
    <row r="8781" spans="2:8" x14ac:dyDescent="0.2">
      <c r="B8781" s="3">
        <v>45234</v>
      </c>
      <c r="G8781" s="2">
        <f t="shared" si="137"/>
        <v>0</v>
      </c>
      <c r="H8781" t="s">
        <v>6</v>
      </c>
    </row>
    <row r="8782" spans="2:8" x14ac:dyDescent="0.2">
      <c r="B8782" s="3">
        <v>45234</v>
      </c>
      <c r="G8782" s="2">
        <f t="shared" si="137"/>
        <v>0</v>
      </c>
      <c r="H8782" t="s">
        <v>5</v>
      </c>
    </row>
    <row r="8783" spans="2:8" x14ac:dyDescent="0.2">
      <c r="B8783" s="3">
        <v>45234</v>
      </c>
      <c r="G8783" s="2">
        <f t="shared" si="137"/>
        <v>0</v>
      </c>
      <c r="H8783" s="1"/>
    </row>
    <row r="8784" spans="2:8" x14ac:dyDescent="0.2">
      <c r="B8784" s="3">
        <v>45235</v>
      </c>
      <c r="F8784" s="1">
        <v>10000</v>
      </c>
      <c r="G8784" s="2">
        <f t="shared" si="137"/>
        <v>-10000</v>
      </c>
      <c r="H8784" t="s">
        <v>14</v>
      </c>
    </row>
    <row r="8785" spans="2:8" x14ac:dyDescent="0.2">
      <c r="B8785" s="3">
        <v>45235</v>
      </c>
      <c r="G8785" s="2">
        <f t="shared" si="137"/>
        <v>0</v>
      </c>
      <c r="H8785" t="s">
        <v>27</v>
      </c>
    </row>
    <row r="8786" spans="2:8" x14ac:dyDescent="0.2">
      <c r="B8786" s="3">
        <v>45235</v>
      </c>
      <c r="G8786" s="2">
        <f t="shared" si="137"/>
        <v>0</v>
      </c>
      <c r="H8786" t="s">
        <v>13</v>
      </c>
    </row>
    <row r="8787" spans="2:8" x14ac:dyDescent="0.2">
      <c r="B8787" s="3">
        <v>45235</v>
      </c>
      <c r="G8787" s="2">
        <f t="shared" si="137"/>
        <v>0</v>
      </c>
      <c r="H8787" t="s">
        <v>30</v>
      </c>
    </row>
    <row r="8788" spans="2:8" x14ac:dyDescent="0.2">
      <c r="B8788" s="3">
        <v>45235</v>
      </c>
      <c r="G8788" s="2">
        <f t="shared" si="137"/>
        <v>0</v>
      </c>
      <c r="H8788" t="s">
        <v>25</v>
      </c>
    </row>
    <row r="8789" spans="2:8" x14ac:dyDescent="0.2">
      <c r="B8789" s="3">
        <v>45235</v>
      </c>
      <c r="G8789" s="2">
        <f t="shared" si="137"/>
        <v>0</v>
      </c>
      <c r="H8789" t="s">
        <v>24</v>
      </c>
    </row>
    <row r="8790" spans="2:8" x14ac:dyDescent="0.2">
      <c r="B8790" s="3">
        <v>45235</v>
      </c>
      <c r="G8790" s="2">
        <f t="shared" si="137"/>
        <v>0</v>
      </c>
      <c r="H8790" t="s">
        <v>9</v>
      </c>
    </row>
    <row r="8791" spans="2:8" x14ac:dyDescent="0.2">
      <c r="B8791" s="3">
        <v>45235</v>
      </c>
      <c r="D8791" s="1">
        <v>18067.5</v>
      </c>
      <c r="E8791" s="1">
        <v>20077.5</v>
      </c>
      <c r="G8791" s="2">
        <f t="shared" si="137"/>
        <v>20077.5</v>
      </c>
      <c r="H8791" t="s">
        <v>8</v>
      </c>
    </row>
    <row r="8792" spans="2:8" x14ac:dyDescent="0.2">
      <c r="B8792" s="3">
        <v>45235</v>
      </c>
      <c r="G8792" s="2">
        <f t="shared" si="137"/>
        <v>0</v>
      </c>
      <c r="H8792" t="s">
        <v>6</v>
      </c>
    </row>
    <row r="8793" spans="2:8" x14ac:dyDescent="0.2">
      <c r="B8793" s="3">
        <v>45235</v>
      </c>
      <c r="G8793" s="2">
        <f t="shared" si="137"/>
        <v>0</v>
      </c>
      <c r="H8793" t="s">
        <v>5</v>
      </c>
    </row>
    <row r="8794" spans="2:8" x14ac:dyDescent="0.2">
      <c r="B8794" s="3">
        <v>45235</v>
      </c>
      <c r="G8794" s="2">
        <f t="shared" si="137"/>
        <v>0</v>
      </c>
      <c r="H8794" s="1"/>
    </row>
    <row r="8795" spans="2:8" x14ac:dyDescent="0.2">
      <c r="B8795" s="3">
        <v>45236</v>
      </c>
      <c r="G8795" s="2">
        <f t="shared" si="137"/>
        <v>0</v>
      </c>
      <c r="H8795" t="s">
        <v>14</v>
      </c>
    </row>
    <row r="8796" spans="2:8" x14ac:dyDescent="0.2">
      <c r="B8796" s="3">
        <v>45236</v>
      </c>
      <c r="G8796" s="2">
        <f t="shared" si="137"/>
        <v>0</v>
      </c>
      <c r="H8796" t="s">
        <v>27</v>
      </c>
    </row>
    <row r="8797" spans="2:8" x14ac:dyDescent="0.2">
      <c r="B8797" s="3">
        <v>45236</v>
      </c>
      <c r="G8797" s="2">
        <f t="shared" si="137"/>
        <v>0</v>
      </c>
      <c r="H8797" t="s">
        <v>13</v>
      </c>
    </row>
    <row r="8798" spans="2:8" x14ac:dyDescent="0.2">
      <c r="B8798" s="3">
        <v>45236</v>
      </c>
      <c r="G8798" s="2">
        <f t="shared" si="137"/>
        <v>0</v>
      </c>
      <c r="H8798" t="s">
        <v>30</v>
      </c>
    </row>
    <row r="8799" spans="2:8" x14ac:dyDescent="0.2">
      <c r="B8799" s="3">
        <v>45236</v>
      </c>
      <c r="G8799" s="2">
        <f t="shared" si="137"/>
        <v>0</v>
      </c>
      <c r="H8799" t="s">
        <v>25</v>
      </c>
    </row>
    <row r="8800" spans="2:8" x14ac:dyDescent="0.2">
      <c r="B8800" s="3">
        <v>45236</v>
      </c>
      <c r="G8800" s="2">
        <f t="shared" si="137"/>
        <v>0</v>
      </c>
      <c r="H8800" t="s">
        <v>24</v>
      </c>
    </row>
    <row r="8801" spans="2:8" x14ac:dyDescent="0.2">
      <c r="B8801" s="3">
        <v>45236</v>
      </c>
      <c r="G8801" s="2">
        <f t="shared" si="137"/>
        <v>0</v>
      </c>
      <c r="H8801" t="s">
        <v>9</v>
      </c>
    </row>
    <row r="8802" spans="2:8" x14ac:dyDescent="0.2">
      <c r="B8802" s="3">
        <v>45236</v>
      </c>
      <c r="G8802" s="2">
        <f t="shared" si="137"/>
        <v>0</v>
      </c>
      <c r="H8802" t="s">
        <v>8</v>
      </c>
    </row>
    <row r="8803" spans="2:8" x14ac:dyDescent="0.2">
      <c r="B8803" s="3">
        <v>45236</v>
      </c>
      <c r="G8803" s="2">
        <f t="shared" si="137"/>
        <v>0</v>
      </c>
      <c r="H8803" t="s">
        <v>6</v>
      </c>
    </row>
    <row r="8804" spans="2:8" x14ac:dyDescent="0.2">
      <c r="B8804" s="3">
        <v>45236</v>
      </c>
      <c r="G8804" s="2">
        <f t="shared" si="137"/>
        <v>0</v>
      </c>
      <c r="H8804" t="s">
        <v>5</v>
      </c>
    </row>
    <row r="8805" spans="2:8" x14ac:dyDescent="0.2">
      <c r="B8805" s="3">
        <v>45236</v>
      </c>
      <c r="G8805" s="2">
        <f t="shared" si="137"/>
        <v>0</v>
      </c>
      <c r="H8805" s="1"/>
    </row>
    <row r="8806" spans="2:8" x14ac:dyDescent="0.2">
      <c r="B8806" s="3">
        <v>45237</v>
      </c>
      <c r="G8806" s="2">
        <f t="shared" si="137"/>
        <v>0</v>
      </c>
      <c r="H8806" t="s">
        <v>14</v>
      </c>
    </row>
    <row r="8807" spans="2:8" x14ac:dyDescent="0.2">
      <c r="B8807" s="3">
        <v>45237</v>
      </c>
      <c r="G8807" s="2">
        <f t="shared" si="137"/>
        <v>0</v>
      </c>
      <c r="H8807" t="s">
        <v>27</v>
      </c>
    </row>
    <row r="8808" spans="2:8" x14ac:dyDescent="0.2">
      <c r="B8808" s="3">
        <v>45237</v>
      </c>
      <c r="F8808" s="1">
        <v>3000</v>
      </c>
      <c r="G8808" s="2">
        <f t="shared" si="137"/>
        <v>-3000</v>
      </c>
      <c r="H8808" t="s">
        <v>13</v>
      </c>
    </row>
    <row r="8809" spans="2:8" x14ac:dyDescent="0.2">
      <c r="B8809" s="3">
        <v>45237</v>
      </c>
      <c r="G8809" s="2">
        <f t="shared" si="137"/>
        <v>0</v>
      </c>
      <c r="H8809" t="s">
        <v>30</v>
      </c>
    </row>
    <row r="8810" spans="2:8" x14ac:dyDescent="0.2">
      <c r="B8810" s="3">
        <v>45237</v>
      </c>
      <c r="G8810" s="2">
        <f t="shared" si="137"/>
        <v>0</v>
      </c>
      <c r="H8810" t="s">
        <v>25</v>
      </c>
    </row>
    <row r="8811" spans="2:8" x14ac:dyDescent="0.2">
      <c r="B8811" s="3">
        <v>45237</v>
      </c>
      <c r="G8811" s="2">
        <f t="shared" si="137"/>
        <v>0</v>
      </c>
      <c r="H8811" t="s">
        <v>24</v>
      </c>
    </row>
    <row r="8812" spans="2:8" x14ac:dyDescent="0.2">
      <c r="B8812" s="3">
        <v>45237</v>
      </c>
      <c r="G8812" s="2">
        <f t="shared" si="137"/>
        <v>0</v>
      </c>
      <c r="H8812" t="s">
        <v>9</v>
      </c>
    </row>
    <row r="8813" spans="2:8" x14ac:dyDescent="0.2">
      <c r="B8813" s="3">
        <v>45237</v>
      </c>
      <c r="G8813" s="2">
        <f t="shared" si="137"/>
        <v>0</v>
      </c>
      <c r="H8813" t="s">
        <v>8</v>
      </c>
    </row>
    <row r="8814" spans="2:8" x14ac:dyDescent="0.2">
      <c r="B8814" s="3">
        <v>45237</v>
      </c>
      <c r="G8814" s="2">
        <f t="shared" si="137"/>
        <v>0</v>
      </c>
      <c r="H8814" t="s">
        <v>6</v>
      </c>
    </row>
    <row r="8815" spans="2:8" x14ac:dyDescent="0.2">
      <c r="B8815" s="3">
        <v>45237</v>
      </c>
      <c r="G8815" s="2">
        <f t="shared" si="137"/>
        <v>0</v>
      </c>
      <c r="H8815" t="s">
        <v>5</v>
      </c>
    </row>
    <row r="8816" spans="2:8" x14ac:dyDescent="0.2">
      <c r="B8816" s="3">
        <v>45237</v>
      </c>
      <c r="G8816" s="2">
        <f t="shared" si="137"/>
        <v>0</v>
      </c>
      <c r="H8816" s="1"/>
    </row>
    <row r="8817" spans="2:8" x14ac:dyDescent="0.2">
      <c r="B8817" s="3">
        <v>45238</v>
      </c>
      <c r="G8817" s="2">
        <f t="shared" si="137"/>
        <v>0</v>
      </c>
      <c r="H8817" t="s">
        <v>14</v>
      </c>
    </row>
    <row r="8818" spans="2:8" x14ac:dyDescent="0.2">
      <c r="B8818" s="3">
        <v>45238</v>
      </c>
      <c r="G8818" s="2">
        <f t="shared" si="137"/>
        <v>0</v>
      </c>
      <c r="H8818" t="s">
        <v>27</v>
      </c>
    </row>
    <row r="8819" spans="2:8" x14ac:dyDescent="0.2">
      <c r="B8819" s="3">
        <v>45238</v>
      </c>
      <c r="G8819" s="2">
        <f t="shared" si="137"/>
        <v>0</v>
      </c>
      <c r="H8819" t="s">
        <v>13</v>
      </c>
    </row>
    <row r="8820" spans="2:8" x14ac:dyDescent="0.2">
      <c r="B8820" s="3">
        <v>45238</v>
      </c>
      <c r="G8820" s="2">
        <f t="shared" si="137"/>
        <v>0</v>
      </c>
      <c r="H8820" t="s">
        <v>30</v>
      </c>
    </row>
    <row r="8821" spans="2:8" x14ac:dyDescent="0.2">
      <c r="B8821" s="3">
        <v>45238</v>
      </c>
      <c r="G8821" s="2">
        <f t="shared" si="137"/>
        <v>0</v>
      </c>
      <c r="H8821" t="s">
        <v>25</v>
      </c>
    </row>
    <row r="8822" spans="2:8" x14ac:dyDescent="0.2">
      <c r="B8822" s="3">
        <v>45238</v>
      </c>
      <c r="G8822" s="2">
        <f t="shared" si="137"/>
        <v>0</v>
      </c>
      <c r="H8822" t="s">
        <v>24</v>
      </c>
    </row>
    <row r="8823" spans="2:8" x14ac:dyDescent="0.2">
      <c r="B8823" s="3">
        <v>45238</v>
      </c>
      <c r="G8823" s="2">
        <f t="shared" si="137"/>
        <v>0</v>
      </c>
      <c r="H8823" t="s">
        <v>9</v>
      </c>
    </row>
    <row r="8824" spans="2:8" x14ac:dyDescent="0.2">
      <c r="B8824" s="3">
        <v>45238</v>
      </c>
      <c r="G8824" s="2">
        <f t="shared" si="137"/>
        <v>0</v>
      </c>
      <c r="H8824" t="s">
        <v>8</v>
      </c>
    </row>
    <row r="8825" spans="2:8" x14ac:dyDescent="0.2">
      <c r="B8825" s="3">
        <v>45238</v>
      </c>
      <c r="G8825" s="2">
        <f t="shared" si="137"/>
        <v>0</v>
      </c>
      <c r="H8825" t="s">
        <v>6</v>
      </c>
    </row>
    <row r="8826" spans="2:8" x14ac:dyDescent="0.2">
      <c r="B8826" s="3">
        <v>45238</v>
      </c>
      <c r="G8826" s="2">
        <f t="shared" si="137"/>
        <v>0</v>
      </c>
      <c r="H8826" t="s">
        <v>5</v>
      </c>
    </row>
    <row r="8827" spans="2:8" x14ac:dyDescent="0.2">
      <c r="B8827" s="3">
        <v>45238</v>
      </c>
      <c r="G8827" s="2">
        <f t="shared" si="137"/>
        <v>0</v>
      </c>
      <c r="H8827" s="1"/>
    </row>
    <row r="8828" spans="2:8" x14ac:dyDescent="0.2">
      <c r="B8828" s="3">
        <v>45239</v>
      </c>
      <c r="F8828" s="1">
        <v>15000</v>
      </c>
      <c r="G8828" s="2">
        <f t="shared" si="137"/>
        <v>-15000</v>
      </c>
      <c r="H8828" t="s">
        <v>14</v>
      </c>
    </row>
    <row r="8829" spans="2:8" x14ac:dyDescent="0.2">
      <c r="B8829" s="3">
        <v>45239</v>
      </c>
      <c r="G8829" s="2">
        <f t="shared" si="137"/>
        <v>0</v>
      </c>
      <c r="H8829" t="s">
        <v>27</v>
      </c>
    </row>
    <row r="8830" spans="2:8" x14ac:dyDescent="0.2">
      <c r="B8830" s="3">
        <v>45239</v>
      </c>
      <c r="G8830" s="2">
        <f t="shared" si="137"/>
        <v>0</v>
      </c>
      <c r="H8830" t="s">
        <v>13</v>
      </c>
    </row>
    <row r="8831" spans="2:8" x14ac:dyDescent="0.2">
      <c r="B8831" s="3">
        <v>45239</v>
      </c>
      <c r="G8831" s="2">
        <f t="shared" si="137"/>
        <v>0</v>
      </c>
      <c r="H8831" t="s">
        <v>30</v>
      </c>
    </row>
    <row r="8832" spans="2:8" x14ac:dyDescent="0.2">
      <c r="B8832" s="3">
        <v>45239</v>
      </c>
      <c r="G8832" s="2">
        <f t="shared" si="137"/>
        <v>0</v>
      </c>
      <c r="H8832" t="s">
        <v>25</v>
      </c>
    </row>
    <row r="8833" spans="2:8" x14ac:dyDescent="0.2">
      <c r="B8833" s="3">
        <v>45239</v>
      </c>
      <c r="G8833" s="2">
        <f t="shared" si="137"/>
        <v>0</v>
      </c>
      <c r="H8833" t="s">
        <v>24</v>
      </c>
    </row>
    <row r="8834" spans="2:8" x14ac:dyDescent="0.2">
      <c r="B8834" s="3">
        <v>45239</v>
      </c>
      <c r="G8834" s="2">
        <f t="shared" si="137"/>
        <v>0</v>
      </c>
      <c r="H8834" t="s">
        <v>9</v>
      </c>
    </row>
    <row r="8835" spans="2:8" x14ac:dyDescent="0.2">
      <c r="B8835" s="3">
        <v>45239</v>
      </c>
      <c r="F8835" s="1">
        <v>20000</v>
      </c>
      <c r="G8835" s="2">
        <f t="shared" ref="G8835:G8898" si="138">E8835-F8835</f>
        <v>-20000</v>
      </c>
      <c r="H8835" t="s">
        <v>8</v>
      </c>
    </row>
    <row r="8836" spans="2:8" x14ac:dyDescent="0.2">
      <c r="B8836" s="3">
        <v>45239</v>
      </c>
      <c r="G8836" s="2">
        <f t="shared" si="138"/>
        <v>0</v>
      </c>
      <c r="H8836" t="s">
        <v>6</v>
      </c>
    </row>
    <row r="8837" spans="2:8" x14ac:dyDescent="0.2">
      <c r="B8837" s="3">
        <v>45239</v>
      </c>
      <c r="G8837" s="2">
        <f t="shared" si="138"/>
        <v>0</v>
      </c>
      <c r="H8837" t="s">
        <v>5</v>
      </c>
    </row>
    <row r="8838" spans="2:8" x14ac:dyDescent="0.2">
      <c r="B8838" s="3">
        <v>45239</v>
      </c>
      <c r="G8838" s="2">
        <f t="shared" si="138"/>
        <v>0</v>
      </c>
      <c r="H8838" s="1"/>
    </row>
    <row r="8839" spans="2:8" x14ac:dyDescent="0.2">
      <c r="B8839" s="3">
        <v>45240</v>
      </c>
      <c r="G8839" s="2">
        <f t="shared" si="138"/>
        <v>0</v>
      </c>
      <c r="H8839" t="s">
        <v>14</v>
      </c>
    </row>
    <row r="8840" spans="2:8" x14ac:dyDescent="0.2">
      <c r="B8840" s="3">
        <v>45240</v>
      </c>
      <c r="G8840" s="2">
        <f t="shared" si="138"/>
        <v>0</v>
      </c>
      <c r="H8840" t="s">
        <v>27</v>
      </c>
    </row>
    <row r="8841" spans="2:8" x14ac:dyDescent="0.2">
      <c r="B8841" s="3">
        <v>45240</v>
      </c>
      <c r="G8841" s="2">
        <f t="shared" si="138"/>
        <v>0</v>
      </c>
      <c r="H8841" t="s">
        <v>13</v>
      </c>
    </row>
    <row r="8842" spans="2:8" x14ac:dyDescent="0.2">
      <c r="B8842" s="3">
        <v>45240</v>
      </c>
      <c r="G8842" s="2">
        <f t="shared" si="138"/>
        <v>0</v>
      </c>
      <c r="H8842" t="s">
        <v>30</v>
      </c>
    </row>
    <row r="8843" spans="2:8" x14ac:dyDescent="0.2">
      <c r="B8843" s="3">
        <v>45240</v>
      </c>
      <c r="G8843" s="2">
        <f t="shared" si="138"/>
        <v>0</v>
      </c>
      <c r="H8843" t="s">
        <v>25</v>
      </c>
    </row>
    <row r="8844" spans="2:8" x14ac:dyDescent="0.2">
      <c r="B8844" s="3">
        <v>45240</v>
      </c>
      <c r="G8844" s="2">
        <f t="shared" si="138"/>
        <v>0</v>
      </c>
      <c r="H8844" t="s">
        <v>24</v>
      </c>
    </row>
    <row r="8845" spans="2:8" x14ac:dyDescent="0.2">
      <c r="B8845" s="3">
        <v>45240</v>
      </c>
      <c r="G8845" s="2">
        <f t="shared" si="138"/>
        <v>0</v>
      </c>
      <c r="H8845" t="s">
        <v>9</v>
      </c>
    </row>
    <row r="8846" spans="2:8" x14ac:dyDescent="0.2">
      <c r="B8846" s="3">
        <v>45240</v>
      </c>
      <c r="G8846" s="2">
        <f t="shared" si="138"/>
        <v>0</v>
      </c>
      <c r="H8846" t="s">
        <v>8</v>
      </c>
    </row>
    <row r="8847" spans="2:8" x14ac:dyDescent="0.2">
      <c r="B8847" s="3">
        <v>45240</v>
      </c>
      <c r="G8847" s="2">
        <f t="shared" si="138"/>
        <v>0</v>
      </c>
      <c r="H8847" t="s">
        <v>6</v>
      </c>
    </row>
    <row r="8848" spans="2:8" x14ac:dyDescent="0.2">
      <c r="B8848" s="3">
        <v>45240</v>
      </c>
      <c r="G8848" s="2">
        <f t="shared" si="138"/>
        <v>0</v>
      </c>
      <c r="H8848" t="s">
        <v>5</v>
      </c>
    </row>
    <row r="8849" spans="2:8" x14ac:dyDescent="0.2">
      <c r="B8849" s="3">
        <v>45240</v>
      </c>
      <c r="G8849" s="2">
        <f t="shared" si="138"/>
        <v>0</v>
      </c>
      <c r="H8849" s="1"/>
    </row>
    <row r="8850" spans="2:8" x14ac:dyDescent="0.2">
      <c r="B8850" s="3">
        <v>45241</v>
      </c>
      <c r="F8850" s="1">
        <v>23000</v>
      </c>
      <c r="G8850" s="2">
        <f t="shared" si="138"/>
        <v>-23000</v>
      </c>
      <c r="H8850" t="s">
        <v>14</v>
      </c>
    </row>
    <row r="8851" spans="2:8" x14ac:dyDescent="0.2">
      <c r="B8851" s="3">
        <v>45241</v>
      </c>
      <c r="G8851" s="2">
        <f t="shared" si="138"/>
        <v>0</v>
      </c>
      <c r="H8851" t="s">
        <v>27</v>
      </c>
    </row>
    <row r="8852" spans="2:8" x14ac:dyDescent="0.2">
      <c r="B8852" s="3">
        <v>45241</v>
      </c>
      <c r="G8852" s="2">
        <f t="shared" si="138"/>
        <v>0</v>
      </c>
      <c r="H8852" t="s">
        <v>13</v>
      </c>
    </row>
    <row r="8853" spans="2:8" x14ac:dyDescent="0.2">
      <c r="B8853" s="3">
        <v>45241</v>
      </c>
      <c r="G8853" s="2">
        <f t="shared" si="138"/>
        <v>0</v>
      </c>
      <c r="H8853" t="s">
        <v>30</v>
      </c>
    </row>
    <row r="8854" spans="2:8" x14ac:dyDescent="0.2">
      <c r="B8854" s="3">
        <v>45241</v>
      </c>
      <c r="G8854" s="2">
        <f t="shared" si="138"/>
        <v>0</v>
      </c>
      <c r="H8854" t="s">
        <v>25</v>
      </c>
    </row>
    <row r="8855" spans="2:8" x14ac:dyDescent="0.2">
      <c r="B8855" s="3">
        <v>45241</v>
      </c>
      <c r="G8855" s="2">
        <f t="shared" si="138"/>
        <v>0</v>
      </c>
      <c r="H8855" t="s">
        <v>24</v>
      </c>
    </row>
    <row r="8856" spans="2:8" x14ac:dyDescent="0.2">
      <c r="B8856" s="3">
        <v>45241</v>
      </c>
      <c r="F8856" s="1">
        <v>9000</v>
      </c>
      <c r="G8856" s="2">
        <f t="shared" si="138"/>
        <v>-9000</v>
      </c>
      <c r="H8856" t="s">
        <v>9</v>
      </c>
    </row>
    <row r="8857" spans="2:8" x14ac:dyDescent="0.2">
      <c r="B8857" s="3">
        <v>45241</v>
      </c>
      <c r="D8857" s="1">
        <v>20800</v>
      </c>
      <c r="E8857" s="1">
        <v>22680</v>
      </c>
      <c r="G8857" s="2">
        <f t="shared" si="138"/>
        <v>22680</v>
      </c>
      <c r="H8857" t="s">
        <v>8</v>
      </c>
    </row>
    <row r="8858" spans="2:8" x14ac:dyDescent="0.2">
      <c r="B8858" s="3">
        <v>45241</v>
      </c>
      <c r="G8858" s="2">
        <f t="shared" si="138"/>
        <v>0</v>
      </c>
      <c r="H8858" t="s">
        <v>6</v>
      </c>
    </row>
    <row r="8859" spans="2:8" x14ac:dyDescent="0.2">
      <c r="B8859" s="3">
        <v>45241</v>
      </c>
      <c r="G8859" s="2">
        <f t="shared" si="138"/>
        <v>0</v>
      </c>
      <c r="H8859" t="s">
        <v>5</v>
      </c>
    </row>
    <row r="8860" spans="2:8" x14ac:dyDescent="0.2">
      <c r="B8860" s="3">
        <v>45241</v>
      </c>
      <c r="G8860" s="2">
        <f t="shared" si="138"/>
        <v>0</v>
      </c>
      <c r="H8860" s="1"/>
    </row>
    <row r="8861" spans="2:8" x14ac:dyDescent="0.2">
      <c r="B8861" s="3">
        <v>45242</v>
      </c>
      <c r="G8861" s="2">
        <f t="shared" si="138"/>
        <v>0</v>
      </c>
      <c r="H8861" t="s">
        <v>14</v>
      </c>
    </row>
    <row r="8862" spans="2:8" x14ac:dyDescent="0.2">
      <c r="B8862" s="3">
        <v>45242</v>
      </c>
      <c r="G8862" s="2">
        <f t="shared" si="138"/>
        <v>0</v>
      </c>
      <c r="H8862" t="s">
        <v>27</v>
      </c>
    </row>
    <row r="8863" spans="2:8" x14ac:dyDescent="0.2">
      <c r="B8863" s="3">
        <v>45242</v>
      </c>
      <c r="G8863" s="2">
        <f t="shared" si="138"/>
        <v>0</v>
      </c>
      <c r="H8863" t="s">
        <v>13</v>
      </c>
    </row>
    <row r="8864" spans="2:8" x14ac:dyDescent="0.2">
      <c r="B8864" s="3">
        <v>45242</v>
      </c>
      <c r="G8864" s="2">
        <f t="shared" si="138"/>
        <v>0</v>
      </c>
      <c r="H8864" t="s">
        <v>30</v>
      </c>
    </row>
    <row r="8865" spans="2:8" x14ac:dyDescent="0.2">
      <c r="B8865" s="3">
        <v>45242</v>
      </c>
      <c r="G8865" s="2">
        <f t="shared" si="138"/>
        <v>0</v>
      </c>
      <c r="H8865" t="s">
        <v>25</v>
      </c>
    </row>
    <row r="8866" spans="2:8" x14ac:dyDescent="0.2">
      <c r="B8866" s="3">
        <v>45242</v>
      </c>
      <c r="G8866" s="2">
        <f t="shared" si="138"/>
        <v>0</v>
      </c>
      <c r="H8866" t="s">
        <v>24</v>
      </c>
    </row>
    <row r="8867" spans="2:8" x14ac:dyDescent="0.2">
      <c r="B8867" s="3">
        <v>45242</v>
      </c>
      <c r="G8867" s="2">
        <f t="shared" si="138"/>
        <v>0</v>
      </c>
      <c r="H8867" t="s">
        <v>9</v>
      </c>
    </row>
    <row r="8868" spans="2:8" x14ac:dyDescent="0.2">
      <c r="B8868" s="3">
        <v>45242</v>
      </c>
      <c r="G8868" s="2">
        <f t="shared" si="138"/>
        <v>0</v>
      </c>
      <c r="H8868" t="s">
        <v>8</v>
      </c>
    </row>
    <row r="8869" spans="2:8" x14ac:dyDescent="0.2">
      <c r="B8869" s="3">
        <v>45242</v>
      </c>
      <c r="G8869" s="2">
        <f t="shared" si="138"/>
        <v>0</v>
      </c>
      <c r="H8869" t="s">
        <v>6</v>
      </c>
    </row>
    <row r="8870" spans="2:8" x14ac:dyDescent="0.2">
      <c r="B8870" s="3">
        <v>45242</v>
      </c>
      <c r="G8870" s="2">
        <f t="shared" si="138"/>
        <v>0</v>
      </c>
      <c r="H8870" t="s">
        <v>5</v>
      </c>
    </row>
    <row r="8871" spans="2:8" x14ac:dyDescent="0.2">
      <c r="B8871" s="3">
        <v>45242</v>
      </c>
      <c r="G8871" s="2">
        <f t="shared" si="138"/>
        <v>0</v>
      </c>
      <c r="H8871" s="1"/>
    </row>
    <row r="8872" spans="2:8" x14ac:dyDescent="0.2">
      <c r="B8872" s="3">
        <v>45243</v>
      </c>
      <c r="G8872" s="2">
        <f t="shared" si="138"/>
        <v>0</v>
      </c>
      <c r="H8872" t="s">
        <v>14</v>
      </c>
    </row>
    <row r="8873" spans="2:8" x14ac:dyDescent="0.2">
      <c r="B8873" s="3">
        <v>45243</v>
      </c>
      <c r="G8873" s="2">
        <f t="shared" si="138"/>
        <v>0</v>
      </c>
      <c r="H8873" t="s">
        <v>27</v>
      </c>
    </row>
    <row r="8874" spans="2:8" x14ac:dyDescent="0.2">
      <c r="B8874" s="3">
        <v>45243</v>
      </c>
      <c r="G8874" s="2">
        <f t="shared" si="138"/>
        <v>0</v>
      </c>
      <c r="H8874" t="s">
        <v>13</v>
      </c>
    </row>
    <row r="8875" spans="2:8" x14ac:dyDescent="0.2">
      <c r="B8875" s="3">
        <v>45243</v>
      </c>
      <c r="G8875" s="2">
        <f t="shared" si="138"/>
        <v>0</v>
      </c>
      <c r="H8875" t="s">
        <v>30</v>
      </c>
    </row>
    <row r="8876" spans="2:8" x14ac:dyDescent="0.2">
      <c r="B8876" s="3">
        <v>45243</v>
      </c>
      <c r="G8876" s="2">
        <f t="shared" si="138"/>
        <v>0</v>
      </c>
      <c r="H8876" t="s">
        <v>25</v>
      </c>
    </row>
    <row r="8877" spans="2:8" x14ac:dyDescent="0.2">
      <c r="B8877" s="3">
        <v>45243</v>
      </c>
      <c r="G8877" s="2">
        <f t="shared" si="138"/>
        <v>0</v>
      </c>
      <c r="H8877" t="s">
        <v>24</v>
      </c>
    </row>
    <row r="8878" spans="2:8" x14ac:dyDescent="0.2">
      <c r="B8878" s="3">
        <v>45243</v>
      </c>
      <c r="G8878" s="2">
        <f t="shared" si="138"/>
        <v>0</v>
      </c>
      <c r="H8878" t="s">
        <v>9</v>
      </c>
    </row>
    <row r="8879" spans="2:8" x14ac:dyDescent="0.2">
      <c r="B8879" s="3">
        <v>45243</v>
      </c>
      <c r="G8879" s="2">
        <f t="shared" si="138"/>
        <v>0</v>
      </c>
      <c r="H8879" t="s">
        <v>8</v>
      </c>
    </row>
    <row r="8880" spans="2:8" x14ac:dyDescent="0.2">
      <c r="B8880" s="3">
        <v>45243</v>
      </c>
      <c r="G8880" s="2">
        <f t="shared" si="138"/>
        <v>0</v>
      </c>
      <c r="H8880" t="s">
        <v>6</v>
      </c>
    </row>
    <row r="8881" spans="2:8" x14ac:dyDescent="0.2">
      <c r="B8881" s="3">
        <v>45243</v>
      </c>
      <c r="G8881" s="2">
        <f t="shared" si="138"/>
        <v>0</v>
      </c>
      <c r="H8881" t="s">
        <v>5</v>
      </c>
    </row>
    <row r="8882" spans="2:8" x14ac:dyDescent="0.2">
      <c r="B8882" s="3">
        <v>45243</v>
      </c>
      <c r="G8882" s="2">
        <f t="shared" si="138"/>
        <v>0</v>
      </c>
      <c r="H8882" s="1"/>
    </row>
    <row r="8883" spans="2:8" x14ac:dyDescent="0.2">
      <c r="B8883" s="3">
        <v>45244</v>
      </c>
      <c r="G8883" s="2">
        <f t="shared" si="138"/>
        <v>0</v>
      </c>
      <c r="H8883" t="s">
        <v>14</v>
      </c>
    </row>
    <row r="8884" spans="2:8" x14ac:dyDescent="0.2">
      <c r="B8884" s="3">
        <v>45244</v>
      </c>
      <c r="G8884" s="2">
        <f t="shared" si="138"/>
        <v>0</v>
      </c>
      <c r="H8884" t="s">
        <v>27</v>
      </c>
    </row>
    <row r="8885" spans="2:8" x14ac:dyDescent="0.2">
      <c r="B8885" s="3">
        <v>45244</v>
      </c>
      <c r="G8885" s="2">
        <f t="shared" si="138"/>
        <v>0</v>
      </c>
      <c r="H8885" t="s">
        <v>13</v>
      </c>
    </row>
    <row r="8886" spans="2:8" x14ac:dyDescent="0.2">
      <c r="B8886" s="3">
        <v>45244</v>
      </c>
      <c r="G8886" s="2">
        <f t="shared" si="138"/>
        <v>0</v>
      </c>
      <c r="H8886" t="s">
        <v>30</v>
      </c>
    </row>
    <row r="8887" spans="2:8" x14ac:dyDescent="0.2">
      <c r="B8887" s="3">
        <v>45244</v>
      </c>
      <c r="G8887" s="2">
        <f t="shared" si="138"/>
        <v>0</v>
      </c>
      <c r="H8887" t="s">
        <v>25</v>
      </c>
    </row>
    <row r="8888" spans="2:8" x14ac:dyDescent="0.2">
      <c r="B8888" s="3">
        <v>45244</v>
      </c>
      <c r="G8888" s="2">
        <f t="shared" si="138"/>
        <v>0</v>
      </c>
      <c r="H8888" t="s">
        <v>24</v>
      </c>
    </row>
    <row r="8889" spans="2:8" x14ac:dyDescent="0.2">
      <c r="B8889" s="3">
        <v>45244</v>
      </c>
      <c r="G8889" s="2">
        <f t="shared" si="138"/>
        <v>0</v>
      </c>
      <c r="H8889" t="s">
        <v>9</v>
      </c>
    </row>
    <row r="8890" spans="2:8" x14ac:dyDescent="0.2">
      <c r="B8890" s="3">
        <v>45244</v>
      </c>
      <c r="G8890" s="2">
        <f t="shared" si="138"/>
        <v>0</v>
      </c>
      <c r="H8890" t="s">
        <v>8</v>
      </c>
    </row>
    <row r="8891" spans="2:8" x14ac:dyDescent="0.2">
      <c r="B8891" s="3">
        <v>45244</v>
      </c>
      <c r="G8891" s="2">
        <f t="shared" si="138"/>
        <v>0</v>
      </c>
      <c r="H8891" t="s">
        <v>6</v>
      </c>
    </row>
    <row r="8892" spans="2:8" x14ac:dyDescent="0.2">
      <c r="B8892" s="3">
        <v>45244</v>
      </c>
      <c r="G8892" s="2">
        <f t="shared" si="138"/>
        <v>0</v>
      </c>
      <c r="H8892" t="s">
        <v>5</v>
      </c>
    </row>
    <row r="8893" spans="2:8" x14ac:dyDescent="0.2">
      <c r="B8893" s="3">
        <v>45244</v>
      </c>
      <c r="G8893" s="2">
        <f t="shared" si="138"/>
        <v>0</v>
      </c>
      <c r="H8893" s="1"/>
    </row>
    <row r="8894" spans="2:8" x14ac:dyDescent="0.2">
      <c r="B8894" s="3">
        <v>45245</v>
      </c>
      <c r="G8894" s="2">
        <f t="shared" si="138"/>
        <v>0</v>
      </c>
      <c r="H8894" t="s">
        <v>14</v>
      </c>
    </row>
    <row r="8895" spans="2:8" x14ac:dyDescent="0.2">
      <c r="B8895" s="3">
        <v>45245</v>
      </c>
      <c r="G8895" s="2">
        <f t="shared" si="138"/>
        <v>0</v>
      </c>
      <c r="H8895" t="s">
        <v>27</v>
      </c>
    </row>
    <row r="8896" spans="2:8" x14ac:dyDescent="0.2">
      <c r="B8896" s="3">
        <v>45245</v>
      </c>
      <c r="G8896" s="2">
        <f t="shared" si="138"/>
        <v>0</v>
      </c>
      <c r="H8896" t="s">
        <v>13</v>
      </c>
    </row>
    <row r="8897" spans="2:8" x14ac:dyDescent="0.2">
      <c r="B8897" s="3">
        <v>45245</v>
      </c>
      <c r="G8897" s="2">
        <f t="shared" si="138"/>
        <v>0</v>
      </c>
      <c r="H8897" t="s">
        <v>30</v>
      </c>
    </row>
    <row r="8898" spans="2:8" x14ac:dyDescent="0.2">
      <c r="B8898" s="3">
        <v>45245</v>
      </c>
      <c r="G8898" s="2">
        <f t="shared" si="138"/>
        <v>0</v>
      </c>
      <c r="H8898" t="s">
        <v>25</v>
      </c>
    </row>
    <row r="8899" spans="2:8" x14ac:dyDescent="0.2">
      <c r="B8899" s="3">
        <v>45245</v>
      </c>
      <c r="G8899" s="2">
        <f t="shared" ref="G8899:G8962" si="139">E8899-F8899</f>
        <v>0</v>
      </c>
      <c r="H8899" t="s">
        <v>24</v>
      </c>
    </row>
    <row r="8900" spans="2:8" x14ac:dyDescent="0.2">
      <c r="B8900" s="3">
        <v>45245</v>
      </c>
      <c r="G8900" s="2">
        <f t="shared" si="139"/>
        <v>0</v>
      </c>
      <c r="H8900" t="s">
        <v>9</v>
      </c>
    </row>
    <row r="8901" spans="2:8" x14ac:dyDescent="0.2">
      <c r="B8901" s="3">
        <v>45245</v>
      </c>
      <c r="G8901" s="2">
        <f t="shared" si="139"/>
        <v>0</v>
      </c>
      <c r="H8901" t="s">
        <v>8</v>
      </c>
    </row>
    <row r="8902" spans="2:8" x14ac:dyDescent="0.2">
      <c r="B8902" s="3">
        <v>45245</v>
      </c>
      <c r="G8902" s="2">
        <f t="shared" si="139"/>
        <v>0</v>
      </c>
      <c r="H8902" t="s">
        <v>6</v>
      </c>
    </row>
    <row r="8903" spans="2:8" x14ac:dyDescent="0.2">
      <c r="B8903" s="3">
        <v>45245</v>
      </c>
      <c r="G8903" s="2">
        <f t="shared" si="139"/>
        <v>0</v>
      </c>
      <c r="H8903" t="s">
        <v>5</v>
      </c>
    </row>
    <row r="8904" spans="2:8" x14ac:dyDescent="0.2">
      <c r="B8904" s="3">
        <v>45245</v>
      </c>
      <c r="G8904" s="2">
        <f t="shared" si="139"/>
        <v>0</v>
      </c>
      <c r="H8904" s="1"/>
    </row>
    <row r="8905" spans="2:8" x14ac:dyDescent="0.2">
      <c r="B8905" s="3">
        <v>45246</v>
      </c>
      <c r="G8905" s="2">
        <f t="shared" si="139"/>
        <v>0</v>
      </c>
      <c r="H8905" t="s">
        <v>14</v>
      </c>
    </row>
    <row r="8906" spans="2:8" x14ac:dyDescent="0.2">
      <c r="B8906" s="3">
        <v>45246</v>
      </c>
      <c r="G8906" s="2">
        <f t="shared" si="139"/>
        <v>0</v>
      </c>
      <c r="H8906" t="s">
        <v>27</v>
      </c>
    </row>
    <row r="8907" spans="2:8" x14ac:dyDescent="0.2">
      <c r="B8907" s="3">
        <v>45246</v>
      </c>
      <c r="G8907" s="2">
        <f t="shared" si="139"/>
        <v>0</v>
      </c>
      <c r="H8907" t="s">
        <v>13</v>
      </c>
    </row>
    <row r="8908" spans="2:8" x14ac:dyDescent="0.2">
      <c r="B8908" s="3">
        <v>45246</v>
      </c>
      <c r="G8908" s="2">
        <f t="shared" si="139"/>
        <v>0</v>
      </c>
      <c r="H8908" t="s">
        <v>30</v>
      </c>
    </row>
    <row r="8909" spans="2:8" x14ac:dyDescent="0.2">
      <c r="B8909" s="3">
        <v>45246</v>
      </c>
      <c r="G8909" s="2">
        <f t="shared" si="139"/>
        <v>0</v>
      </c>
      <c r="H8909" t="s">
        <v>25</v>
      </c>
    </row>
    <row r="8910" spans="2:8" x14ac:dyDescent="0.2">
      <c r="B8910" s="3">
        <v>45246</v>
      </c>
      <c r="G8910" s="2">
        <f t="shared" si="139"/>
        <v>0</v>
      </c>
      <c r="H8910" t="s">
        <v>24</v>
      </c>
    </row>
    <row r="8911" spans="2:8" x14ac:dyDescent="0.2">
      <c r="B8911" s="3">
        <v>45246</v>
      </c>
      <c r="G8911" s="2">
        <f t="shared" si="139"/>
        <v>0</v>
      </c>
      <c r="H8911" t="s">
        <v>9</v>
      </c>
    </row>
    <row r="8912" spans="2:8" x14ac:dyDescent="0.2">
      <c r="B8912" s="3">
        <v>45246</v>
      </c>
      <c r="G8912" s="2">
        <f t="shared" si="139"/>
        <v>0</v>
      </c>
      <c r="H8912" t="s">
        <v>8</v>
      </c>
    </row>
    <row r="8913" spans="2:8" x14ac:dyDescent="0.2">
      <c r="B8913" s="3">
        <v>45246</v>
      </c>
      <c r="G8913" s="2">
        <f t="shared" si="139"/>
        <v>0</v>
      </c>
      <c r="H8913" t="s">
        <v>6</v>
      </c>
    </row>
    <row r="8914" spans="2:8" x14ac:dyDescent="0.2">
      <c r="B8914" s="3">
        <v>45246</v>
      </c>
      <c r="G8914" s="2">
        <f t="shared" si="139"/>
        <v>0</v>
      </c>
      <c r="H8914" t="s">
        <v>5</v>
      </c>
    </row>
    <row r="8915" spans="2:8" x14ac:dyDescent="0.2">
      <c r="B8915" s="3">
        <v>45246</v>
      </c>
      <c r="G8915" s="2">
        <f t="shared" si="139"/>
        <v>0</v>
      </c>
      <c r="H8915" s="1"/>
    </row>
    <row r="8916" spans="2:8" x14ac:dyDescent="0.2">
      <c r="B8916" s="3">
        <v>45246</v>
      </c>
      <c r="G8916" s="2">
        <f t="shared" si="139"/>
        <v>0</v>
      </c>
      <c r="H8916" t="s">
        <v>0</v>
      </c>
    </row>
    <row r="8917" spans="2:8" x14ac:dyDescent="0.2">
      <c r="B8917" s="3">
        <v>45247</v>
      </c>
      <c r="G8917" s="2">
        <f t="shared" si="139"/>
        <v>0</v>
      </c>
      <c r="H8917" t="s">
        <v>14</v>
      </c>
    </row>
    <row r="8918" spans="2:8" x14ac:dyDescent="0.2">
      <c r="B8918" s="3">
        <v>45247</v>
      </c>
      <c r="G8918" s="2">
        <f t="shared" si="139"/>
        <v>0</v>
      </c>
      <c r="H8918" t="s">
        <v>27</v>
      </c>
    </row>
    <row r="8919" spans="2:8" x14ac:dyDescent="0.2">
      <c r="B8919" s="3">
        <v>45247</v>
      </c>
      <c r="G8919" s="2">
        <f t="shared" si="139"/>
        <v>0</v>
      </c>
      <c r="H8919" t="s">
        <v>13</v>
      </c>
    </row>
    <row r="8920" spans="2:8" x14ac:dyDescent="0.2">
      <c r="B8920" s="3">
        <v>45247</v>
      </c>
      <c r="G8920" s="2">
        <f t="shared" si="139"/>
        <v>0</v>
      </c>
      <c r="H8920" t="s">
        <v>30</v>
      </c>
    </row>
    <row r="8921" spans="2:8" x14ac:dyDescent="0.2">
      <c r="B8921" s="3">
        <v>45247</v>
      </c>
      <c r="G8921" s="2">
        <f t="shared" si="139"/>
        <v>0</v>
      </c>
      <c r="H8921" t="s">
        <v>25</v>
      </c>
    </row>
    <row r="8922" spans="2:8" x14ac:dyDescent="0.2">
      <c r="B8922" s="3">
        <v>45247</v>
      </c>
      <c r="G8922" s="2">
        <f t="shared" si="139"/>
        <v>0</v>
      </c>
      <c r="H8922" t="s">
        <v>24</v>
      </c>
    </row>
    <row r="8923" spans="2:8" x14ac:dyDescent="0.2">
      <c r="B8923" s="3">
        <v>45247</v>
      </c>
      <c r="G8923" s="2">
        <f t="shared" si="139"/>
        <v>0</v>
      </c>
      <c r="H8923" t="s">
        <v>9</v>
      </c>
    </row>
    <row r="8924" spans="2:8" x14ac:dyDescent="0.2">
      <c r="B8924" s="3">
        <v>45247</v>
      </c>
      <c r="G8924" s="2">
        <f t="shared" si="139"/>
        <v>0</v>
      </c>
      <c r="H8924" t="s">
        <v>8</v>
      </c>
    </row>
    <row r="8925" spans="2:8" x14ac:dyDescent="0.2">
      <c r="B8925" s="3">
        <v>45247</v>
      </c>
      <c r="G8925" s="2">
        <f t="shared" si="139"/>
        <v>0</v>
      </c>
      <c r="H8925" t="s">
        <v>6</v>
      </c>
    </row>
    <row r="8926" spans="2:8" x14ac:dyDescent="0.2">
      <c r="B8926" s="3">
        <v>45247</v>
      </c>
      <c r="G8926" s="2">
        <f t="shared" si="139"/>
        <v>0</v>
      </c>
      <c r="H8926" t="s">
        <v>5</v>
      </c>
    </row>
    <row r="8927" spans="2:8" x14ac:dyDescent="0.2">
      <c r="B8927" s="3">
        <v>45247</v>
      </c>
      <c r="G8927" s="2">
        <f t="shared" si="139"/>
        <v>0</v>
      </c>
      <c r="H8927" s="1"/>
    </row>
    <row r="8928" spans="2:8" x14ac:dyDescent="0.2">
      <c r="B8928" s="3">
        <v>45247</v>
      </c>
      <c r="G8928" s="2">
        <f t="shared" si="139"/>
        <v>0</v>
      </c>
      <c r="H8928" t="s">
        <v>0</v>
      </c>
    </row>
    <row r="8929" spans="2:8" x14ac:dyDescent="0.2">
      <c r="B8929" s="3">
        <v>45248</v>
      </c>
      <c r="G8929" s="2">
        <f t="shared" si="139"/>
        <v>0</v>
      </c>
      <c r="H8929" t="s">
        <v>14</v>
      </c>
    </row>
    <row r="8930" spans="2:8" x14ac:dyDescent="0.2">
      <c r="B8930" s="3">
        <v>45248</v>
      </c>
      <c r="G8930" s="2">
        <f t="shared" si="139"/>
        <v>0</v>
      </c>
      <c r="H8930" t="s">
        <v>27</v>
      </c>
    </row>
    <row r="8931" spans="2:8" x14ac:dyDescent="0.2">
      <c r="B8931" s="3">
        <v>45248</v>
      </c>
      <c r="F8931" s="1">
        <v>3000</v>
      </c>
      <c r="G8931" s="2">
        <f t="shared" si="139"/>
        <v>-3000</v>
      </c>
      <c r="H8931" t="s">
        <v>13</v>
      </c>
    </row>
    <row r="8932" spans="2:8" x14ac:dyDescent="0.2">
      <c r="B8932" s="3">
        <v>45248</v>
      </c>
      <c r="G8932" s="2">
        <f t="shared" si="139"/>
        <v>0</v>
      </c>
      <c r="H8932" t="s">
        <v>30</v>
      </c>
    </row>
    <row r="8933" spans="2:8" x14ac:dyDescent="0.2">
      <c r="B8933" s="3">
        <v>45248</v>
      </c>
      <c r="G8933" s="2">
        <f t="shared" si="139"/>
        <v>0</v>
      </c>
      <c r="H8933" t="s">
        <v>25</v>
      </c>
    </row>
    <row r="8934" spans="2:8" x14ac:dyDescent="0.2">
      <c r="B8934" s="3">
        <v>45248</v>
      </c>
      <c r="G8934" s="2">
        <f t="shared" si="139"/>
        <v>0</v>
      </c>
      <c r="H8934" t="s">
        <v>24</v>
      </c>
    </row>
    <row r="8935" spans="2:8" x14ac:dyDescent="0.2">
      <c r="B8935" s="3">
        <v>45248</v>
      </c>
      <c r="G8935" s="2">
        <f t="shared" si="139"/>
        <v>0</v>
      </c>
      <c r="H8935" t="s">
        <v>9</v>
      </c>
    </row>
    <row r="8936" spans="2:8" x14ac:dyDescent="0.2">
      <c r="B8936" s="3">
        <v>45248</v>
      </c>
      <c r="G8936" s="2">
        <f t="shared" si="139"/>
        <v>0</v>
      </c>
      <c r="H8936" t="s">
        <v>8</v>
      </c>
    </row>
    <row r="8937" spans="2:8" x14ac:dyDescent="0.2">
      <c r="B8937" s="3">
        <v>45248</v>
      </c>
      <c r="G8937" s="2">
        <f t="shared" si="139"/>
        <v>0</v>
      </c>
      <c r="H8937" t="s">
        <v>6</v>
      </c>
    </row>
    <row r="8938" spans="2:8" x14ac:dyDescent="0.2">
      <c r="B8938" s="3">
        <v>45248</v>
      </c>
      <c r="G8938" s="2">
        <f t="shared" si="139"/>
        <v>0</v>
      </c>
      <c r="H8938" t="s">
        <v>5</v>
      </c>
    </row>
    <row r="8939" spans="2:8" x14ac:dyDescent="0.2">
      <c r="B8939" s="3">
        <v>45248</v>
      </c>
      <c r="G8939" s="2">
        <f t="shared" si="139"/>
        <v>0</v>
      </c>
      <c r="H8939" s="1"/>
    </row>
    <row r="8940" spans="2:8" x14ac:dyDescent="0.2">
      <c r="B8940" s="3">
        <v>45248</v>
      </c>
      <c r="G8940" s="2">
        <f t="shared" si="139"/>
        <v>0</v>
      </c>
      <c r="H8940" t="s">
        <v>0</v>
      </c>
    </row>
    <row r="8941" spans="2:8" x14ac:dyDescent="0.2">
      <c r="B8941" s="3">
        <v>45249</v>
      </c>
      <c r="D8941" s="1">
        <v>9936</v>
      </c>
      <c r="E8941" s="1">
        <v>11800</v>
      </c>
      <c r="F8941" s="1">
        <v>15000</v>
      </c>
      <c r="G8941" s="2">
        <f t="shared" si="139"/>
        <v>-3200</v>
      </c>
      <c r="H8941" t="s">
        <v>14</v>
      </c>
    </row>
    <row r="8942" spans="2:8" x14ac:dyDescent="0.2">
      <c r="B8942" s="3">
        <v>45249</v>
      </c>
      <c r="G8942" s="2">
        <f t="shared" si="139"/>
        <v>0</v>
      </c>
      <c r="H8942" t="s">
        <v>27</v>
      </c>
    </row>
    <row r="8943" spans="2:8" x14ac:dyDescent="0.2">
      <c r="B8943" s="3">
        <v>45249</v>
      </c>
      <c r="G8943" s="2">
        <f t="shared" si="139"/>
        <v>0</v>
      </c>
      <c r="H8943" t="s">
        <v>13</v>
      </c>
    </row>
    <row r="8944" spans="2:8" x14ac:dyDescent="0.2">
      <c r="B8944" s="3">
        <v>45249</v>
      </c>
      <c r="G8944" s="2">
        <f t="shared" si="139"/>
        <v>0</v>
      </c>
      <c r="H8944" t="s">
        <v>30</v>
      </c>
    </row>
    <row r="8945" spans="2:8" x14ac:dyDescent="0.2">
      <c r="B8945" s="3">
        <v>45249</v>
      </c>
      <c r="G8945" s="2">
        <f t="shared" si="139"/>
        <v>0</v>
      </c>
      <c r="H8945" t="s">
        <v>25</v>
      </c>
    </row>
    <row r="8946" spans="2:8" x14ac:dyDescent="0.2">
      <c r="B8946" s="3">
        <v>45249</v>
      </c>
      <c r="G8946" s="2">
        <f t="shared" si="139"/>
        <v>0</v>
      </c>
      <c r="H8946" t="s">
        <v>24</v>
      </c>
    </row>
    <row r="8947" spans="2:8" x14ac:dyDescent="0.2">
      <c r="B8947" s="3">
        <v>45249</v>
      </c>
      <c r="G8947" s="2">
        <f t="shared" si="139"/>
        <v>0</v>
      </c>
      <c r="H8947" t="s">
        <v>9</v>
      </c>
    </row>
    <row r="8948" spans="2:8" x14ac:dyDescent="0.2">
      <c r="B8948" s="3">
        <v>45249</v>
      </c>
      <c r="F8948" s="1">
        <v>20000</v>
      </c>
      <c r="G8948" s="2">
        <f t="shared" si="139"/>
        <v>-20000</v>
      </c>
      <c r="H8948" t="s">
        <v>8</v>
      </c>
    </row>
    <row r="8949" spans="2:8" x14ac:dyDescent="0.2">
      <c r="B8949" s="3">
        <v>45249</v>
      </c>
      <c r="G8949" s="2">
        <f t="shared" si="139"/>
        <v>0</v>
      </c>
      <c r="H8949" t="s">
        <v>6</v>
      </c>
    </row>
    <row r="8950" spans="2:8" x14ac:dyDescent="0.2">
      <c r="B8950" s="3">
        <v>45249</v>
      </c>
      <c r="G8950" s="2">
        <f t="shared" si="139"/>
        <v>0</v>
      </c>
      <c r="H8950" t="s">
        <v>5</v>
      </c>
    </row>
    <row r="8951" spans="2:8" x14ac:dyDescent="0.2">
      <c r="B8951" s="3">
        <v>45249</v>
      </c>
      <c r="G8951" s="2">
        <f t="shared" si="139"/>
        <v>0</v>
      </c>
      <c r="H8951" s="1"/>
    </row>
    <row r="8952" spans="2:8" x14ac:dyDescent="0.2">
      <c r="B8952" s="3">
        <v>45249</v>
      </c>
      <c r="D8952" s="1">
        <v>34207.65</v>
      </c>
      <c r="E8952" s="1">
        <v>35217.949999999997</v>
      </c>
      <c r="G8952" s="2">
        <f t="shared" si="139"/>
        <v>35217.949999999997</v>
      </c>
      <c r="H8952" t="s">
        <v>0</v>
      </c>
    </row>
    <row r="8953" spans="2:8" x14ac:dyDescent="0.2">
      <c r="B8953" s="3">
        <v>45250</v>
      </c>
      <c r="G8953" s="2">
        <f t="shared" si="139"/>
        <v>0</v>
      </c>
      <c r="H8953" t="s">
        <v>14</v>
      </c>
    </row>
    <row r="8954" spans="2:8" x14ac:dyDescent="0.2">
      <c r="B8954" s="3">
        <v>45250</v>
      </c>
      <c r="G8954" s="2">
        <f t="shared" si="139"/>
        <v>0</v>
      </c>
      <c r="H8954" t="s">
        <v>27</v>
      </c>
    </row>
    <row r="8955" spans="2:8" x14ac:dyDescent="0.2">
      <c r="B8955" s="3">
        <v>45250</v>
      </c>
      <c r="D8955" s="1">
        <v>534</v>
      </c>
      <c r="E8955" s="1">
        <v>637.5</v>
      </c>
      <c r="G8955" s="2">
        <f t="shared" si="139"/>
        <v>637.5</v>
      </c>
      <c r="H8955" t="s">
        <v>13</v>
      </c>
    </row>
    <row r="8956" spans="2:8" x14ac:dyDescent="0.2">
      <c r="B8956" s="3">
        <v>45250</v>
      </c>
      <c r="G8956" s="2">
        <f t="shared" si="139"/>
        <v>0</v>
      </c>
      <c r="H8956" t="s">
        <v>30</v>
      </c>
    </row>
    <row r="8957" spans="2:8" x14ac:dyDescent="0.2">
      <c r="B8957" s="3">
        <v>45250</v>
      </c>
      <c r="G8957" s="2">
        <f t="shared" si="139"/>
        <v>0</v>
      </c>
      <c r="H8957" t="s">
        <v>25</v>
      </c>
    </row>
    <row r="8958" spans="2:8" x14ac:dyDescent="0.2">
      <c r="B8958" s="3">
        <v>45250</v>
      </c>
      <c r="G8958" s="2">
        <f t="shared" si="139"/>
        <v>0</v>
      </c>
      <c r="H8958" t="s">
        <v>24</v>
      </c>
    </row>
    <row r="8959" spans="2:8" x14ac:dyDescent="0.2">
      <c r="B8959" s="3">
        <v>45250</v>
      </c>
      <c r="G8959" s="2">
        <f t="shared" si="139"/>
        <v>0</v>
      </c>
      <c r="H8959" t="s">
        <v>9</v>
      </c>
    </row>
    <row r="8960" spans="2:8" x14ac:dyDescent="0.2">
      <c r="B8960" s="3">
        <v>45250</v>
      </c>
      <c r="G8960" s="2">
        <f t="shared" si="139"/>
        <v>0</v>
      </c>
      <c r="H8960" t="s">
        <v>8</v>
      </c>
    </row>
    <row r="8961" spans="2:8" x14ac:dyDescent="0.2">
      <c r="B8961" s="3">
        <v>45250</v>
      </c>
      <c r="G8961" s="2">
        <f t="shared" si="139"/>
        <v>0</v>
      </c>
      <c r="H8961" t="s">
        <v>6</v>
      </c>
    </row>
    <row r="8962" spans="2:8" x14ac:dyDescent="0.2">
      <c r="B8962" s="3">
        <v>45250</v>
      </c>
      <c r="G8962" s="2">
        <f t="shared" si="139"/>
        <v>0</v>
      </c>
      <c r="H8962" t="s">
        <v>5</v>
      </c>
    </row>
    <row r="8963" spans="2:8" x14ac:dyDescent="0.2">
      <c r="B8963" s="3">
        <v>45250</v>
      </c>
      <c r="D8963" s="1">
        <v>1640</v>
      </c>
      <c r="E8963" s="1">
        <v>1950</v>
      </c>
      <c r="F8963" s="1">
        <v>1950</v>
      </c>
      <c r="G8963" s="2">
        <f t="shared" ref="G8963:G9026" si="140">E8963-F8963</f>
        <v>0</v>
      </c>
      <c r="H8963" s="1"/>
    </row>
    <row r="8964" spans="2:8" x14ac:dyDescent="0.2">
      <c r="B8964" s="3">
        <v>45250</v>
      </c>
      <c r="G8964" s="2">
        <f t="shared" si="140"/>
        <v>0</v>
      </c>
      <c r="H8964" t="s">
        <v>0</v>
      </c>
    </row>
    <row r="8965" spans="2:8" x14ac:dyDescent="0.2">
      <c r="B8965" s="3">
        <v>45251</v>
      </c>
      <c r="G8965" s="2">
        <f t="shared" si="140"/>
        <v>0</v>
      </c>
      <c r="H8965" t="s">
        <v>14</v>
      </c>
    </row>
    <row r="8966" spans="2:8" x14ac:dyDescent="0.2">
      <c r="B8966" s="3">
        <v>45251</v>
      </c>
      <c r="G8966" s="2">
        <f t="shared" si="140"/>
        <v>0</v>
      </c>
      <c r="H8966" t="s">
        <v>27</v>
      </c>
    </row>
    <row r="8967" spans="2:8" x14ac:dyDescent="0.2">
      <c r="B8967" s="3">
        <v>45251</v>
      </c>
      <c r="G8967" s="2">
        <f t="shared" si="140"/>
        <v>0</v>
      </c>
      <c r="H8967" t="s">
        <v>13</v>
      </c>
    </row>
    <row r="8968" spans="2:8" x14ac:dyDescent="0.2">
      <c r="B8968" s="3">
        <v>45251</v>
      </c>
      <c r="G8968" s="2">
        <f t="shared" si="140"/>
        <v>0</v>
      </c>
      <c r="H8968" t="s">
        <v>30</v>
      </c>
    </row>
    <row r="8969" spans="2:8" x14ac:dyDescent="0.2">
      <c r="B8969" s="3">
        <v>45251</v>
      </c>
      <c r="G8969" s="2">
        <f t="shared" si="140"/>
        <v>0</v>
      </c>
      <c r="H8969" t="s">
        <v>25</v>
      </c>
    </row>
    <row r="8970" spans="2:8" x14ac:dyDescent="0.2">
      <c r="B8970" s="3">
        <v>45251</v>
      </c>
      <c r="G8970" s="2">
        <f t="shared" si="140"/>
        <v>0</v>
      </c>
      <c r="H8970" t="s">
        <v>24</v>
      </c>
    </row>
    <row r="8971" spans="2:8" x14ac:dyDescent="0.2">
      <c r="B8971" s="3">
        <v>45251</v>
      </c>
      <c r="G8971" s="2">
        <f t="shared" si="140"/>
        <v>0</v>
      </c>
      <c r="H8971" t="s">
        <v>9</v>
      </c>
    </row>
    <row r="8972" spans="2:8" x14ac:dyDescent="0.2">
      <c r="B8972" s="3">
        <v>45251</v>
      </c>
      <c r="D8972" s="1">
        <v>9277.5</v>
      </c>
      <c r="E8972" s="1">
        <v>10677.5</v>
      </c>
      <c r="G8972" s="2">
        <f t="shared" si="140"/>
        <v>10677.5</v>
      </c>
      <c r="H8972" t="s">
        <v>8</v>
      </c>
    </row>
    <row r="8973" spans="2:8" x14ac:dyDescent="0.2">
      <c r="B8973" s="3">
        <v>45251</v>
      </c>
      <c r="G8973" s="2">
        <f t="shared" si="140"/>
        <v>0</v>
      </c>
      <c r="H8973" t="s">
        <v>6</v>
      </c>
    </row>
    <row r="8974" spans="2:8" x14ac:dyDescent="0.2">
      <c r="B8974" s="3">
        <v>45251</v>
      </c>
      <c r="G8974" s="2">
        <f t="shared" si="140"/>
        <v>0</v>
      </c>
      <c r="H8974" t="s">
        <v>5</v>
      </c>
    </row>
    <row r="8975" spans="2:8" x14ac:dyDescent="0.2">
      <c r="B8975" s="3">
        <v>45251</v>
      </c>
      <c r="G8975" s="2">
        <f t="shared" si="140"/>
        <v>0</v>
      </c>
      <c r="H8975" s="1"/>
    </row>
    <row r="8976" spans="2:8" x14ac:dyDescent="0.2">
      <c r="B8976" s="3">
        <v>45251</v>
      </c>
      <c r="D8976" s="1">
        <v>6451.78</v>
      </c>
      <c r="E8976" s="1">
        <v>6838.02</v>
      </c>
      <c r="F8976" s="1">
        <v>42055.97</v>
      </c>
      <c r="G8976" s="2">
        <f t="shared" si="140"/>
        <v>-35217.949999999997</v>
      </c>
      <c r="H8976" t="s">
        <v>0</v>
      </c>
    </row>
    <row r="8977" spans="2:8" x14ac:dyDescent="0.2">
      <c r="B8977" s="3">
        <v>45252</v>
      </c>
      <c r="G8977" s="2">
        <f t="shared" si="140"/>
        <v>0</v>
      </c>
      <c r="H8977" t="s">
        <v>14</v>
      </c>
    </row>
    <row r="8978" spans="2:8" x14ac:dyDescent="0.2">
      <c r="B8978" s="3">
        <v>45252</v>
      </c>
      <c r="G8978" s="2">
        <f t="shared" si="140"/>
        <v>0</v>
      </c>
      <c r="H8978" t="s">
        <v>27</v>
      </c>
    </row>
    <row r="8979" spans="2:8" x14ac:dyDescent="0.2">
      <c r="B8979" s="3">
        <v>45252</v>
      </c>
      <c r="G8979" s="2">
        <f t="shared" si="140"/>
        <v>0</v>
      </c>
      <c r="H8979" t="s">
        <v>13</v>
      </c>
    </row>
    <row r="8980" spans="2:8" x14ac:dyDescent="0.2">
      <c r="B8980" s="3">
        <v>45252</v>
      </c>
      <c r="G8980" s="2">
        <f t="shared" si="140"/>
        <v>0</v>
      </c>
      <c r="H8980" t="s">
        <v>30</v>
      </c>
    </row>
    <row r="8981" spans="2:8" x14ac:dyDescent="0.2">
      <c r="B8981" s="3">
        <v>45252</v>
      </c>
      <c r="G8981" s="2">
        <f t="shared" si="140"/>
        <v>0</v>
      </c>
      <c r="H8981" t="s">
        <v>25</v>
      </c>
    </row>
    <row r="8982" spans="2:8" x14ac:dyDescent="0.2">
      <c r="B8982" s="3">
        <v>45252</v>
      </c>
      <c r="G8982" s="2">
        <f t="shared" si="140"/>
        <v>0</v>
      </c>
      <c r="H8982" t="s">
        <v>24</v>
      </c>
    </row>
    <row r="8983" spans="2:8" x14ac:dyDescent="0.2">
      <c r="B8983" s="3">
        <v>45252</v>
      </c>
      <c r="G8983" s="2">
        <f t="shared" si="140"/>
        <v>0</v>
      </c>
      <c r="H8983" t="s">
        <v>9</v>
      </c>
    </row>
    <row r="8984" spans="2:8" x14ac:dyDescent="0.2">
      <c r="B8984" s="3">
        <v>45252</v>
      </c>
      <c r="G8984" s="2">
        <f t="shared" si="140"/>
        <v>0</v>
      </c>
      <c r="H8984" t="s">
        <v>8</v>
      </c>
    </row>
    <row r="8985" spans="2:8" x14ac:dyDescent="0.2">
      <c r="B8985" s="3">
        <v>45252</v>
      </c>
      <c r="G8985" s="2">
        <f t="shared" si="140"/>
        <v>0</v>
      </c>
      <c r="H8985" t="s">
        <v>6</v>
      </c>
    </row>
    <row r="8986" spans="2:8" x14ac:dyDescent="0.2">
      <c r="B8986" s="3">
        <v>45252</v>
      </c>
      <c r="G8986" s="2">
        <f t="shared" si="140"/>
        <v>0</v>
      </c>
      <c r="H8986" t="s">
        <v>5</v>
      </c>
    </row>
    <row r="8987" spans="2:8" x14ac:dyDescent="0.2">
      <c r="B8987" s="3">
        <v>45252</v>
      </c>
      <c r="G8987" s="2">
        <f t="shared" si="140"/>
        <v>0</v>
      </c>
      <c r="H8987" s="1"/>
    </row>
    <row r="8988" spans="2:8" x14ac:dyDescent="0.2">
      <c r="B8988" s="3">
        <v>45252</v>
      </c>
      <c r="G8988" s="2">
        <f t="shared" si="140"/>
        <v>0</v>
      </c>
      <c r="H8988" t="s">
        <v>0</v>
      </c>
    </row>
    <row r="8989" spans="2:8" x14ac:dyDescent="0.2">
      <c r="B8989" s="3">
        <v>45253</v>
      </c>
      <c r="G8989" s="2">
        <f t="shared" si="140"/>
        <v>0</v>
      </c>
      <c r="H8989" t="s">
        <v>14</v>
      </c>
    </row>
    <row r="8990" spans="2:8" x14ac:dyDescent="0.2">
      <c r="B8990" s="3">
        <v>45253</v>
      </c>
      <c r="G8990" s="2">
        <f t="shared" si="140"/>
        <v>0</v>
      </c>
      <c r="H8990" t="s">
        <v>27</v>
      </c>
    </row>
    <row r="8991" spans="2:8" x14ac:dyDescent="0.2">
      <c r="B8991" s="3">
        <v>45253</v>
      </c>
      <c r="G8991" s="2">
        <f t="shared" si="140"/>
        <v>0</v>
      </c>
      <c r="H8991" t="s">
        <v>13</v>
      </c>
    </row>
    <row r="8992" spans="2:8" x14ac:dyDescent="0.2">
      <c r="B8992" s="3">
        <v>45253</v>
      </c>
      <c r="G8992" s="2">
        <f t="shared" si="140"/>
        <v>0</v>
      </c>
      <c r="H8992" t="s">
        <v>30</v>
      </c>
    </row>
    <row r="8993" spans="2:8" x14ac:dyDescent="0.2">
      <c r="B8993" s="3">
        <v>45253</v>
      </c>
      <c r="G8993" s="2">
        <f t="shared" si="140"/>
        <v>0</v>
      </c>
      <c r="H8993" t="s">
        <v>25</v>
      </c>
    </row>
    <row r="8994" spans="2:8" x14ac:dyDescent="0.2">
      <c r="B8994" s="3">
        <v>45253</v>
      </c>
      <c r="G8994" s="2">
        <f t="shared" si="140"/>
        <v>0</v>
      </c>
      <c r="H8994" t="s">
        <v>24</v>
      </c>
    </row>
    <row r="8995" spans="2:8" x14ac:dyDescent="0.2">
      <c r="B8995" s="3">
        <v>45253</v>
      </c>
      <c r="G8995" s="2">
        <f t="shared" si="140"/>
        <v>0</v>
      </c>
      <c r="H8995" t="s">
        <v>9</v>
      </c>
    </row>
    <row r="8996" spans="2:8" x14ac:dyDescent="0.2">
      <c r="B8996" s="3">
        <v>45253</v>
      </c>
      <c r="F8996" s="1">
        <v>10000</v>
      </c>
      <c r="G8996" s="2">
        <f t="shared" si="140"/>
        <v>-10000</v>
      </c>
      <c r="H8996" t="s">
        <v>8</v>
      </c>
    </row>
    <row r="8997" spans="2:8" x14ac:dyDescent="0.2">
      <c r="B8997" s="3">
        <v>45253</v>
      </c>
      <c r="G8997" s="2">
        <f t="shared" si="140"/>
        <v>0</v>
      </c>
      <c r="H8997" t="s">
        <v>6</v>
      </c>
    </row>
    <row r="8998" spans="2:8" x14ac:dyDescent="0.2">
      <c r="B8998" s="3">
        <v>45253</v>
      </c>
      <c r="G8998" s="2">
        <f t="shared" si="140"/>
        <v>0</v>
      </c>
      <c r="H8998" t="s">
        <v>5</v>
      </c>
    </row>
    <row r="8999" spans="2:8" x14ac:dyDescent="0.2">
      <c r="B8999" s="3">
        <v>45253</v>
      </c>
      <c r="G8999" s="2">
        <f t="shared" si="140"/>
        <v>0</v>
      </c>
      <c r="H8999" s="1"/>
    </row>
    <row r="9000" spans="2:8" x14ac:dyDescent="0.2">
      <c r="B9000" s="3">
        <v>45253</v>
      </c>
      <c r="G9000" s="2">
        <f t="shared" si="140"/>
        <v>0</v>
      </c>
      <c r="H9000" t="s">
        <v>0</v>
      </c>
    </row>
    <row r="9001" spans="2:8" x14ac:dyDescent="0.2">
      <c r="B9001" s="3">
        <v>45254</v>
      </c>
      <c r="G9001" s="2">
        <f t="shared" si="140"/>
        <v>0</v>
      </c>
      <c r="H9001" t="s">
        <v>14</v>
      </c>
    </row>
    <row r="9002" spans="2:8" x14ac:dyDescent="0.2">
      <c r="B9002" s="3">
        <v>45254</v>
      </c>
      <c r="G9002" s="2">
        <f t="shared" si="140"/>
        <v>0</v>
      </c>
      <c r="H9002" t="s">
        <v>27</v>
      </c>
    </row>
    <row r="9003" spans="2:8" x14ac:dyDescent="0.2">
      <c r="B9003" s="3">
        <v>45254</v>
      </c>
      <c r="G9003" s="2">
        <f t="shared" si="140"/>
        <v>0</v>
      </c>
      <c r="H9003" t="s">
        <v>13</v>
      </c>
    </row>
    <row r="9004" spans="2:8" x14ac:dyDescent="0.2">
      <c r="B9004" s="3">
        <v>45254</v>
      </c>
      <c r="G9004" s="2">
        <f t="shared" si="140"/>
        <v>0</v>
      </c>
      <c r="H9004" t="s">
        <v>30</v>
      </c>
    </row>
    <row r="9005" spans="2:8" x14ac:dyDescent="0.2">
      <c r="B9005" s="3">
        <v>45254</v>
      </c>
      <c r="G9005" s="2">
        <f t="shared" si="140"/>
        <v>0</v>
      </c>
      <c r="H9005" t="s">
        <v>25</v>
      </c>
    </row>
    <row r="9006" spans="2:8" x14ac:dyDescent="0.2">
      <c r="B9006" s="3">
        <v>45254</v>
      </c>
      <c r="G9006" s="2">
        <f t="shared" si="140"/>
        <v>0</v>
      </c>
      <c r="H9006" t="s">
        <v>24</v>
      </c>
    </row>
    <row r="9007" spans="2:8" x14ac:dyDescent="0.2">
      <c r="B9007" s="3">
        <v>45254</v>
      </c>
      <c r="G9007" s="2">
        <f t="shared" si="140"/>
        <v>0</v>
      </c>
      <c r="H9007" t="s">
        <v>9</v>
      </c>
    </row>
    <row r="9008" spans="2:8" x14ac:dyDescent="0.2">
      <c r="B9008" s="3">
        <v>45254</v>
      </c>
      <c r="G9008" s="2">
        <f t="shared" si="140"/>
        <v>0</v>
      </c>
      <c r="H9008" t="s">
        <v>8</v>
      </c>
    </row>
    <row r="9009" spans="2:8" x14ac:dyDescent="0.2">
      <c r="B9009" s="3">
        <v>45254</v>
      </c>
      <c r="G9009" s="2">
        <f t="shared" si="140"/>
        <v>0</v>
      </c>
      <c r="H9009" t="s">
        <v>6</v>
      </c>
    </row>
    <row r="9010" spans="2:8" x14ac:dyDescent="0.2">
      <c r="B9010" s="3">
        <v>45254</v>
      </c>
      <c r="G9010" s="2">
        <f t="shared" si="140"/>
        <v>0</v>
      </c>
      <c r="H9010" t="s">
        <v>5</v>
      </c>
    </row>
    <row r="9011" spans="2:8" x14ac:dyDescent="0.2">
      <c r="B9011" s="3">
        <v>45254</v>
      </c>
      <c r="G9011" s="2">
        <f t="shared" si="140"/>
        <v>0</v>
      </c>
      <c r="H9011" s="1"/>
    </row>
    <row r="9012" spans="2:8" x14ac:dyDescent="0.2">
      <c r="B9012" s="3">
        <v>45254</v>
      </c>
      <c r="G9012" s="2">
        <f t="shared" si="140"/>
        <v>0</v>
      </c>
      <c r="H9012" t="s">
        <v>0</v>
      </c>
    </row>
    <row r="9013" spans="2:8" x14ac:dyDescent="0.2">
      <c r="B9013" s="3">
        <v>45255</v>
      </c>
      <c r="G9013" s="2">
        <f t="shared" si="140"/>
        <v>0</v>
      </c>
      <c r="H9013" t="s">
        <v>14</v>
      </c>
    </row>
    <row r="9014" spans="2:8" x14ac:dyDescent="0.2">
      <c r="B9014" s="3">
        <v>45255</v>
      </c>
      <c r="G9014" s="2">
        <f t="shared" si="140"/>
        <v>0</v>
      </c>
      <c r="H9014" t="s">
        <v>27</v>
      </c>
    </row>
    <row r="9015" spans="2:8" x14ac:dyDescent="0.2">
      <c r="B9015" s="3">
        <v>45255</v>
      </c>
      <c r="F9015" s="1">
        <v>3000</v>
      </c>
      <c r="G9015" s="2">
        <f t="shared" si="140"/>
        <v>-3000</v>
      </c>
      <c r="H9015" t="s">
        <v>13</v>
      </c>
    </row>
    <row r="9016" spans="2:8" x14ac:dyDescent="0.2">
      <c r="B9016" s="3">
        <v>45255</v>
      </c>
      <c r="G9016" s="2">
        <f t="shared" si="140"/>
        <v>0</v>
      </c>
      <c r="H9016" t="s">
        <v>30</v>
      </c>
    </row>
    <row r="9017" spans="2:8" x14ac:dyDescent="0.2">
      <c r="B9017" s="3">
        <v>45255</v>
      </c>
      <c r="G9017" s="2">
        <f t="shared" si="140"/>
        <v>0</v>
      </c>
      <c r="H9017" t="s">
        <v>25</v>
      </c>
    </row>
    <row r="9018" spans="2:8" x14ac:dyDescent="0.2">
      <c r="B9018" s="3">
        <v>45255</v>
      </c>
      <c r="G9018" s="2">
        <f t="shared" si="140"/>
        <v>0</v>
      </c>
      <c r="H9018" t="s">
        <v>24</v>
      </c>
    </row>
    <row r="9019" spans="2:8" x14ac:dyDescent="0.2">
      <c r="B9019" s="3">
        <v>45255</v>
      </c>
      <c r="G9019" s="2">
        <f t="shared" si="140"/>
        <v>0</v>
      </c>
      <c r="H9019" t="s">
        <v>9</v>
      </c>
    </row>
    <row r="9020" spans="2:8" x14ac:dyDescent="0.2">
      <c r="B9020" s="3">
        <v>45255</v>
      </c>
      <c r="G9020" s="2">
        <f t="shared" si="140"/>
        <v>0</v>
      </c>
      <c r="H9020" t="s">
        <v>8</v>
      </c>
    </row>
    <row r="9021" spans="2:8" x14ac:dyDescent="0.2">
      <c r="B9021" s="3">
        <v>45255</v>
      </c>
      <c r="G9021" s="2">
        <f t="shared" si="140"/>
        <v>0</v>
      </c>
      <c r="H9021" t="s">
        <v>6</v>
      </c>
    </row>
    <row r="9022" spans="2:8" x14ac:dyDescent="0.2">
      <c r="B9022" s="3">
        <v>45255</v>
      </c>
      <c r="G9022" s="2">
        <f t="shared" si="140"/>
        <v>0</v>
      </c>
      <c r="H9022" t="s">
        <v>5</v>
      </c>
    </row>
    <row r="9023" spans="2:8" x14ac:dyDescent="0.2">
      <c r="B9023" s="3">
        <v>45255</v>
      </c>
      <c r="G9023" s="2">
        <f t="shared" si="140"/>
        <v>0</v>
      </c>
      <c r="H9023" s="1"/>
    </row>
    <row r="9024" spans="2:8" x14ac:dyDescent="0.2">
      <c r="B9024" s="3">
        <v>45255</v>
      </c>
      <c r="D9024" s="1">
        <v>73020.850000000006</v>
      </c>
      <c r="E9024" s="1">
        <v>74977.7</v>
      </c>
      <c r="F9024" s="1">
        <v>74977.7</v>
      </c>
      <c r="G9024" s="2">
        <f t="shared" si="140"/>
        <v>0</v>
      </c>
      <c r="H9024" t="s">
        <v>0</v>
      </c>
    </row>
    <row r="9025" spans="2:8" x14ac:dyDescent="0.2">
      <c r="B9025" s="3">
        <v>45256</v>
      </c>
      <c r="F9025" s="1">
        <v>10000</v>
      </c>
      <c r="G9025" s="2">
        <f t="shared" si="140"/>
        <v>-10000</v>
      </c>
      <c r="H9025" t="s">
        <v>14</v>
      </c>
    </row>
    <row r="9026" spans="2:8" x14ac:dyDescent="0.2">
      <c r="B9026" s="3">
        <v>45256</v>
      </c>
      <c r="G9026" s="2">
        <f t="shared" si="140"/>
        <v>0</v>
      </c>
      <c r="H9026" t="s">
        <v>27</v>
      </c>
    </row>
    <row r="9027" spans="2:8" x14ac:dyDescent="0.2">
      <c r="B9027" s="3">
        <v>45256</v>
      </c>
      <c r="G9027" s="2">
        <f t="shared" ref="G9027:G9090" si="141">E9027-F9027</f>
        <v>0</v>
      </c>
      <c r="H9027" t="s">
        <v>13</v>
      </c>
    </row>
    <row r="9028" spans="2:8" x14ac:dyDescent="0.2">
      <c r="B9028" s="3">
        <v>45256</v>
      </c>
      <c r="G9028" s="2">
        <f t="shared" si="141"/>
        <v>0</v>
      </c>
      <c r="H9028" t="s">
        <v>30</v>
      </c>
    </row>
    <row r="9029" spans="2:8" x14ac:dyDescent="0.2">
      <c r="B9029" s="3">
        <v>45256</v>
      </c>
      <c r="G9029" s="2">
        <f t="shared" si="141"/>
        <v>0</v>
      </c>
      <c r="H9029" t="s">
        <v>25</v>
      </c>
    </row>
    <row r="9030" spans="2:8" x14ac:dyDescent="0.2">
      <c r="B9030" s="3">
        <v>45256</v>
      </c>
      <c r="G9030" s="2">
        <f t="shared" si="141"/>
        <v>0</v>
      </c>
      <c r="H9030" t="s">
        <v>24</v>
      </c>
    </row>
    <row r="9031" spans="2:8" x14ac:dyDescent="0.2">
      <c r="B9031" s="3">
        <v>45256</v>
      </c>
      <c r="G9031" s="2">
        <f t="shared" si="141"/>
        <v>0</v>
      </c>
      <c r="H9031" t="s">
        <v>9</v>
      </c>
    </row>
    <row r="9032" spans="2:8" x14ac:dyDescent="0.2">
      <c r="B9032" s="3">
        <v>45256</v>
      </c>
      <c r="G9032" s="2">
        <f t="shared" si="141"/>
        <v>0</v>
      </c>
      <c r="H9032" t="s">
        <v>8</v>
      </c>
    </row>
    <row r="9033" spans="2:8" x14ac:dyDescent="0.2">
      <c r="B9033" s="3">
        <v>45256</v>
      </c>
      <c r="G9033" s="2">
        <f t="shared" si="141"/>
        <v>0</v>
      </c>
      <c r="H9033" t="s">
        <v>6</v>
      </c>
    </row>
    <row r="9034" spans="2:8" x14ac:dyDescent="0.2">
      <c r="B9034" s="3">
        <v>45256</v>
      </c>
      <c r="G9034" s="2">
        <f t="shared" si="141"/>
        <v>0</v>
      </c>
      <c r="H9034" t="s">
        <v>5</v>
      </c>
    </row>
    <row r="9035" spans="2:8" x14ac:dyDescent="0.2">
      <c r="B9035" s="3">
        <v>45256</v>
      </c>
      <c r="G9035" s="2">
        <f t="shared" si="141"/>
        <v>0</v>
      </c>
      <c r="H9035" s="1"/>
    </row>
    <row r="9036" spans="2:8" x14ac:dyDescent="0.2">
      <c r="B9036" s="3">
        <v>45256</v>
      </c>
      <c r="G9036" s="2">
        <f t="shared" si="141"/>
        <v>0</v>
      </c>
      <c r="H9036" t="s">
        <v>0</v>
      </c>
    </row>
    <row r="9037" spans="2:8" x14ac:dyDescent="0.2">
      <c r="B9037" s="3">
        <v>45257</v>
      </c>
      <c r="G9037" s="2">
        <f t="shared" si="141"/>
        <v>0</v>
      </c>
      <c r="H9037" t="s">
        <v>14</v>
      </c>
    </row>
    <row r="9038" spans="2:8" x14ac:dyDescent="0.2">
      <c r="B9038" s="3">
        <v>45257</v>
      </c>
      <c r="G9038" s="2">
        <f t="shared" si="141"/>
        <v>0</v>
      </c>
      <c r="H9038" t="s">
        <v>27</v>
      </c>
    </row>
    <row r="9039" spans="2:8" x14ac:dyDescent="0.2">
      <c r="B9039" s="3">
        <v>45257</v>
      </c>
      <c r="G9039" s="2">
        <f t="shared" si="141"/>
        <v>0</v>
      </c>
      <c r="H9039" t="s">
        <v>13</v>
      </c>
    </row>
    <row r="9040" spans="2:8" x14ac:dyDescent="0.2">
      <c r="B9040" s="3">
        <v>45257</v>
      </c>
      <c r="G9040" s="2">
        <f t="shared" si="141"/>
        <v>0</v>
      </c>
      <c r="H9040" t="s">
        <v>30</v>
      </c>
    </row>
    <row r="9041" spans="2:8" x14ac:dyDescent="0.2">
      <c r="B9041" s="3">
        <v>45257</v>
      </c>
      <c r="G9041" s="2">
        <f t="shared" si="141"/>
        <v>0</v>
      </c>
      <c r="H9041" t="s">
        <v>25</v>
      </c>
    </row>
    <row r="9042" spans="2:8" x14ac:dyDescent="0.2">
      <c r="B9042" s="3">
        <v>45257</v>
      </c>
      <c r="G9042" s="2">
        <f t="shared" si="141"/>
        <v>0</v>
      </c>
      <c r="H9042" t="s">
        <v>24</v>
      </c>
    </row>
    <row r="9043" spans="2:8" x14ac:dyDescent="0.2">
      <c r="B9043" s="3">
        <v>45257</v>
      </c>
      <c r="G9043" s="2">
        <f t="shared" si="141"/>
        <v>0</v>
      </c>
      <c r="H9043" t="s">
        <v>9</v>
      </c>
    </row>
    <row r="9044" spans="2:8" x14ac:dyDescent="0.2">
      <c r="B9044" s="3">
        <v>45257</v>
      </c>
      <c r="G9044" s="2">
        <f t="shared" si="141"/>
        <v>0</v>
      </c>
      <c r="H9044" t="s">
        <v>8</v>
      </c>
    </row>
    <row r="9045" spans="2:8" x14ac:dyDescent="0.2">
      <c r="B9045" s="3">
        <v>45257</v>
      </c>
      <c r="G9045" s="2">
        <f t="shared" si="141"/>
        <v>0</v>
      </c>
      <c r="H9045" t="s">
        <v>6</v>
      </c>
    </row>
    <row r="9046" spans="2:8" x14ac:dyDescent="0.2">
      <c r="B9046" s="3">
        <v>45257</v>
      </c>
      <c r="G9046" s="2">
        <f t="shared" si="141"/>
        <v>0</v>
      </c>
      <c r="H9046" t="s">
        <v>5</v>
      </c>
    </row>
    <row r="9047" spans="2:8" x14ac:dyDescent="0.2">
      <c r="B9047" s="3">
        <v>45257</v>
      </c>
      <c r="G9047" s="2">
        <f t="shared" si="141"/>
        <v>0</v>
      </c>
      <c r="H9047" s="1"/>
    </row>
    <row r="9048" spans="2:8" x14ac:dyDescent="0.2">
      <c r="B9048" s="3">
        <v>45257</v>
      </c>
      <c r="G9048" s="2">
        <f t="shared" si="141"/>
        <v>0</v>
      </c>
      <c r="H9048" t="s">
        <v>0</v>
      </c>
    </row>
    <row r="9049" spans="2:8" x14ac:dyDescent="0.2">
      <c r="B9049" s="3">
        <v>45258</v>
      </c>
      <c r="G9049" s="2">
        <f t="shared" si="141"/>
        <v>0</v>
      </c>
      <c r="H9049" t="s">
        <v>14</v>
      </c>
    </row>
    <row r="9050" spans="2:8" x14ac:dyDescent="0.2">
      <c r="B9050" s="3">
        <v>45258</v>
      </c>
      <c r="G9050" s="2">
        <f t="shared" si="141"/>
        <v>0</v>
      </c>
      <c r="H9050" t="s">
        <v>27</v>
      </c>
    </row>
    <row r="9051" spans="2:8" x14ac:dyDescent="0.2">
      <c r="B9051" s="3">
        <v>45258</v>
      </c>
      <c r="D9051" s="1">
        <v>2497.25</v>
      </c>
      <c r="E9051" s="1">
        <v>2792.5</v>
      </c>
      <c r="G9051" s="2">
        <f t="shared" si="141"/>
        <v>2792.5</v>
      </c>
      <c r="H9051" t="s">
        <v>13</v>
      </c>
    </row>
    <row r="9052" spans="2:8" x14ac:dyDescent="0.2">
      <c r="B9052" s="3">
        <v>45258</v>
      </c>
      <c r="G9052" s="2">
        <f t="shared" si="141"/>
        <v>0</v>
      </c>
      <c r="H9052" t="s">
        <v>30</v>
      </c>
    </row>
    <row r="9053" spans="2:8" x14ac:dyDescent="0.2">
      <c r="B9053" s="3">
        <v>45258</v>
      </c>
      <c r="G9053" s="2">
        <f t="shared" si="141"/>
        <v>0</v>
      </c>
      <c r="H9053" t="s">
        <v>25</v>
      </c>
    </row>
    <row r="9054" spans="2:8" x14ac:dyDescent="0.2">
      <c r="B9054" s="3">
        <v>45258</v>
      </c>
      <c r="G9054" s="2">
        <f t="shared" si="141"/>
        <v>0</v>
      </c>
      <c r="H9054" t="s">
        <v>24</v>
      </c>
    </row>
    <row r="9055" spans="2:8" x14ac:dyDescent="0.2">
      <c r="B9055" s="3">
        <v>45258</v>
      </c>
      <c r="G9055" s="2">
        <f t="shared" si="141"/>
        <v>0</v>
      </c>
      <c r="H9055" t="s">
        <v>9</v>
      </c>
    </row>
    <row r="9056" spans="2:8" x14ac:dyDescent="0.2">
      <c r="B9056" s="3">
        <v>45258</v>
      </c>
      <c r="D9056" s="1">
        <v>13035</v>
      </c>
      <c r="E9056" s="1">
        <v>14780</v>
      </c>
      <c r="G9056" s="2">
        <f t="shared" si="141"/>
        <v>14780</v>
      </c>
      <c r="H9056" t="s">
        <v>8</v>
      </c>
    </row>
    <row r="9057" spans="2:8" x14ac:dyDescent="0.2">
      <c r="B9057" s="3">
        <v>45258</v>
      </c>
      <c r="G9057" s="2">
        <f t="shared" si="141"/>
        <v>0</v>
      </c>
      <c r="H9057" t="s">
        <v>6</v>
      </c>
    </row>
    <row r="9058" spans="2:8" x14ac:dyDescent="0.2">
      <c r="B9058" s="3">
        <v>45258</v>
      </c>
      <c r="G9058" s="2">
        <f t="shared" si="141"/>
        <v>0</v>
      </c>
      <c r="H9058" t="s">
        <v>5</v>
      </c>
    </row>
    <row r="9059" spans="2:8" x14ac:dyDescent="0.2">
      <c r="B9059" s="3">
        <v>45258</v>
      </c>
      <c r="G9059" s="2">
        <f t="shared" si="141"/>
        <v>0</v>
      </c>
      <c r="H9059" s="1"/>
    </row>
    <row r="9060" spans="2:8" x14ac:dyDescent="0.2">
      <c r="B9060" s="3">
        <v>45258</v>
      </c>
      <c r="G9060" s="2">
        <f t="shared" si="141"/>
        <v>0</v>
      </c>
      <c r="H9060" t="s">
        <v>0</v>
      </c>
    </row>
    <row r="9061" spans="2:8" x14ac:dyDescent="0.2">
      <c r="B9061" s="3">
        <v>45259</v>
      </c>
      <c r="D9061" s="1">
        <v>2805</v>
      </c>
      <c r="E9061" s="1">
        <v>3065</v>
      </c>
      <c r="F9061" s="1">
        <v>10000</v>
      </c>
      <c r="G9061" s="2">
        <f t="shared" si="141"/>
        <v>-6935</v>
      </c>
      <c r="H9061" t="s">
        <v>14</v>
      </c>
    </row>
    <row r="9062" spans="2:8" x14ac:dyDescent="0.2">
      <c r="B9062" s="3">
        <v>45259</v>
      </c>
      <c r="G9062" s="2">
        <f t="shared" si="141"/>
        <v>0</v>
      </c>
      <c r="H9062" t="s">
        <v>27</v>
      </c>
    </row>
    <row r="9063" spans="2:8" x14ac:dyDescent="0.2">
      <c r="B9063" s="3">
        <v>45259</v>
      </c>
      <c r="G9063" s="2">
        <f t="shared" si="141"/>
        <v>0</v>
      </c>
      <c r="H9063" t="s">
        <v>13</v>
      </c>
    </row>
    <row r="9064" spans="2:8" x14ac:dyDescent="0.2">
      <c r="B9064" s="3">
        <v>45259</v>
      </c>
      <c r="G9064" s="2">
        <f t="shared" si="141"/>
        <v>0</v>
      </c>
      <c r="H9064" t="s">
        <v>30</v>
      </c>
    </row>
    <row r="9065" spans="2:8" x14ac:dyDescent="0.2">
      <c r="B9065" s="3">
        <v>45259</v>
      </c>
      <c r="G9065" s="2">
        <f t="shared" si="141"/>
        <v>0</v>
      </c>
      <c r="H9065" t="s">
        <v>25</v>
      </c>
    </row>
    <row r="9066" spans="2:8" x14ac:dyDescent="0.2">
      <c r="B9066" s="3">
        <v>45259</v>
      </c>
      <c r="G9066" s="2">
        <f t="shared" si="141"/>
        <v>0</v>
      </c>
      <c r="H9066" t="s">
        <v>24</v>
      </c>
    </row>
    <row r="9067" spans="2:8" x14ac:dyDescent="0.2">
      <c r="B9067" s="3">
        <v>45259</v>
      </c>
      <c r="G9067" s="2">
        <f t="shared" si="141"/>
        <v>0</v>
      </c>
      <c r="H9067" t="s">
        <v>9</v>
      </c>
    </row>
    <row r="9068" spans="2:8" x14ac:dyDescent="0.2">
      <c r="B9068" s="3">
        <v>45259</v>
      </c>
      <c r="G9068" s="2">
        <f t="shared" si="141"/>
        <v>0</v>
      </c>
      <c r="H9068" t="s">
        <v>8</v>
      </c>
    </row>
    <row r="9069" spans="2:8" x14ac:dyDescent="0.2">
      <c r="B9069" s="3">
        <v>45259</v>
      </c>
      <c r="G9069" s="2">
        <f t="shared" si="141"/>
        <v>0</v>
      </c>
      <c r="H9069" t="s">
        <v>6</v>
      </c>
    </row>
    <row r="9070" spans="2:8" x14ac:dyDescent="0.2">
      <c r="B9070" s="3">
        <v>45259</v>
      </c>
      <c r="G9070" s="2">
        <f t="shared" si="141"/>
        <v>0</v>
      </c>
      <c r="H9070" t="s">
        <v>5</v>
      </c>
    </row>
    <row r="9071" spans="2:8" x14ac:dyDescent="0.2">
      <c r="B9071" s="3">
        <v>45259</v>
      </c>
      <c r="G9071" s="2">
        <f t="shared" si="141"/>
        <v>0</v>
      </c>
      <c r="H9071" s="1"/>
    </row>
    <row r="9072" spans="2:8" x14ac:dyDescent="0.2">
      <c r="B9072" s="3">
        <v>45259</v>
      </c>
      <c r="G9072" s="2">
        <f t="shared" si="141"/>
        <v>0</v>
      </c>
      <c r="H9072" t="s">
        <v>0</v>
      </c>
    </row>
    <row r="9073" spans="2:8" x14ac:dyDescent="0.2">
      <c r="B9073" s="3">
        <v>45260</v>
      </c>
      <c r="G9073" s="2">
        <f t="shared" si="141"/>
        <v>0</v>
      </c>
      <c r="H9073" t="s">
        <v>14</v>
      </c>
    </row>
    <row r="9074" spans="2:8" x14ac:dyDescent="0.2">
      <c r="B9074" s="3">
        <v>45260</v>
      </c>
      <c r="G9074" s="2">
        <f t="shared" si="141"/>
        <v>0</v>
      </c>
      <c r="H9074" t="s">
        <v>27</v>
      </c>
    </row>
    <row r="9075" spans="2:8" x14ac:dyDescent="0.2">
      <c r="B9075" s="3">
        <v>45260</v>
      </c>
      <c r="G9075" s="2">
        <f t="shared" si="141"/>
        <v>0</v>
      </c>
      <c r="H9075" t="s">
        <v>13</v>
      </c>
    </row>
    <row r="9076" spans="2:8" x14ac:dyDescent="0.2">
      <c r="B9076" s="3">
        <v>45260</v>
      </c>
      <c r="G9076" s="2">
        <f t="shared" si="141"/>
        <v>0</v>
      </c>
      <c r="H9076" t="s">
        <v>30</v>
      </c>
    </row>
    <row r="9077" spans="2:8" x14ac:dyDescent="0.2">
      <c r="B9077" s="3">
        <v>45260</v>
      </c>
      <c r="G9077" s="2">
        <f t="shared" si="141"/>
        <v>0</v>
      </c>
      <c r="H9077" t="s">
        <v>25</v>
      </c>
    </row>
    <row r="9078" spans="2:8" x14ac:dyDescent="0.2">
      <c r="B9078" s="3">
        <v>45260</v>
      </c>
      <c r="G9078" s="2">
        <f t="shared" si="141"/>
        <v>0</v>
      </c>
      <c r="H9078" t="s">
        <v>24</v>
      </c>
    </row>
    <row r="9079" spans="2:8" x14ac:dyDescent="0.2">
      <c r="B9079" s="3">
        <v>45260</v>
      </c>
      <c r="G9079" s="2">
        <f t="shared" si="141"/>
        <v>0</v>
      </c>
      <c r="H9079" t="s">
        <v>9</v>
      </c>
    </row>
    <row r="9080" spans="2:8" x14ac:dyDescent="0.2">
      <c r="B9080" s="3">
        <v>45260</v>
      </c>
      <c r="G9080" s="2">
        <f t="shared" si="141"/>
        <v>0</v>
      </c>
      <c r="H9080" t="s">
        <v>8</v>
      </c>
    </row>
    <row r="9081" spans="2:8" x14ac:dyDescent="0.2">
      <c r="B9081" s="3">
        <v>45260</v>
      </c>
      <c r="G9081" s="2">
        <f t="shared" si="141"/>
        <v>0</v>
      </c>
      <c r="H9081" t="s">
        <v>6</v>
      </c>
    </row>
    <row r="9082" spans="2:8" x14ac:dyDescent="0.2">
      <c r="B9082" s="3">
        <v>45260</v>
      </c>
      <c r="G9082" s="2">
        <f t="shared" si="141"/>
        <v>0</v>
      </c>
      <c r="H9082" t="s">
        <v>5</v>
      </c>
    </row>
    <row r="9083" spans="2:8" x14ac:dyDescent="0.2">
      <c r="B9083" s="3">
        <v>45260</v>
      </c>
      <c r="G9083" s="2">
        <f t="shared" si="141"/>
        <v>0</v>
      </c>
      <c r="H9083" s="1"/>
    </row>
    <row r="9084" spans="2:8" x14ac:dyDescent="0.2">
      <c r="B9084" s="3">
        <v>45260</v>
      </c>
      <c r="G9084" s="2">
        <f t="shared" si="141"/>
        <v>0</v>
      </c>
      <c r="H9084" t="s">
        <v>0</v>
      </c>
    </row>
    <row r="9085" spans="2:8" x14ac:dyDescent="0.2">
      <c r="B9085" s="3">
        <v>45261</v>
      </c>
      <c r="G9085" s="2">
        <f t="shared" si="141"/>
        <v>0</v>
      </c>
      <c r="H9085" t="s">
        <v>14</v>
      </c>
    </row>
    <row r="9086" spans="2:8" x14ac:dyDescent="0.2">
      <c r="B9086" s="3">
        <v>45261</v>
      </c>
      <c r="G9086" s="2">
        <f t="shared" si="141"/>
        <v>0</v>
      </c>
      <c r="H9086" t="s">
        <v>27</v>
      </c>
    </row>
    <row r="9087" spans="2:8" x14ac:dyDescent="0.2">
      <c r="B9087" s="3">
        <v>45261</v>
      </c>
      <c r="G9087" s="2">
        <f t="shared" si="141"/>
        <v>0</v>
      </c>
      <c r="H9087" t="s">
        <v>13</v>
      </c>
    </row>
    <row r="9088" spans="2:8" x14ac:dyDescent="0.2">
      <c r="B9088" s="3">
        <v>45261</v>
      </c>
      <c r="G9088" s="2">
        <f t="shared" si="141"/>
        <v>0</v>
      </c>
      <c r="H9088" t="s">
        <v>30</v>
      </c>
    </row>
    <row r="9089" spans="2:8" x14ac:dyDescent="0.2">
      <c r="B9089" s="3">
        <v>45261</v>
      </c>
      <c r="G9089" s="2">
        <f t="shared" si="141"/>
        <v>0</v>
      </c>
      <c r="H9089" t="s">
        <v>25</v>
      </c>
    </row>
    <row r="9090" spans="2:8" x14ac:dyDescent="0.2">
      <c r="B9090" s="3">
        <v>45261</v>
      </c>
      <c r="G9090" s="2">
        <f t="shared" si="141"/>
        <v>0</v>
      </c>
      <c r="H9090" t="s">
        <v>24</v>
      </c>
    </row>
    <row r="9091" spans="2:8" x14ac:dyDescent="0.2">
      <c r="B9091" s="3">
        <v>45261</v>
      </c>
      <c r="G9091" s="2">
        <f t="shared" ref="G9091:G9154" si="142">E9091-F9091</f>
        <v>0</v>
      </c>
      <c r="H9091" t="s">
        <v>9</v>
      </c>
    </row>
    <row r="9092" spans="2:8" x14ac:dyDescent="0.2">
      <c r="B9092" s="3">
        <v>45261</v>
      </c>
      <c r="G9092" s="2">
        <f t="shared" si="142"/>
        <v>0</v>
      </c>
      <c r="H9092" t="s">
        <v>8</v>
      </c>
    </row>
    <row r="9093" spans="2:8" x14ac:dyDescent="0.2">
      <c r="B9093" s="3">
        <v>45261</v>
      </c>
      <c r="G9093" s="2">
        <f t="shared" si="142"/>
        <v>0</v>
      </c>
      <c r="H9093" t="s">
        <v>6</v>
      </c>
    </row>
    <row r="9094" spans="2:8" x14ac:dyDescent="0.2">
      <c r="B9094" s="3">
        <v>45261</v>
      </c>
      <c r="G9094" s="2">
        <f t="shared" si="142"/>
        <v>0</v>
      </c>
      <c r="H9094" t="s">
        <v>5</v>
      </c>
    </row>
    <row r="9095" spans="2:8" x14ac:dyDescent="0.2">
      <c r="B9095" s="3">
        <v>45261</v>
      </c>
      <c r="G9095" s="2">
        <f t="shared" si="142"/>
        <v>0</v>
      </c>
      <c r="H9095" s="1"/>
    </row>
    <row r="9096" spans="2:8" x14ac:dyDescent="0.2">
      <c r="B9096" s="3">
        <v>45261</v>
      </c>
      <c r="G9096" s="2">
        <f t="shared" si="142"/>
        <v>0</v>
      </c>
      <c r="H9096" t="s">
        <v>0</v>
      </c>
    </row>
    <row r="9097" spans="2:8" x14ac:dyDescent="0.2">
      <c r="B9097" s="3">
        <v>45262</v>
      </c>
      <c r="G9097" s="2">
        <f t="shared" si="142"/>
        <v>0</v>
      </c>
      <c r="H9097" t="s">
        <v>14</v>
      </c>
    </row>
    <row r="9098" spans="2:8" x14ac:dyDescent="0.2">
      <c r="B9098" s="3">
        <v>45262</v>
      </c>
      <c r="G9098" s="2">
        <f t="shared" si="142"/>
        <v>0</v>
      </c>
      <c r="H9098" t="s">
        <v>27</v>
      </c>
    </row>
    <row r="9099" spans="2:8" x14ac:dyDescent="0.2">
      <c r="B9099" s="3">
        <v>45262</v>
      </c>
      <c r="G9099" s="2">
        <f t="shared" si="142"/>
        <v>0</v>
      </c>
      <c r="H9099" t="s">
        <v>13</v>
      </c>
    </row>
    <row r="9100" spans="2:8" x14ac:dyDescent="0.2">
      <c r="B9100" s="3">
        <v>45262</v>
      </c>
      <c r="G9100" s="2">
        <f t="shared" si="142"/>
        <v>0</v>
      </c>
      <c r="H9100" t="s">
        <v>30</v>
      </c>
    </row>
    <row r="9101" spans="2:8" x14ac:dyDescent="0.2">
      <c r="B9101" s="3">
        <v>45262</v>
      </c>
      <c r="G9101" s="2">
        <f t="shared" si="142"/>
        <v>0</v>
      </c>
      <c r="H9101" s="36" t="s">
        <v>25</v>
      </c>
    </row>
    <row r="9102" spans="2:8" x14ac:dyDescent="0.2">
      <c r="B9102" s="3">
        <v>45262</v>
      </c>
      <c r="G9102" s="2">
        <f t="shared" si="142"/>
        <v>0</v>
      </c>
      <c r="H9102" t="s">
        <v>24</v>
      </c>
    </row>
    <row r="9103" spans="2:8" x14ac:dyDescent="0.2">
      <c r="B9103" s="3">
        <v>45262</v>
      </c>
      <c r="G9103" s="2">
        <f t="shared" si="142"/>
        <v>0</v>
      </c>
      <c r="H9103" t="s">
        <v>9</v>
      </c>
    </row>
    <row r="9104" spans="2:8" x14ac:dyDescent="0.2">
      <c r="B9104" s="3">
        <v>45262</v>
      </c>
      <c r="F9104" s="1">
        <v>20000</v>
      </c>
      <c r="G9104" s="2">
        <f t="shared" si="142"/>
        <v>-20000</v>
      </c>
      <c r="H9104" t="s">
        <v>8</v>
      </c>
    </row>
    <row r="9105" spans="2:8" x14ac:dyDescent="0.2">
      <c r="B9105" s="3">
        <v>45262</v>
      </c>
      <c r="G9105" s="2">
        <f t="shared" si="142"/>
        <v>0</v>
      </c>
      <c r="H9105" t="s">
        <v>6</v>
      </c>
    </row>
    <row r="9106" spans="2:8" x14ac:dyDescent="0.2">
      <c r="B9106" s="3">
        <v>45262</v>
      </c>
      <c r="G9106" s="2">
        <f t="shared" si="142"/>
        <v>0</v>
      </c>
      <c r="H9106" t="s">
        <v>5</v>
      </c>
    </row>
    <row r="9107" spans="2:8" x14ac:dyDescent="0.2">
      <c r="B9107" s="3">
        <v>45262</v>
      </c>
      <c r="G9107" s="2">
        <f t="shared" si="142"/>
        <v>0</v>
      </c>
      <c r="H9107" s="1"/>
    </row>
    <row r="9108" spans="2:8" x14ac:dyDescent="0.2">
      <c r="B9108" s="3">
        <v>45262</v>
      </c>
      <c r="D9108" s="1">
        <v>83368.76999999999</v>
      </c>
      <c r="E9108" s="1">
        <v>86207.95</v>
      </c>
      <c r="F9108" s="1">
        <v>86207.95</v>
      </c>
      <c r="G9108" s="2">
        <f t="shared" si="142"/>
        <v>0</v>
      </c>
      <c r="H9108" t="s">
        <v>0</v>
      </c>
    </row>
    <row r="9109" spans="2:8" x14ac:dyDescent="0.2">
      <c r="B9109" s="3">
        <v>45263</v>
      </c>
      <c r="G9109" s="2">
        <f t="shared" si="142"/>
        <v>0</v>
      </c>
      <c r="H9109" t="s">
        <v>14</v>
      </c>
    </row>
    <row r="9110" spans="2:8" x14ac:dyDescent="0.2">
      <c r="B9110" s="3">
        <v>45263</v>
      </c>
      <c r="G9110" s="2">
        <f t="shared" si="142"/>
        <v>0</v>
      </c>
      <c r="H9110" t="s">
        <v>27</v>
      </c>
    </row>
    <row r="9111" spans="2:8" x14ac:dyDescent="0.2">
      <c r="B9111" s="3">
        <v>45263</v>
      </c>
      <c r="G9111" s="2">
        <f t="shared" si="142"/>
        <v>0</v>
      </c>
      <c r="H9111" t="s">
        <v>13</v>
      </c>
    </row>
    <row r="9112" spans="2:8" x14ac:dyDescent="0.2">
      <c r="B9112" s="3">
        <v>45263</v>
      </c>
      <c r="G9112" s="2">
        <f t="shared" si="142"/>
        <v>0</v>
      </c>
      <c r="H9112" t="s">
        <v>30</v>
      </c>
    </row>
    <row r="9113" spans="2:8" x14ac:dyDescent="0.2">
      <c r="B9113" s="3">
        <v>45263</v>
      </c>
      <c r="G9113" s="2">
        <f t="shared" si="142"/>
        <v>0</v>
      </c>
      <c r="H9113" s="36" t="s">
        <v>25</v>
      </c>
    </row>
    <row r="9114" spans="2:8" x14ac:dyDescent="0.2">
      <c r="B9114" s="3">
        <v>45263</v>
      </c>
      <c r="G9114" s="2">
        <f t="shared" si="142"/>
        <v>0</v>
      </c>
      <c r="H9114" t="s">
        <v>24</v>
      </c>
    </row>
    <row r="9115" spans="2:8" x14ac:dyDescent="0.2">
      <c r="B9115" s="3">
        <v>45263</v>
      </c>
      <c r="G9115" s="2">
        <f t="shared" si="142"/>
        <v>0</v>
      </c>
      <c r="H9115" t="s">
        <v>9</v>
      </c>
    </row>
    <row r="9116" spans="2:8" x14ac:dyDescent="0.2">
      <c r="B9116" s="3">
        <v>45263</v>
      </c>
      <c r="G9116" s="2">
        <f t="shared" si="142"/>
        <v>0</v>
      </c>
      <c r="H9116" t="s">
        <v>8</v>
      </c>
    </row>
    <row r="9117" spans="2:8" x14ac:dyDescent="0.2">
      <c r="B9117" s="3">
        <v>45263</v>
      </c>
      <c r="G9117" s="2">
        <f t="shared" si="142"/>
        <v>0</v>
      </c>
      <c r="H9117" t="s">
        <v>6</v>
      </c>
    </row>
    <row r="9118" spans="2:8" x14ac:dyDescent="0.2">
      <c r="B9118" s="3">
        <v>45263</v>
      </c>
      <c r="G9118" s="2">
        <f t="shared" si="142"/>
        <v>0</v>
      </c>
      <c r="H9118" s="36" t="s">
        <v>5</v>
      </c>
    </row>
    <row r="9119" spans="2:8" x14ac:dyDescent="0.2">
      <c r="B9119" s="3">
        <v>45263</v>
      </c>
      <c r="G9119" s="2">
        <f t="shared" si="142"/>
        <v>0</v>
      </c>
      <c r="H9119" s="1"/>
    </row>
    <row r="9120" spans="2:8" x14ac:dyDescent="0.2">
      <c r="B9120" s="3">
        <v>45263</v>
      </c>
      <c r="G9120" s="2">
        <f t="shared" si="142"/>
        <v>0</v>
      </c>
      <c r="H9120" t="s">
        <v>0</v>
      </c>
    </row>
    <row r="9121" spans="2:8" x14ac:dyDescent="0.2">
      <c r="B9121" s="3">
        <v>45264</v>
      </c>
      <c r="G9121" s="2">
        <f t="shared" si="142"/>
        <v>0</v>
      </c>
      <c r="H9121" t="s">
        <v>14</v>
      </c>
    </row>
    <row r="9122" spans="2:8" x14ac:dyDescent="0.2">
      <c r="B9122" s="3">
        <v>45264</v>
      </c>
      <c r="G9122" s="2">
        <f t="shared" si="142"/>
        <v>0</v>
      </c>
      <c r="H9122" t="s">
        <v>27</v>
      </c>
    </row>
    <row r="9123" spans="2:8" x14ac:dyDescent="0.2">
      <c r="B9123" s="3">
        <v>45264</v>
      </c>
      <c r="D9123" s="1">
        <v>1970</v>
      </c>
      <c r="E9123" s="1">
        <v>2345</v>
      </c>
      <c r="F9123" s="1">
        <v>2000</v>
      </c>
      <c r="G9123" s="2">
        <f t="shared" si="142"/>
        <v>345</v>
      </c>
      <c r="H9123" t="s">
        <v>13</v>
      </c>
    </row>
    <row r="9124" spans="2:8" x14ac:dyDescent="0.2">
      <c r="B9124" s="3">
        <v>45264</v>
      </c>
      <c r="G9124" s="2">
        <f t="shared" si="142"/>
        <v>0</v>
      </c>
      <c r="H9124" t="s">
        <v>30</v>
      </c>
    </row>
    <row r="9125" spans="2:8" x14ac:dyDescent="0.2">
      <c r="B9125" s="3">
        <v>45264</v>
      </c>
      <c r="G9125" s="2">
        <f t="shared" si="142"/>
        <v>0</v>
      </c>
      <c r="H9125" t="s">
        <v>25</v>
      </c>
    </row>
    <row r="9126" spans="2:8" x14ac:dyDescent="0.2">
      <c r="B9126" s="3">
        <v>45264</v>
      </c>
      <c r="G9126" s="2">
        <f t="shared" si="142"/>
        <v>0</v>
      </c>
      <c r="H9126" t="s">
        <v>24</v>
      </c>
    </row>
    <row r="9127" spans="2:8" x14ac:dyDescent="0.2">
      <c r="B9127" s="3">
        <v>45264</v>
      </c>
      <c r="G9127" s="2">
        <f t="shared" si="142"/>
        <v>0</v>
      </c>
      <c r="H9127" t="s">
        <v>9</v>
      </c>
    </row>
    <row r="9128" spans="2:8" x14ac:dyDescent="0.2">
      <c r="B9128" s="3">
        <v>45264</v>
      </c>
      <c r="D9128" s="1">
        <v>14590.75</v>
      </c>
      <c r="E9128" s="1">
        <v>16500</v>
      </c>
      <c r="G9128" s="2">
        <f t="shared" si="142"/>
        <v>16500</v>
      </c>
      <c r="H9128" t="s">
        <v>8</v>
      </c>
    </row>
    <row r="9129" spans="2:8" x14ac:dyDescent="0.2">
      <c r="B9129" s="3">
        <v>45264</v>
      </c>
      <c r="G9129" s="2">
        <f t="shared" si="142"/>
        <v>0</v>
      </c>
      <c r="H9129" t="s">
        <v>6</v>
      </c>
    </row>
    <row r="9130" spans="2:8" x14ac:dyDescent="0.2">
      <c r="B9130" s="3">
        <v>45264</v>
      </c>
      <c r="G9130" s="2">
        <f t="shared" si="142"/>
        <v>0</v>
      </c>
      <c r="H9130" t="s">
        <v>5</v>
      </c>
    </row>
    <row r="9131" spans="2:8" x14ac:dyDescent="0.2">
      <c r="B9131" s="3">
        <v>45264</v>
      </c>
      <c r="G9131" s="2">
        <f t="shared" si="142"/>
        <v>0</v>
      </c>
      <c r="H9131" s="1"/>
    </row>
    <row r="9132" spans="2:8" x14ac:dyDescent="0.2">
      <c r="B9132" s="3">
        <v>45264</v>
      </c>
      <c r="G9132" s="2">
        <f t="shared" si="142"/>
        <v>0</v>
      </c>
      <c r="H9132" t="s">
        <v>0</v>
      </c>
    </row>
    <row r="9133" spans="2:8" x14ac:dyDescent="0.2">
      <c r="B9133" s="3">
        <v>45265</v>
      </c>
      <c r="G9133" s="2">
        <f t="shared" si="142"/>
        <v>0</v>
      </c>
      <c r="H9133" t="s">
        <v>14</v>
      </c>
    </row>
    <row r="9134" spans="2:8" x14ac:dyDescent="0.2">
      <c r="B9134" s="3">
        <v>45265</v>
      </c>
      <c r="G9134" s="2">
        <f t="shared" si="142"/>
        <v>0</v>
      </c>
      <c r="H9134" t="s">
        <v>27</v>
      </c>
    </row>
    <row r="9135" spans="2:8" x14ac:dyDescent="0.2">
      <c r="B9135" s="3">
        <v>45265</v>
      </c>
      <c r="G9135" s="2">
        <f t="shared" si="142"/>
        <v>0</v>
      </c>
      <c r="H9135" t="s">
        <v>13</v>
      </c>
    </row>
    <row r="9136" spans="2:8" x14ac:dyDescent="0.2">
      <c r="B9136" s="3">
        <v>45265</v>
      </c>
      <c r="G9136" s="2">
        <f t="shared" si="142"/>
        <v>0</v>
      </c>
      <c r="H9136" t="s">
        <v>30</v>
      </c>
    </row>
    <row r="9137" spans="2:8" x14ac:dyDescent="0.2">
      <c r="B9137" s="3">
        <v>45265</v>
      </c>
      <c r="D9137" s="1">
        <v>3950</v>
      </c>
      <c r="E9137" s="1">
        <v>4100</v>
      </c>
      <c r="F9137" s="1">
        <v>4100</v>
      </c>
      <c r="G9137" s="2">
        <f t="shared" si="142"/>
        <v>0</v>
      </c>
      <c r="H9137" t="s">
        <v>25</v>
      </c>
    </row>
    <row r="9138" spans="2:8" x14ac:dyDescent="0.2">
      <c r="B9138" s="3">
        <v>45265</v>
      </c>
      <c r="G9138" s="2">
        <f t="shared" si="142"/>
        <v>0</v>
      </c>
      <c r="H9138" t="s">
        <v>24</v>
      </c>
    </row>
    <row r="9139" spans="2:8" x14ac:dyDescent="0.2">
      <c r="B9139" s="3">
        <v>45265</v>
      </c>
      <c r="G9139" s="2">
        <f t="shared" si="142"/>
        <v>0</v>
      </c>
      <c r="H9139" t="s">
        <v>9</v>
      </c>
    </row>
    <row r="9140" spans="2:8" x14ac:dyDescent="0.2">
      <c r="B9140" s="3">
        <v>45265</v>
      </c>
      <c r="G9140" s="2">
        <f t="shared" si="142"/>
        <v>0</v>
      </c>
      <c r="H9140" t="s">
        <v>8</v>
      </c>
    </row>
    <row r="9141" spans="2:8" x14ac:dyDescent="0.2">
      <c r="B9141" s="3">
        <v>45265</v>
      </c>
      <c r="G9141" s="2">
        <f t="shared" si="142"/>
        <v>0</v>
      </c>
      <c r="H9141" t="s">
        <v>6</v>
      </c>
    </row>
    <row r="9142" spans="2:8" x14ac:dyDescent="0.2">
      <c r="B9142" s="3">
        <v>45265</v>
      </c>
      <c r="G9142" s="2">
        <f t="shared" si="142"/>
        <v>0</v>
      </c>
      <c r="H9142" t="s">
        <v>5</v>
      </c>
    </row>
    <row r="9143" spans="2:8" x14ac:dyDescent="0.2">
      <c r="B9143" s="3">
        <v>45265</v>
      </c>
      <c r="G9143" s="2">
        <f t="shared" si="142"/>
        <v>0</v>
      </c>
      <c r="H9143" s="1"/>
    </row>
    <row r="9144" spans="2:8" x14ac:dyDescent="0.2">
      <c r="B9144" s="3">
        <v>45265</v>
      </c>
      <c r="G9144" s="2">
        <f t="shared" si="142"/>
        <v>0</v>
      </c>
      <c r="H9144" t="s">
        <v>0</v>
      </c>
    </row>
    <row r="9145" spans="2:8" x14ac:dyDescent="0.2">
      <c r="B9145" s="3">
        <v>45266</v>
      </c>
      <c r="G9145" s="2">
        <f t="shared" si="142"/>
        <v>0</v>
      </c>
      <c r="H9145" t="s">
        <v>14</v>
      </c>
    </row>
    <row r="9146" spans="2:8" x14ac:dyDescent="0.2">
      <c r="B9146" s="3">
        <v>45266</v>
      </c>
      <c r="G9146" s="2">
        <f t="shared" si="142"/>
        <v>0</v>
      </c>
      <c r="H9146" t="s">
        <v>27</v>
      </c>
    </row>
    <row r="9147" spans="2:8" x14ac:dyDescent="0.2">
      <c r="B9147" s="3">
        <v>45266</v>
      </c>
      <c r="G9147" s="2">
        <f t="shared" si="142"/>
        <v>0</v>
      </c>
      <c r="H9147" t="s">
        <v>13</v>
      </c>
    </row>
    <row r="9148" spans="2:8" x14ac:dyDescent="0.2">
      <c r="B9148" s="3">
        <v>45266</v>
      </c>
      <c r="G9148" s="2">
        <f t="shared" si="142"/>
        <v>0</v>
      </c>
      <c r="H9148" t="s">
        <v>30</v>
      </c>
    </row>
    <row r="9149" spans="2:8" x14ac:dyDescent="0.2">
      <c r="B9149" s="3">
        <v>45266</v>
      </c>
      <c r="G9149" s="2">
        <f t="shared" si="142"/>
        <v>0</v>
      </c>
      <c r="H9149" t="s">
        <v>25</v>
      </c>
    </row>
    <row r="9150" spans="2:8" x14ac:dyDescent="0.2">
      <c r="B9150" s="3">
        <v>45266</v>
      </c>
      <c r="G9150" s="2">
        <f t="shared" si="142"/>
        <v>0</v>
      </c>
      <c r="H9150" t="s">
        <v>24</v>
      </c>
    </row>
    <row r="9151" spans="2:8" x14ac:dyDescent="0.2">
      <c r="B9151" s="3">
        <v>45266</v>
      </c>
      <c r="G9151" s="2">
        <f t="shared" si="142"/>
        <v>0</v>
      </c>
      <c r="H9151" t="s">
        <v>9</v>
      </c>
    </row>
    <row r="9152" spans="2:8" x14ac:dyDescent="0.2">
      <c r="B9152" s="3">
        <v>45266</v>
      </c>
      <c r="G9152" s="2">
        <f t="shared" si="142"/>
        <v>0</v>
      </c>
      <c r="H9152" t="s">
        <v>8</v>
      </c>
    </row>
    <row r="9153" spans="2:8" x14ac:dyDescent="0.2">
      <c r="B9153" s="3">
        <v>45266</v>
      </c>
      <c r="G9153" s="2">
        <f t="shared" si="142"/>
        <v>0</v>
      </c>
      <c r="H9153" t="s">
        <v>6</v>
      </c>
    </row>
    <row r="9154" spans="2:8" x14ac:dyDescent="0.2">
      <c r="B9154" s="3">
        <v>45266</v>
      </c>
      <c r="G9154" s="2">
        <f t="shared" si="142"/>
        <v>0</v>
      </c>
      <c r="H9154" t="s">
        <v>5</v>
      </c>
    </row>
    <row r="9155" spans="2:8" x14ac:dyDescent="0.2">
      <c r="B9155" s="3">
        <v>45266</v>
      </c>
      <c r="G9155" s="2">
        <f t="shared" ref="G9155:G9218" si="143">E9155-F9155</f>
        <v>0</v>
      </c>
      <c r="H9155" s="1"/>
    </row>
    <row r="9156" spans="2:8" x14ac:dyDescent="0.2">
      <c r="B9156" s="3">
        <v>45266</v>
      </c>
      <c r="G9156" s="2">
        <f t="shared" si="143"/>
        <v>0</v>
      </c>
      <c r="H9156" t="s">
        <v>0</v>
      </c>
    </row>
    <row r="9157" spans="2:8" x14ac:dyDescent="0.2">
      <c r="B9157" s="3">
        <v>45267</v>
      </c>
      <c r="F9157" s="1">
        <v>15000</v>
      </c>
      <c r="G9157" s="2">
        <f t="shared" si="143"/>
        <v>-15000</v>
      </c>
      <c r="H9157" t="s">
        <v>14</v>
      </c>
    </row>
    <row r="9158" spans="2:8" x14ac:dyDescent="0.2">
      <c r="B9158" s="3">
        <v>45267</v>
      </c>
      <c r="G9158" s="2">
        <f t="shared" si="143"/>
        <v>0</v>
      </c>
      <c r="H9158" t="s">
        <v>27</v>
      </c>
    </row>
    <row r="9159" spans="2:8" x14ac:dyDescent="0.2">
      <c r="B9159" s="3">
        <v>45267</v>
      </c>
      <c r="F9159" s="1">
        <v>6000</v>
      </c>
      <c r="G9159" s="2">
        <f t="shared" si="143"/>
        <v>-6000</v>
      </c>
      <c r="H9159" t="s">
        <v>13</v>
      </c>
    </row>
    <row r="9160" spans="2:8" x14ac:dyDescent="0.2">
      <c r="B9160" s="3">
        <v>45267</v>
      </c>
      <c r="G9160" s="2">
        <f t="shared" si="143"/>
        <v>0</v>
      </c>
      <c r="H9160" t="s">
        <v>30</v>
      </c>
    </row>
    <row r="9161" spans="2:8" x14ac:dyDescent="0.2">
      <c r="B9161" s="3">
        <v>45267</v>
      </c>
      <c r="G9161" s="2">
        <f t="shared" si="143"/>
        <v>0</v>
      </c>
      <c r="H9161" t="s">
        <v>25</v>
      </c>
    </row>
    <row r="9162" spans="2:8" x14ac:dyDescent="0.2">
      <c r="B9162" s="3">
        <v>45267</v>
      </c>
      <c r="D9162" s="1">
        <v>4710.5</v>
      </c>
      <c r="E9162" s="1">
        <v>5125.5</v>
      </c>
      <c r="F9162" s="1">
        <v>4000</v>
      </c>
      <c r="G9162" s="2">
        <f t="shared" si="143"/>
        <v>1125.5</v>
      </c>
      <c r="H9162" t="s">
        <v>24</v>
      </c>
    </row>
    <row r="9163" spans="2:8" x14ac:dyDescent="0.2">
      <c r="B9163" s="3">
        <v>45267</v>
      </c>
      <c r="G9163" s="2">
        <f t="shared" si="143"/>
        <v>0</v>
      </c>
      <c r="H9163" t="s">
        <v>9</v>
      </c>
    </row>
    <row r="9164" spans="2:8" x14ac:dyDescent="0.2">
      <c r="B9164" s="3">
        <v>45267</v>
      </c>
      <c r="G9164" s="2">
        <f t="shared" si="143"/>
        <v>0</v>
      </c>
      <c r="H9164" t="s">
        <v>8</v>
      </c>
    </row>
    <row r="9165" spans="2:8" x14ac:dyDescent="0.2">
      <c r="B9165" s="3">
        <v>45267</v>
      </c>
      <c r="G9165" s="2">
        <f t="shared" si="143"/>
        <v>0</v>
      </c>
      <c r="H9165" t="s">
        <v>6</v>
      </c>
    </row>
    <row r="9166" spans="2:8" x14ac:dyDescent="0.2">
      <c r="B9166" s="3">
        <v>45267</v>
      </c>
      <c r="G9166" s="2">
        <f t="shared" si="143"/>
        <v>0</v>
      </c>
      <c r="H9166" t="s">
        <v>5</v>
      </c>
    </row>
    <row r="9167" spans="2:8" x14ac:dyDescent="0.2">
      <c r="B9167" s="3">
        <v>45267</v>
      </c>
      <c r="G9167" s="2">
        <f t="shared" si="143"/>
        <v>0</v>
      </c>
      <c r="H9167" s="1"/>
    </row>
    <row r="9168" spans="2:8" x14ac:dyDescent="0.2">
      <c r="B9168" s="3">
        <v>45267</v>
      </c>
      <c r="D9168" s="1">
        <v>39731.5</v>
      </c>
      <c r="E9168" s="1">
        <v>41651.5</v>
      </c>
      <c r="F9168" s="1">
        <v>41651.5</v>
      </c>
      <c r="G9168" s="2">
        <f t="shared" si="143"/>
        <v>0</v>
      </c>
      <c r="H9168" t="s">
        <v>0</v>
      </c>
    </row>
    <row r="9169" spans="2:8" x14ac:dyDescent="0.2">
      <c r="B9169" s="3">
        <v>45268</v>
      </c>
      <c r="G9169" s="2">
        <f t="shared" si="143"/>
        <v>0</v>
      </c>
      <c r="H9169" t="s">
        <v>14</v>
      </c>
    </row>
    <row r="9170" spans="2:8" x14ac:dyDescent="0.2">
      <c r="B9170" s="3">
        <v>45268</v>
      </c>
      <c r="G9170" s="2">
        <f t="shared" si="143"/>
        <v>0</v>
      </c>
      <c r="H9170" t="s">
        <v>27</v>
      </c>
    </row>
    <row r="9171" spans="2:8" x14ac:dyDescent="0.2">
      <c r="B9171" s="3">
        <v>45268</v>
      </c>
      <c r="G9171" s="2">
        <f t="shared" si="143"/>
        <v>0</v>
      </c>
      <c r="H9171" t="s">
        <v>13</v>
      </c>
    </row>
    <row r="9172" spans="2:8" x14ac:dyDescent="0.2">
      <c r="B9172" s="3">
        <v>45268</v>
      </c>
      <c r="G9172" s="2">
        <f t="shared" si="143"/>
        <v>0</v>
      </c>
      <c r="H9172" t="s">
        <v>30</v>
      </c>
    </row>
    <row r="9173" spans="2:8" x14ac:dyDescent="0.2">
      <c r="B9173" s="3">
        <v>45268</v>
      </c>
      <c r="G9173" s="2">
        <f t="shared" si="143"/>
        <v>0</v>
      </c>
      <c r="H9173" s="36" t="s">
        <v>25</v>
      </c>
    </row>
    <row r="9174" spans="2:8" x14ac:dyDescent="0.2">
      <c r="B9174" s="3">
        <v>45268</v>
      </c>
      <c r="G9174" s="2">
        <f t="shared" si="143"/>
        <v>0</v>
      </c>
      <c r="H9174" t="s">
        <v>24</v>
      </c>
    </row>
    <row r="9175" spans="2:8" x14ac:dyDescent="0.2">
      <c r="B9175" s="3">
        <v>45268</v>
      </c>
      <c r="G9175" s="2">
        <f t="shared" si="143"/>
        <v>0</v>
      </c>
      <c r="H9175" t="s">
        <v>9</v>
      </c>
    </row>
    <row r="9176" spans="2:8" x14ac:dyDescent="0.2">
      <c r="B9176" s="3">
        <v>45268</v>
      </c>
      <c r="G9176" s="2">
        <f t="shared" si="143"/>
        <v>0</v>
      </c>
      <c r="H9176" t="s">
        <v>8</v>
      </c>
    </row>
    <row r="9177" spans="2:8" x14ac:dyDescent="0.2">
      <c r="B9177" s="3">
        <v>45268</v>
      </c>
      <c r="G9177" s="2">
        <f t="shared" si="143"/>
        <v>0</v>
      </c>
      <c r="H9177" t="s">
        <v>6</v>
      </c>
    </row>
    <row r="9178" spans="2:8" x14ac:dyDescent="0.2">
      <c r="B9178" s="3">
        <v>45268</v>
      </c>
      <c r="G9178" s="2">
        <f t="shared" si="143"/>
        <v>0</v>
      </c>
      <c r="H9178" t="s">
        <v>5</v>
      </c>
    </row>
    <row r="9179" spans="2:8" x14ac:dyDescent="0.2">
      <c r="B9179" s="3">
        <v>45268</v>
      </c>
      <c r="G9179" s="2">
        <f t="shared" si="143"/>
        <v>0</v>
      </c>
      <c r="H9179" s="1"/>
    </row>
    <row r="9180" spans="2:8" x14ac:dyDescent="0.2">
      <c r="B9180" s="3">
        <v>45268</v>
      </c>
      <c r="G9180" s="2">
        <f t="shared" si="143"/>
        <v>0</v>
      </c>
      <c r="H9180" t="s">
        <v>0</v>
      </c>
    </row>
    <row r="9181" spans="2:8" x14ac:dyDescent="0.2">
      <c r="B9181" s="3">
        <v>45269</v>
      </c>
      <c r="G9181" s="2">
        <f t="shared" si="143"/>
        <v>0</v>
      </c>
      <c r="H9181" t="s">
        <v>14</v>
      </c>
    </row>
    <row r="9182" spans="2:8" x14ac:dyDescent="0.2">
      <c r="B9182" s="3">
        <v>45269</v>
      </c>
      <c r="G9182" s="2">
        <f t="shared" si="143"/>
        <v>0</v>
      </c>
      <c r="H9182" t="s">
        <v>27</v>
      </c>
    </row>
    <row r="9183" spans="2:8" x14ac:dyDescent="0.2">
      <c r="B9183" s="3">
        <v>45269</v>
      </c>
      <c r="G9183" s="2">
        <f t="shared" si="143"/>
        <v>0</v>
      </c>
      <c r="H9183" t="s">
        <v>13</v>
      </c>
    </row>
    <row r="9184" spans="2:8" x14ac:dyDescent="0.2">
      <c r="B9184" s="3">
        <v>45269</v>
      </c>
      <c r="G9184" s="2">
        <f t="shared" si="143"/>
        <v>0</v>
      </c>
      <c r="H9184" t="s">
        <v>30</v>
      </c>
    </row>
    <row r="9185" spans="2:8" x14ac:dyDescent="0.2">
      <c r="B9185" s="3">
        <v>45269</v>
      </c>
      <c r="G9185" s="2">
        <f t="shared" si="143"/>
        <v>0</v>
      </c>
      <c r="H9185" t="s">
        <v>25</v>
      </c>
    </row>
    <row r="9186" spans="2:8" x14ac:dyDescent="0.2">
      <c r="B9186" s="3">
        <v>45269</v>
      </c>
      <c r="G9186" s="2">
        <f t="shared" si="143"/>
        <v>0</v>
      </c>
      <c r="H9186" t="s">
        <v>24</v>
      </c>
    </row>
    <row r="9187" spans="2:8" x14ac:dyDescent="0.2">
      <c r="B9187" s="3">
        <v>45269</v>
      </c>
      <c r="G9187" s="2">
        <f t="shared" si="143"/>
        <v>0</v>
      </c>
      <c r="H9187" t="s">
        <v>9</v>
      </c>
    </row>
    <row r="9188" spans="2:8" x14ac:dyDescent="0.2">
      <c r="B9188" s="3">
        <v>45269</v>
      </c>
      <c r="G9188" s="2">
        <f t="shared" si="143"/>
        <v>0</v>
      </c>
      <c r="H9188" t="s">
        <v>8</v>
      </c>
    </row>
    <row r="9189" spans="2:8" x14ac:dyDescent="0.2">
      <c r="B9189" s="3">
        <v>45269</v>
      </c>
      <c r="G9189" s="2">
        <f t="shared" si="143"/>
        <v>0</v>
      </c>
      <c r="H9189" t="s">
        <v>6</v>
      </c>
    </row>
    <row r="9190" spans="2:8" x14ac:dyDescent="0.2">
      <c r="B9190" s="3">
        <v>45269</v>
      </c>
      <c r="G9190" s="2">
        <f t="shared" si="143"/>
        <v>0</v>
      </c>
      <c r="H9190" t="s">
        <v>5</v>
      </c>
    </row>
    <row r="9191" spans="2:8" x14ac:dyDescent="0.2">
      <c r="B9191" s="3">
        <v>45269</v>
      </c>
      <c r="G9191" s="2">
        <f t="shared" si="143"/>
        <v>0</v>
      </c>
      <c r="H9191" s="1"/>
    </row>
    <row r="9192" spans="2:8" x14ac:dyDescent="0.2">
      <c r="B9192" s="3">
        <v>45269</v>
      </c>
      <c r="G9192" s="2">
        <f t="shared" si="143"/>
        <v>0</v>
      </c>
      <c r="H9192" t="s">
        <v>0</v>
      </c>
    </row>
    <row r="9193" spans="2:8" x14ac:dyDescent="0.2">
      <c r="B9193" s="3">
        <v>45270</v>
      </c>
      <c r="G9193" s="2">
        <f t="shared" si="143"/>
        <v>0</v>
      </c>
      <c r="H9193" t="s">
        <v>14</v>
      </c>
    </row>
    <row r="9194" spans="2:8" x14ac:dyDescent="0.2">
      <c r="B9194" s="3">
        <v>45270</v>
      </c>
      <c r="G9194" s="2">
        <f t="shared" si="143"/>
        <v>0</v>
      </c>
      <c r="H9194" t="s">
        <v>27</v>
      </c>
    </row>
    <row r="9195" spans="2:8" x14ac:dyDescent="0.2">
      <c r="B9195" s="3">
        <v>45270</v>
      </c>
      <c r="G9195" s="2">
        <f t="shared" si="143"/>
        <v>0</v>
      </c>
      <c r="H9195" t="s">
        <v>13</v>
      </c>
    </row>
    <row r="9196" spans="2:8" x14ac:dyDescent="0.2">
      <c r="B9196" s="3">
        <v>45270</v>
      </c>
      <c r="G9196" s="2">
        <f t="shared" si="143"/>
        <v>0</v>
      </c>
      <c r="H9196" t="s">
        <v>30</v>
      </c>
    </row>
    <row r="9197" spans="2:8" x14ac:dyDescent="0.2">
      <c r="B9197" s="3">
        <v>45270</v>
      </c>
      <c r="G9197" s="2">
        <f t="shared" si="143"/>
        <v>0</v>
      </c>
      <c r="H9197" t="s">
        <v>25</v>
      </c>
    </row>
    <row r="9198" spans="2:8" x14ac:dyDescent="0.2">
      <c r="B9198" s="3">
        <v>45270</v>
      </c>
      <c r="G9198" s="2">
        <f t="shared" si="143"/>
        <v>0</v>
      </c>
      <c r="H9198" s="36" t="s">
        <v>24</v>
      </c>
    </row>
    <row r="9199" spans="2:8" x14ac:dyDescent="0.2">
      <c r="B9199" s="3">
        <v>45270</v>
      </c>
      <c r="G9199" s="2">
        <f t="shared" si="143"/>
        <v>0</v>
      </c>
      <c r="H9199" t="s">
        <v>9</v>
      </c>
    </row>
    <row r="9200" spans="2:8" x14ac:dyDescent="0.2">
      <c r="B9200" s="3">
        <v>45270</v>
      </c>
      <c r="F9200" s="1">
        <v>20000</v>
      </c>
      <c r="G9200" s="2">
        <f t="shared" si="143"/>
        <v>-20000</v>
      </c>
      <c r="H9200" t="s">
        <v>8</v>
      </c>
    </row>
    <row r="9201" spans="2:8" x14ac:dyDescent="0.2">
      <c r="B9201" s="3">
        <v>45270</v>
      </c>
      <c r="G9201" s="2">
        <f t="shared" si="143"/>
        <v>0</v>
      </c>
      <c r="H9201" t="s">
        <v>6</v>
      </c>
    </row>
    <row r="9202" spans="2:8" x14ac:dyDescent="0.2">
      <c r="B9202" s="3">
        <v>45270</v>
      </c>
      <c r="G9202" s="2">
        <f t="shared" si="143"/>
        <v>0</v>
      </c>
      <c r="H9202" t="s">
        <v>5</v>
      </c>
    </row>
    <row r="9203" spans="2:8" x14ac:dyDescent="0.2">
      <c r="B9203" s="3">
        <v>45270</v>
      </c>
      <c r="D9203" s="1">
        <v>11005</v>
      </c>
      <c r="E9203" s="1">
        <v>12365</v>
      </c>
      <c r="F9203" s="1">
        <v>12365</v>
      </c>
      <c r="G9203" s="2">
        <f t="shared" si="143"/>
        <v>0</v>
      </c>
      <c r="H9203" t="s">
        <v>39</v>
      </c>
    </row>
    <row r="9204" spans="2:8" x14ac:dyDescent="0.2">
      <c r="B9204" s="3">
        <v>45270</v>
      </c>
      <c r="G9204" s="2">
        <f t="shared" si="143"/>
        <v>0</v>
      </c>
      <c r="H9204" t="s">
        <v>0</v>
      </c>
    </row>
    <row r="9205" spans="2:8" x14ac:dyDescent="0.2">
      <c r="B9205" s="3">
        <v>45271</v>
      </c>
      <c r="G9205" s="2">
        <f t="shared" si="143"/>
        <v>0</v>
      </c>
      <c r="H9205" t="s">
        <v>14</v>
      </c>
    </row>
    <row r="9206" spans="2:8" x14ac:dyDescent="0.2">
      <c r="B9206" s="3">
        <v>45271</v>
      </c>
      <c r="G9206" s="2">
        <f t="shared" si="143"/>
        <v>0</v>
      </c>
      <c r="H9206" t="s">
        <v>27</v>
      </c>
    </row>
    <row r="9207" spans="2:8" x14ac:dyDescent="0.2">
      <c r="B9207" s="3">
        <v>45271</v>
      </c>
      <c r="G9207" s="2">
        <f t="shared" si="143"/>
        <v>0</v>
      </c>
      <c r="H9207" t="s">
        <v>13</v>
      </c>
    </row>
    <row r="9208" spans="2:8" x14ac:dyDescent="0.2">
      <c r="B9208" s="3">
        <v>45271</v>
      </c>
      <c r="G9208" s="2">
        <f t="shared" si="143"/>
        <v>0</v>
      </c>
      <c r="H9208" t="s">
        <v>30</v>
      </c>
    </row>
    <row r="9209" spans="2:8" x14ac:dyDescent="0.2">
      <c r="B9209" s="3">
        <v>45271</v>
      </c>
      <c r="G9209" s="2">
        <f t="shared" si="143"/>
        <v>0</v>
      </c>
      <c r="H9209" t="s">
        <v>25</v>
      </c>
    </row>
    <row r="9210" spans="2:8" x14ac:dyDescent="0.2">
      <c r="B9210" s="3">
        <v>45271</v>
      </c>
      <c r="G9210" s="2">
        <f t="shared" si="143"/>
        <v>0</v>
      </c>
      <c r="H9210" t="s">
        <v>24</v>
      </c>
    </row>
    <row r="9211" spans="2:8" x14ac:dyDescent="0.2">
      <c r="B9211" s="3">
        <v>45271</v>
      </c>
      <c r="G9211" s="2">
        <f t="shared" si="143"/>
        <v>0</v>
      </c>
      <c r="H9211" t="s">
        <v>9</v>
      </c>
    </row>
    <row r="9212" spans="2:8" x14ac:dyDescent="0.2">
      <c r="B9212" s="3">
        <v>45271</v>
      </c>
      <c r="G9212" s="2">
        <f t="shared" si="143"/>
        <v>0</v>
      </c>
      <c r="H9212" t="s">
        <v>8</v>
      </c>
    </row>
    <row r="9213" spans="2:8" x14ac:dyDescent="0.2">
      <c r="B9213" s="3">
        <v>45271</v>
      </c>
      <c r="G9213" s="2">
        <f t="shared" si="143"/>
        <v>0</v>
      </c>
      <c r="H9213" t="s">
        <v>6</v>
      </c>
    </row>
    <row r="9214" spans="2:8" x14ac:dyDescent="0.2">
      <c r="B9214" s="3">
        <v>45271</v>
      </c>
      <c r="G9214" s="2">
        <f t="shared" si="143"/>
        <v>0</v>
      </c>
      <c r="H9214" t="s">
        <v>5</v>
      </c>
    </row>
    <row r="9215" spans="2:8" x14ac:dyDescent="0.2">
      <c r="B9215" s="3">
        <v>45271</v>
      </c>
      <c r="G9215" s="2">
        <f t="shared" si="143"/>
        <v>0</v>
      </c>
      <c r="H9215" s="1"/>
    </row>
    <row r="9216" spans="2:8" x14ac:dyDescent="0.2">
      <c r="B9216" s="3">
        <v>45271</v>
      </c>
      <c r="G9216" s="2">
        <f t="shared" si="143"/>
        <v>0</v>
      </c>
      <c r="H9216" t="s">
        <v>0</v>
      </c>
    </row>
    <row r="9217" spans="2:8" x14ac:dyDescent="0.2">
      <c r="B9217" s="3">
        <v>45272</v>
      </c>
      <c r="G9217" s="2">
        <f t="shared" si="143"/>
        <v>0</v>
      </c>
      <c r="H9217" t="s">
        <v>14</v>
      </c>
    </row>
    <row r="9218" spans="2:8" x14ac:dyDescent="0.2">
      <c r="B9218" s="3">
        <v>45272</v>
      </c>
      <c r="G9218" s="2">
        <f t="shared" si="143"/>
        <v>0</v>
      </c>
      <c r="H9218" t="s">
        <v>27</v>
      </c>
    </row>
    <row r="9219" spans="2:8" x14ac:dyDescent="0.2">
      <c r="B9219" s="3">
        <v>45272</v>
      </c>
      <c r="G9219" s="2">
        <f t="shared" ref="G9219:G9282" si="144">E9219-F9219</f>
        <v>0</v>
      </c>
      <c r="H9219" t="s">
        <v>13</v>
      </c>
    </row>
    <row r="9220" spans="2:8" x14ac:dyDescent="0.2">
      <c r="B9220" s="3">
        <v>45272</v>
      </c>
      <c r="G9220" s="2">
        <f t="shared" si="144"/>
        <v>0</v>
      </c>
      <c r="H9220" t="s">
        <v>30</v>
      </c>
    </row>
    <row r="9221" spans="2:8" x14ac:dyDescent="0.2">
      <c r="B9221" s="3">
        <v>45272</v>
      </c>
      <c r="G9221" s="2">
        <f t="shared" si="144"/>
        <v>0</v>
      </c>
      <c r="H9221" t="s">
        <v>25</v>
      </c>
    </row>
    <row r="9222" spans="2:8" x14ac:dyDescent="0.2">
      <c r="B9222" s="3">
        <v>45272</v>
      </c>
      <c r="G9222" s="2">
        <f t="shared" si="144"/>
        <v>0</v>
      </c>
      <c r="H9222" t="s">
        <v>24</v>
      </c>
    </row>
    <row r="9223" spans="2:8" x14ac:dyDescent="0.2">
      <c r="B9223" s="3">
        <v>45272</v>
      </c>
      <c r="G9223" s="2">
        <f t="shared" si="144"/>
        <v>0</v>
      </c>
      <c r="H9223" t="s">
        <v>9</v>
      </c>
    </row>
    <row r="9224" spans="2:8" x14ac:dyDescent="0.2">
      <c r="B9224" s="3">
        <v>45272</v>
      </c>
      <c r="G9224" s="2">
        <f t="shared" si="144"/>
        <v>0</v>
      </c>
      <c r="H9224" s="36" t="s">
        <v>8</v>
      </c>
    </row>
    <row r="9225" spans="2:8" x14ac:dyDescent="0.2">
      <c r="B9225" s="3">
        <v>45272</v>
      </c>
      <c r="G9225" s="2">
        <f t="shared" si="144"/>
        <v>0</v>
      </c>
      <c r="H9225" t="s">
        <v>6</v>
      </c>
    </row>
    <row r="9226" spans="2:8" x14ac:dyDescent="0.2">
      <c r="B9226" s="3">
        <v>45272</v>
      </c>
      <c r="G9226" s="2">
        <f t="shared" si="144"/>
        <v>0</v>
      </c>
      <c r="H9226" t="s">
        <v>5</v>
      </c>
    </row>
    <row r="9227" spans="2:8" x14ac:dyDescent="0.2">
      <c r="B9227" s="3">
        <v>45272</v>
      </c>
      <c r="G9227" s="2">
        <f t="shared" si="144"/>
        <v>0</v>
      </c>
      <c r="H9227" s="1"/>
    </row>
    <row r="9228" spans="2:8" x14ac:dyDescent="0.2">
      <c r="B9228" s="3">
        <v>45272</v>
      </c>
      <c r="G9228" s="2">
        <f t="shared" si="144"/>
        <v>0</v>
      </c>
      <c r="H9228" t="s">
        <v>0</v>
      </c>
    </row>
    <row r="9229" spans="2:8" x14ac:dyDescent="0.2">
      <c r="B9229" s="3">
        <v>45273</v>
      </c>
      <c r="G9229" s="2">
        <f t="shared" si="144"/>
        <v>0</v>
      </c>
      <c r="H9229" t="s">
        <v>14</v>
      </c>
    </row>
    <row r="9230" spans="2:8" x14ac:dyDescent="0.2">
      <c r="B9230" s="3">
        <v>45273</v>
      </c>
      <c r="G9230" s="2">
        <f t="shared" si="144"/>
        <v>0</v>
      </c>
      <c r="H9230" t="s">
        <v>27</v>
      </c>
    </row>
    <row r="9231" spans="2:8" x14ac:dyDescent="0.2">
      <c r="B9231" s="3">
        <v>45273</v>
      </c>
      <c r="D9231" s="1">
        <v>12472.5</v>
      </c>
      <c r="E9231" s="1">
        <v>13730</v>
      </c>
      <c r="F9231" s="1">
        <v>13700</v>
      </c>
      <c r="G9231" s="2">
        <f t="shared" si="144"/>
        <v>30</v>
      </c>
      <c r="H9231" t="s">
        <v>13</v>
      </c>
    </row>
    <row r="9232" spans="2:8" x14ac:dyDescent="0.2">
      <c r="B9232" s="3">
        <v>45273</v>
      </c>
      <c r="G9232" s="2">
        <f t="shared" si="144"/>
        <v>0</v>
      </c>
      <c r="H9232" t="s">
        <v>30</v>
      </c>
    </row>
    <row r="9233" spans="2:8" x14ac:dyDescent="0.2">
      <c r="B9233" s="3">
        <v>45273</v>
      </c>
      <c r="G9233" s="2">
        <f t="shared" si="144"/>
        <v>0</v>
      </c>
      <c r="H9233" t="s">
        <v>25</v>
      </c>
    </row>
    <row r="9234" spans="2:8" x14ac:dyDescent="0.2">
      <c r="B9234" s="3">
        <v>45273</v>
      </c>
      <c r="F9234" s="1">
        <v>1400</v>
      </c>
      <c r="G9234" s="2">
        <f t="shared" si="144"/>
        <v>-1400</v>
      </c>
      <c r="H9234" t="s">
        <v>24</v>
      </c>
    </row>
    <row r="9235" spans="2:8" x14ac:dyDescent="0.2">
      <c r="B9235" s="3">
        <v>45273</v>
      </c>
      <c r="G9235" s="2">
        <f t="shared" si="144"/>
        <v>0</v>
      </c>
      <c r="H9235" t="s">
        <v>9</v>
      </c>
    </row>
    <row r="9236" spans="2:8" x14ac:dyDescent="0.2">
      <c r="B9236" s="3">
        <v>45273</v>
      </c>
      <c r="G9236" s="2">
        <f t="shared" si="144"/>
        <v>0</v>
      </c>
      <c r="H9236" t="s">
        <v>8</v>
      </c>
    </row>
    <row r="9237" spans="2:8" x14ac:dyDescent="0.2">
      <c r="B9237" s="3">
        <v>45273</v>
      </c>
      <c r="G9237" s="2">
        <f t="shared" si="144"/>
        <v>0</v>
      </c>
      <c r="H9237" t="s">
        <v>6</v>
      </c>
    </row>
    <row r="9238" spans="2:8" x14ac:dyDescent="0.2">
      <c r="B9238" s="3">
        <v>45273</v>
      </c>
      <c r="G9238" s="2">
        <f t="shared" si="144"/>
        <v>0</v>
      </c>
      <c r="H9238" t="s">
        <v>5</v>
      </c>
    </row>
    <row r="9239" spans="2:8" x14ac:dyDescent="0.2">
      <c r="B9239" s="3">
        <v>45273</v>
      </c>
      <c r="G9239" s="2">
        <f t="shared" si="144"/>
        <v>0</v>
      </c>
      <c r="H9239" s="1"/>
    </row>
    <row r="9240" spans="2:8" x14ac:dyDescent="0.2">
      <c r="B9240" s="3">
        <v>45273</v>
      </c>
      <c r="D9240" s="1">
        <v>151505.63999999998</v>
      </c>
      <c r="E9240" s="1">
        <v>158763.26999999999</v>
      </c>
      <c r="F9240" s="1">
        <v>158763.26999999999</v>
      </c>
      <c r="G9240" s="2">
        <f t="shared" si="144"/>
        <v>0</v>
      </c>
      <c r="H9240" t="s">
        <v>0</v>
      </c>
    </row>
    <row r="9241" spans="2:8" x14ac:dyDescent="0.2">
      <c r="B9241" s="3">
        <v>45274</v>
      </c>
      <c r="D9241" s="1">
        <v>460</v>
      </c>
      <c r="E9241" s="1">
        <v>550</v>
      </c>
      <c r="G9241" s="2">
        <f t="shared" si="144"/>
        <v>550</v>
      </c>
      <c r="H9241" t="s">
        <v>14</v>
      </c>
    </row>
    <row r="9242" spans="2:8" x14ac:dyDescent="0.2">
      <c r="B9242" s="3">
        <v>45274</v>
      </c>
      <c r="G9242" s="2">
        <f t="shared" si="144"/>
        <v>0</v>
      </c>
      <c r="H9242" t="s">
        <v>27</v>
      </c>
    </row>
    <row r="9243" spans="2:8" x14ac:dyDescent="0.2">
      <c r="B9243" s="3">
        <v>45274</v>
      </c>
      <c r="D9243" s="1">
        <v>1415</v>
      </c>
      <c r="E9243" s="1">
        <v>1590</v>
      </c>
      <c r="F9243" s="1">
        <v>3000</v>
      </c>
      <c r="G9243" s="2">
        <f t="shared" si="144"/>
        <v>-1410</v>
      </c>
      <c r="H9243" t="s">
        <v>13</v>
      </c>
    </row>
    <row r="9244" spans="2:8" x14ac:dyDescent="0.2">
      <c r="B9244" s="3">
        <v>45274</v>
      </c>
      <c r="G9244" s="2">
        <f t="shared" si="144"/>
        <v>0</v>
      </c>
      <c r="H9244" t="s">
        <v>30</v>
      </c>
    </row>
    <row r="9245" spans="2:8" x14ac:dyDescent="0.2">
      <c r="B9245" s="3">
        <v>45274</v>
      </c>
      <c r="D9245" s="1">
        <v>5650</v>
      </c>
      <c r="E9245" s="1">
        <v>6300</v>
      </c>
      <c r="F9245" s="1">
        <v>6300</v>
      </c>
      <c r="G9245" s="2">
        <f t="shared" si="144"/>
        <v>0</v>
      </c>
      <c r="H9245" t="s">
        <v>25</v>
      </c>
    </row>
    <row r="9246" spans="2:8" x14ac:dyDescent="0.2">
      <c r="B9246" s="3">
        <v>45274</v>
      </c>
      <c r="G9246" s="2">
        <f t="shared" si="144"/>
        <v>0</v>
      </c>
      <c r="H9246" t="s">
        <v>24</v>
      </c>
    </row>
    <row r="9247" spans="2:8" x14ac:dyDescent="0.2">
      <c r="B9247" s="3">
        <v>45274</v>
      </c>
      <c r="G9247" s="2">
        <f t="shared" si="144"/>
        <v>0</v>
      </c>
      <c r="H9247" t="s">
        <v>9</v>
      </c>
    </row>
    <row r="9248" spans="2:8" x14ac:dyDescent="0.2">
      <c r="B9248" s="3">
        <v>45274</v>
      </c>
      <c r="G9248" s="2">
        <f t="shared" si="144"/>
        <v>0</v>
      </c>
      <c r="H9248" t="s">
        <v>8</v>
      </c>
    </row>
    <row r="9249" spans="2:8" x14ac:dyDescent="0.2">
      <c r="B9249" s="3">
        <v>45274</v>
      </c>
      <c r="G9249" s="2">
        <f t="shared" si="144"/>
        <v>0</v>
      </c>
      <c r="H9249" s="36" t="s">
        <v>6</v>
      </c>
    </row>
    <row r="9250" spans="2:8" x14ac:dyDescent="0.2">
      <c r="B9250" s="3">
        <v>45274</v>
      </c>
      <c r="G9250" s="2">
        <f t="shared" si="144"/>
        <v>0</v>
      </c>
      <c r="H9250" t="s">
        <v>5</v>
      </c>
    </row>
    <row r="9251" spans="2:8" x14ac:dyDescent="0.2">
      <c r="B9251" s="3">
        <v>45274</v>
      </c>
      <c r="G9251" s="2">
        <f t="shared" si="144"/>
        <v>0</v>
      </c>
      <c r="H9251" s="1"/>
    </row>
    <row r="9252" spans="2:8" x14ac:dyDescent="0.2">
      <c r="B9252" s="3">
        <v>45274</v>
      </c>
      <c r="G9252" s="2">
        <f t="shared" si="144"/>
        <v>0</v>
      </c>
      <c r="H9252" t="s">
        <v>0</v>
      </c>
    </row>
    <row r="9253" spans="2:8" x14ac:dyDescent="0.2">
      <c r="B9253" s="3">
        <v>45275</v>
      </c>
      <c r="G9253" s="2">
        <f t="shared" si="144"/>
        <v>0</v>
      </c>
      <c r="H9253" t="s">
        <v>14</v>
      </c>
    </row>
    <row r="9254" spans="2:8" x14ac:dyDescent="0.2">
      <c r="B9254" s="3">
        <v>45275</v>
      </c>
      <c r="G9254" s="2">
        <f t="shared" si="144"/>
        <v>0</v>
      </c>
      <c r="H9254" t="s">
        <v>27</v>
      </c>
    </row>
    <row r="9255" spans="2:8" x14ac:dyDescent="0.2">
      <c r="B9255" s="3">
        <v>45275</v>
      </c>
      <c r="G9255" s="2">
        <f t="shared" si="144"/>
        <v>0</v>
      </c>
      <c r="H9255" t="s">
        <v>13</v>
      </c>
    </row>
    <row r="9256" spans="2:8" x14ac:dyDescent="0.2">
      <c r="B9256" s="3">
        <v>45275</v>
      </c>
      <c r="G9256" s="2">
        <f t="shared" si="144"/>
        <v>0</v>
      </c>
      <c r="H9256" t="s">
        <v>30</v>
      </c>
    </row>
    <row r="9257" spans="2:8" x14ac:dyDescent="0.2">
      <c r="B9257" s="3">
        <v>45275</v>
      </c>
      <c r="G9257" s="2">
        <f t="shared" si="144"/>
        <v>0</v>
      </c>
      <c r="H9257" t="s">
        <v>25</v>
      </c>
    </row>
    <row r="9258" spans="2:8" x14ac:dyDescent="0.2">
      <c r="B9258" s="3">
        <v>45275</v>
      </c>
      <c r="G9258" s="2">
        <f t="shared" si="144"/>
        <v>0</v>
      </c>
      <c r="H9258" s="36" t="s">
        <v>24</v>
      </c>
    </row>
    <row r="9259" spans="2:8" x14ac:dyDescent="0.2">
      <c r="B9259" s="3">
        <v>45275</v>
      </c>
      <c r="G9259" s="2">
        <f t="shared" si="144"/>
        <v>0</v>
      </c>
      <c r="H9259" t="s">
        <v>9</v>
      </c>
    </row>
    <row r="9260" spans="2:8" x14ac:dyDescent="0.2">
      <c r="B9260" s="3">
        <v>45275</v>
      </c>
      <c r="G9260" s="2">
        <f t="shared" si="144"/>
        <v>0</v>
      </c>
      <c r="H9260" t="s">
        <v>8</v>
      </c>
    </row>
    <row r="9261" spans="2:8" x14ac:dyDescent="0.2">
      <c r="B9261" s="3">
        <v>45275</v>
      </c>
      <c r="G9261" s="2">
        <f t="shared" si="144"/>
        <v>0</v>
      </c>
      <c r="H9261" t="s">
        <v>6</v>
      </c>
    </row>
    <row r="9262" spans="2:8" x14ac:dyDescent="0.2">
      <c r="B9262" s="3">
        <v>45275</v>
      </c>
      <c r="G9262" s="2">
        <f t="shared" si="144"/>
        <v>0</v>
      </c>
      <c r="H9262" t="s">
        <v>5</v>
      </c>
    </row>
    <row r="9263" spans="2:8" x14ac:dyDescent="0.2">
      <c r="B9263" s="3">
        <v>45275</v>
      </c>
      <c r="G9263" s="2">
        <f t="shared" si="144"/>
        <v>0</v>
      </c>
      <c r="H9263" s="1"/>
    </row>
    <row r="9264" spans="2:8" x14ac:dyDescent="0.2">
      <c r="B9264" s="3">
        <v>45275</v>
      </c>
      <c r="G9264" s="2">
        <f t="shared" si="144"/>
        <v>0</v>
      </c>
      <c r="H9264" t="s">
        <v>0</v>
      </c>
    </row>
    <row r="9265" spans="2:8" x14ac:dyDescent="0.2">
      <c r="B9265" s="3">
        <v>45276</v>
      </c>
      <c r="D9265" s="1">
        <v>23287.5</v>
      </c>
      <c r="E9265" s="1">
        <v>25312.5</v>
      </c>
      <c r="F9265" s="1">
        <v>10000</v>
      </c>
      <c r="G9265" s="2">
        <f t="shared" si="144"/>
        <v>15312.5</v>
      </c>
      <c r="H9265" t="s">
        <v>14</v>
      </c>
    </row>
    <row r="9266" spans="2:8" x14ac:dyDescent="0.2">
      <c r="B9266" s="3">
        <v>45276</v>
      </c>
      <c r="F9266" s="1">
        <v>2000</v>
      </c>
      <c r="G9266" s="2">
        <f t="shared" si="144"/>
        <v>-2000</v>
      </c>
      <c r="H9266" t="s">
        <v>27</v>
      </c>
    </row>
    <row r="9267" spans="2:8" x14ac:dyDescent="0.2">
      <c r="B9267" s="3">
        <v>45276</v>
      </c>
      <c r="D9267" s="1">
        <v>5687.5</v>
      </c>
      <c r="E9267" s="1">
        <v>6087.5</v>
      </c>
      <c r="G9267" s="2">
        <f t="shared" si="144"/>
        <v>6087.5</v>
      </c>
      <c r="H9267" t="s">
        <v>13</v>
      </c>
    </row>
    <row r="9268" spans="2:8" x14ac:dyDescent="0.2">
      <c r="B9268" s="3">
        <v>45276</v>
      </c>
      <c r="G9268" s="2">
        <f t="shared" si="144"/>
        <v>0</v>
      </c>
      <c r="H9268" t="s">
        <v>30</v>
      </c>
    </row>
    <row r="9269" spans="2:8" x14ac:dyDescent="0.2">
      <c r="B9269" s="3">
        <v>45276</v>
      </c>
      <c r="G9269" s="2">
        <f t="shared" si="144"/>
        <v>0</v>
      </c>
      <c r="H9269" t="s">
        <v>25</v>
      </c>
    </row>
    <row r="9270" spans="2:8" x14ac:dyDescent="0.2">
      <c r="B9270" s="3">
        <v>45276</v>
      </c>
      <c r="G9270" s="2">
        <f t="shared" si="144"/>
        <v>0</v>
      </c>
      <c r="H9270" t="s">
        <v>24</v>
      </c>
    </row>
    <row r="9271" spans="2:8" x14ac:dyDescent="0.2">
      <c r="B9271" s="3">
        <v>45276</v>
      </c>
      <c r="G9271" s="2">
        <f t="shared" si="144"/>
        <v>0</v>
      </c>
      <c r="H9271" t="s">
        <v>9</v>
      </c>
    </row>
    <row r="9272" spans="2:8" x14ac:dyDescent="0.2">
      <c r="B9272" s="3">
        <v>45276</v>
      </c>
      <c r="G9272" s="2">
        <f t="shared" si="144"/>
        <v>0</v>
      </c>
      <c r="H9272" t="s">
        <v>8</v>
      </c>
    </row>
    <row r="9273" spans="2:8" x14ac:dyDescent="0.2">
      <c r="B9273" s="3">
        <v>45276</v>
      </c>
      <c r="G9273" s="2">
        <f t="shared" si="144"/>
        <v>0</v>
      </c>
      <c r="H9273" t="s">
        <v>6</v>
      </c>
    </row>
    <row r="9274" spans="2:8" x14ac:dyDescent="0.2">
      <c r="B9274" s="3">
        <v>45276</v>
      </c>
      <c r="G9274" s="2">
        <f t="shared" si="144"/>
        <v>0</v>
      </c>
      <c r="H9274" t="s">
        <v>5</v>
      </c>
    </row>
    <row r="9275" spans="2:8" x14ac:dyDescent="0.2">
      <c r="B9275" s="3">
        <v>45276</v>
      </c>
      <c r="G9275" s="2">
        <f t="shared" si="144"/>
        <v>0</v>
      </c>
      <c r="H9275" s="1"/>
    </row>
    <row r="9276" spans="2:8" x14ac:dyDescent="0.2">
      <c r="B9276" s="3">
        <v>45276</v>
      </c>
      <c r="G9276" s="2">
        <f t="shared" si="144"/>
        <v>0</v>
      </c>
      <c r="H9276" t="s">
        <v>0</v>
      </c>
    </row>
    <row r="9277" spans="2:8" x14ac:dyDescent="0.2">
      <c r="B9277" s="3">
        <v>45277</v>
      </c>
      <c r="G9277" s="2">
        <f t="shared" si="144"/>
        <v>0</v>
      </c>
      <c r="H9277" t="s">
        <v>14</v>
      </c>
    </row>
    <row r="9278" spans="2:8" x14ac:dyDescent="0.2">
      <c r="B9278" s="3">
        <v>45277</v>
      </c>
      <c r="G9278" s="2">
        <f t="shared" si="144"/>
        <v>0</v>
      </c>
      <c r="H9278" t="s">
        <v>27</v>
      </c>
    </row>
    <row r="9279" spans="2:8" x14ac:dyDescent="0.2">
      <c r="B9279" s="3">
        <v>45277</v>
      </c>
      <c r="G9279" s="2">
        <f t="shared" si="144"/>
        <v>0</v>
      </c>
      <c r="H9279" t="s">
        <v>13</v>
      </c>
    </row>
    <row r="9280" spans="2:8" x14ac:dyDescent="0.2">
      <c r="B9280" s="3">
        <v>45277</v>
      </c>
      <c r="G9280" s="2">
        <f t="shared" si="144"/>
        <v>0</v>
      </c>
      <c r="H9280" t="s">
        <v>30</v>
      </c>
    </row>
    <row r="9281" spans="2:8" x14ac:dyDescent="0.2">
      <c r="B9281" s="3">
        <v>45277</v>
      </c>
      <c r="G9281" s="2">
        <f t="shared" si="144"/>
        <v>0</v>
      </c>
      <c r="H9281" t="s">
        <v>25</v>
      </c>
    </row>
    <row r="9282" spans="2:8" x14ac:dyDescent="0.2">
      <c r="B9282" s="3">
        <v>45277</v>
      </c>
      <c r="G9282" s="2">
        <f t="shared" si="144"/>
        <v>0</v>
      </c>
      <c r="H9282" t="s">
        <v>24</v>
      </c>
    </row>
    <row r="9283" spans="2:8" x14ac:dyDescent="0.2">
      <c r="B9283" s="3">
        <v>45277</v>
      </c>
      <c r="G9283" s="2">
        <f t="shared" ref="G9283:G9346" si="145">E9283-F9283</f>
        <v>0</v>
      </c>
      <c r="H9283" t="s">
        <v>9</v>
      </c>
    </row>
    <row r="9284" spans="2:8" x14ac:dyDescent="0.2">
      <c r="B9284" s="3">
        <v>45277</v>
      </c>
      <c r="G9284" s="2">
        <f t="shared" si="145"/>
        <v>0</v>
      </c>
      <c r="H9284" t="s">
        <v>8</v>
      </c>
    </row>
    <row r="9285" spans="2:8" x14ac:dyDescent="0.2">
      <c r="B9285" s="3">
        <v>45277</v>
      </c>
      <c r="G9285" s="2">
        <f t="shared" si="145"/>
        <v>0</v>
      </c>
      <c r="H9285" t="s">
        <v>6</v>
      </c>
    </row>
    <row r="9286" spans="2:8" x14ac:dyDescent="0.2">
      <c r="B9286" s="3">
        <v>45277</v>
      </c>
      <c r="G9286" s="2">
        <f t="shared" si="145"/>
        <v>0</v>
      </c>
      <c r="H9286" t="s">
        <v>5</v>
      </c>
    </row>
    <row r="9287" spans="2:8" x14ac:dyDescent="0.2">
      <c r="B9287" s="3">
        <v>45277</v>
      </c>
      <c r="D9287" s="1">
        <v>6777</v>
      </c>
      <c r="E9287" s="1">
        <v>7140</v>
      </c>
      <c r="F9287" s="1">
        <v>7140</v>
      </c>
      <c r="G9287" s="2">
        <f t="shared" si="145"/>
        <v>0</v>
      </c>
      <c r="H9287" s="1"/>
    </row>
    <row r="9288" spans="2:8" x14ac:dyDescent="0.2">
      <c r="B9288" s="3">
        <v>45277</v>
      </c>
      <c r="G9288" s="2">
        <f t="shared" si="145"/>
        <v>0</v>
      </c>
      <c r="H9288" t="s">
        <v>0</v>
      </c>
    </row>
    <row r="9289" spans="2:8" x14ac:dyDescent="0.2">
      <c r="B9289" s="3">
        <v>45278</v>
      </c>
      <c r="G9289" s="2">
        <f t="shared" si="145"/>
        <v>0</v>
      </c>
      <c r="H9289" t="s">
        <v>14</v>
      </c>
    </row>
    <row r="9290" spans="2:8" x14ac:dyDescent="0.2">
      <c r="B9290" s="3">
        <v>45278</v>
      </c>
      <c r="G9290" s="2">
        <f t="shared" si="145"/>
        <v>0</v>
      </c>
      <c r="H9290" t="s">
        <v>27</v>
      </c>
    </row>
    <row r="9291" spans="2:8" x14ac:dyDescent="0.2">
      <c r="B9291" s="3">
        <v>45278</v>
      </c>
      <c r="G9291" s="2">
        <f t="shared" si="145"/>
        <v>0</v>
      </c>
      <c r="H9291" t="s">
        <v>13</v>
      </c>
    </row>
    <row r="9292" spans="2:8" x14ac:dyDescent="0.2">
      <c r="B9292" s="3">
        <v>45278</v>
      </c>
      <c r="G9292" s="2">
        <f t="shared" si="145"/>
        <v>0</v>
      </c>
      <c r="H9292" t="s">
        <v>30</v>
      </c>
    </row>
    <row r="9293" spans="2:8" x14ac:dyDescent="0.2">
      <c r="B9293" s="3">
        <v>45278</v>
      </c>
      <c r="G9293" s="2">
        <f t="shared" si="145"/>
        <v>0</v>
      </c>
      <c r="H9293" t="s">
        <v>25</v>
      </c>
    </row>
    <row r="9294" spans="2:8" x14ac:dyDescent="0.2">
      <c r="B9294" s="3">
        <v>45278</v>
      </c>
      <c r="G9294" s="2">
        <f t="shared" si="145"/>
        <v>0</v>
      </c>
      <c r="H9294" t="s">
        <v>24</v>
      </c>
    </row>
    <row r="9295" spans="2:8" x14ac:dyDescent="0.2">
      <c r="B9295" s="3">
        <v>45278</v>
      </c>
      <c r="G9295" s="2">
        <f t="shared" si="145"/>
        <v>0</v>
      </c>
      <c r="H9295" s="36" t="s">
        <v>9</v>
      </c>
    </row>
    <row r="9296" spans="2:8" x14ac:dyDescent="0.2">
      <c r="B9296" s="3">
        <v>45278</v>
      </c>
      <c r="D9296" s="1">
        <v>13900</v>
      </c>
      <c r="E9296" s="1">
        <v>15290</v>
      </c>
      <c r="F9296" s="1">
        <v>20000</v>
      </c>
      <c r="G9296" s="2">
        <f t="shared" si="145"/>
        <v>-4710</v>
      </c>
      <c r="H9296" t="s">
        <v>8</v>
      </c>
    </row>
    <row r="9297" spans="2:8" x14ac:dyDescent="0.2">
      <c r="B9297" s="3">
        <v>45278</v>
      </c>
      <c r="G9297" s="2">
        <f t="shared" si="145"/>
        <v>0</v>
      </c>
      <c r="H9297" t="s">
        <v>6</v>
      </c>
    </row>
    <row r="9298" spans="2:8" x14ac:dyDescent="0.2">
      <c r="B9298" s="3">
        <v>45278</v>
      </c>
      <c r="G9298" s="2">
        <f t="shared" si="145"/>
        <v>0</v>
      </c>
      <c r="H9298" t="s">
        <v>5</v>
      </c>
    </row>
    <row r="9299" spans="2:8" x14ac:dyDescent="0.2">
      <c r="B9299" s="3">
        <v>45278</v>
      </c>
      <c r="G9299" s="2">
        <f t="shared" si="145"/>
        <v>0</v>
      </c>
      <c r="H9299" s="1"/>
    </row>
    <row r="9300" spans="2:8" x14ac:dyDescent="0.2">
      <c r="B9300" s="3">
        <v>45278</v>
      </c>
      <c r="G9300" s="2">
        <f t="shared" si="145"/>
        <v>0</v>
      </c>
      <c r="H9300" t="s">
        <v>0</v>
      </c>
    </row>
    <row r="9301" spans="2:8" x14ac:dyDescent="0.2">
      <c r="B9301" s="3">
        <v>45279</v>
      </c>
      <c r="D9301" s="1">
        <v>5475</v>
      </c>
      <c r="E9301" s="1">
        <v>6400</v>
      </c>
      <c r="G9301" s="2">
        <f t="shared" si="145"/>
        <v>6400</v>
      </c>
      <c r="H9301" t="s">
        <v>14</v>
      </c>
    </row>
    <row r="9302" spans="2:8" x14ac:dyDescent="0.2">
      <c r="B9302" s="3">
        <v>45279</v>
      </c>
      <c r="G9302" s="2">
        <f t="shared" si="145"/>
        <v>0</v>
      </c>
      <c r="H9302" t="s">
        <v>27</v>
      </c>
    </row>
    <row r="9303" spans="2:8" x14ac:dyDescent="0.2">
      <c r="B9303" s="3">
        <v>45279</v>
      </c>
      <c r="G9303" s="2">
        <f t="shared" si="145"/>
        <v>0</v>
      </c>
      <c r="H9303" t="s">
        <v>13</v>
      </c>
    </row>
    <row r="9304" spans="2:8" x14ac:dyDescent="0.2">
      <c r="B9304" s="3">
        <v>45279</v>
      </c>
      <c r="G9304" s="2">
        <f t="shared" si="145"/>
        <v>0</v>
      </c>
      <c r="H9304" t="s">
        <v>30</v>
      </c>
    </row>
    <row r="9305" spans="2:8" x14ac:dyDescent="0.2">
      <c r="B9305" s="3">
        <v>45279</v>
      </c>
      <c r="G9305" s="2">
        <f t="shared" si="145"/>
        <v>0</v>
      </c>
      <c r="H9305" t="s">
        <v>25</v>
      </c>
    </row>
    <row r="9306" spans="2:8" x14ac:dyDescent="0.2">
      <c r="B9306" s="3">
        <v>45279</v>
      </c>
      <c r="G9306" s="2">
        <f t="shared" si="145"/>
        <v>0</v>
      </c>
      <c r="H9306" t="s">
        <v>24</v>
      </c>
    </row>
    <row r="9307" spans="2:8" x14ac:dyDescent="0.2">
      <c r="B9307" s="3">
        <v>45279</v>
      </c>
      <c r="G9307" s="2">
        <f t="shared" si="145"/>
        <v>0</v>
      </c>
      <c r="H9307" t="s">
        <v>9</v>
      </c>
    </row>
    <row r="9308" spans="2:8" x14ac:dyDescent="0.2">
      <c r="B9308" s="3">
        <v>45279</v>
      </c>
      <c r="G9308" s="2">
        <f t="shared" si="145"/>
        <v>0</v>
      </c>
      <c r="H9308" t="s">
        <v>8</v>
      </c>
    </row>
    <row r="9309" spans="2:8" x14ac:dyDescent="0.2">
      <c r="B9309" s="3">
        <v>45279</v>
      </c>
      <c r="G9309" s="2">
        <f t="shared" si="145"/>
        <v>0</v>
      </c>
      <c r="H9309" t="s">
        <v>6</v>
      </c>
    </row>
    <row r="9310" spans="2:8" x14ac:dyDescent="0.2">
      <c r="B9310" s="3">
        <v>45279</v>
      </c>
      <c r="G9310" s="2">
        <f t="shared" si="145"/>
        <v>0</v>
      </c>
      <c r="H9310" t="s">
        <v>5</v>
      </c>
    </row>
    <row r="9311" spans="2:8" x14ac:dyDescent="0.2">
      <c r="B9311" s="3">
        <v>45279</v>
      </c>
      <c r="G9311" s="2">
        <f t="shared" si="145"/>
        <v>0</v>
      </c>
      <c r="H9311" s="1"/>
    </row>
    <row r="9312" spans="2:8" x14ac:dyDescent="0.2">
      <c r="B9312" s="3">
        <v>45279</v>
      </c>
      <c r="G9312" s="2">
        <f t="shared" si="145"/>
        <v>0</v>
      </c>
      <c r="H9312" t="s">
        <v>0</v>
      </c>
    </row>
    <row r="9313" spans="2:8" x14ac:dyDescent="0.2">
      <c r="B9313" s="3">
        <v>45280</v>
      </c>
      <c r="G9313" s="2">
        <f t="shared" si="145"/>
        <v>0</v>
      </c>
      <c r="H9313" t="s">
        <v>14</v>
      </c>
    </row>
    <row r="9314" spans="2:8" x14ac:dyDescent="0.2">
      <c r="B9314" s="3">
        <v>45280</v>
      </c>
      <c r="G9314" s="2">
        <f t="shared" si="145"/>
        <v>0</v>
      </c>
      <c r="H9314" t="s">
        <v>27</v>
      </c>
    </row>
    <row r="9315" spans="2:8" x14ac:dyDescent="0.2">
      <c r="B9315" s="3">
        <v>45280</v>
      </c>
      <c r="G9315" s="2">
        <f t="shared" si="145"/>
        <v>0</v>
      </c>
      <c r="H9315" t="s">
        <v>13</v>
      </c>
    </row>
    <row r="9316" spans="2:8" x14ac:dyDescent="0.2">
      <c r="B9316" s="3">
        <v>45280</v>
      </c>
      <c r="G9316" s="2">
        <f t="shared" si="145"/>
        <v>0</v>
      </c>
      <c r="H9316" t="s">
        <v>30</v>
      </c>
    </row>
    <row r="9317" spans="2:8" x14ac:dyDescent="0.2">
      <c r="B9317" s="3">
        <v>45280</v>
      </c>
      <c r="G9317" s="2">
        <f t="shared" si="145"/>
        <v>0</v>
      </c>
      <c r="H9317" t="s">
        <v>25</v>
      </c>
    </row>
    <row r="9318" spans="2:8" x14ac:dyDescent="0.2">
      <c r="B9318" s="3">
        <v>45280</v>
      </c>
      <c r="G9318" s="2">
        <f t="shared" si="145"/>
        <v>0</v>
      </c>
      <c r="H9318" t="s">
        <v>24</v>
      </c>
    </row>
    <row r="9319" spans="2:8" x14ac:dyDescent="0.2">
      <c r="B9319" s="3">
        <v>45280</v>
      </c>
      <c r="G9319" s="2">
        <f t="shared" si="145"/>
        <v>0</v>
      </c>
      <c r="H9319" t="s">
        <v>9</v>
      </c>
    </row>
    <row r="9320" spans="2:8" x14ac:dyDescent="0.2">
      <c r="B9320" s="3">
        <v>45280</v>
      </c>
      <c r="G9320" s="2">
        <f t="shared" si="145"/>
        <v>0</v>
      </c>
      <c r="H9320" t="s">
        <v>8</v>
      </c>
    </row>
    <row r="9321" spans="2:8" x14ac:dyDescent="0.2">
      <c r="B9321" s="3">
        <v>45280</v>
      </c>
      <c r="G9321" s="2">
        <f t="shared" si="145"/>
        <v>0</v>
      </c>
      <c r="H9321" t="s">
        <v>6</v>
      </c>
    </row>
    <row r="9322" spans="2:8" x14ac:dyDescent="0.2">
      <c r="B9322" s="3">
        <v>45280</v>
      </c>
      <c r="G9322" s="2">
        <f t="shared" si="145"/>
        <v>0</v>
      </c>
      <c r="H9322" t="s">
        <v>5</v>
      </c>
    </row>
    <row r="9323" spans="2:8" x14ac:dyDescent="0.2">
      <c r="B9323" s="3">
        <v>45280</v>
      </c>
      <c r="G9323" s="2">
        <f t="shared" si="145"/>
        <v>0</v>
      </c>
      <c r="H9323" s="1"/>
    </row>
    <row r="9324" spans="2:8" x14ac:dyDescent="0.2">
      <c r="B9324" s="3">
        <v>45280</v>
      </c>
      <c r="D9324" s="1">
        <v>54310.06</v>
      </c>
      <c r="E9324" s="1">
        <v>56536.53</v>
      </c>
      <c r="F9324" s="1">
        <v>56536.53</v>
      </c>
      <c r="G9324" s="2">
        <f t="shared" si="145"/>
        <v>0</v>
      </c>
      <c r="H9324" t="s">
        <v>0</v>
      </c>
    </row>
    <row r="9325" spans="2:8" x14ac:dyDescent="0.2">
      <c r="B9325" s="3">
        <v>45281</v>
      </c>
      <c r="G9325" s="2">
        <f t="shared" si="145"/>
        <v>0</v>
      </c>
      <c r="H9325" t="s">
        <v>14</v>
      </c>
    </row>
    <row r="9326" spans="2:8" x14ac:dyDescent="0.2">
      <c r="B9326" s="3">
        <v>45281</v>
      </c>
      <c r="G9326" s="2">
        <f t="shared" si="145"/>
        <v>0</v>
      </c>
      <c r="H9326" t="s">
        <v>27</v>
      </c>
    </row>
    <row r="9327" spans="2:8" x14ac:dyDescent="0.2">
      <c r="B9327" s="3">
        <v>45281</v>
      </c>
      <c r="D9327" s="1">
        <v>405</v>
      </c>
      <c r="E9327" s="1">
        <v>480</v>
      </c>
      <c r="G9327" s="2">
        <f t="shared" si="145"/>
        <v>480</v>
      </c>
      <c r="H9327" t="s">
        <v>13</v>
      </c>
    </row>
    <row r="9328" spans="2:8" x14ac:dyDescent="0.2">
      <c r="B9328" s="3">
        <v>45281</v>
      </c>
      <c r="G9328" s="2">
        <f t="shared" si="145"/>
        <v>0</v>
      </c>
      <c r="H9328" t="s">
        <v>30</v>
      </c>
    </row>
    <row r="9329" spans="2:8" x14ac:dyDescent="0.2">
      <c r="B9329" s="3">
        <v>45281</v>
      </c>
      <c r="G9329" s="2">
        <f t="shared" si="145"/>
        <v>0</v>
      </c>
      <c r="H9329" t="s">
        <v>25</v>
      </c>
    </row>
    <row r="9330" spans="2:8" x14ac:dyDescent="0.2">
      <c r="B9330" s="3">
        <v>45281</v>
      </c>
      <c r="G9330" s="2">
        <f t="shared" si="145"/>
        <v>0</v>
      </c>
      <c r="H9330" t="s">
        <v>24</v>
      </c>
    </row>
    <row r="9331" spans="2:8" x14ac:dyDescent="0.2">
      <c r="B9331" s="3">
        <v>45281</v>
      </c>
      <c r="G9331" s="2">
        <f t="shared" si="145"/>
        <v>0</v>
      </c>
      <c r="H9331" t="s">
        <v>9</v>
      </c>
    </row>
    <row r="9332" spans="2:8" x14ac:dyDescent="0.2">
      <c r="B9332" s="3">
        <v>45281</v>
      </c>
      <c r="G9332" s="2">
        <f t="shared" si="145"/>
        <v>0</v>
      </c>
      <c r="H9332" t="s">
        <v>8</v>
      </c>
    </row>
    <row r="9333" spans="2:8" x14ac:dyDescent="0.2">
      <c r="B9333" s="3">
        <v>45281</v>
      </c>
      <c r="G9333" s="2">
        <f t="shared" si="145"/>
        <v>0</v>
      </c>
      <c r="H9333" t="s">
        <v>6</v>
      </c>
    </row>
    <row r="9334" spans="2:8" x14ac:dyDescent="0.2">
      <c r="B9334" s="3">
        <v>45281</v>
      </c>
      <c r="G9334" s="2">
        <f t="shared" si="145"/>
        <v>0</v>
      </c>
      <c r="H9334" t="s">
        <v>5</v>
      </c>
    </row>
    <row r="9335" spans="2:8" x14ac:dyDescent="0.2">
      <c r="B9335" s="3">
        <v>45281</v>
      </c>
      <c r="D9335" s="1">
        <v>4275</v>
      </c>
      <c r="E9335" s="1">
        <v>4865</v>
      </c>
      <c r="F9335" s="1">
        <v>4865</v>
      </c>
      <c r="G9335" s="2">
        <f t="shared" si="145"/>
        <v>0</v>
      </c>
      <c r="H9335" t="s">
        <v>39</v>
      </c>
    </row>
    <row r="9336" spans="2:8" x14ac:dyDescent="0.2">
      <c r="B9336" s="3">
        <v>45281</v>
      </c>
      <c r="G9336" s="2">
        <f t="shared" si="145"/>
        <v>0</v>
      </c>
      <c r="H9336" t="s">
        <v>0</v>
      </c>
    </row>
    <row r="9337" spans="2:8" x14ac:dyDescent="0.2">
      <c r="B9337" s="3">
        <v>45282</v>
      </c>
      <c r="G9337" s="2">
        <f t="shared" si="145"/>
        <v>0</v>
      </c>
      <c r="H9337" t="s">
        <v>14</v>
      </c>
    </row>
    <row r="9338" spans="2:8" x14ac:dyDescent="0.2">
      <c r="B9338" s="3">
        <v>45282</v>
      </c>
      <c r="G9338" s="2">
        <f t="shared" si="145"/>
        <v>0</v>
      </c>
      <c r="H9338" t="s">
        <v>27</v>
      </c>
    </row>
    <row r="9339" spans="2:8" x14ac:dyDescent="0.2">
      <c r="B9339" s="3">
        <v>45282</v>
      </c>
      <c r="G9339" s="2">
        <f t="shared" si="145"/>
        <v>0</v>
      </c>
      <c r="H9339" t="s">
        <v>13</v>
      </c>
    </row>
    <row r="9340" spans="2:8" x14ac:dyDescent="0.2">
      <c r="B9340" s="3">
        <v>45282</v>
      </c>
      <c r="G9340" s="2">
        <f t="shared" si="145"/>
        <v>0</v>
      </c>
      <c r="H9340" t="s">
        <v>30</v>
      </c>
    </row>
    <row r="9341" spans="2:8" x14ac:dyDescent="0.2">
      <c r="B9341" s="3">
        <v>45282</v>
      </c>
      <c r="G9341" s="2">
        <f t="shared" si="145"/>
        <v>0</v>
      </c>
      <c r="H9341" t="s">
        <v>25</v>
      </c>
    </row>
    <row r="9342" spans="2:8" x14ac:dyDescent="0.2">
      <c r="B9342" s="3">
        <v>45282</v>
      </c>
      <c r="G9342" s="2">
        <f t="shared" si="145"/>
        <v>0</v>
      </c>
      <c r="H9342" t="s">
        <v>24</v>
      </c>
    </row>
    <row r="9343" spans="2:8" x14ac:dyDescent="0.2">
      <c r="B9343" s="3">
        <v>45282</v>
      </c>
      <c r="G9343" s="2">
        <f t="shared" si="145"/>
        <v>0</v>
      </c>
      <c r="H9343" t="s">
        <v>9</v>
      </c>
    </row>
    <row r="9344" spans="2:8" x14ac:dyDescent="0.2">
      <c r="B9344" s="3">
        <v>45282</v>
      </c>
      <c r="G9344" s="2">
        <f t="shared" si="145"/>
        <v>0</v>
      </c>
      <c r="H9344" t="s">
        <v>8</v>
      </c>
    </row>
    <row r="9345" spans="2:8" x14ac:dyDescent="0.2">
      <c r="B9345" s="3">
        <v>45282</v>
      </c>
      <c r="G9345" s="2">
        <f t="shared" si="145"/>
        <v>0</v>
      </c>
      <c r="H9345" t="s">
        <v>6</v>
      </c>
    </row>
    <row r="9346" spans="2:8" x14ac:dyDescent="0.2">
      <c r="B9346" s="3">
        <v>45282</v>
      </c>
      <c r="G9346" s="2">
        <f t="shared" si="145"/>
        <v>0</v>
      </c>
      <c r="H9346" t="s">
        <v>5</v>
      </c>
    </row>
    <row r="9347" spans="2:8" x14ac:dyDescent="0.2">
      <c r="B9347" s="3">
        <v>45282</v>
      </c>
      <c r="G9347" s="2">
        <f t="shared" ref="G9347:G9410" si="146">E9347-F9347</f>
        <v>0</v>
      </c>
      <c r="H9347" s="1"/>
    </row>
    <row r="9348" spans="2:8" x14ac:dyDescent="0.2">
      <c r="B9348" s="3">
        <v>45282</v>
      </c>
      <c r="G9348" s="2">
        <f t="shared" si="146"/>
        <v>0</v>
      </c>
      <c r="H9348" t="s">
        <v>0</v>
      </c>
    </row>
    <row r="9349" spans="2:8" x14ac:dyDescent="0.2">
      <c r="B9349" s="3">
        <v>45283</v>
      </c>
      <c r="G9349" s="2">
        <f t="shared" si="146"/>
        <v>0</v>
      </c>
      <c r="H9349" t="s">
        <v>14</v>
      </c>
    </row>
    <row r="9350" spans="2:8" x14ac:dyDescent="0.2">
      <c r="B9350" s="3">
        <v>45283</v>
      </c>
      <c r="G9350" s="2">
        <f t="shared" si="146"/>
        <v>0</v>
      </c>
      <c r="H9350" t="s">
        <v>27</v>
      </c>
    </row>
    <row r="9351" spans="2:8" x14ac:dyDescent="0.2">
      <c r="B9351" s="3">
        <v>45283</v>
      </c>
      <c r="G9351" s="2">
        <f t="shared" si="146"/>
        <v>0</v>
      </c>
      <c r="H9351" t="s">
        <v>13</v>
      </c>
    </row>
    <row r="9352" spans="2:8" x14ac:dyDescent="0.2">
      <c r="B9352" s="3">
        <v>45283</v>
      </c>
      <c r="G9352" s="2">
        <f t="shared" si="146"/>
        <v>0</v>
      </c>
      <c r="H9352" t="s">
        <v>30</v>
      </c>
    </row>
    <row r="9353" spans="2:8" x14ac:dyDescent="0.2">
      <c r="B9353" s="3">
        <v>45283</v>
      </c>
      <c r="G9353" s="2">
        <f t="shared" si="146"/>
        <v>0</v>
      </c>
      <c r="H9353" t="s">
        <v>25</v>
      </c>
    </row>
    <row r="9354" spans="2:8" x14ac:dyDescent="0.2">
      <c r="B9354" s="3">
        <v>45283</v>
      </c>
      <c r="G9354" s="2">
        <f t="shared" si="146"/>
        <v>0</v>
      </c>
      <c r="H9354" t="s">
        <v>24</v>
      </c>
    </row>
    <row r="9355" spans="2:8" x14ac:dyDescent="0.2">
      <c r="B9355" s="3">
        <v>45283</v>
      </c>
      <c r="G9355" s="2">
        <f t="shared" si="146"/>
        <v>0</v>
      </c>
      <c r="H9355" t="s">
        <v>9</v>
      </c>
    </row>
    <row r="9356" spans="2:8" x14ac:dyDescent="0.2">
      <c r="B9356" s="3">
        <v>45283</v>
      </c>
      <c r="F9356" s="1">
        <v>15000</v>
      </c>
      <c r="G9356" s="2">
        <f t="shared" si="146"/>
        <v>-15000</v>
      </c>
      <c r="H9356" t="s">
        <v>8</v>
      </c>
    </row>
    <row r="9357" spans="2:8" x14ac:dyDescent="0.2">
      <c r="B9357" s="3">
        <v>45283</v>
      </c>
      <c r="G9357" s="2">
        <f t="shared" si="146"/>
        <v>0</v>
      </c>
      <c r="H9357" t="s">
        <v>6</v>
      </c>
    </row>
    <row r="9358" spans="2:8" x14ac:dyDescent="0.2">
      <c r="B9358" s="3">
        <v>45283</v>
      </c>
      <c r="G9358" s="2">
        <f t="shared" si="146"/>
        <v>0</v>
      </c>
      <c r="H9358" t="s">
        <v>5</v>
      </c>
    </row>
    <row r="9359" spans="2:8" x14ac:dyDescent="0.2">
      <c r="B9359" s="3">
        <v>45283</v>
      </c>
      <c r="F9359" s="1">
        <v>25</v>
      </c>
      <c r="G9359" s="2">
        <f t="shared" si="146"/>
        <v>-25</v>
      </c>
      <c r="H9359" s="1"/>
    </row>
    <row r="9360" spans="2:8" x14ac:dyDescent="0.2">
      <c r="B9360" s="3">
        <v>45283</v>
      </c>
      <c r="G9360" s="2">
        <f t="shared" si="146"/>
        <v>0</v>
      </c>
      <c r="H9360" t="s">
        <v>0</v>
      </c>
    </row>
    <row r="9361" spans="2:8" x14ac:dyDescent="0.2">
      <c r="B9361" s="3">
        <v>45284</v>
      </c>
      <c r="F9361" s="1">
        <v>10000</v>
      </c>
      <c r="G9361" s="2">
        <f t="shared" si="146"/>
        <v>-10000</v>
      </c>
      <c r="H9361" t="s">
        <v>14</v>
      </c>
    </row>
    <row r="9362" spans="2:8" x14ac:dyDescent="0.2">
      <c r="B9362" s="3">
        <v>45284</v>
      </c>
      <c r="F9362" s="1">
        <v>3000</v>
      </c>
      <c r="G9362" s="2">
        <f t="shared" si="146"/>
        <v>-3000</v>
      </c>
      <c r="H9362" t="s">
        <v>27</v>
      </c>
    </row>
    <row r="9363" spans="2:8" x14ac:dyDescent="0.2">
      <c r="B9363" s="3">
        <v>45284</v>
      </c>
      <c r="G9363" s="2">
        <f t="shared" si="146"/>
        <v>0</v>
      </c>
      <c r="H9363" t="s">
        <v>13</v>
      </c>
    </row>
    <row r="9364" spans="2:8" x14ac:dyDescent="0.2">
      <c r="B9364" s="3">
        <v>45284</v>
      </c>
      <c r="G9364" s="2">
        <f t="shared" si="146"/>
        <v>0</v>
      </c>
      <c r="H9364" t="s">
        <v>30</v>
      </c>
    </row>
    <row r="9365" spans="2:8" x14ac:dyDescent="0.2">
      <c r="B9365" s="3">
        <v>45284</v>
      </c>
      <c r="G9365" s="2">
        <f t="shared" si="146"/>
        <v>0</v>
      </c>
      <c r="H9365" t="s">
        <v>25</v>
      </c>
    </row>
    <row r="9366" spans="2:8" x14ac:dyDescent="0.2">
      <c r="B9366" s="3">
        <v>45284</v>
      </c>
      <c r="F9366" s="1">
        <v>3000</v>
      </c>
      <c r="G9366" s="2">
        <f t="shared" si="146"/>
        <v>-3000</v>
      </c>
      <c r="H9366" t="s">
        <v>24</v>
      </c>
    </row>
    <row r="9367" spans="2:8" x14ac:dyDescent="0.2">
      <c r="B9367" s="3">
        <v>45284</v>
      </c>
      <c r="G9367" s="2">
        <f t="shared" si="146"/>
        <v>0</v>
      </c>
      <c r="H9367" t="s">
        <v>9</v>
      </c>
    </row>
    <row r="9368" spans="2:8" x14ac:dyDescent="0.2">
      <c r="B9368" s="3">
        <v>45284</v>
      </c>
      <c r="G9368" s="2">
        <f t="shared" si="146"/>
        <v>0</v>
      </c>
      <c r="H9368" t="s">
        <v>8</v>
      </c>
    </row>
    <row r="9369" spans="2:8" x14ac:dyDescent="0.2">
      <c r="B9369" s="3">
        <v>45284</v>
      </c>
      <c r="G9369" s="2">
        <f t="shared" si="146"/>
        <v>0</v>
      </c>
      <c r="H9369" t="s">
        <v>6</v>
      </c>
    </row>
    <row r="9370" spans="2:8" x14ac:dyDescent="0.2">
      <c r="B9370" s="3">
        <v>45284</v>
      </c>
      <c r="G9370" s="2">
        <f t="shared" si="146"/>
        <v>0</v>
      </c>
      <c r="H9370" t="s">
        <v>5</v>
      </c>
    </row>
    <row r="9371" spans="2:8" x14ac:dyDescent="0.2">
      <c r="B9371" s="3">
        <v>45284</v>
      </c>
      <c r="G9371" s="2">
        <f t="shared" si="146"/>
        <v>0</v>
      </c>
      <c r="H9371" s="1"/>
    </row>
    <row r="9372" spans="2:8" x14ac:dyDescent="0.2">
      <c r="B9372" s="3">
        <v>45284</v>
      </c>
      <c r="G9372" s="2">
        <f t="shared" si="146"/>
        <v>0</v>
      </c>
      <c r="H9372" t="s">
        <v>0</v>
      </c>
    </row>
    <row r="9373" spans="2:8" x14ac:dyDescent="0.2">
      <c r="B9373" s="3">
        <v>45285</v>
      </c>
      <c r="G9373" s="2">
        <f t="shared" si="146"/>
        <v>0</v>
      </c>
      <c r="H9373" t="s">
        <v>14</v>
      </c>
    </row>
    <row r="9374" spans="2:8" x14ac:dyDescent="0.2">
      <c r="B9374" s="3">
        <v>45285</v>
      </c>
      <c r="G9374" s="2">
        <f t="shared" si="146"/>
        <v>0</v>
      </c>
      <c r="H9374" t="s">
        <v>27</v>
      </c>
    </row>
    <row r="9375" spans="2:8" x14ac:dyDescent="0.2">
      <c r="B9375" s="3">
        <v>45285</v>
      </c>
      <c r="G9375" s="2">
        <f t="shared" si="146"/>
        <v>0</v>
      </c>
      <c r="H9375" t="s">
        <v>13</v>
      </c>
    </row>
    <row r="9376" spans="2:8" x14ac:dyDescent="0.2">
      <c r="B9376" s="3">
        <v>45285</v>
      </c>
      <c r="G9376" s="2">
        <f t="shared" si="146"/>
        <v>0</v>
      </c>
      <c r="H9376" t="s">
        <v>30</v>
      </c>
    </row>
    <row r="9377" spans="2:8" x14ac:dyDescent="0.2">
      <c r="B9377" s="3">
        <v>45285</v>
      </c>
      <c r="G9377" s="2">
        <f t="shared" si="146"/>
        <v>0</v>
      </c>
      <c r="H9377" t="s">
        <v>25</v>
      </c>
    </row>
    <row r="9378" spans="2:8" x14ac:dyDescent="0.2">
      <c r="B9378" s="3">
        <v>45285</v>
      </c>
      <c r="G9378" s="2">
        <f t="shared" si="146"/>
        <v>0</v>
      </c>
      <c r="H9378" t="s">
        <v>24</v>
      </c>
    </row>
    <row r="9379" spans="2:8" x14ac:dyDescent="0.2">
      <c r="B9379" s="3">
        <v>45285</v>
      </c>
      <c r="G9379" s="2">
        <f t="shared" si="146"/>
        <v>0</v>
      </c>
      <c r="H9379" t="s">
        <v>9</v>
      </c>
    </row>
    <row r="9380" spans="2:8" x14ac:dyDescent="0.2">
      <c r="B9380" s="3">
        <v>45285</v>
      </c>
      <c r="G9380" s="2">
        <f t="shared" si="146"/>
        <v>0</v>
      </c>
      <c r="H9380" t="s">
        <v>8</v>
      </c>
    </row>
    <row r="9381" spans="2:8" x14ac:dyDescent="0.2">
      <c r="B9381" s="3">
        <v>45285</v>
      </c>
      <c r="G9381" s="2">
        <f t="shared" si="146"/>
        <v>0</v>
      </c>
      <c r="H9381" t="s">
        <v>6</v>
      </c>
    </row>
    <row r="9382" spans="2:8" x14ac:dyDescent="0.2">
      <c r="B9382" s="3">
        <v>45285</v>
      </c>
      <c r="G9382" s="2">
        <f t="shared" si="146"/>
        <v>0</v>
      </c>
      <c r="H9382" t="s">
        <v>5</v>
      </c>
    </row>
    <row r="9383" spans="2:8" x14ac:dyDescent="0.2">
      <c r="B9383" s="3">
        <v>45285</v>
      </c>
      <c r="G9383" s="2">
        <f t="shared" si="146"/>
        <v>0</v>
      </c>
      <c r="H9383" s="1"/>
    </row>
    <row r="9384" spans="2:8" x14ac:dyDescent="0.2">
      <c r="B9384" s="3">
        <v>45285</v>
      </c>
      <c r="G9384" s="2">
        <f t="shared" si="146"/>
        <v>0</v>
      </c>
      <c r="H9384" t="s">
        <v>0</v>
      </c>
    </row>
    <row r="9385" spans="2:8" x14ac:dyDescent="0.2">
      <c r="B9385" s="3">
        <v>45286</v>
      </c>
      <c r="G9385" s="2">
        <f t="shared" si="146"/>
        <v>0</v>
      </c>
      <c r="H9385" t="s">
        <v>14</v>
      </c>
    </row>
    <row r="9386" spans="2:8" x14ac:dyDescent="0.2">
      <c r="B9386" s="3">
        <v>45286</v>
      </c>
      <c r="G9386" s="2">
        <f t="shared" si="146"/>
        <v>0</v>
      </c>
      <c r="H9386" t="s">
        <v>27</v>
      </c>
    </row>
    <row r="9387" spans="2:8" x14ac:dyDescent="0.2">
      <c r="B9387" s="3">
        <v>45286</v>
      </c>
      <c r="G9387" s="2">
        <f t="shared" si="146"/>
        <v>0</v>
      </c>
      <c r="H9387" t="s">
        <v>13</v>
      </c>
    </row>
    <row r="9388" spans="2:8" x14ac:dyDescent="0.2">
      <c r="B9388" s="3">
        <v>45286</v>
      </c>
      <c r="G9388" s="2">
        <f t="shared" si="146"/>
        <v>0</v>
      </c>
      <c r="H9388" t="s">
        <v>30</v>
      </c>
    </row>
    <row r="9389" spans="2:8" x14ac:dyDescent="0.2">
      <c r="B9389" s="3">
        <v>45286</v>
      </c>
      <c r="G9389" s="2">
        <f t="shared" si="146"/>
        <v>0</v>
      </c>
      <c r="H9389" t="s">
        <v>25</v>
      </c>
    </row>
    <row r="9390" spans="2:8" x14ac:dyDescent="0.2">
      <c r="B9390" s="3">
        <v>45286</v>
      </c>
      <c r="G9390" s="2">
        <f t="shared" si="146"/>
        <v>0</v>
      </c>
      <c r="H9390" t="s">
        <v>24</v>
      </c>
    </row>
    <row r="9391" spans="2:8" x14ac:dyDescent="0.2">
      <c r="B9391" s="3">
        <v>45286</v>
      </c>
      <c r="D9391" s="1">
        <v>40685</v>
      </c>
      <c r="E9391" s="1">
        <v>43005</v>
      </c>
      <c r="F9391" s="1">
        <v>10000</v>
      </c>
      <c r="G9391" s="2">
        <f t="shared" si="146"/>
        <v>33005</v>
      </c>
      <c r="H9391" t="s">
        <v>9</v>
      </c>
    </row>
    <row r="9392" spans="2:8" x14ac:dyDescent="0.2">
      <c r="B9392" s="3">
        <v>45286</v>
      </c>
      <c r="G9392" s="2">
        <f t="shared" si="146"/>
        <v>0</v>
      </c>
      <c r="H9392" t="s">
        <v>8</v>
      </c>
    </row>
    <row r="9393" spans="2:8" x14ac:dyDescent="0.2">
      <c r="B9393" s="3">
        <v>45286</v>
      </c>
      <c r="G9393" s="2">
        <f t="shared" si="146"/>
        <v>0</v>
      </c>
      <c r="H9393" t="s">
        <v>6</v>
      </c>
    </row>
    <row r="9394" spans="2:8" x14ac:dyDescent="0.2">
      <c r="B9394" s="3">
        <v>45286</v>
      </c>
      <c r="G9394" s="2">
        <f t="shared" si="146"/>
        <v>0</v>
      </c>
      <c r="H9394" t="s">
        <v>5</v>
      </c>
    </row>
    <row r="9395" spans="2:8" x14ac:dyDescent="0.2">
      <c r="B9395" s="3">
        <v>45286</v>
      </c>
      <c r="D9395" s="1">
        <v>5950</v>
      </c>
      <c r="E9395" s="1">
        <v>6150</v>
      </c>
      <c r="F9395" s="1">
        <v>6150</v>
      </c>
      <c r="G9395" s="2">
        <f t="shared" si="146"/>
        <v>0</v>
      </c>
      <c r="H9395" s="1" t="s">
        <v>28</v>
      </c>
    </row>
    <row r="9396" spans="2:8" x14ac:dyDescent="0.2">
      <c r="B9396" s="3">
        <v>45286</v>
      </c>
      <c r="G9396" s="2">
        <f t="shared" si="146"/>
        <v>0</v>
      </c>
      <c r="H9396" t="s">
        <v>0</v>
      </c>
    </row>
    <row r="9397" spans="2:8" x14ac:dyDescent="0.2">
      <c r="B9397" s="3">
        <v>45287</v>
      </c>
      <c r="G9397" s="2">
        <f t="shared" si="146"/>
        <v>0</v>
      </c>
      <c r="H9397" t="s">
        <v>14</v>
      </c>
    </row>
    <row r="9398" spans="2:8" x14ac:dyDescent="0.2">
      <c r="B9398" s="3">
        <v>45287</v>
      </c>
      <c r="G9398" s="2">
        <f t="shared" si="146"/>
        <v>0</v>
      </c>
      <c r="H9398" t="s">
        <v>27</v>
      </c>
    </row>
    <row r="9399" spans="2:8" x14ac:dyDescent="0.2">
      <c r="B9399" s="3">
        <v>45287</v>
      </c>
      <c r="G9399" s="2">
        <f t="shared" si="146"/>
        <v>0</v>
      </c>
      <c r="H9399" t="s">
        <v>13</v>
      </c>
    </row>
    <row r="9400" spans="2:8" x14ac:dyDescent="0.2">
      <c r="B9400" s="3">
        <v>45287</v>
      </c>
      <c r="G9400" s="2">
        <f t="shared" si="146"/>
        <v>0</v>
      </c>
      <c r="H9400" t="s">
        <v>30</v>
      </c>
    </row>
    <row r="9401" spans="2:8" x14ac:dyDescent="0.2">
      <c r="B9401" s="3">
        <v>45287</v>
      </c>
      <c r="G9401" s="2">
        <f t="shared" si="146"/>
        <v>0</v>
      </c>
      <c r="H9401" t="s">
        <v>25</v>
      </c>
    </row>
    <row r="9402" spans="2:8" x14ac:dyDescent="0.2">
      <c r="B9402" s="3">
        <v>45287</v>
      </c>
      <c r="G9402" s="2">
        <f t="shared" si="146"/>
        <v>0</v>
      </c>
      <c r="H9402" t="s">
        <v>24</v>
      </c>
    </row>
    <row r="9403" spans="2:8" x14ac:dyDescent="0.2">
      <c r="B9403" s="3">
        <v>45287</v>
      </c>
      <c r="G9403" s="2">
        <f t="shared" si="146"/>
        <v>0</v>
      </c>
      <c r="H9403" t="s">
        <v>9</v>
      </c>
    </row>
    <row r="9404" spans="2:8" x14ac:dyDescent="0.2">
      <c r="B9404" s="3">
        <v>45287</v>
      </c>
      <c r="G9404" s="2">
        <f t="shared" si="146"/>
        <v>0</v>
      </c>
      <c r="H9404" t="s">
        <v>8</v>
      </c>
    </row>
    <row r="9405" spans="2:8" x14ac:dyDescent="0.2">
      <c r="B9405" s="3">
        <v>45287</v>
      </c>
      <c r="G9405" s="2">
        <f t="shared" si="146"/>
        <v>0</v>
      </c>
      <c r="H9405" t="s">
        <v>6</v>
      </c>
    </row>
    <row r="9406" spans="2:8" x14ac:dyDescent="0.2">
      <c r="B9406" s="3">
        <v>45287</v>
      </c>
      <c r="G9406" s="2">
        <f t="shared" si="146"/>
        <v>0</v>
      </c>
      <c r="H9406" t="s">
        <v>5</v>
      </c>
    </row>
    <row r="9407" spans="2:8" x14ac:dyDescent="0.2">
      <c r="B9407" s="3">
        <v>45287</v>
      </c>
      <c r="G9407" s="2">
        <f t="shared" si="146"/>
        <v>0</v>
      </c>
      <c r="H9407" s="1"/>
    </row>
    <row r="9408" spans="2:8" x14ac:dyDescent="0.2">
      <c r="B9408" s="3">
        <v>45287</v>
      </c>
      <c r="G9408" s="2">
        <f t="shared" si="146"/>
        <v>0</v>
      </c>
      <c r="H9408" t="s">
        <v>0</v>
      </c>
    </row>
    <row r="9409" spans="2:8" x14ac:dyDescent="0.2">
      <c r="B9409" s="3">
        <v>45288</v>
      </c>
      <c r="G9409" s="2">
        <f t="shared" si="146"/>
        <v>0</v>
      </c>
      <c r="H9409" t="s">
        <v>14</v>
      </c>
    </row>
    <row r="9410" spans="2:8" x14ac:dyDescent="0.2">
      <c r="B9410" s="3">
        <v>45288</v>
      </c>
      <c r="G9410" s="2">
        <f t="shared" si="146"/>
        <v>0</v>
      </c>
      <c r="H9410" t="s">
        <v>27</v>
      </c>
    </row>
    <row r="9411" spans="2:8" x14ac:dyDescent="0.2">
      <c r="B9411" s="3">
        <v>45288</v>
      </c>
      <c r="G9411" s="2">
        <f t="shared" ref="G9411:G9474" si="147">E9411-F9411</f>
        <v>0</v>
      </c>
      <c r="H9411" t="s">
        <v>13</v>
      </c>
    </row>
    <row r="9412" spans="2:8" x14ac:dyDescent="0.2">
      <c r="B9412" s="3">
        <v>45288</v>
      </c>
      <c r="G9412" s="2">
        <f t="shared" si="147"/>
        <v>0</v>
      </c>
      <c r="H9412" t="s">
        <v>30</v>
      </c>
    </row>
    <row r="9413" spans="2:8" x14ac:dyDescent="0.2">
      <c r="B9413" s="3">
        <v>45288</v>
      </c>
      <c r="G9413" s="2">
        <f t="shared" si="147"/>
        <v>0</v>
      </c>
      <c r="H9413" t="s">
        <v>25</v>
      </c>
    </row>
    <row r="9414" spans="2:8" x14ac:dyDescent="0.2">
      <c r="B9414" s="3">
        <v>45288</v>
      </c>
      <c r="G9414" s="2">
        <f t="shared" si="147"/>
        <v>0</v>
      </c>
      <c r="H9414" t="s">
        <v>24</v>
      </c>
    </row>
    <row r="9415" spans="2:8" x14ac:dyDescent="0.2">
      <c r="B9415" s="3">
        <v>45288</v>
      </c>
      <c r="G9415" s="2">
        <f t="shared" si="147"/>
        <v>0</v>
      </c>
      <c r="H9415" t="s">
        <v>9</v>
      </c>
    </row>
    <row r="9416" spans="2:8" x14ac:dyDescent="0.2">
      <c r="B9416" s="3">
        <v>45288</v>
      </c>
      <c r="G9416" s="2">
        <f t="shared" si="147"/>
        <v>0</v>
      </c>
      <c r="H9416" t="s">
        <v>8</v>
      </c>
    </row>
    <row r="9417" spans="2:8" x14ac:dyDescent="0.2">
      <c r="B9417" s="3">
        <v>45288</v>
      </c>
      <c r="G9417" s="2">
        <f t="shared" si="147"/>
        <v>0</v>
      </c>
      <c r="H9417" t="s">
        <v>6</v>
      </c>
    </row>
    <row r="9418" spans="2:8" x14ac:dyDescent="0.2">
      <c r="B9418" s="3">
        <v>45288</v>
      </c>
      <c r="G9418" s="2">
        <f t="shared" si="147"/>
        <v>0</v>
      </c>
      <c r="H9418" t="s">
        <v>5</v>
      </c>
    </row>
    <row r="9419" spans="2:8" x14ac:dyDescent="0.2">
      <c r="B9419" s="3">
        <v>45288</v>
      </c>
      <c r="G9419" s="2">
        <f t="shared" si="147"/>
        <v>0</v>
      </c>
      <c r="H9419" s="1"/>
    </row>
    <row r="9420" spans="2:8" x14ac:dyDescent="0.2">
      <c r="B9420" s="3">
        <v>45288</v>
      </c>
      <c r="G9420" s="2">
        <f t="shared" si="147"/>
        <v>0</v>
      </c>
      <c r="H9420" t="s">
        <v>0</v>
      </c>
    </row>
    <row r="9421" spans="2:8" x14ac:dyDescent="0.2">
      <c r="B9421" s="3">
        <v>45289</v>
      </c>
      <c r="G9421" s="2">
        <f t="shared" si="147"/>
        <v>0</v>
      </c>
      <c r="H9421" t="s">
        <v>14</v>
      </c>
    </row>
    <row r="9422" spans="2:8" x14ac:dyDescent="0.2">
      <c r="B9422" s="3">
        <v>45289</v>
      </c>
      <c r="G9422" s="2">
        <f t="shared" si="147"/>
        <v>0</v>
      </c>
      <c r="H9422" t="s">
        <v>27</v>
      </c>
    </row>
    <row r="9423" spans="2:8" x14ac:dyDescent="0.2">
      <c r="B9423" s="3">
        <v>45289</v>
      </c>
      <c r="G9423" s="2">
        <f t="shared" si="147"/>
        <v>0</v>
      </c>
      <c r="H9423" t="s">
        <v>13</v>
      </c>
    </row>
    <row r="9424" spans="2:8" x14ac:dyDescent="0.2">
      <c r="B9424" s="3">
        <v>45289</v>
      </c>
      <c r="G9424" s="2">
        <f t="shared" si="147"/>
        <v>0</v>
      </c>
      <c r="H9424" t="s">
        <v>30</v>
      </c>
    </row>
    <row r="9425" spans="2:8" x14ac:dyDescent="0.2">
      <c r="B9425" s="3">
        <v>45289</v>
      </c>
      <c r="G9425" s="2">
        <f t="shared" si="147"/>
        <v>0</v>
      </c>
      <c r="H9425" t="s">
        <v>25</v>
      </c>
    </row>
    <row r="9426" spans="2:8" x14ac:dyDescent="0.2">
      <c r="B9426" s="3">
        <v>45289</v>
      </c>
      <c r="G9426" s="2">
        <f t="shared" si="147"/>
        <v>0</v>
      </c>
      <c r="H9426" t="s">
        <v>24</v>
      </c>
    </row>
    <row r="9427" spans="2:8" x14ac:dyDescent="0.2">
      <c r="B9427" s="3">
        <v>45289</v>
      </c>
      <c r="G9427" s="2">
        <f t="shared" si="147"/>
        <v>0</v>
      </c>
      <c r="H9427" t="s">
        <v>9</v>
      </c>
    </row>
    <row r="9428" spans="2:8" x14ac:dyDescent="0.2">
      <c r="B9428" s="3">
        <v>45289</v>
      </c>
      <c r="G9428" s="2">
        <f t="shared" si="147"/>
        <v>0</v>
      </c>
      <c r="H9428" t="s">
        <v>8</v>
      </c>
    </row>
    <row r="9429" spans="2:8" x14ac:dyDescent="0.2">
      <c r="B9429" s="3">
        <v>45289</v>
      </c>
      <c r="G9429" s="2">
        <f t="shared" si="147"/>
        <v>0</v>
      </c>
      <c r="H9429" t="s">
        <v>6</v>
      </c>
    </row>
    <row r="9430" spans="2:8" x14ac:dyDescent="0.2">
      <c r="B9430" s="3">
        <v>45289</v>
      </c>
      <c r="G9430" s="2">
        <f t="shared" si="147"/>
        <v>0</v>
      </c>
      <c r="H9430" t="s">
        <v>5</v>
      </c>
    </row>
    <row r="9431" spans="2:8" x14ac:dyDescent="0.2">
      <c r="B9431" s="3">
        <v>45289</v>
      </c>
      <c r="G9431" s="2">
        <f t="shared" si="147"/>
        <v>0</v>
      </c>
      <c r="H9431" s="1"/>
    </row>
    <row r="9432" spans="2:8" x14ac:dyDescent="0.2">
      <c r="B9432" s="3">
        <v>45289</v>
      </c>
      <c r="G9432" s="2">
        <f t="shared" si="147"/>
        <v>0</v>
      </c>
      <c r="H9432" t="s">
        <v>0</v>
      </c>
    </row>
    <row r="9433" spans="2:8" x14ac:dyDescent="0.2">
      <c r="B9433" s="3">
        <v>45290</v>
      </c>
      <c r="D9433" s="1">
        <v>2400</v>
      </c>
      <c r="E9433" s="1">
        <v>2600</v>
      </c>
      <c r="F9433" s="1">
        <v>10000</v>
      </c>
      <c r="G9433" s="2">
        <f t="shared" si="147"/>
        <v>-7400</v>
      </c>
      <c r="H9433" t="s">
        <v>14</v>
      </c>
    </row>
    <row r="9434" spans="2:8" x14ac:dyDescent="0.2">
      <c r="B9434" s="3">
        <v>45290</v>
      </c>
      <c r="G9434" s="2">
        <f t="shared" si="147"/>
        <v>0</v>
      </c>
      <c r="H9434" t="s">
        <v>27</v>
      </c>
    </row>
    <row r="9435" spans="2:8" x14ac:dyDescent="0.2">
      <c r="B9435" s="3">
        <v>45290</v>
      </c>
      <c r="D9435" s="1">
        <v>1921</v>
      </c>
      <c r="E9435" s="1">
        <v>2367.5</v>
      </c>
      <c r="G9435" s="2">
        <f t="shared" si="147"/>
        <v>2367.5</v>
      </c>
      <c r="H9435" t="s">
        <v>13</v>
      </c>
    </row>
    <row r="9436" spans="2:8" x14ac:dyDescent="0.2">
      <c r="B9436" s="3">
        <v>45290</v>
      </c>
      <c r="G9436" s="2">
        <f t="shared" si="147"/>
        <v>0</v>
      </c>
      <c r="H9436" t="s">
        <v>30</v>
      </c>
    </row>
    <row r="9437" spans="2:8" x14ac:dyDescent="0.2">
      <c r="B9437" s="3">
        <v>45290</v>
      </c>
      <c r="G9437" s="2">
        <f t="shared" si="147"/>
        <v>0</v>
      </c>
      <c r="H9437" t="s">
        <v>25</v>
      </c>
    </row>
    <row r="9438" spans="2:8" x14ac:dyDescent="0.2">
      <c r="B9438" s="3">
        <v>45290</v>
      </c>
      <c r="G9438" s="2">
        <f t="shared" si="147"/>
        <v>0</v>
      </c>
      <c r="H9438" t="s">
        <v>24</v>
      </c>
    </row>
    <row r="9439" spans="2:8" x14ac:dyDescent="0.2">
      <c r="B9439" s="3">
        <v>45290</v>
      </c>
      <c r="F9439" s="1">
        <v>25000</v>
      </c>
      <c r="G9439" s="2">
        <f t="shared" si="147"/>
        <v>-25000</v>
      </c>
      <c r="H9439" t="s">
        <v>9</v>
      </c>
    </row>
    <row r="9440" spans="2:8" x14ac:dyDescent="0.2">
      <c r="B9440" s="3">
        <v>45290</v>
      </c>
      <c r="G9440" s="2">
        <f t="shared" si="147"/>
        <v>0</v>
      </c>
      <c r="H9440" t="s">
        <v>8</v>
      </c>
    </row>
    <row r="9441" spans="2:8" x14ac:dyDescent="0.2">
      <c r="B9441" s="3">
        <v>45290</v>
      </c>
      <c r="G9441" s="2">
        <f t="shared" si="147"/>
        <v>0</v>
      </c>
      <c r="H9441" t="s">
        <v>6</v>
      </c>
    </row>
    <row r="9442" spans="2:8" x14ac:dyDescent="0.2">
      <c r="B9442" s="3">
        <v>45290</v>
      </c>
      <c r="G9442" s="2">
        <f t="shared" si="147"/>
        <v>0</v>
      </c>
      <c r="H9442" t="s">
        <v>5</v>
      </c>
    </row>
    <row r="9443" spans="2:8" x14ac:dyDescent="0.2">
      <c r="B9443" s="3">
        <v>45290</v>
      </c>
      <c r="G9443" s="2">
        <f t="shared" si="147"/>
        <v>0</v>
      </c>
      <c r="H9443" s="1"/>
    </row>
    <row r="9444" spans="2:8" x14ac:dyDescent="0.2">
      <c r="B9444" s="3">
        <v>45290</v>
      </c>
      <c r="G9444" s="2">
        <f t="shared" si="147"/>
        <v>0</v>
      </c>
      <c r="H9444" t="s">
        <v>0</v>
      </c>
    </row>
    <row r="9445" spans="2:8" x14ac:dyDescent="0.2">
      <c r="B9445" s="3">
        <v>45291</v>
      </c>
      <c r="G9445" s="2">
        <f t="shared" si="147"/>
        <v>0</v>
      </c>
      <c r="H9445" t="s">
        <v>14</v>
      </c>
    </row>
    <row r="9446" spans="2:8" x14ac:dyDescent="0.2">
      <c r="B9446" s="3">
        <v>45291</v>
      </c>
      <c r="G9446" s="2">
        <f t="shared" si="147"/>
        <v>0</v>
      </c>
      <c r="H9446" t="s">
        <v>27</v>
      </c>
    </row>
    <row r="9447" spans="2:8" x14ac:dyDescent="0.2">
      <c r="B9447" s="3">
        <v>45291</v>
      </c>
      <c r="G9447" s="2">
        <f t="shared" si="147"/>
        <v>0</v>
      </c>
      <c r="H9447" t="s">
        <v>13</v>
      </c>
    </row>
    <row r="9448" spans="2:8" x14ac:dyDescent="0.2">
      <c r="B9448" s="3">
        <v>45291</v>
      </c>
      <c r="G9448" s="2">
        <f t="shared" si="147"/>
        <v>0</v>
      </c>
      <c r="H9448" t="s">
        <v>30</v>
      </c>
    </row>
    <row r="9449" spans="2:8" x14ac:dyDescent="0.2">
      <c r="B9449" s="3">
        <v>45291</v>
      </c>
      <c r="G9449" s="2">
        <f t="shared" si="147"/>
        <v>0</v>
      </c>
      <c r="H9449" t="s">
        <v>25</v>
      </c>
    </row>
    <row r="9450" spans="2:8" x14ac:dyDescent="0.2">
      <c r="B9450" s="3">
        <v>45291</v>
      </c>
      <c r="G9450" s="2">
        <f t="shared" si="147"/>
        <v>0</v>
      </c>
      <c r="H9450" t="s">
        <v>24</v>
      </c>
    </row>
    <row r="9451" spans="2:8" x14ac:dyDescent="0.2">
      <c r="B9451" s="3">
        <v>45291</v>
      </c>
      <c r="G9451" s="2">
        <f t="shared" si="147"/>
        <v>0</v>
      </c>
      <c r="H9451" t="s">
        <v>9</v>
      </c>
    </row>
    <row r="9452" spans="2:8" x14ac:dyDescent="0.2">
      <c r="B9452" s="3">
        <v>45291</v>
      </c>
      <c r="F9452" s="1">
        <v>10000</v>
      </c>
      <c r="G9452" s="2">
        <f t="shared" si="147"/>
        <v>-10000</v>
      </c>
      <c r="H9452" t="s">
        <v>8</v>
      </c>
    </row>
    <row r="9453" spans="2:8" x14ac:dyDescent="0.2">
      <c r="B9453" s="3">
        <v>45291</v>
      </c>
      <c r="G9453" s="2">
        <f t="shared" si="147"/>
        <v>0</v>
      </c>
      <c r="H9453" t="s">
        <v>6</v>
      </c>
    </row>
    <row r="9454" spans="2:8" x14ac:dyDescent="0.2">
      <c r="B9454" s="3">
        <v>45291</v>
      </c>
      <c r="G9454" s="2">
        <f t="shared" si="147"/>
        <v>0</v>
      </c>
      <c r="H9454" t="s">
        <v>5</v>
      </c>
    </row>
    <row r="9455" spans="2:8" x14ac:dyDescent="0.2">
      <c r="B9455" s="3">
        <v>45291</v>
      </c>
      <c r="G9455" s="2">
        <f t="shared" si="147"/>
        <v>0</v>
      </c>
      <c r="H9455" s="1"/>
    </row>
    <row r="9456" spans="2:8" x14ac:dyDescent="0.2">
      <c r="B9456" s="3">
        <v>45291</v>
      </c>
      <c r="D9456" s="1">
        <v>101451.01500000001</v>
      </c>
      <c r="E9456" s="1">
        <v>107026.58</v>
      </c>
      <c r="F9456" s="1">
        <v>107026.58</v>
      </c>
      <c r="G9456" s="2">
        <f t="shared" si="147"/>
        <v>0</v>
      </c>
      <c r="H9456" t="s">
        <v>0</v>
      </c>
    </row>
    <row r="9457" spans="2:8" x14ac:dyDescent="0.2">
      <c r="B9457" s="3">
        <v>45292</v>
      </c>
      <c r="G9457" s="2">
        <f t="shared" si="147"/>
        <v>0</v>
      </c>
      <c r="H9457" t="s">
        <v>14</v>
      </c>
    </row>
    <row r="9458" spans="2:8" x14ac:dyDescent="0.2">
      <c r="B9458" s="3">
        <v>45292</v>
      </c>
      <c r="D9458" s="28"/>
      <c r="G9458" s="2">
        <f t="shared" si="147"/>
        <v>0</v>
      </c>
      <c r="H9458" t="s">
        <v>13</v>
      </c>
    </row>
    <row r="9459" spans="2:8" x14ac:dyDescent="0.2">
      <c r="B9459" s="3">
        <v>45292</v>
      </c>
      <c r="D9459" s="28"/>
      <c r="G9459" s="2">
        <f t="shared" si="147"/>
        <v>0</v>
      </c>
      <c r="H9459" t="s">
        <v>26</v>
      </c>
    </row>
    <row r="9460" spans="2:8" x14ac:dyDescent="0.2">
      <c r="B9460" s="3">
        <v>45292</v>
      </c>
      <c r="G9460" s="2">
        <f t="shared" si="147"/>
        <v>0</v>
      </c>
      <c r="H9460" t="s">
        <v>9</v>
      </c>
    </row>
    <row r="9461" spans="2:8" x14ac:dyDescent="0.2">
      <c r="B9461" s="3">
        <v>45292</v>
      </c>
      <c r="G9461" s="2">
        <f t="shared" si="147"/>
        <v>0</v>
      </c>
      <c r="H9461" t="s">
        <v>8</v>
      </c>
    </row>
    <row r="9462" spans="2:8" x14ac:dyDescent="0.2">
      <c r="B9462" s="3">
        <v>45292</v>
      </c>
      <c r="G9462" s="2">
        <f t="shared" si="147"/>
        <v>0</v>
      </c>
      <c r="H9462" t="s">
        <v>5</v>
      </c>
    </row>
    <row r="9463" spans="2:8" x14ac:dyDescent="0.2">
      <c r="B9463" s="3">
        <v>45292</v>
      </c>
      <c r="G9463" s="2">
        <f t="shared" si="147"/>
        <v>0</v>
      </c>
      <c r="H9463" s="1"/>
    </row>
    <row r="9464" spans="2:8" x14ac:dyDescent="0.2">
      <c r="B9464" s="3">
        <v>45292</v>
      </c>
      <c r="G9464" s="2">
        <f t="shared" si="147"/>
        <v>0</v>
      </c>
      <c r="H9464" t="s">
        <v>0</v>
      </c>
    </row>
    <row r="9465" spans="2:8" x14ac:dyDescent="0.2">
      <c r="B9465" s="3">
        <v>45293</v>
      </c>
      <c r="G9465" s="2">
        <f t="shared" si="147"/>
        <v>0</v>
      </c>
      <c r="H9465" t="s">
        <v>14</v>
      </c>
    </row>
    <row r="9466" spans="2:8" x14ac:dyDescent="0.2">
      <c r="B9466" s="3">
        <v>45293</v>
      </c>
      <c r="D9466" s="28"/>
      <c r="F9466" s="1">
        <v>6087</v>
      </c>
      <c r="G9466" s="2">
        <f t="shared" si="147"/>
        <v>-6087</v>
      </c>
      <c r="H9466" t="s">
        <v>13</v>
      </c>
    </row>
    <row r="9467" spans="2:8" x14ac:dyDescent="0.2">
      <c r="B9467" s="3">
        <v>45293</v>
      </c>
      <c r="D9467" s="28"/>
      <c r="G9467" s="2">
        <f t="shared" si="147"/>
        <v>0</v>
      </c>
      <c r="H9467" t="s">
        <v>26</v>
      </c>
    </row>
    <row r="9468" spans="2:8" x14ac:dyDescent="0.2">
      <c r="B9468" s="3">
        <v>45293</v>
      </c>
      <c r="G9468" s="2">
        <f t="shared" si="147"/>
        <v>0</v>
      </c>
      <c r="H9468" t="s">
        <v>9</v>
      </c>
    </row>
    <row r="9469" spans="2:8" x14ac:dyDescent="0.2">
      <c r="B9469" s="3">
        <v>45293</v>
      </c>
      <c r="D9469" s="1">
        <v>20070</v>
      </c>
      <c r="E9469" s="1">
        <v>22250</v>
      </c>
      <c r="G9469" s="2">
        <f t="shared" si="147"/>
        <v>22250</v>
      </c>
      <c r="H9469" t="s">
        <v>8</v>
      </c>
    </row>
    <row r="9470" spans="2:8" x14ac:dyDescent="0.2">
      <c r="B9470" s="3">
        <v>45293</v>
      </c>
      <c r="G9470" s="2">
        <f t="shared" si="147"/>
        <v>0</v>
      </c>
      <c r="H9470" t="s">
        <v>5</v>
      </c>
    </row>
    <row r="9471" spans="2:8" x14ac:dyDescent="0.2">
      <c r="B9471" s="3">
        <v>45293</v>
      </c>
      <c r="G9471" s="2">
        <f t="shared" si="147"/>
        <v>0</v>
      </c>
      <c r="H9471" s="1"/>
    </row>
    <row r="9472" spans="2:8" x14ac:dyDescent="0.2">
      <c r="B9472" s="3">
        <v>45293</v>
      </c>
      <c r="G9472" s="2">
        <f t="shared" si="147"/>
        <v>0</v>
      </c>
      <c r="H9472" t="s">
        <v>0</v>
      </c>
    </row>
    <row r="9473" spans="2:8" x14ac:dyDescent="0.2">
      <c r="B9473" s="3">
        <v>45294</v>
      </c>
      <c r="G9473" s="2">
        <f t="shared" si="147"/>
        <v>0</v>
      </c>
      <c r="H9473" t="s">
        <v>14</v>
      </c>
    </row>
    <row r="9474" spans="2:8" x14ac:dyDescent="0.2">
      <c r="B9474" s="3">
        <v>45294</v>
      </c>
      <c r="D9474" s="28"/>
      <c r="G9474" s="2">
        <f t="shared" si="147"/>
        <v>0</v>
      </c>
      <c r="H9474" t="s">
        <v>13</v>
      </c>
    </row>
    <row r="9475" spans="2:8" x14ac:dyDescent="0.2">
      <c r="B9475" s="3">
        <v>45294</v>
      </c>
      <c r="D9475" s="28"/>
      <c r="G9475" s="2">
        <f t="shared" ref="G9475:G9538" si="148">E9475-F9475</f>
        <v>0</v>
      </c>
      <c r="H9475" t="s">
        <v>26</v>
      </c>
    </row>
    <row r="9476" spans="2:8" x14ac:dyDescent="0.2">
      <c r="B9476" s="3">
        <v>45294</v>
      </c>
      <c r="G9476" s="2">
        <f t="shared" si="148"/>
        <v>0</v>
      </c>
      <c r="H9476" t="s">
        <v>9</v>
      </c>
    </row>
    <row r="9477" spans="2:8" x14ac:dyDescent="0.2">
      <c r="B9477" s="3">
        <v>45294</v>
      </c>
      <c r="G9477" s="2">
        <f t="shared" si="148"/>
        <v>0</v>
      </c>
      <c r="H9477" t="s">
        <v>8</v>
      </c>
    </row>
    <row r="9478" spans="2:8" x14ac:dyDescent="0.2">
      <c r="B9478" s="3">
        <v>45294</v>
      </c>
      <c r="G9478" s="2">
        <f t="shared" si="148"/>
        <v>0</v>
      </c>
      <c r="H9478" t="s">
        <v>5</v>
      </c>
    </row>
    <row r="9479" spans="2:8" x14ac:dyDescent="0.2">
      <c r="B9479" s="3">
        <v>45294</v>
      </c>
      <c r="G9479" s="2">
        <f t="shared" si="148"/>
        <v>0</v>
      </c>
      <c r="H9479" s="1"/>
    </row>
    <row r="9480" spans="2:8" x14ac:dyDescent="0.2">
      <c r="B9480" s="3">
        <v>45294</v>
      </c>
      <c r="D9480" s="1">
        <v>72988.515000000014</v>
      </c>
      <c r="E9480" s="1">
        <v>76707.73</v>
      </c>
      <c r="G9480" s="2">
        <f t="shared" si="148"/>
        <v>76707.73</v>
      </c>
      <c r="H9480" t="s">
        <v>0</v>
      </c>
    </row>
    <row r="9481" spans="2:8" x14ac:dyDescent="0.2">
      <c r="B9481" s="3">
        <v>45295</v>
      </c>
      <c r="G9481" s="2">
        <f t="shared" si="148"/>
        <v>0</v>
      </c>
      <c r="H9481" t="s">
        <v>14</v>
      </c>
    </row>
    <row r="9482" spans="2:8" x14ac:dyDescent="0.2">
      <c r="B9482" s="3">
        <v>45295</v>
      </c>
      <c r="D9482" s="28"/>
      <c r="G9482" s="2">
        <f t="shared" si="148"/>
        <v>0</v>
      </c>
      <c r="H9482" t="s">
        <v>13</v>
      </c>
    </row>
    <row r="9483" spans="2:8" x14ac:dyDescent="0.2">
      <c r="B9483" s="3">
        <v>45295</v>
      </c>
      <c r="D9483" s="28"/>
      <c r="G9483" s="2">
        <f t="shared" si="148"/>
        <v>0</v>
      </c>
      <c r="H9483" t="s">
        <v>26</v>
      </c>
    </row>
    <row r="9484" spans="2:8" x14ac:dyDescent="0.2">
      <c r="B9484" s="3">
        <v>45295</v>
      </c>
      <c r="G9484" s="2">
        <f t="shared" si="148"/>
        <v>0</v>
      </c>
      <c r="H9484" t="s">
        <v>9</v>
      </c>
    </row>
    <row r="9485" spans="2:8" x14ac:dyDescent="0.2">
      <c r="B9485" s="3">
        <v>45295</v>
      </c>
      <c r="G9485" s="2">
        <f t="shared" si="148"/>
        <v>0</v>
      </c>
      <c r="H9485" t="s">
        <v>8</v>
      </c>
    </row>
    <row r="9486" spans="2:8" x14ac:dyDescent="0.2">
      <c r="B9486" s="3">
        <v>45295</v>
      </c>
      <c r="G9486" s="2">
        <f t="shared" si="148"/>
        <v>0</v>
      </c>
      <c r="H9486" t="s">
        <v>5</v>
      </c>
    </row>
    <row r="9487" spans="2:8" x14ac:dyDescent="0.2">
      <c r="B9487" s="3">
        <v>45295</v>
      </c>
      <c r="G9487" s="2">
        <f t="shared" si="148"/>
        <v>0</v>
      </c>
      <c r="H9487" s="1"/>
    </row>
    <row r="9488" spans="2:8" x14ac:dyDescent="0.2">
      <c r="B9488" s="3">
        <v>45295</v>
      </c>
      <c r="G9488" s="2">
        <f t="shared" si="148"/>
        <v>0</v>
      </c>
      <c r="H9488" t="s">
        <v>0</v>
      </c>
    </row>
    <row r="9489" spans="2:8" x14ac:dyDescent="0.2">
      <c r="B9489" s="3">
        <v>45296</v>
      </c>
      <c r="G9489" s="2">
        <f t="shared" si="148"/>
        <v>0</v>
      </c>
      <c r="H9489" t="s">
        <v>14</v>
      </c>
    </row>
    <row r="9490" spans="2:8" x14ac:dyDescent="0.2">
      <c r="B9490" s="3">
        <v>45296</v>
      </c>
      <c r="D9490" s="28"/>
      <c r="G9490" s="2">
        <f t="shared" si="148"/>
        <v>0</v>
      </c>
      <c r="H9490" t="s">
        <v>13</v>
      </c>
    </row>
    <row r="9491" spans="2:8" x14ac:dyDescent="0.2">
      <c r="B9491" s="3">
        <v>45296</v>
      </c>
      <c r="D9491" s="28"/>
      <c r="G9491" s="2">
        <f t="shared" si="148"/>
        <v>0</v>
      </c>
      <c r="H9491" t="s">
        <v>26</v>
      </c>
    </row>
    <row r="9492" spans="2:8" x14ac:dyDescent="0.2">
      <c r="B9492" s="3">
        <v>45296</v>
      </c>
      <c r="G9492" s="2">
        <f t="shared" si="148"/>
        <v>0</v>
      </c>
      <c r="H9492" t="s">
        <v>9</v>
      </c>
    </row>
    <row r="9493" spans="2:8" x14ac:dyDescent="0.2">
      <c r="B9493" s="3">
        <v>45296</v>
      </c>
      <c r="G9493" s="2">
        <f t="shared" si="148"/>
        <v>0</v>
      </c>
      <c r="H9493" t="s">
        <v>8</v>
      </c>
    </row>
    <row r="9494" spans="2:8" x14ac:dyDescent="0.2">
      <c r="B9494" s="3">
        <v>45296</v>
      </c>
      <c r="G9494" s="2">
        <f t="shared" si="148"/>
        <v>0</v>
      </c>
      <c r="H9494" t="s">
        <v>5</v>
      </c>
    </row>
    <row r="9495" spans="2:8" x14ac:dyDescent="0.2">
      <c r="B9495" s="3">
        <v>45296</v>
      </c>
      <c r="G9495" s="2">
        <f t="shared" si="148"/>
        <v>0</v>
      </c>
      <c r="H9495" s="1"/>
    </row>
    <row r="9496" spans="2:8" x14ac:dyDescent="0.2">
      <c r="B9496" s="3">
        <v>45296</v>
      </c>
      <c r="G9496" s="2">
        <f t="shared" si="148"/>
        <v>0</v>
      </c>
      <c r="H9496" t="s">
        <v>0</v>
      </c>
    </row>
    <row r="9497" spans="2:8" x14ac:dyDescent="0.2">
      <c r="B9497" s="3">
        <v>45297</v>
      </c>
      <c r="G9497" s="2">
        <f t="shared" si="148"/>
        <v>0</v>
      </c>
      <c r="H9497" t="s">
        <v>14</v>
      </c>
    </row>
    <row r="9498" spans="2:8" x14ac:dyDescent="0.2">
      <c r="B9498" s="3">
        <v>45297</v>
      </c>
      <c r="D9498" s="28"/>
      <c r="G9498" s="2">
        <f t="shared" si="148"/>
        <v>0</v>
      </c>
      <c r="H9498" t="s">
        <v>13</v>
      </c>
    </row>
    <row r="9499" spans="2:8" x14ac:dyDescent="0.2">
      <c r="B9499" s="3">
        <v>45297</v>
      </c>
      <c r="D9499" s="28"/>
      <c r="G9499" s="2">
        <f t="shared" si="148"/>
        <v>0</v>
      </c>
      <c r="H9499" t="s">
        <v>26</v>
      </c>
    </row>
    <row r="9500" spans="2:8" x14ac:dyDescent="0.2">
      <c r="B9500" s="3">
        <v>45297</v>
      </c>
      <c r="G9500" s="2">
        <f t="shared" si="148"/>
        <v>0</v>
      </c>
      <c r="H9500" t="s">
        <v>9</v>
      </c>
    </row>
    <row r="9501" spans="2:8" x14ac:dyDescent="0.2">
      <c r="B9501" s="3">
        <v>45297</v>
      </c>
      <c r="F9501" s="1">
        <v>15000</v>
      </c>
      <c r="G9501" s="2">
        <f t="shared" si="148"/>
        <v>-15000</v>
      </c>
      <c r="H9501" t="s">
        <v>8</v>
      </c>
    </row>
    <row r="9502" spans="2:8" x14ac:dyDescent="0.2">
      <c r="B9502" s="3">
        <v>45297</v>
      </c>
      <c r="G9502" s="2">
        <f t="shared" si="148"/>
        <v>0</v>
      </c>
      <c r="H9502" t="s">
        <v>5</v>
      </c>
    </row>
    <row r="9503" spans="2:8" x14ac:dyDescent="0.2">
      <c r="B9503" s="3">
        <v>45297</v>
      </c>
      <c r="G9503" s="2">
        <f t="shared" si="148"/>
        <v>0</v>
      </c>
      <c r="H9503" s="1"/>
    </row>
    <row r="9504" spans="2:8" x14ac:dyDescent="0.2">
      <c r="B9504" s="3">
        <v>45297</v>
      </c>
      <c r="G9504" s="2">
        <f t="shared" si="148"/>
        <v>0</v>
      </c>
      <c r="H9504" t="s">
        <v>0</v>
      </c>
    </row>
    <row r="9505" spans="2:8" x14ac:dyDescent="0.2">
      <c r="B9505" s="3">
        <v>45298</v>
      </c>
      <c r="D9505" s="1">
        <v>28100</v>
      </c>
      <c r="E9505" s="1">
        <v>31940</v>
      </c>
      <c r="F9505" s="1">
        <v>14950</v>
      </c>
      <c r="G9505" s="2">
        <f t="shared" si="148"/>
        <v>16990</v>
      </c>
      <c r="H9505" t="s">
        <v>14</v>
      </c>
    </row>
    <row r="9506" spans="2:8" x14ac:dyDescent="0.2">
      <c r="B9506" s="3">
        <v>45298</v>
      </c>
      <c r="D9506" s="28">
        <f>1488+400</f>
        <v>1888</v>
      </c>
      <c r="E9506" s="1">
        <v>2840</v>
      </c>
      <c r="F9506" s="1">
        <v>3000</v>
      </c>
      <c r="G9506" s="2">
        <f t="shared" si="148"/>
        <v>-160</v>
      </c>
      <c r="H9506" t="s">
        <v>13</v>
      </c>
    </row>
    <row r="9507" spans="2:8" x14ac:dyDescent="0.2">
      <c r="B9507" s="3">
        <v>45298</v>
      </c>
      <c r="D9507" s="28"/>
      <c r="G9507" s="2">
        <f t="shared" si="148"/>
        <v>0</v>
      </c>
      <c r="H9507" t="s">
        <v>26</v>
      </c>
    </row>
    <row r="9508" spans="2:8" x14ac:dyDescent="0.2">
      <c r="B9508" s="3">
        <v>45298</v>
      </c>
      <c r="G9508" s="2">
        <f t="shared" si="148"/>
        <v>0</v>
      </c>
      <c r="H9508" t="s">
        <v>9</v>
      </c>
    </row>
    <row r="9509" spans="2:8" x14ac:dyDescent="0.2">
      <c r="B9509" s="3">
        <v>45298</v>
      </c>
      <c r="G9509" s="2">
        <f t="shared" si="148"/>
        <v>0</v>
      </c>
      <c r="H9509" t="s">
        <v>8</v>
      </c>
    </row>
    <row r="9510" spans="2:8" x14ac:dyDescent="0.2">
      <c r="B9510" s="3">
        <v>45298</v>
      </c>
      <c r="G9510" s="2">
        <f t="shared" si="148"/>
        <v>0</v>
      </c>
      <c r="H9510" t="s">
        <v>5</v>
      </c>
    </row>
    <row r="9511" spans="2:8" x14ac:dyDescent="0.2">
      <c r="B9511" s="3">
        <v>45298</v>
      </c>
      <c r="G9511" s="2">
        <f t="shared" si="148"/>
        <v>0</v>
      </c>
      <c r="H9511" s="1"/>
    </row>
    <row r="9512" spans="2:8" x14ac:dyDescent="0.2">
      <c r="B9512" s="3">
        <v>45298</v>
      </c>
      <c r="D9512" s="1">
        <v>78072.039999999994</v>
      </c>
      <c r="E9512" s="1">
        <v>81721.03</v>
      </c>
      <c r="F9512" s="1">
        <v>76707.73</v>
      </c>
      <c r="G9512" s="2">
        <f t="shared" si="148"/>
        <v>5013.3000000000029</v>
      </c>
      <c r="H9512" t="s">
        <v>0</v>
      </c>
    </row>
    <row r="9513" spans="2:8" x14ac:dyDescent="0.2">
      <c r="B9513" s="3">
        <v>45299</v>
      </c>
      <c r="F9513" s="1">
        <v>15000</v>
      </c>
      <c r="G9513" s="2">
        <f t="shared" si="148"/>
        <v>-15000</v>
      </c>
      <c r="H9513" t="s">
        <v>14</v>
      </c>
    </row>
    <row r="9514" spans="2:8" x14ac:dyDescent="0.2">
      <c r="B9514" s="3">
        <v>45299</v>
      </c>
      <c r="D9514" s="28"/>
      <c r="G9514" s="2">
        <f t="shared" si="148"/>
        <v>0</v>
      </c>
      <c r="H9514" t="s">
        <v>13</v>
      </c>
    </row>
    <row r="9515" spans="2:8" x14ac:dyDescent="0.2">
      <c r="B9515" s="3">
        <v>45299</v>
      </c>
      <c r="D9515" s="28"/>
      <c r="G9515" s="2">
        <f t="shared" si="148"/>
        <v>0</v>
      </c>
      <c r="H9515" t="s">
        <v>26</v>
      </c>
    </row>
    <row r="9516" spans="2:8" x14ac:dyDescent="0.2">
      <c r="B9516" s="3">
        <v>45299</v>
      </c>
      <c r="G9516" s="2">
        <f t="shared" si="148"/>
        <v>0</v>
      </c>
      <c r="H9516" t="s">
        <v>9</v>
      </c>
    </row>
    <row r="9517" spans="2:8" x14ac:dyDescent="0.2">
      <c r="B9517" s="3">
        <v>45299</v>
      </c>
      <c r="G9517" s="2">
        <f t="shared" si="148"/>
        <v>0</v>
      </c>
      <c r="H9517" t="s">
        <v>8</v>
      </c>
    </row>
    <row r="9518" spans="2:8" x14ac:dyDescent="0.2">
      <c r="B9518" s="3">
        <v>45299</v>
      </c>
      <c r="G9518" s="2">
        <f t="shared" si="148"/>
        <v>0</v>
      </c>
      <c r="H9518" t="s">
        <v>5</v>
      </c>
    </row>
    <row r="9519" spans="2:8" x14ac:dyDescent="0.2">
      <c r="B9519" s="3">
        <v>45299</v>
      </c>
      <c r="G9519" s="2">
        <f t="shared" si="148"/>
        <v>0</v>
      </c>
      <c r="H9519" s="1"/>
    </row>
    <row r="9520" spans="2:8" x14ac:dyDescent="0.2">
      <c r="B9520" s="3">
        <v>45299</v>
      </c>
      <c r="G9520" s="2">
        <f t="shared" si="148"/>
        <v>0</v>
      </c>
      <c r="H9520" t="s">
        <v>0</v>
      </c>
    </row>
    <row r="9521" spans="2:8" x14ac:dyDescent="0.2">
      <c r="B9521" s="3">
        <v>45300</v>
      </c>
      <c r="G9521" s="2">
        <f t="shared" si="148"/>
        <v>0</v>
      </c>
      <c r="H9521" t="s">
        <v>14</v>
      </c>
    </row>
    <row r="9522" spans="2:8" x14ac:dyDescent="0.2">
      <c r="B9522" s="3">
        <v>45300</v>
      </c>
      <c r="D9522" s="28"/>
      <c r="G9522" s="2">
        <f t="shared" si="148"/>
        <v>0</v>
      </c>
      <c r="H9522" t="s">
        <v>13</v>
      </c>
    </row>
    <row r="9523" spans="2:8" x14ac:dyDescent="0.2">
      <c r="B9523" s="3">
        <v>45300</v>
      </c>
      <c r="D9523" s="28"/>
      <c r="G9523" s="2">
        <f t="shared" si="148"/>
        <v>0</v>
      </c>
      <c r="H9523" t="s">
        <v>26</v>
      </c>
    </row>
    <row r="9524" spans="2:8" x14ac:dyDescent="0.2">
      <c r="B9524" s="3">
        <v>45300</v>
      </c>
      <c r="G9524" s="2">
        <f t="shared" si="148"/>
        <v>0</v>
      </c>
      <c r="H9524" t="s">
        <v>9</v>
      </c>
    </row>
    <row r="9525" spans="2:8" x14ac:dyDescent="0.2">
      <c r="B9525" s="3">
        <v>45300</v>
      </c>
      <c r="G9525" s="2">
        <f t="shared" si="148"/>
        <v>0</v>
      </c>
      <c r="H9525" t="s">
        <v>8</v>
      </c>
    </row>
    <row r="9526" spans="2:8" x14ac:dyDescent="0.2">
      <c r="B9526" s="3">
        <v>45300</v>
      </c>
      <c r="G9526" s="2">
        <f t="shared" si="148"/>
        <v>0</v>
      </c>
      <c r="H9526" t="s">
        <v>5</v>
      </c>
    </row>
    <row r="9527" spans="2:8" x14ac:dyDescent="0.2">
      <c r="B9527" s="3">
        <v>45300</v>
      </c>
      <c r="G9527" s="2">
        <f t="shared" si="148"/>
        <v>0</v>
      </c>
      <c r="H9527" s="1"/>
    </row>
    <row r="9528" spans="2:8" x14ac:dyDescent="0.2">
      <c r="B9528" s="3">
        <v>45300</v>
      </c>
      <c r="G9528" s="2">
        <f t="shared" si="148"/>
        <v>0</v>
      </c>
      <c r="H9528" t="s">
        <v>0</v>
      </c>
    </row>
    <row r="9529" spans="2:8" x14ac:dyDescent="0.2">
      <c r="B9529" s="3">
        <v>45301</v>
      </c>
      <c r="D9529" s="1">
        <v>16200</v>
      </c>
      <c r="E9529" s="1">
        <v>16800</v>
      </c>
      <c r="F9529" s="1">
        <v>16800</v>
      </c>
      <c r="G9529" s="2">
        <f t="shared" si="148"/>
        <v>0</v>
      </c>
      <c r="H9529" t="s">
        <v>14</v>
      </c>
    </row>
    <row r="9530" spans="2:8" x14ac:dyDescent="0.2">
      <c r="B9530" s="3">
        <v>45301</v>
      </c>
      <c r="D9530" s="28"/>
      <c r="G9530" s="2">
        <f t="shared" si="148"/>
        <v>0</v>
      </c>
      <c r="H9530" t="s">
        <v>13</v>
      </c>
    </row>
    <row r="9531" spans="2:8" x14ac:dyDescent="0.2">
      <c r="B9531" s="3">
        <v>45301</v>
      </c>
      <c r="D9531" s="28"/>
      <c r="G9531" s="2">
        <f t="shared" si="148"/>
        <v>0</v>
      </c>
      <c r="H9531" t="s">
        <v>26</v>
      </c>
    </row>
    <row r="9532" spans="2:8" x14ac:dyDescent="0.2">
      <c r="B9532" s="3">
        <v>45301</v>
      </c>
      <c r="G9532" s="2">
        <f t="shared" si="148"/>
        <v>0</v>
      </c>
      <c r="H9532" t="s">
        <v>9</v>
      </c>
    </row>
    <row r="9533" spans="2:8" x14ac:dyDescent="0.2">
      <c r="B9533" s="3">
        <v>45301</v>
      </c>
      <c r="G9533" s="2">
        <f t="shared" si="148"/>
        <v>0</v>
      </c>
      <c r="H9533" t="s">
        <v>8</v>
      </c>
    </row>
    <row r="9534" spans="2:8" x14ac:dyDescent="0.2">
      <c r="B9534" s="3">
        <v>45301</v>
      </c>
      <c r="G9534" s="2">
        <f t="shared" si="148"/>
        <v>0</v>
      </c>
      <c r="H9534" t="s">
        <v>5</v>
      </c>
    </row>
    <row r="9535" spans="2:8" x14ac:dyDescent="0.2">
      <c r="B9535" s="3">
        <v>45301</v>
      </c>
      <c r="G9535" s="2">
        <f t="shared" si="148"/>
        <v>0</v>
      </c>
      <c r="H9535" s="1"/>
    </row>
    <row r="9536" spans="2:8" x14ac:dyDescent="0.2">
      <c r="B9536" s="3">
        <v>45301</v>
      </c>
      <c r="D9536" s="1">
        <v>91691.770000000019</v>
      </c>
      <c r="E9536" s="1">
        <v>96032.54</v>
      </c>
      <c r="F9536" s="1">
        <v>81721.03</v>
      </c>
      <c r="G9536" s="2">
        <f t="shared" si="148"/>
        <v>14311.509999999995</v>
      </c>
      <c r="H9536" t="s">
        <v>0</v>
      </c>
    </row>
    <row r="9537" spans="2:8" x14ac:dyDescent="0.2">
      <c r="B9537" s="3">
        <v>45302</v>
      </c>
      <c r="G9537" s="2">
        <f t="shared" si="148"/>
        <v>0</v>
      </c>
      <c r="H9537" t="s">
        <v>14</v>
      </c>
    </row>
    <row r="9538" spans="2:8" x14ac:dyDescent="0.2">
      <c r="B9538" s="3">
        <v>45302</v>
      </c>
      <c r="D9538" s="28"/>
      <c r="G9538" s="2">
        <f t="shared" si="148"/>
        <v>0</v>
      </c>
      <c r="H9538" t="s">
        <v>13</v>
      </c>
    </row>
    <row r="9539" spans="2:8" x14ac:dyDescent="0.2">
      <c r="B9539" s="3">
        <v>45302</v>
      </c>
      <c r="D9539" s="28"/>
      <c r="G9539" s="2">
        <f t="shared" ref="G9539:G9602" si="149">E9539-F9539</f>
        <v>0</v>
      </c>
      <c r="H9539" t="s">
        <v>26</v>
      </c>
    </row>
    <row r="9540" spans="2:8" x14ac:dyDescent="0.2">
      <c r="B9540" s="3">
        <v>45302</v>
      </c>
      <c r="G9540" s="2">
        <f t="shared" si="149"/>
        <v>0</v>
      </c>
      <c r="H9540" t="s">
        <v>9</v>
      </c>
    </row>
    <row r="9541" spans="2:8" x14ac:dyDescent="0.2">
      <c r="B9541" s="3">
        <v>45302</v>
      </c>
      <c r="G9541" s="2">
        <f t="shared" si="149"/>
        <v>0</v>
      </c>
      <c r="H9541" t="s">
        <v>8</v>
      </c>
    </row>
    <row r="9542" spans="2:8" x14ac:dyDescent="0.2">
      <c r="B9542" s="3">
        <v>45302</v>
      </c>
      <c r="G9542" s="2">
        <f t="shared" si="149"/>
        <v>0</v>
      </c>
      <c r="H9542" t="s">
        <v>5</v>
      </c>
    </row>
    <row r="9543" spans="2:8" x14ac:dyDescent="0.2">
      <c r="B9543" s="3">
        <v>45302</v>
      </c>
      <c r="G9543" s="2">
        <f t="shared" si="149"/>
        <v>0</v>
      </c>
      <c r="H9543" s="1"/>
    </row>
    <row r="9544" spans="2:8" x14ac:dyDescent="0.2">
      <c r="B9544" s="3">
        <v>45302</v>
      </c>
      <c r="D9544" s="1">
        <v>35235</v>
      </c>
      <c r="E9544" s="1">
        <v>36540</v>
      </c>
      <c r="G9544" s="2">
        <f t="shared" si="149"/>
        <v>36540</v>
      </c>
      <c r="H9544" t="s">
        <v>0</v>
      </c>
    </row>
    <row r="9545" spans="2:8" x14ac:dyDescent="0.2">
      <c r="B9545" s="3">
        <v>45303</v>
      </c>
      <c r="G9545" s="2">
        <f t="shared" si="149"/>
        <v>0</v>
      </c>
      <c r="H9545" t="s">
        <v>14</v>
      </c>
    </row>
    <row r="9546" spans="2:8" x14ac:dyDescent="0.2">
      <c r="B9546" s="3">
        <v>45303</v>
      </c>
      <c r="D9546" s="28"/>
      <c r="G9546" s="2">
        <f t="shared" si="149"/>
        <v>0</v>
      </c>
      <c r="H9546" t="s">
        <v>13</v>
      </c>
    </row>
    <row r="9547" spans="2:8" x14ac:dyDescent="0.2">
      <c r="B9547" s="3">
        <v>45303</v>
      </c>
      <c r="D9547" s="28"/>
      <c r="G9547" s="2">
        <f t="shared" si="149"/>
        <v>0</v>
      </c>
      <c r="H9547" t="s">
        <v>26</v>
      </c>
    </row>
    <row r="9548" spans="2:8" x14ac:dyDescent="0.2">
      <c r="B9548" s="3">
        <v>45303</v>
      </c>
      <c r="G9548" s="2">
        <f t="shared" si="149"/>
        <v>0</v>
      </c>
      <c r="H9548" t="s">
        <v>9</v>
      </c>
    </row>
    <row r="9549" spans="2:8" x14ac:dyDescent="0.2">
      <c r="B9549" s="3">
        <v>45303</v>
      </c>
      <c r="G9549" s="2">
        <f t="shared" si="149"/>
        <v>0</v>
      </c>
      <c r="H9549" t="s">
        <v>8</v>
      </c>
    </row>
    <row r="9550" spans="2:8" x14ac:dyDescent="0.2">
      <c r="B9550" s="3">
        <v>45303</v>
      </c>
      <c r="G9550" s="2">
        <f t="shared" si="149"/>
        <v>0</v>
      </c>
      <c r="H9550" t="s">
        <v>5</v>
      </c>
    </row>
    <row r="9551" spans="2:8" x14ac:dyDescent="0.2">
      <c r="B9551" s="3">
        <v>45303</v>
      </c>
      <c r="G9551" s="2">
        <f t="shared" si="149"/>
        <v>0</v>
      </c>
      <c r="H9551" s="1"/>
    </row>
    <row r="9552" spans="2:8" x14ac:dyDescent="0.2">
      <c r="B9552" s="3">
        <v>45303</v>
      </c>
      <c r="G9552" s="2">
        <f t="shared" si="149"/>
        <v>0</v>
      </c>
      <c r="H9552" t="s">
        <v>0</v>
      </c>
    </row>
    <row r="9553" spans="2:8" x14ac:dyDescent="0.2">
      <c r="B9553" s="3">
        <v>45304</v>
      </c>
      <c r="G9553" s="2">
        <f t="shared" si="149"/>
        <v>0</v>
      </c>
      <c r="H9553" t="s">
        <v>14</v>
      </c>
    </row>
    <row r="9554" spans="2:8" x14ac:dyDescent="0.2">
      <c r="B9554" s="3">
        <v>45304</v>
      </c>
      <c r="D9554" s="28"/>
      <c r="G9554" s="2">
        <f t="shared" si="149"/>
        <v>0</v>
      </c>
      <c r="H9554" t="s">
        <v>13</v>
      </c>
    </row>
    <row r="9555" spans="2:8" x14ac:dyDescent="0.2">
      <c r="B9555" s="3">
        <v>45304</v>
      </c>
      <c r="D9555" s="28"/>
      <c r="G9555" s="2">
        <f t="shared" si="149"/>
        <v>0</v>
      </c>
      <c r="H9555" t="s">
        <v>26</v>
      </c>
    </row>
    <row r="9556" spans="2:8" x14ac:dyDescent="0.2">
      <c r="B9556" s="3">
        <v>45304</v>
      </c>
      <c r="G9556" s="2">
        <f t="shared" si="149"/>
        <v>0</v>
      </c>
      <c r="H9556" t="s">
        <v>9</v>
      </c>
    </row>
    <row r="9557" spans="2:8" x14ac:dyDescent="0.2">
      <c r="B9557" s="3">
        <v>45304</v>
      </c>
      <c r="G9557" s="2">
        <f t="shared" si="149"/>
        <v>0</v>
      </c>
      <c r="H9557" t="s">
        <v>8</v>
      </c>
    </row>
    <row r="9558" spans="2:8" x14ac:dyDescent="0.2">
      <c r="B9558" s="3">
        <v>45304</v>
      </c>
      <c r="G9558" s="2">
        <f t="shared" si="149"/>
        <v>0</v>
      </c>
      <c r="H9558" t="s">
        <v>5</v>
      </c>
    </row>
    <row r="9559" spans="2:8" x14ac:dyDescent="0.2">
      <c r="B9559" s="3">
        <v>45304</v>
      </c>
      <c r="D9559" s="1">
        <v>35428</v>
      </c>
      <c r="E9559" s="1">
        <v>36811</v>
      </c>
      <c r="F9559" s="1">
        <v>36811</v>
      </c>
      <c r="G9559" s="2">
        <f t="shared" si="149"/>
        <v>0</v>
      </c>
      <c r="H9559" t="s">
        <v>29</v>
      </c>
    </row>
    <row r="9560" spans="2:8" x14ac:dyDescent="0.2">
      <c r="B9560" s="3">
        <v>45304</v>
      </c>
      <c r="G9560" s="2">
        <f t="shared" si="149"/>
        <v>0</v>
      </c>
      <c r="H9560" t="s">
        <v>0</v>
      </c>
    </row>
    <row r="9561" spans="2:8" x14ac:dyDescent="0.2">
      <c r="B9561" s="3">
        <v>45305</v>
      </c>
      <c r="G9561" s="2">
        <f t="shared" si="149"/>
        <v>0</v>
      </c>
      <c r="H9561" t="s">
        <v>14</v>
      </c>
    </row>
    <row r="9562" spans="2:8" x14ac:dyDescent="0.2">
      <c r="B9562" s="3">
        <v>45305</v>
      </c>
      <c r="D9562" s="28">
        <v>21376.3</v>
      </c>
      <c r="E9562" s="1">
        <v>22725</v>
      </c>
      <c r="G9562" s="2">
        <f t="shared" si="149"/>
        <v>22725</v>
      </c>
      <c r="H9562" t="s">
        <v>13</v>
      </c>
    </row>
    <row r="9563" spans="2:8" x14ac:dyDescent="0.2">
      <c r="B9563" s="3">
        <v>45305</v>
      </c>
      <c r="D9563" s="28"/>
      <c r="G9563" s="2">
        <f t="shared" si="149"/>
        <v>0</v>
      </c>
      <c r="H9563" t="s">
        <v>26</v>
      </c>
    </row>
    <row r="9564" spans="2:8" x14ac:dyDescent="0.2">
      <c r="B9564" s="3">
        <v>45305</v>
      </c>
      <c r="F9564" s="1">
        <v>8005</v>
      </c>
      <c r="G9564" s="2">
        <f t="shared" si="149"/>
        <v>-8005</v>
      </c>
      <c r="H9564" t="s">
        <v>9</v>
      </c>
    </row>
    <row r="9565" spans="2:8" x14ac:dyDescent="0.2">
      <c r="B9565" s="3">
        <v>45305</v>
      </c>
      <c r="D9565" s="1">
        <v>12402.75</v>
      </c>
      <c r="E9565" s="1">
        <v>13790</v>
      </c>
      <c r="F9565" s="1">
        <v>10000</v>
      </c>
      <c r="G9565" s="2">
        <f t="shared" si="149"/>
        <v>3790</v>
      </c>
      <c r="H9565" t="s">
        <v>8</v>
      </c>
    </row>
    <row r="9566" spans="2:8" x14ac:dyDescent="0.2">
      <c r="B9566" s="3">
        <v>45305</v>
      </c>
      <c r="G9566" s="2">
        <f t="shared" si="149"/>
        <v>0</v>
      </c>
      <c r="H9566" t="s">
        <v>5</v>
      </c>
    </row>
    <row r="9567" spans="2:8" x14ac:dyDescent="0.2">
      <c r="B9567" s="3">
        <v>45305</v>
      </c>
      <c r="G9567" s="2">
        <f t="shared" si="149"/>
        <v>0</v>
      </c>
      <c r="H9567" s="1"/>
    </row>
    <row r="9568" spans="2:8" x14ac:dyDescent="0.2">
      <c r="B9568" s="3">
        <v>45305</v>
      </c>
      <c r="D9568" s="1">
        <v>29641</v>
      </c>
      <c r="E9568" s="1">
        <v>30198.75</v>
      </c>
      <c r="F9568" s="1">
        <v>96032.54</v>
      </c>
      <c r="G9568" s="2">
        <f t="shared" si="149"/>
        <v>-65833.789999999994</v>
      </c>
      <c r="H9568" t="s">
        <v>0</v>
      </c>
    </row>
    <row r="9569" spans="2:8" x14ac:dyDescent="0.2">
      <c r="B9569" s="3">
        <v>45306</v>
      </c>
      <c r="G9569" s="2">
        <f t="shared" si="149"/>
        <v>0</v>
      </c>
      <c r="H9569" t="s">
        <v>14</v>
      </c>
    </row>
    <row r="9570" spans="2:8" x14ac:dyDescent="0.2">
      <c r="B9570" s="3">
        <v>45306</v>
      </c>
      <c r="D9570" s="28">
        <f>420+885+150+1240</f>
        <v>2695</v>
      </c>
      <c r="E9570" s="1">
        <v>3767.5</v>
      </c>
      <c r="F9570" s="1">
        <v>6000</v>
      </c>
      <c r="G9570" s="2">
        <f t="shared" si="149"/>
        <v>-2232.5</v>
      </c>
      <c r="H9570" t="s">
        <v>13</v>
      </c>
    </row>
    <row r="9571" spans="2:8" x14ac:dyDescent="0.2">
      <c r="B9571" s="3">
        <v>45306</v>
      </c>
      <c r="D9571" s="28"/>
      <c r="G9571" s="2">
        <f t="shared" si="149"/>
        <v>0</v>
      </c>
      <c r="H9571" t="s">
        <v>26</v>
      </c>
    </row>
    <row r="9572" spans="2:8" x14ac:dyDescent="0.2">
      <c r="B9572" s="3">
        <v>45306</v>
      </c>
      <c r="G9572" s="2">
        <f t="shared" si="149"/>
        <v>0</v>
      </c>
      <c r="H9572" t="s">
        <v>9</v>
      </c>
    </row>
    <row r="9573" spans="2:8" x14ac:dyDescent="0.2">
      <c r="B9573" s="3">
        <v>45306</v>
      </c>
      <c r="G9573" s="2">
        <f t="shared" si="149"/>
        <v>0</v>
      </c>
      <c r="H9573" t="s">
        <v>8</v>
      </c>
    </row>
    <row r="9574" spans="2:8" x14ac:dyDescent="0.2">
      <c r="B9574" s="3">
        <v>45306</v>
      </c>
      <c r="G9574" s="2">
        <f t="shared" si="149"/>
        <v>0</v>
      </c>
      <c r="H9574" t="s">
        <v>5</v>
      </c>
    </row>
    <row r="9575" spans="2:8" x14ac:dyDescent="0.2">
      <c r="B9575" s="3">
        <v>45306</v>
      </c>
      <c r="D9575" s="1">
        <v>19492.620000000003</v>
      </c>
      <c r="E9575" s="1">
        <v>20127.794999999998</v>
      </c>
      <c r="F9575" s="1">
        <v>20127.794999999998</v>
      </c>
      <c r="G9575" s="2">
        <f t="shared" si="149"/>
        <v>0</v>
      </c>
      <c r="H9575" s="1" t="s">
        <v>39</v>
      </c>
    </row>
    <row r="9576" spans="2:8" x14ac:dyDescent="0.2">
      <c r="B9576" s="3">
        <v>45306</v>
      </c>
      <c r="D9576" s="1">
        <v>36030.630000000005</v>
      </c>
      <c r="E9576" s="1">
        <v>37680.089999999997</v>
      </c>
      <c r="G9576" s="2">
        <f t="shared" si="149"/>
        <v>37680.089999999997</v>
      </c>
      <c r="H9576" t="s">
        <v>0</v>
      </c>
    </row>
    <row r="9577" spans="2:8" x14ac:dyDescent="0.2">
      <c r="B9577" s="3">
        <v>45307</v>
      </c>
      <c r="G9577" s="2">
        <f t="shared" si="149"/>
        <v>0</v>
      </c>
      <c r="H9577" t="s">
        <v>14</v>
      </c>
    </row>
    <row r="9578" spans="2:8" x14ac:dyDescent="0.2">
      <c r="B9578" s="3">
        <v>45307</v>
      </c>
      <c r="D9578" s="28"/>
      <c r="G9578" s="2">
        <f t="shared" si="149"/>
        <v>0</v>
      </c>
      <c r="H9578" t="s">
        <v>13</v>
      </c>
    </row>
    <row r="9579" spans="2:8" x14ac:dyDescent="0.2">
      <c r="B9579" s="3">
        <v>45307</v>
      </c>
      <c r="D9579" s="28"/>
      <c r="G9579" s="2">
        <f t="shared" si="149"/>
        <v>0</v>
      </c>
      <c r="H9579" t="s">
        <v>26</v>
      </c>
    </row>
    <row r="9580" spans="2:8" x14ac:dyDescent="0.2">
      <c r="B9580" s="3">
        <v>45307</v>
      </c>
      <c r="G9580" s="2">
        <f t="shared" si="149"/>
        <v>0</v>
      </c>
      <c r="H9580" t="s">
        <v>9</v>
      </c>
    </row>
    <row r="9581" spans="2:8" x14ac:dyDescent="0.2">
      <c r="B9581" s="3">
        <v>45307</v>
      </c>
      <c r="D9581" s="1">
        <v>5800</v>
      </c>
      <c r="E9581" s="1">
        <v>6100</v>
      </c>
      <c r="F9581" s="1">
        <v>6100</v>
      </c>
      <c r="G9581" s="2">
        <f t="shared" si="149"/>
        <v>0</v>
      </c>
      <c r="H9581" t="s">
        <v>8</v>
      </c>
    </row>
    <row r="9582" spans="2:8" x14ac:dyDescent="0.2">
      <c r="B9582" s="3">
        <v>45307</v>
      </c>
      <c r="G9582" s="2">
        <f t="shared" si="149"/>
        <v>0</v>
      </c>
      <c r="H9582" t="s">
        <v>5</v>
      </c>
    </row>
    <row r="9583" spans="2:8" x14ac:dyDescent="0.2">
      <c r="B9583" s="3">
        <v>45307</v>
      </c>
      <c r="D9583" s="1">
        <v>2250</v>
      </c>
      <c r="E9583" s="1">
        <v>2850</v>
      </c>
      <c r="F9583" s="1">
        <v>2850</v>
      </c>
      <c r="G9583" s="2">
        <f t="shared" si="149"/>
        <v>0</v>
      </c>
      <c r="H9583" s="1" t="s">
        <v>39</v>
      </c>
    </row>
    <row r="9584" spans="2:8" x14ac:dyDescent="0.2">
      <c r="B9584" s="3">
        <v>45307</v>
      </c>
      <c r="G9584" s="2">
        <f t="shared" si="149"/>
        <v>0</v>
      </c>
      <c r="H9584" t="s">
        <v>0</v>
      </c>
    </row>
    <row r="9585" spans="2:8" x14ac:dyDescent="0.2">
      <c r="B9585" s="3">
        <v>45308</v>
      </c>
      <c r="D9585" s="1">
        <v>4960</v>
      </c>
      <c r="E9585" s="1">
        <v>8000</v>
      </c>
      <c r="F9585" s="1">
        <v>10000</v>
      </c>
      <c r="G9585" s="2">
        <f t="shared" si="149"/>
        <v>-2000</v>
      </c>
      <c r="H9585" t="s">
        <v>14</v>
      </c>
    </row>
    <row r="9586" spans="2:8" x14ac:dyDescent="0.2">
      <c r="B9586" s="3">
        <v>45308</v>
      </c>
      <c r="D9586" s="28"/>
      <c r="F9586" s="1">
        <v>22725</v>
      </c>
      <c r="G9586" s="2">
        <f t="shared" si="149"/>
        <v>-22725</v>
      </c>
      <c r="H9586" t="s">
        <v>13</v>
      </c>
    </row>
    <row r="9587" spans="2:8" x14ac:dyDescent="0.2">
      <c r="B9587" s="3">
        <v>45308</v>
      </c>
      <c r="D9587" s="28"/>
      <c r="G9587" s="2">
        <f t="shared" si="149"/>
        <v>0</v>
      </c>
      <c r="H9587" t="s">
        <v>26</v>
      </c>
    </row>
    <row r="9588" spans="2:8" x14ac:dyDescent="0.2">
      <c r="B9588" s="3">
        <v>45308</v>
      </c>
      <c r="G9588" s="2">
        <f t="shared" si="149"/>
        <v>0</v>
      </c>
      <c r="H9588" t="s">
        <v>9</v>
      </c>
    </row>
    <row r="9589" spans="2:8" x14ac:dyDescent="0.2">
      <c r="B9589" s="3">
        <v>45308</v>
      </c>
      <c r="G9589" s="2">
        <f t="shared" si="149"/>
        <v>0</v>
      </c>
      <c r="H9589" t="s">
        <v>8</v>
      </c>
    </row>
    <row r="9590" spans="2:8" x14ac:dyDescent="0.2">
      <c r="B9590" s="3">
        <v>45308</v>
      </c>
      <c r="G9590" s="2">
        <f t="shared" si="149"/>
        <v>0</v>
      </c>
      <c r="H9590" t="s">
        <v>5</v>
      </c>
    </row>
    <row r="9591" spans="2:8" x14ac:dyDescent="0.2">
      <c r="B9591" s="3">
        <v>45308</v>
      </c>
      <c r="G9591" s="2">
        <f t="shared" si="149"/>
        <v>0</v>
      </c>
      <c r="H9591" s="1"/>
    </row>
    <row r="9592" spans="2:8" x14ac:dyDescent="0.2">
      <c r="B9592" s="3">
        <v>45308</v>
      </c>
      <c r="D9592" s="1">
        <v>50169.224999999999</v>
      </c>
      <c r="E9592" s="1">
        <v>52655.299999999996</v>
      </c>
      <c r="F9592" s="1">
        <v>36540</v>
      </c>
      <c r="G9592" s="2">
        <f t="shared" si="149"/>
        <v>16115.299999999996</v>
      </c>
      <c r="H9592" t="s">
        <v>0</v>
      </c>
    </row>
    <row r="9593" spans="2:8" x14ac:dyDescent="0.2">
      <c r="B9593" s="3">
        <v>45309</v>
      </c>
      <c r="G9593" s="2">
        <f t="shared" si="149"/>
        <v>0</v>
      </c>
      <c r="H9593" t="s">
        <v>14</v>
      </c>
    </row>
    <row r="9594" spans="2:8" x14ac:dyDescent="0.2">
      <c r="B9594" s="3">
        <v>45309</v>
      </c>
      <c r="D9594" s="28"/>
      <c r="G9594" s="2">
        <f t="shared" si="149"/>
        <v>0</v>
      </c>
      <c r="H9594" t="s">
        <v>13</v>
      </c>
    </row>
    <row r="9595" spans="2:8" x14ac:dyDescent="0.2">
      <c r="B9595" s="3">
        <v>45309</v>
      </c>
      <c r="D9595" s="28"/>
      <c r="G9595" s="2">
        <f t="shared" si="149"/>
        <v>0</v>
      </c>
      <c r="H9595" t="s">
        <v>26</v>
      </c>
    </row>
    <row r="9596" spans="2:8" x14ac:dyDescent="0.2">
      <c r="B9596" s="3">
        <v>45309</v>
      </c>
      <c r="G9596" s="2">
        <f t="shared" si="149"/>
        <v>0</v>
      </c>
      <c r="H9596" t="s">
        <v>9</v>
      </c>
    </row>
    <row r="9597" spans="2:8" x14ac:dyDescent="0.2">
      <c r="B9597" s="3">
        <v>45309</v>
      </c>
      <c r="G9597" s="2">
        <f t="shared" si="149"/>
        <v>0</v>
      </c>
      <c r="H9597" t="s">
        <v>8</v>
      </c>
    </row>
    <row r="9598" spans="2:8" x14ac:dyDescent="0.2">
      <c r="B9598" s="3">
        <v>45309</v>
      </c>
      <c r="G9598" s="2">
        <f t="shared" si="149"/>
        <v>0</v>
      </c>
      <c r="H9598" t="s">
        <v>5</v>
      </c>
    </row>
    <row r="9599" spans="2:8" x14ac:dyDescent="0.2">
      <c r="B9599" s="3">
        <v>45309</v>
      </c>
      <c r="G9599" s="2">
        <f t="shared" si="149"/>
        <v>0</v>
      </c>
      <c r="H9599" s="1"/>
    </row>
    <row r="9600" spans="2:8" x14ac:dyDescent="0.2">
      <c r="B9600" s="3">
        <v>45309</v>
      </c>
      <c r="G9600" s="2">
        <f t="shared" si="149"/>
        <v>0</v>
      </c>
      <c r="H9600" t="s">
        <v>0</v>
      </c>
    </row>
    <row r="9601" spans="2:8" x14ac:dyDescent="0.2">
      <c r="B9601" s="3">
        <v>45310</v>
      </c>
      <c r="G9601" s="2">
        <f t="shared" si="149"/>
        <v>0</v>
      </c>
      <c r="H9601" t="s">
        <v>14</v>
      </c>
    </row>
    <row r="9602" spans="2:8" x14ac:dyDescent="0.2">
      <c r="B9602" s="3">
        <v>45310</v>
      </c>
      <c r="D9602" s="28"/>
      <c r="G9602" s="2">
        <f t="shared" si="149"/>
        <v>0</v>
      </c>
      <c r="H9602" t="s">
        <v>13</v>
      </c>
    </row>
    <row r="9603" spans="2:8" x14ac:dyDescent="0.2">
      <c r="B9603" s="3">
        <v>45310</v>
      </c>
      <c r="D9603" s="28"/>
      <c r="G9603" s="2">
        <f t="shared" ref="G9603:G9666" si="150">E9603-F9603</f>
        <v>0</v>
      </c>
      <c r="H9603" t="s">
        <v>26</v>
      </c>
    </row>
    <row r="9604" spans="2:8" x14ac:dyDescent="0.2">
      <c r="B9604" s="3">
        <v>45310</v>
      </c>
      <c r="G9604" s="2">
        <f t="shared" si="150"/>
        <v>0</v>
      </c>
      <c r="H9604" t="s">
        <v>9</v>
      </c>
    </row>
    <row r="9605" spans="2:8" x14ac:dyDescent="0.2">
      <c r="B9605" s="3">
        <v>45310</v>
      </c>
      <c r="G9605" s="2">
        <f t="shared" si="150"/>
        <v>0</v>
      </c>
      <c r="H9605" t="s">
        <v>8</v>
      </c>
    </row>
    <row r="9606" spans="2:8" x14ac:dyDescent="0.2">
      <c r="B9606" s="3">
        <v>45310</v>
      </c>
      <c r="G9606" s="2">
        <f t="shared" si="150"/>
        <v>0</v>
      </c>
      <c r="H9606" t="s">
        <v>5</v>
      </c>
    </row>
    <row r="9607" spans="2:8" x14ac:dyDescent="0.2">
      <c r="B9607" s="3">
        <v>45310</v>
      </c>
      <c r="G9607" s="2">
        <f t="shared" si="150"/>
        <v>0</v>
      </c>
      <c r="H9607" s="1"/>
    </row>
    <row r="9608" spans="2:8" x14ac:dyDescent="0.2">
      <c r="B9608" s="3">
        <v>45310</v>
      </c>
      <c r="G9608" s="2">
        <f t="shared" si="150"/>
        <v>0</v>
      </c>
      <c r="H9608" t="s">
        <v>0</v>
      </c>
    </row>
    <row r="9609" spans="2:8" x14ac:dyDescent="0.2">
      <c r="B9609" s="3">
        <v>45311</v>
      </c>
      <c r="G9609" s="2">
        <f t="shared" si="150"/>
        <v>0</v>
      </c>
      <c r="H9609" t="s">
        <v>14</v>
      </c>
    </row>
    <row r="9610" spans="2:8" x14ac:dyDescent="0.2">
      <c r="B9610" s="3">
        <v>45311</v>
      </c>
      <c r="D9610" s="28"/>
      <c r="G9610" s="2">
        <f t="shared" si="150"/>
        <v>0</v>
      </c>
      <c r="H9610" t="s">
        <v>13</v>
      </c>
    </row>
    <row r="9611" spans="2:8" x14ac:dyDescent="0.2">
      <c r="B9611" s="3">
        <v>45311</v>
      </c>
      <c r="D9611" s="28"/>
      <c r="G9611" s="2">
        <f t="shared" si="150"/>
        <v>0</v>
      </c>
      <c r="H9611" t="s">
        <v>26</v>
      </c>
    </row>
    <row r="9612" spans="2:8" x14ac:dyDescent="0.2">
      <c r="B9612" s="3">
        <v>45311</v>
      </c>
      <c r="G9612" s="2">
        <f t="shared" si="150"/>
        <v>0</v>
      </c>
      <c r="H9612" t="s">
        <v>9</v>
      </c>
    </row>
    <row r="9613" spans="2:8" x14ac:dyDescent="0.2">
      <c r="B9613" s="3">
        <v>45311</v>
      </c>
      <c r="G9613" s="2">
        <f t="shared" si="150"/>
        <v>0</v>
      </c>
      <c r="H9613" t="s">
        <v>8</v>
      </c>
    </row>
    <row r="9614" spans="2:8" x14ac:dyDescent="0.2">
      <c r="B9614" s="3">
        <v>45311</v>
      </c>
      <c r="G9614" s="2">
        <f t="shared" si="150"/>
        <v>0</v>
      </c>
      <c r="H9614" t="s">
        <v>5</v>
      </c>
    </row>
    <row r="9615" spans="2:8" x14ac:dyDescent="0.2">
      <c r="B9615" s="3">
        <v>45311</v>
      </c>
      <c r="G9615" s="2">
        <f t="shared" si="150"/>
        <v>0</v>
      </c>
      <c r="H9615" s="1"/>
    </row>
    <row r="9616" spans="2:8" x14ac:dyDescent="0.2">
      <c r="B9616" s="3">
        <v>45311</v>
      </c>
      <c r="G9616" s="2">
        <f t="shared" si="150"/>
        <v>0</v>
      </c>
      <c r="H9616" t="s">
        <v>0</v>
      </c>
    </row>
    <row r="9617" spans="2:8" x14ac:dyDescent="0.2">
      <c r="B9617" s="3">
        <v>45312</v>
      </c>
      <c r="D9617" s="1">
        <v>13925</v>
      </c>
      <c r="E9617" s="1">
        <v>17440</v>
      </c>
      <c r="G9617" s="2">
        <f t="shared" si="150"/>
        <v>17440</v>
      </c>
      <c r="H9617" t="s">
        <v>14</v>
      </c>
    </row>
    <row r="9618" spans="2:8" x14ac:dyDescent="0.2">
      <c r="B9618" s="3">
        <v>45312</v>
      </c>
      <c r="D9618" s="28"/>
      <c r="G9618" s="2">
        <f t="shared" si="150"/>
        <v>0</v>
      </c>
      <c r="H9618" t="s">
        <v>13</v>
      </c>
    </row>
    <row r="9619" spans="2:8" x14ac:dyDescent="0.2">
      <c r="B9619" s="3">
        <v>45312</v>
      </c>
      <c r="D9619" s="28"/>
      <c r="G9619" s="2">
        <f t="shared" si="150"/>
        <v>0</v>
      </c>
      <c r="H9619" t="s">
        <v>26</v>
      </c>
    </row>
    <row r="9620" spans="2:8" x14ac:dyDescent="0.2">
      <c r="B9620" s="3">
        <v>45312</v>
      </c>
      <c r="G9620" s="2">
        <f t="shared" si="150"/>
        <v>0</v>
      </c>
      <c r="H9620" t="s">
        <v>9</v>
      </c>
    </row>
    <row r="9621" spans="2:8" x14ac:dyDescent="0.2">
      <c r="B9621" s="3">
        <v>45312</v>
      </c>
      <c r="G9621" s="2">
        <f t="shared" si="150"/>
        <v>0</v>
      </c>
      <c r="H9621" t="s">
        <v>8</v>
      </c>
    </row>
    <row r="9622" spans="2:8" x14ac:dyDescent="0.2">
      <c r="B9622" s="3">
        <v>45312</v>
      </c>
      <c r="G9622" s="2">
        <f t="shared" si="150"/>
        <v>0</v>
      </c>
      <c r="H9622" t="s">
        <v>5</v>
      </c>
    </row>
    <row r="9623" spans="2:8" x14ac:dyDescent="0.2">
      <c r="B9623" s="3">
        <v>45312</v>
      </c>
      <c r="G9623" s="2">
        <f t="shared" si="150"/>
        <v>0</v>
      </c>
      <c r="H9623" s="1"/>
    </row>
    <row r="9624" spans="2:8" x14ac:dyDescent="0.2">
      <c r="B9624" s="3">
        <v>45312</v>
      </c>
      <c r="D9624" s="1">
        <v>46905.55</v>
      </c>
      <c r="E9624" s="1">
        <v>49197.289999999994</v>
      </c>
      <c r="F9624" s="1">
        <v>67878.84</v>
      </c>
      <c r="G9624" s="2">
        <f t="shared" si="150"/>
        <v>-18681.550000000003</v>
      </c>
      <c r="H9624" t="s">
        <v>0</v>
      </c>
    </row>
    <row r="9625" spans="2:8" x14ac:dyDescent="0.2">
      <c r="B9625" s="3">
        <v>45313</v>
      </c>
      <c r="F9625" s="1">
        <v>10000</v>
      </c>
      <c r="G9625" s="2">
        <f t="shared" si="150"/>
        <v>-10000</v>
      </c>
      <c r="H9625" t="s">
        <v>14</v>
      </c>
    </row>
    <row r="9626" spans="2:8" x14ac:dyDescent="0.2">
      <c r="B9626" s="3">
        <v>45313</v>
      </c>
      <c r="D9626" s="28"/>
      <c r="G9626" s="2">
        <f t="shared" si="150"/>
        <v>0</v>
      </c>
      <c r="H9626" t="s">
        <v>13</v>
      </c>
    </row>
    <row r="9627" spans="2:8" x14ac:dyDescent="0.2">
      <c r="B9627" s="3">
        <v>45313</v>
      </c>
      <c r="D9627" s="28"/>
      <c r="G9627" s="2">
        <f t="shared" si="150"/>
        <v>0</v>
      </c>
      <c r="H9627" t="s">
        <v>26</v>
      </c>
    </row>
    <row r="9628" spans="2:8" x14ac:dyDescent="0.2">
      <c r="B9628" s="3">
        <v>45313</v>
      </c>
      <c r="D9628" s="1">
        <v>51925</v>
      </c>
      <c r="E9628" s="1">
        <v>55525</v>
      </c>
      <c r="F9628" s="1">
        <v>20000</v>
      </c>
      <c r="G9628" s="2">
        <f t="shared" si="150"/>
        <v>35525</v>
      </c>
      <c r="H9628" t="s">
        <v>9</v>
      </c>
    </row>
    <row r="9629" spans="2:8" x14ac:dyDescent="0.2">
      <c r="B9629" s="3">
        <v>45313</v>
      </c>
      <c r="F9629" s="1">
        <v>10000</v>
      </c>
      <c r="G9629" s="2">
        <f t="shared" si="150"/>
        <v>-10000</v>
      </c>
      <c r="H9629" t="s">
        <v>8</v>
      </c>
    </row>
    <row r="9630" spans="2:8" x14ac:dyDescent="0.2">
      <c r="B9630" s="3">
        <v>45313</v>
      </c>
      <c r="G9630" s="2">
        <f t="shared" si="150"/>
        <v>0</v>
      </c>
      <c r="H9630" t="s">
        <v>5</v>
      </c>
    </row>
    <row r="9631" spans="2:8" x14ac:dyDescent="0.2">
      <c r="B9631" s="3">
        <v>45313</v>
      </c>
      <c r="G9631" s="2">
        <f t="shared" si="150"/>
        <v>0</v>
      </c>
      <c r="H9631" s="1"/>
    </row>
    <row r="9632" spans="2:8" x14ac:dyDescent="0.2">
      <c r="B9632" s="3">
        <v>45313</v>
      </c>
      <c r="G9632" s="2">
        <f t="shared" si="150"/>
        <v>0</v>
      </c>
      <c r="H9632" t="s">
        <v>0</v>
      </c>
    </row>
    <row r="9633" spans="2:8" x14ac:dyDescent="0.2">
      <c r="B9633" s="3">
        <v>45314</v>
      </c>
      <c r="G9633" s="2">
        <f t="shared" si="150"/>
        <v>0</v>
      </c>
      <c r="H9633" t="s">
        <v>14</v>
      </c>
    </row>
    <row r="9634" spans="2:8" x14ac:dyDescent="0.2">
      <c r="B9634" s="3">
        <v>45314</v>
      </c>
      <c r="D9634" s="28"/>
      <c r="G9634" s="2">
        <f t="shared" si="150"/>
        <v>0</v>
      </c>
      <c r="H9634" t="s">
        <v>13</v>
      </c>
    </row>
    <row r="9635" spans="2:8" x14ac:dyDescent="0.2">
      <c r="B9635" s="3">
        <v>45314</v>
      </c>
      <c r="D9635" s="28"/>
      <c r="G9635" s="2">
        <f t="shared" si="150"/>
        <v>0</v>
      </c>
      <c r="H9635" t="s">
        <v>26</v>
      </c>
    </row>
    <row r="9636" spans="2:8" x14ac:dyDescent="0.2">
      <c r="B9636" s="3">
        <v>45314</v>
      </c>
      <c r="G9636" s="2">
        <f t="shared" si="150"/>
        <v>0</v>
      </c>
      <c r="H9636" t="s">
        <v>9</v>
      </c>
    </row>
    <row r="9637" spans="2:8" x14ac:dyDescent="0.2">
      <c r="B9637" s="3">
        <v>45314</v>
      </c>
      <c r="G9637" s="2">
        <f t="shared" si="150"/>
        <v>0</v>
      </c>
      <c r="H9637" t="s">
        <v>8</v>
      </c>
    </row>
    <row r="9638" spans="2:8" x14ac:dyDescent="0.2">
      <c r="B9638" s="3">
        <v>45314</v>
      </c>
      <c r="G9638" s="2">
        <f t="shared" si="150"/>
        <v>0</v>
      </c>
      <c r="H9638" t="s">
        <v>5</v>
      </c>
    </row>
    <row r="9639" spans="2:8" x14ac:dyDescent="0.2">
      <c r="B9639" s="3">
        <v>45314</v>
      </c>
      <c r="G9639" s="2">
        <f t="shared" si="150"/>
        <v>0</v>
      </c>
      <c r="H9639" s="1"/>
    </row>
    <row r="9640" spans="2:8" x14ac:dyDescent="0.2">
      <c r="B9640" s="3">
        <v>45314</v>
      </c>
      <c r="G9640" s="2">
        <f t="shared" si="150"/>
        <v>0</v>
      </c>
      <c r="H9640" t="s">
        <v>0</v>
      </c>
    </row>
    <row r="9641" spans="2:8" x14ac:dyDescent="0.2">
      <c r="B9641" s="3">
        <v>45315</v>
      </c>
      <c r="D9641" s="1">
        <v>35400</v>
      </c>
      <c r="E9641" s="1">
        <v>37000</v>
      </c>
      <c r="F9641" s="1">
        <v>10000</v>
      </c>
      <c r="G9641" s="2">
        <f t="shared" si="150"/>
        <v>27000</v>
      </c>
      <c r="H9641" t="s">
        <v>14</v>
      </c>
    </row>
    <row r="9642" spans="2:8" x14ac:dyDescent="0.2">
      <c r="B9642" s="3">
        <v>45315</v>
      </c>
      <c r="D9642" s="28"/>
      <c r="G9642" s="2">
        <f t="shared" si="150"/>
        <v>0</v>
      </c>
      <c r="H9642" t="s">
        <v>13</v>
      </c>
    </row>
    <row r="9643" spans="2:8" x14ac:dyDescent="0.2">
      <c r="B9643" s="3">
        <v>45315</v>
      </c>
      <c r="D9643" s="28"/>
      <c r="G9643" s="2">
        <f t="shared" si="150"/>
        <v>0</v>
      </c>
      <c r="H9643" t="s">
        <v>26</v>
      </c>
    </row>
    <row r="9644" spans="2:8" x14ac:dyDescent="0.2">
      <c r="B9644" s="3">
        <v>45315</v>
      </c>
      <c r="F9644" s="1">
        <v>20000</v>
      </c>
      <c r="G9644" s="2">
        <f t="shared" si="150"/>
        <v>-20000</v>
      </c>
      <c r="H9644" t="s">
        <v>9</v>
      </c>
    </row>
    <row r="9645" spans="2:8" x14ac:dyDescent="0.2">
      <c r="B9645" s="3">
        <v>45315</v>
      </c>
      <c r="G9645" s="2">
        <f t="shared" si="150"/>
        <v>0</v>
      </c>
      <c r="H9645" t="s">
        <v>8</v>
      </c>
    </row>
    <row r="9646" spans="2:8" x14ac:dyDescent="0.2">
      <c r="B9646" s="3">
        <v>45315</v>
      </c>
      <c r="G9646" s="2">
        <f t="shared" si="150"/>
        <v>0</v>
      </c>
      <c r="H9646" t="s">
        <v>5</v>
      </c>
    </row>
    <row r="9647" spans="2:8" x14ac:dyDescent="0.2">
      <c r="B9647" s="3">
        <v>45315</v>
      </c>
      <c r="G9647" s="2">
        <f t="shared" si="150"/>
        <v>0</v>
      </c>
      <c r="H9647" s="1"/>
    </row>
    <row r="9648" spans="2:8" x14ac:dyDescent="0.2">
      <c r="B9648" s="3">
        <v>45315</v>
      </c>
      <c r="D9648" s="1">
        <v>94959.417499999996</v>
      </c>
      <c r="E9648" s="1">
        <v>100337.045</v>
      </c>
      <c r="F9648" s="1">
        <v>101852.59</v>
      </c>
      <c r="G9648" s="2">
        <f t="shared" si="150"/>
        <v>-1515.5449999999983</v>
      </c>
      <c r="H9648" t="s">
        <v>0</v>
      </c>
    </row>
    <row r="9649" spans="2:8" x14ac:dyDescent="0.2">
      <c r="B9649" s="3">
        <v>45316</v>
      </c>
      <c r="G9649" s="2">
        <f t="shared" si="150"/>
        <v>0</v>
      </c>
      <c r="H9649" t="s">
        <v>14</v>
      </c>
    </row>
    <row r="9650" spans="2:8" x14ac:dyDescent="0.2">
      <c r="B9650" s="3">
        <v>45316</v>
      </c>
      <c r="D9650" s="28"/>
      <c r="G9650" s="2">
        <f t="shared" si="150"/>
        <v>0</v>
      </c>
      <c r="H9650" t="s">
        <v>13</v>
      </c>
    </row>
    <row r="9651" spans="2:8" x14ac:dyDescent="0.2">
      <c r="B9651" s="3">
        <v>45316</v>
      </c>
      <c r="D9651" s="28"/>
      <c r="G9651" s="2">
        <f t="shared" si="150"/>
        <v>0</v>
      </c>
      <c r="H9651" t="s">
        <v>26</v>
      </c>
    </row>
    <row r="9652" spans="2:8" x14ac:dyDescent="0.2">
      <c r="B9652" s="3">
        <v>45316</v>
      </c>
      <c r="G9652" s="2">
        <f t="shared" si="150"/>
        <v>0</v>
      </c>
      <c r="H9652" t="s">
        <v>9</v>
      </c>
    </row>
    <row r="9653" spans="2:8" x14ac:dyDescent="0.2">
      <c r="B9653" s="3">
        <v>45316</v>
      </c>
      <c r="G9653" s="2">
        <f t="shared" si="150"/>
        <v>0</v>
      </c>
      <c r="H9653" t="s">
        <v>8</v>
      </c>
    </row>
    <row r="9654" spans="2:8" x14ac:dyDescent="0.2">
      <c r="B9654" s="3">
        <v>45316</v>
      </c>
      <c r="G9654" s="2">
        <f t="shared" si="150"/>
        <v>0</v>
      </c>
      <c r="H9654" t="s">
        <v>5</v>
      </c>
    </row>
    <row r="9655" spans="2:8" x14ac:dyDescent="0.2">
      <c r="B9655" s="3">
        <v>45316</v>
      </c>
      <c r="G9655" s="2">
        <f t="shared" si="150"/>
        <v>0</v>
      </c>
      <c r="H9655" s="1"/>
    </row>
    <row r="9656" spans="2:8" x14ac:dyDescent="0.2">
      <c r="B9656" s="3">
        <v>45316</v>
      </c>
      <c r="D9656" s="1">
        <v>20081.150000000001</v>
      </c>
      <c r="E9656" s="1">
        <v>20813.45</v>
      </c>
      <c r="G9656" s="2">
        <f t="shared" si="150"/>
        <v>20813.45</v>
      </c>
      <c r="H9656" t="s">
        <v>0</v>
      </c>
    </row>
    <row r="9657" spans="2:8" x14ac:dyDescent="0.2">
      <c r="B9657" s="3">
        <v>45317</v>
      </c>
      <c r="G9657" s="2">
        <f t="shared" si="150"/>
        <v>0</v>
      </c>
      <c r="H9657" t="s">
        <v>14</v>
      </c>
    </row>
    <row r="9658" spans="2:8" x14ac:dyDescent="0.2">
      <c r="B9658" s="3">
        <v>45317</v>
      </c>
      <c r="D9658" s="28"/>
      <c r="G9658" s="2">
        <f t="shared" si="150"/>
        <v>0</v>
      </c>
      <c r="H9658" t="s">
        <v>13</v>
      </c>
    </row>
    <row r="9659" spans="2:8" x14ac:dyDescent="0.2">
      <c r="B9659" s="3">
        <v>45317</v>
      </c>
      <c r="D9659" s="28"/>
      <c r="G9659" s="2">
        <f t="shared" si="150"/>
        <v>0</v>
      </c>
      <c r="H9659" t="s">
        <v>26</v>
      </c>
    </row>
    <row r="9660" spans="2:8" x14ac:dyDescent="0.2">
      <c r="B9660" s="3">
        <v>45317</v>
      </c>
      <c r="G9660" s="2">
        <f t="shared" si="150"/>
        <v>0</v>
      </c>
      <c r="H9660" t="s">
        <v>9</v>
      </c>
    </row>
    <row r="9661" spans="2:8" x14ac:dyDescent="0.2">
      <c r="B9661" s="3">
        <v>45317</v>
      </c>
      <c r="G9661" s="2">
        <f t="shared" si="150"/>
        <v>0</v>
      </c>
      <c r="H9661" t="s">
        <v>8</v>
      </c>
    </row>
    <row r="9662" spans="2:8" x14ac:dyDescent="0.2">
      <c r="B9662" s="3">
        <v>45317</v>
      </c>
      <c r="G9662" s="2">
        <f t="shared" si="150"/>
        <v>0</v>
      </c>
      <c r="H9662" t="s">
        <v>5</v>
      </c>
    </row>
    <row r="9663" spans="2:8" x14ac:dyDescent="0.2">
      <c r="B9663" s="3">
        <v>45317</v>
      </c>
      <c r="G9663" s="2">
        <f t="shared" si="150"/>
        <v>0</v>
      </c>
      <c r="H9663" s="1"/>
    </row>
    <row r="9664" spans="2:8" x14ac:dyDescent="0.2">
      <c r="B9664" s="3">
        <v>45317</v>
      </c>
      <c r="G9664" s="2">
        <f t="shared" si="150"/>
        <v>0</v>
      </c>
      <c r="H9664" t="s">
        <v>0</v>
      </c>
    </row>
    <row r="9665" spans="2:8" x14ac:dyDescent="0.2">
      <c r="B9665" s="3">
        <v>45318</v>
      </c>
      <c r="F9665" s="1">
        <v>20000</v>
      </c>
      <c r="G9665" s="2">
        <f t="shared" si="150"/>
        <v>-20000</v>
      </c>
      <c r="H9665" t="s">
        <v>14</v>
      </c>
    </row>
    <row r="9666" spans="2:8" x14ac:dyDescent="0.2">
      <c r="B9666" s="3">
        <v>45318</v>
      </c>
      <c r="D9666" s="31">
        <v>2772</v>
      </c>
      <c r="E9666" s="1">
        <v>3386</v>
      </c>
      <c r="G9666" s="2">
        <f t="shared" si="150"/>
        <v>3386</v>
      </c>
      <c r="H9666" t="s">
        <v>13</v>
      </c>
    </row>
    <row r="9667" spans="2:8" x14ac:dyDescent="0.2">
      <c r="B9667" s="3">
        <v>45318</v>
      </c>
      <c r="D9667" s="28"/>
      <c r="G9667" s="2">
        <f t="shared" ref="G9667:G9730" si="151">E9667-F9667</f>
        <v>0</v>
      </c>
      <c r="H9667" t="s">
        <v>26</v>
      </c>
    </row>
    <row r="9668" spans="2:8" x14ac:dyDescent="0.2">
      <c r="B9668" s="3">
        <v>45318</v>
      </c>
      <c r="G9668" s="2">
        <f t="shared" si="151"/>
        <v>0</v>
      </c>
      <c r="H9668" t="s">
        <v>9</v>
      </c>
    </row>
    <row r="9669" spans="2:8" x14ac:dyDescent="0.2">
      <c r="B9669" s="3">
        <v>45318</v>
      </c>
      <c r="G9669" s="2">
        <f t="shared" si="151"/>
        <v>0</v>
      </c>
      <c r="H9669" t="s">
        <v>8</v>
      </c>
    </row>
    <row r="9670" spans="2:8" x14ac:dyDescent="0.2">
      <c r="B9670" s="3">
        <v>45318</v>
      </c>
      <c r="G9670" s="2">
        <f t="shared" si="151"/>
        <v>0</v>
      </c>
      <c r="H9670" t="s">
        <v>5</v>
      </c>
    </row>
    <row r="9671" spans="2:8" x14ac:dyDescent="0.2">
      <c r="B9671" s="3">
        <v>45318</v>
      </c>
      <c r="G9671" s="2">
        <f t="shared" si="151"/>
        <v>0</v>
      </c>
      <c r="H9671" s="1"/>
    </row>
    <row r="9672" spans="2:8" x14ac:dyDescent="0.2">
      <c r="B9672" s="3">
        <v>45318</v>
      </c>
      <c r="G9672" s="2">
        <f t="shared" si="151"/>
        <v>0</v>
      </c>
      <c r="H9672" t="s">
        <v>0</v>
      </c>
    </row>
    <row r="9673" spans="2:8" x14ac:dyDescent="0.2">
      <c r="B9673" s="3">
        <v>45319</v>
      </c>
      <c r="G9673" s="2">
        <f t="shared" si="151"/>
        <v>0</v>
      </c>
      <c r="H9673" t="s">
        <v>14</v>
      </c>
    </row>
    <row r="9674" spans="2:8" x14ac:dyDescent="0.2">
      <c r="B9674" s="3">
        <v>45319</v>
      </c>
      <c r="D9674" s="28"/>
      <c r="G9674" s="2">
        <f t="shared" si="151"/>
        <v>0</v>
      </c>
      <c r="H9674" t="s">
        <v>13</v>
      </c>
    </row>
    <row r="9675" spans="2:8" x14ac:dyDescent="0.2">
      <c r="B9675" s="3">
        <v>45319</v>
      </c>
      <c r="D9675" s="28"/>
      <c r="G9675" s="2">
        <f t="shared" si="151"/>
        <v>0</v>
      </c>
      <c r="H9675" t="s">
        <v>26</v>
      </c>
    </row>
    <row r="9676" spans="2:8" x14ac:dyDescent="0.2">
      <c r="B9676" s="3">
        <v>45319</v>
      </c>
      <c r="G9676" s="2">
        <f t="shared" si="151"/>
        <v>0</v>
      </c>
      <c r="H9676" t="s">
        <v>9</v>
      </c>
    </row>
    <row r="9677" spans="2:8" x14ac:dyDescent="0.2">
      <c r="B9677" s="3">
        <v>45319</v>
      </c>
      <c r="G9677" s="2">
        <f t="shared" si="151"/>
        <v>0</v>
      </c>
      <c r="H9677" t="s">
        <v>8</v>
      </c>
    </row>
    <row r="9678" spans="2:8" x14ac:dyDescent="0.2">
      <c r="B9678" s="3">
        <v>45319</v>
      </c>
      <c r="G9678" s="2">
        <f t="shared" si="151"/>
        <v>0</v>
      </c>
      <c r="H9678" t="s">
        <v>5</v>
      </c>
    </row>
    <row r="9679" spans="2:8" x14ac:dyDescent="0.2">
      <c r="B9679" s="3">
        <v>45319</v>
      </c>
      <c r="G9679" s="2">
        <f t="shared" si="151"/>
        <v>0</v>
      </c>
      <c r="H9679" s="1"/>
    </row>
    <row r="9680" spans="2:8" x14ac:dyDescent="0.2">
      <c r="B9680" s="3">
        <v>45319</v>
      </c>
      <c r="D9680" s="1">
        <v>87894.64</v>
      </c>
      <c r="E9680" s="1">
        <v>92376.709999999992</v>
      </c>
      <c r="F9680" s="1">
        <v>20813.45</v>
      </c>
      <c r="G9680" s="2">
        <f t="shared" si="151"/>
        <v>71563.259999999995</v>
      </c>
      <c r="H9680" t="s">
        <v>0</v>
      </c>
    </row>
    <row r="9681" spans="2:8" x14ac:dyDescent="0.2">
      <c r="B9681" s="3">
        <v>45320</v>
      </c>
      <c r="G9681" s="2">
        <f t="shared" si="151"/>
        <v>0</v>
      </c>
      <c r="H9681" t="s">
        <v>14</v>
      </c>
    </row>
    <row r="9682" spans="2:8" x14ac:dyDescent="0.2">
      <c r="B9682" s="3">
        <v>45320</v>
      </c>
      <c r="D9682" s="28"/>
      <c r="G9682" s="2">
        <f t="shared" si="151"/>
        <v>0</v>
      </c>
      <c r="H9682" t="s">
        <v>13</v>
      </c>
    </row>
    <row r="9683" spans="2:8" x14ac:dyDescent="0.2">
      <c r="B9683" s="3">
        <v>45320</v>
      </c>
      <c r="D9683" s="28"/>
      <c r="G9683" s="2">
        <f t="shared" si="151"/>
        <v>0</v>
      </c>
      <c r="H9683" t="s">
        <v>26</v>
      </c>
    </row>
    <row r="9684" spans="2:8" x14ac:dyDescent="0.2">
      <c r="B9684" s="3">
        <v>45320</v>
      </c>
      <c r="C9684" s="28"/>
      <c r="F9684" s="1">
        <v>1200</v>
      </c>
      <c r="G9684" s="2">
        <f t="shared" si="151"/>
        <v>-1200</v>
      </c>
      <c r="H9684" t="s">
        <v>24</v>
      </c>
    </row>
    <row r="9685" spans="2:8" x14ac:dyDescent="0.2">
      <c r="B9685" s="3">
        <v>45320</v>
      </c>
      <c r="G9685" s="2">
        <f t="shared" si="151"/>
        <v>0</v>
      </c>
      <c r="H9685" t="s">
        <v>9</v>
      </c>
    </row>
    <row r="9686" spans="2:8" x14ac:dyDescent="0.2">
      <c r="B9686" s="3">
        <v>45320</v>
      </c>
      <c r="F9686" s="1">
        <v>10000</v>
      </c>
      <c r="G9686" s="2">
        <f t="shared" si="151"/>
        <v>-10000</v>
      </c>
      <c r="H9686" t="s">
        <v>8</v>
      </c>
    </row>
    <row r="9687" spans="2:8" x14ac:dyDescent="0.2">
      <c r="B9687" s="3">
        <v>45320</v>
      </c>
      <c r="G9687" s="2">
        <f t="shared" si="151"/>
        <v>0</v>
      </c>
      <c r="H9687" t="s">
        <v>5</v>
      </c>
    </row>
    <row r="9688" spans="2:8" x14ac:dyDescent="0.2">
      <c r="B9688" s="3">
        <v>45320</v>
      </c>
      <c r="G9688" s="2">
        <f t="shared" si="151"/>
        <v>0</v>
      </c>
      <c r="H9688" s="1"/>
    </row>
    <row r="9689" spans="2:8" x14ac:dyDescent="0.2">
      <c r="B9689" s="3">
        <v>45320</v>
      </c>
      <c r="G9689" s="2">
        <f t="shared" si="151"/>
        <v>0</v>
      </c>
      <c r="H9689" t="s">
        <v>0</v>
      </c>
    </row>
    <row r="9690" spans="2:8" x14ac:dyDescent="0.2">
      <c r="B9690" s="3">
        <v>45321</v>
      </c>
      <c r="G9690" s="2">
        <f t="shared" si="151"/>
        <v>0</v>
      </c>
      <c r="H9690" t="s">
        <v>14</v>
      </c>
    </row>
    <row r="9691" spans="2:8" x14ac:dyDescent="0.2">
      <c r="B9691" s="3">
        <v>45321</v>
      </c>
      <c r="D9691" s="28"/>
      <c r="G9691" s="2">
        <f t="shared" si="151"/>
        <v>0</v>
      </c>
      <c r="H9691" t="s">
        <v>13</v>
      </c>
    </row>
    <row r="9692" spans="2:8" x14ac:dyDescent="0.2">
      <c r="B9692" s="3">
        <v>45321</v>
      </c>
      <c r="D9692" s="28"/>
      <c r="G9692" s="2">
        <f t="shared" si="151"/>
        <v>0</v>
      </c>
      <c r="H9692" t="s">
        <v>26</v>
      </c>
    </row>
    <row r="9693" spans="2:8" x14ac:dyDescent="0.2">
      <c r="B9693" s="3">
        <v>45321</v>
      </c>
      <c r="F9693" s="1">
        <v>15525</v>
      </c>
      <c r="G9693" s="2">
        <f t="shared" si="151"/>
        <v>-15525</v>
      </c>
      <c r="H9693" t="s">
        <v>9</v>
      </c>
    </row>
    <row r="9694" spans="2:8" x14ac:dyDescent="0.2">
      <c r="B9694" s="3">
        <v>45321</v>
      </c>
      <c r="G9694" s="2">
        <f t="shared" si="151"/>
        <v>0</v>
      </c>
      <c r="H9694" t="s">
        <v>8</v>
      </c>
    </row>
    <row r="9695" spans="2:8" x14ac:dyDescent="0.2">
      <c r="B9695" s="3">
        <v>45321</v>
      </c>
      <c r="G9695" s="2">
        <f t="shared" si="151"/>
        <v>0</v>
      </c>
      <c r="H9695" t="s">
        <v>5</v>
      </c>
    </row>
    <row r="9696" spans="2:8" x14ac:dyDescent="0.2">
      <c r="B9696" s="3">
        <v>45321</v>
      </c>
      <c r="G9696" s="2">
        <f t="shared" si="151"/>
        <v>0</v>
      </c>
      <c r="H9696" s="1"/>
    </row>
    <row r="9697" spans="2:8" x14ac:dyDescent="0.2">
      <c r="B9697" s="3">
        <v>45321</v>
      </c>
      <c r="D9697" s="1">
        <v>5235.3</v>
      </c>
      <c r="E9697" s="1">
        <v>5395</v>
      </c>
      <c r="F9697" s="1">
        <v>100335</v>
      </c>
      <c r="G9697" s="2">
        <f t="shared" si="151"/>
        <v>-94940</v>
      </c>
      <c r="H9697" t="s">
        <v>0</v>
      </c>
    </row>
    <row r="9698" spans="2:8" x14ac:dyDescent="0.2">
      <c r="B9698" s="3">
        <v>45322</v>
      </c>
      <c r="G9698" s="2">
        <f t="shared" si="151"/>
        <v>0</v>
      </c>
      <c r="H9698" t="s">
        <v>14</v>
      </c>
    </row>
    <row r="9699" spans="2:8" x14ac:dyDescent="0.2">
      <c r="B9699" s="3">
        <v>45322</v>
      </c>
      <c r="D9699" s="28"/>
      <c r="G9699" s="2">
        <f t="shared" si="151"/>
        <v>0</v>
      </c>
      <c r="H9699" t="s">
        <v>13</v>
      </c>
    </row>
    <row r="9700" spans="2:8" x14ac:dyDescent="0.2">
      <c r="B9700" s="3">
        <v>45322</v>
      </c>
      <c r="D9700" s="28"/>
      <c r="G9700" s="2">
        <f t="shared" si="151"/>
        <v>0</v>
      </c>
      <c r="H9700" t="s">
        <v>26</v>
      </c>
    </row>
    <row r="9701" spans="2:8" x14ac:dyDescent="0.2">
      <c r="B9701" s="3">
        <v>45322</v>
      </c>
      <c r="G9701" s="2">
        <f t="shared" si="151"/>
        <v>0</v>
      </c>
      <c r="H9701" t="s">
        <v>9</v>
      </c>
    </row>
    <row r="9702" spans="2:8" x14ac:dyDescent="0.2">
      <c r="B9702" s="3">
        <v>45322</v>
      </c>
      <c r="G9702" s="2">
        <f t="shared" si="151"/>
        <v>0</v>
      </c>
      <c r="H9702" t="s">
        <v>8</v>
      </c>
    </row>
    <row r="9703" spans="2:8" x14ac:dyDescent="0.2">
      <c r="B9703" s="3">
        <v>45322</v>
      </c>
      <c r="G9703" s="2">
        <f t="shared" si="151"/>
        <v>0</v>
      </c>
      <c r="H9703" t="s">
        <v>5</v>
      </c>
    </row>
    <row r="9704" spans="2:8" x14ac:dyDescent="0.2">
      <c r="B9704" s="3">
        <v>45322</v>
      </c>
      <c r="G9704" s="2">
        <f t="shared" si="151"/>
        <v>0</v>
      </c>
      <c r="H9704" s="1"/>
    </row>
    <row r="9705" spans="2:8" x14ac:dyDescent="0.2">
      <c r="B9705" s="3">
        <v>45322</v>
      </c>
      <c r="D9705" s="1">
        <v>143983.46000000002</v>
      </c>
      <c r="E9705" s="1">
        <v>150146.20749999999</v>
      </c>
      <c r="F9705" s="1">
        <v>50000</v>
      </c>
      <c r="G9705" s="2">
        <f t="shared" si="151"/>
        <v>100146.20749999999</v>
      </c>
      <c r="H9705" t="s">
        <v>0</v>
      </c>
    </row>
    <row r="9706" spans="2:8" x14ac:dyDescent="0.2">
      <c r="B9706" s="3">
        <v>45323</v>
      </c>
      <c r="F9706" s="1">
        <v>10000</v>
      </c>
      <c r="G9706" s="2">
        <f t="shared" si="151"/>
        <v>-10000</v>
      </c>
      <c r="H9706" t="s">
        <v>14</v>
      </c>
    </row>
    <row r="9707" spans="2:8" x14ac:dyDescent="0.2">
      <c r="B9707" s="3">
        <v>45323</v>
      </c>
      <c r="D9707" s="28"/>
      <c r="F9707" s="1">
        <v>5000</v>
      </c>
      <c r="G9707" s="2">
        <f t="shared" si="151"/>
        <v>-5000</v>
      </c>
      <c r="H9707" t="s">
        <v>13</v>
      </c>
    </row>
    <row r="9708" spans="2:8" x14ac:dyDescent="0.2">
      <c r="B9708" s="3">
        <v>45323</v>
      </c>
      <c r="D9708" s="28"/>
      <c r="G9708" s="2">
        <f t="shared" si="151"/>
        <v>0</v>
      </c>
      <c r="H9708" t="s">
        <v>26</v>
      </c>
    </row>
    <row r="9709" spans="2:8" x14ac:dyDescent="0.2">
      <c r="B9709" s="3">
        <v>45323</v>
      </c>
      <c r="G9709" s="2">
        <f t="shared" si="151"/>
        <v>0</v>
      </c>
      <c r="H9709" t="s">
        <v>9</v>
      </c>
    </row>
    <row r="9710" spans="2:8" x14ac:dyDescent="0.2">
      <c r="B9710" s="3">
        <v>45323</v>
      </c>
      <c r="G9710" s="2">
        <f t="shared" si="151"/>
        <v>0</v>
      </c>
      <c r="H9710" t="s">
        <v>8</v>
      </c>
    </row>
    <row r="9711" spans="2:8" x14ac:dyDescent="0.2">
      <c r="B9711" s="3">
        <v>45323</v>
      </c>
      <c r="G9711" s="2">
        <f t="shared" si="151"/>
        <v>0</v>
      </c>
      <c r="H9711" t="s">
        <v>5</v>
      </c>
    </row>
    <row r="9712" spans="2:8" x14ac:dyDescent="0.2">
      <c r="B9712" s="3">
        <v>45323</v>
      </c>
      <c r="G9712" s="2">
        <f t="shared" si="151"/>
        <v>0</v>
      </c>
      <c r="H9712" s="1"/>
    </row>
    <row r="9713" spans="2:8" x14ac:dyDescent="0.2">
      <c r="B9713" s="3">
        <v>45323</v>
      </c>
      <c r="G9713" s="2">
        <f t="shared" si="151"/>
        <v>0</v>
      </c>
      <c r="H9713" t="s">
        <v>0</v>
      </c>
    </row>
    <row r="9714" spans="2:8" x14ac:dyDescent="0.2">
      <c r="B9714" s="3">
        <v>45324</v>
      </c>
      <c r="G9714" s="2">
        <f t="shared" si="151"/>
        <v>0</v>
      </c>
      <c r="H9714" t="s">
        <v>14</v>
      </c>
    </row>
    <row r="9715" spans="2:8" x14ac:dyDescent="0.2">
      <c r="B9715" s="3">
        <v>45324</v>
      </c>
      <c r="D9715" s="28"/>
      <c r="G9715" s="2">
        <f t="shared" si="151"/>
        <v>0</v>
      </c>
      <c r="H9715" t="s">
        <v>13</v>
      </c>
    </row>
    <row r="9716" spans="2:8" x14ac:dyDescent="0.2">
      <c r="B9716" s="3">
        <v>45324</v>
      </c>
      <c r="D9716" s="28"/>
      <c r="G9716" s="2">
        <f t="shared" si="151"/>
        <v>0</v>
      </c>
      <c r="H9716" t="s">
        <v>26</v>
      </c>
    </row>
    <row r="9717" spans="2:8" x14ac:dyDescent="0.2">
      <c r="B9717" s="3">
        <v>45324</v>
      </c>
      <c r="G9717" s="2">
        <f t="shared" si="151"/>
        <v>0</v>
      </c>
      <c r="H9717" t="s">
        <v>9</v>
      </c>
    </row>
    <row r="9718" spans="2:8" x14ac:dyDescent="0.2">
      <c r="B9718" s="3">
        <v>45324</v>
      </c>
      <c r="G9718" s="2">
        <f t="shared" si="151"/>
        <v>0</v>
      </c>
      <c r="H9718" t="s">
        <v>8</v>
      </c>
    </row>
    <row r="9719" spans="2:8" x14ac:dyDescent="0.2">
      <c r="B9719" s="3">
        <v>45324</v>
      </c>
      <c r="G9719" s="2">
        <f t="shared" si="151"/>
        <v>0</v>
      </c>
      <c r="H9719" t="s">
        <v>5</v>
      </c>
    </row>
    <row r="9720" spans="2:8" x14ac:dyDescent="0.2">
      <c r="B9720" s="3">
        <v>45324</v>
      </c>
      <c r="G9720" s="2">
        <f t="shared" si="151"/>
        <v>0</v>
      </c>
      <c r="H9720" s="1"/>
    </row>
    <row r="9721" spans="2:8" x14ac:dyDescent="0.2">
      <c r="B9721" s="3">
        <v>45324</v>
      </c>
      <c r="G9721" s="2">
        <f t="shared" si="151"/>
        <v>0</v>
      </c>
      <c r="H9721" t="s">
        <v>0</v>
      </c>
    </row>
    <row r="9722" spans="2:8" x14ac:dyDescent="0.2">
      <c r="B9722" s="3">
        <v>45325</v>
      </c>
      <c r="G9722" s="2">
        <f t="shared" si="151"/>
        <v>0</v>
      </c>
      <c r="H9722" t="s">
        <v>14</v>
      </c>
    </row>
    <row r="9723" spans="2:8" x14ac:dyDescent="0.2">
      <c r="B9723" s="3">
        <v>45325</v>
      </c>
      <c r="D9723" s="28"/>
      <c r="G9723" s="2">
        <f t="shared" si="151"/>
        <v>0</v>
      </c>
      <c r="H9723" t="s">
        <v>13</v>
      </c>
    </row>
    <row r="9724" spans="2:8" x14ac:dyDescent="0.2">
      <c r="B9724" s="3">
        <v>45325</v>
      </c>
      <c r="D9724" s="28"/>
      <c r="G9724" s="2">
        <f t="shared" si="151"/>
        <v>0</v>
      </c>
      <c r="H9724" t="s">
        <v>26</v>
      </c>
    </row>
    <row r="9725" spans="2:8" x14ac:dyDescent="0.2">
      <c r="B9725" s="3">
        <v>45325</v>
      </c>
      <c r="G9725" s="2">
        <f t="shared" si="151"/>
        <v>0</v>
      </c>
      <c r="H9725" t="s">
        <v>9</v>
      </c>
    </row>
    <row r="9726" spans="2:8" x14ac:dyDescent="0.2">
      <c r="B9726" s="3">
        <v>45325</v>
      </c>
      <c r="G9726" s="2">
        <f t="shared" si="151"/>
        <v>0</v>
      </c>
      <c r="H9726" t="s">
        <v>8</v>
      </c>
    </row>
    <row r="9727" spans="2:8" x14ac:dyDescent="0.2">
      <c r="B9727" s="3">
        <v>45325</v>
      </c>
      <c r="G9727" s="2">
        <f t="shared" si="151"/>
        <v>0</v>
      </c>
      <c r="H9727" t="s">
        <v>5</v>
      </c>
    </row>
    <row r="9728" spans="2:8" x14ac:dyDescent="0.2">
      <c r="B9728" s="3">
        <v>45325</v>
      </c>
      <c r="G9728" s="2">
        <f t="shared" si="151"/>
        <v>0</v>
      </c>
      <c r="H9728" s="1"/>
    </row>
    <row r="9729" spans="2:8" x14ac:dyDescent="0.2">
      <c r="B9729" s="3">
        <v>45325</v>
      </c>
      <c r="G9729" s="2">
        <f t="shared" si="151"/>
        <v>0</v>
      </c>
      <c r="H9729" t="s">
        <v>0</v>
      </c>
    </row>
    <row r="9730" spans="2:8" x14ac:dyDescent="0.2">
      <c r="B9730" s="3">
        <v>45326</v>
      </c>
      <c r="G9730" s="2">
        <f t="shared" si="151"/>
        <v>0</v>
      </c>
      <c r="H9730" t="s">
        <v>14</v>
      </c>
    </row>
    <row r="9731" spans="2:8" x14ac:dyDescent="0.2">
      <c r="B9731" s="3">
        <v>45326</v>
      </c>
      <c r="D9731" s="28">
        <v>284</v>
      </c>
      <c r="E9731" s="1">
        <v>340</v>
      </c>
      <c r="G9731" s="2">
        <f t="shared" ref="G9731:G9794" si="152">E9731-F9731</f>
        <v>340</v>
      </c>
      <c r="H9731" t="s">
        <v>13</v>
      </c>
    </row>
    <row r="9732" spans="2:8" x14ac:dyDescent="0.2">
      <c r="B9732" s="3">
        <v>45326</v>
      </c>
      <c r="D9732" s="28"/>
      <c r="G9732" s="2">
        <f t="shared" si="152"/>
        <v>0</v>
      </c>
      <c r="H9732" t="s">
        <v>26</v>
      </c>
    </row>
    <row r="9733" spans="2:8" x14ac:dyDescent="0.2">
      <c r="B9733" s="3">
        <v>45326</v>
      </c>
      <c r="G9733" s="2">
        <f t="shared" si="152"/>
        <v>0</v>
      </c>
      <c r="H9733" t="s">
        <v>9</v>
      </c>
    </row>
    <row r="9734" spans="2:8" x14ac:dyDescent="0.2">
      <c r="B9734" s="3">
        <v>45326</v>
      </c>
      <c r="F9734" s="1">
        <v>20000</v>
      </c>
      <c r="G9734" s="2">
        <f t="shared" si="152"/>
        <v>-20000</v>
      </c>
      <c r="H9734" t="s">
        <v>8</v>
      </c>
    </row>
    <row r="9735" spans="2:8" x14ac:dyDescent="0.2">
      <c r="B9735" s="3">
        <v>45326</v>
      </c>
      <c r="G9735" s="2">
        <f t="shared" si="152"/>
        <v>0</v>
      </c>
      <c r="H9735" t="s">
        <v>5</v>
      </c>
    </row>
    <row r="9736" spans="2:8" x14ac:dyDescent="0.2">
      <c r="B9736" s="3">
        <v>45326</v>
      </c>
      <c r="G9736" s="2">
        <f t="shared" si="152"/>
        <v>0</v>
      </c>
      <c r="H9736" s="1"/>
    </row>
    <row r="9737" spans="2:8" x14ac:dyDescent="0.2">
      <c r="B9737" s="3">
        <v>45326</v>
      </c>
      <c r="F9737" s="1">
        <v>100000</v>
      </c>
      <c r="G9737" s="2">
        <f t="shared" si="152"/>
        <v>-100000</v>
      </c>
      <c r="H9737" t="s">
        <v>0</v>
      </c>
    </row>
    <row r="9738" spans="2:8" x14ac:dyDescent="0.2">
      <c r="B9738" s="3">
        <v>45327</v>
      </c>
      <c r="G9738" s="2">
        <f t="shared" si="152"/>
        <v>0</v>
      </c>
      <c r="H9738" t="s">
        <v>14</v>
      </c>
    </row>
    <row r="9739" spans="2:8" x14ac:dyDescent="0.2">
      <c r="B9739" s="3">
        <v>45327</v>
      </c>
      <c r="D9739" s="28"/>
      <c r="G9739" s="2">
        <f t="shared" si="152"/>
        <v>0</v>
      </c>
      <c r="H9739" t="s">
        <v>13</v>
      </c>
    </row>
    <row r="9740" spans="2:8" x14ac:dyDescent="0.2">
      <c r="B9740" s="3">
        <v>45327</v>
      </c>
      <c r="D9740" s="28"/>
      <c r="G9740" s="2">
        <f t="shared" si="152"/>
        <v>0</v>
      </c>
      <c r="H9740" t="s">
        <v>26</v>
      </c>
    </row>
    <row r="9741" spans="2:8" x14ac:dyDescent="0.2">
      <c r="B9741" s="3">
        <v>45327</v>
      </c>
      <c r="G9741" s="2">
        <f t="shared" si="152"/>
        <v>0</v>
      </c>
      <c r="H9741" t="s">
        <v>9</v>
      </c>
    </row>
    <row r="9742" spans="2:8" x14ac:dyDescent="0.2">
      <c r="B9742" s="3">
        <v>45327</v>
      </c>
      <c r="D9742" s="1">
        <v>14905</v>
      </c>
      <c r="E9742" s="1">
        <v>18100</v>
      </c>
      <c r="G9742" s="2">
        <f t="shared" si="152"/>
        <v>18100</v>
      </c>
      <c r="H9742" t="s">
        <v>8</v>
      </c>
    </row>
    <row r="9743" spans="2:8" x14ac:dyDescent="0.2">
      <c r="B9743" s="3">
        <v>45327</v>
      </c>
      <c r="G9743" s="2">
        <f t="shared" si="152"/>
        <v>0</v>
      </c>
      <c r="H9743" t="s">
        <v>5</v>
      </c>
    </row>
    <row r="9744" spans="2:8" x14ac:dyDescent="0.2">
      <c r="B9744" s="3">
        <v>45327</v>
      </c>
      <c r="G9744" s="2">
        <f t="shared" si="152"/>
        <v>0</v>
      </c>
      <c r="H9744" s="1"/>
    </row>
    <row r="9745" spans="2:8" x14ac:dyDescent="0.2">
      <c r="B9745" s="3">
        <v>45327</v>
      </c>
      <c r="G9745" s="2">
        <f t="shared" si="152"/>
        <v>0</v>
      </c>
      <c r="H9745" t="s">
        <v>0</v>
      </c>
    </row>
    <row r="9746" spans="2:8" x14ac:dyDescent="0.2">
      <c r="B9746" s="3">
        <v>45328</v>
      </c>
      <c r="F9746" s="1">
        <v>10000</v>
      </c>
      <c r="G9746" s="2">
        <f t="shared" si="152"/>
        <v>-10000</v>
      </c>
      <c r="H9746" t="s">
        <v>14</v>
      </c>
    </row>
    <row r="9747" spans="2:8" x14ac:dyDescent="0.2">
      <c r="B9747" s="3">
        <v>45328</v>
      </c>
      <c r="D9747" s="28"/>
      <c r="F9747" s="32"/>
      <c r="G9747" s="2">
        <f t="shared" si="152"/>
        <v>0</v>
      </c>
      <c r="H9747" t="s">
        <v>13</v>
      </c>
    </row>
    <row r="9748" spans="2:8" x14ac:dyDescent="0.2">
      <c r="B9748" s="3">
        <v>45328</v>
      </c>
      <c r="D9748" s="28"/>
      <c r="G9748" s="2">
        <f t="shared" si="152"/>
        <v>0</v>
      </c>
      <c r="H9748" t="s">
        <v>26</v>
      </c>
    </row>
    <row r="9749" spans="2:8" x14ac:dyDescent="0.2">
      <c r="B9749" s="3">
        <v>45328</v>
      </c>
      <c r="G9749" s="2">
        <f t="shared" si="152"/>
        <v>0</v>
      </c>
      <c r="H9749" t="s">
        <v>9</v>
      </c>
    </row>
    <row r="9750" spans="2:8" x14ac:dyDescent="0.2">
      <c r="B9750" s="3">
        <v>45328</v>
      </c>
      <c r="G9750" s="2">
        <f t="shared" si="152"/>
        <v>0</v>
      </c>
      <c r="H9750" t="s">
        <v>8</v>
      </c>
    </row>
    <row r="9751" spans="2:8" x14ac:dyDescent="0.2">
      <c r="B9751" s="3">
        <v>45328</v>
      </c>
      <c r="G9751" s="2">
        <f t="shared" si="152"/>
        <v>0</v>
      </c>
      <c r="H9751" t="s">
        <v>5</v>
      </c>
    </row>
    <row r="9752" spans="2:8" x14ac:dyDescent="0.2">
      <c r="B9752" s="3">
        <v>45328</v>
      </c>
      <c r="D9752" s="1">
        <v>24000</v>
      </c>
      <c r="E9752" s="1">
        <v>25500</v>
      </c>
      <c r="F9752" s="1">
        <v>25500</v>
      </c>
      <c r="G9752" s="2">
        <f t="shared" si="152"/>
        <v>0</v>
      </c>
      <c r="H9752" s="1" t="s">
        <v>22</v>
      </c>
    </row>
    <row r="9753" spans="2:8" x14ac:dyDescent="0.2">
      <c r="B9753" s="3">
        <v>45328</v>
      </c>
      <c r="D9753" s="1">
        <v>70684.335000000006</v>
      </c>
      <c r="E9753" s="1">
        <v>73596.240000000005</v>
      </c>
      <c r="F9753" s="1">
        <v>97940</v>
      </c>
      <c r="G9753" s="2">
        <f t="shared" si="152"/>
        <v>-24343.759999999995</v>
      </c>
      <c r="H9753" t="s">
        <v>0</v>
      </c>
    </row>
    <row r="9754" spans="2:8" x14ac:dyDescent="0.2">
      <c r="B9754" s="3">
        <v>45329</v>
      </c>
      <c r="G9754" s="2">
        <f t="shared" si="152"/>
        <v>0</v>
      </c>
      <c r="H9754" t="s">
        <v>14</v>
      </c>
    </row>
    <row r="9755" spans="2:8" x14ac:dyDescent="0.2">
      <c r="B9755" s="3">
        <v>45329</v>
      </c>
      <c r="D9755" s="28"/>
      <c r="G9755" s="2">
        <f t="shared" si="152"/>
        <v>0</v>
      </c>
      <c r="H9755" t="s">
        <v>13</v>
      </c>
    </row>
    <row r="9756" spans="2:8" x14ac:dyDescent="0.2">
      <c r="B9756" s="3">
        <v>45329</v>
      </c>
      <c r="D9756" s="28"/>
      <c r="G9756" s="2">
        <f t="shared" si="152"/>
        <v>0</v>
      </c>
      <c r="H9756" t="s">
        <v>26</v>
      </c>
    </row>
    <row r="9757" spans="2:8" x14ac:dyDescent="0.2">
      <c r="B9757" s="3">
        <v>45329</v>
      </c>
      <c r="G9757" s="2">
        <f t="shared" si="152"/>
        <v>0</v>
      </c>
      <c r="H9757" t="s">
        <v>9</v>
      </c>
    </row>
    <row r="9758" spans="2:8" x14ac:dyDescent="0.2">
      <c r="B9758" s="3">
        <v>45329</v>
      </c>
      <c r="G9758" s="2">
        <f t="shared" si="152"/>
        <v>0</v>
      </c>
      <c r="H9758" t="s">
        <v>8</v>
      </c>
    </row>
    <row r="9759" spans="2:8" x14ac:dyDescent="0.2">
      <c r="B9759" s="3">
        <v>45329</v>
      </c>
      <c r="D9759" s="1">
        <v>2175</v>
      </c>
      <c r="E9759" s="1">
        <v>2500</v>
      </c>
      <c r="F9759" s="1">
        <v>2500</v>
      </c>
      <c r="G9759" s="2">
        <f t="shared" si="152"/>
        <v>0</v>
      </c>
      <c r="H9759" t="s">
        <v>5</v>
      </c>
    </row>
    <row r="9760" spans="2:8" x14ac:dyDescent="0.2">
      <c r="B9760" s="3">
        <v>45329</v>
      </c>
      <c r="D9760" s="1">
        <v>3050</v>
      </c>
      <c r="E9760" s="1">
        <v>3600</v>
      </c>
      <c r="F9760" s="1">
        <v>3600</v>
      </c>
      <c r="G9760" s="2">
        <f t="shared" si="152"/>
        <v>0</v>
      </c>
      <c r="H9760" s="1" t="s">
        <v>39</v>
      </c>
    </row>
    <row r="9761" spans="2:8" x14ac:dyDescent="0.2">
      <c r="B9761" s="3">
        <v>45329</v>
      </c>
      <c r="G9761" s="2">
        <f t="shared" si="152"/>
        <v>0</v>
      </c>
      <c r="H9761" t="s">
        <v>0</v>
      </c>
    </row>
    <row r="9762" spans="2:8" x14ac:dyDescent="0.2">
      <c r="B9762" s="3">
        <v>45330</v>
      </c>
      <c r="G9762" s="2">
        <f t="shared" si="152"/>
        <v>0</v>
      </c>
      <c r="H9762" t="s">
        <v>14</v>
      </c>
    </row>
    <row r="9763" spans="2:8" x14ac:dyDescent="0.2">
      <c r="B9763" s="3">
        <v>45330</v>
      </c>
      <c r="D9763" s="28"/>
      <c r="F9763" s="1">
        <v>3000</v>
      </c>
      <c r="G9763" s="2">
        <f t="shared" si="152"/>
        <v>-3000</v>
      </c>
      <c r="H9763" t="s">
        <v>13</v>
      </c>
    </row>
    <row r="9764" spans="2:8" x14ac:dyDescent="0.2">
      <c r="B9764" s="3">
        <v>45330</v>
      </c>
      <c r="D9764" s="28"/>
      <c r="G9764" s="2">
        <f t="shared" si="152"/>
        <v>0</v>
      </c>
      <c r="H9764" t="s">
        <v>26</v>
      </c>
    </row>
    <row r="9765" spans="2:8" x14ac:dyDescent="0.2">
      <c r="B9765" s="3">
        <v>45330</v>
      </c>
      <c r="G9765" s="2">
        <f t="shared" si="152"/>
        <v>0</v>
      </c>
      <c r="H9765" t="s">
        <v>9</v>
      </c>
    </row>
    <row r="9766" spans="2:8" x14ac:dyDescent="0.2">
      <c r="B9766" s="3">
        <v>45330</v>
      </c>
      <c r="G9766" s="2">
        <f t="shared" si="152"/>
        <v>0</v>
      </c>
      <c r="H9766" t="s">
        <v>8</v>
      </c>
    </row>
    <row r="9767" spans="2:8" x14ac:dyDescent="0.2">
      <c r="B9767" s="3">
        <v>45330</v>
      </c>
      <c r="D9767" s="1">
        <v>4350</v>
      </c>
      <c r="E9767" s="1">
        <v>5000</v>
      </c>
      <c r="F9767" s="1">
        <v>5000</v>
      </c>
      <c r="G9767" s="2">
        <f t="shared" si="152"/>
        <v>0</v>
      </c>
      <c r="H9767" t="s">
        <v>5</v>
      </c>
    </row>
    <row r="9768" spans="2:8" x14ac:dyDescent="0.2">
      <c r="B9768" s="3">
        <v>45330</v>
      </c>
      <c r="G9768" s="2">
        <f t="shared" si="152"/>
        <v>0</v>
      </c>
      <c r="H9768" s="1"/>
    </row>
    <row r="9769" spans="2:8" x14ac:dyDescent="0.2">
      <c r="B9769" s="3">
        <v>45330</v>
      </c>
      <c r="G9769" s="2">
        <f t="shared" si="152"/>
        <v>0</v>
      </c>
      <c r="H9769" t="s">
        <v>0</v>
      </c>
    </row>
    <row r="9770" spans="2:8" x14ac:dyDescent="0.2">
      <c r="B9770" s="3">
        <v>45331</v>
      </c>
      <c r="G9770" s="2">
        <f t="shared" si="152"/>
        <v>0</v>
      </c>
      <c r="H9770" t="s">
        <v>14</v>
      </c>
    </row>
    <row r="9771" spans="2:8" x14ac:dyDescent="0.2">
      <c r="B9771" s="3">
        <v>45331</v>
      </c>
      <c r="D9771" s="28"/>
      <c r="G9771" s="2">
        <f t="shared" si="152"/>
        <v>0</v>
      </c>
      <c r="H9771" t="s">
        <v>13</v>
      </c>
    </row>
    <row r="9772" spans="2:8" x14ac:dyDescent="0.2">
      <c r="B9772" s="3">
        <v>45331</v>
      </c>
      <c r="D9772" s="28"/>
      <c r="G9772" s="2">
        <f t="shared" si="152"/>
        <v>0</v>
      </c>
      <c r="H9772" t="s">
        <v>26</v>
      </c>
    </row>
    <row r="9773" spans="2:8" x14ac:dyDescent="0.2">
      <c r="B9773" s="3">
        <v>45331</v>
      </c>
      <c r="G9773" s="2">
        <f t="shared" si="152"/>
        <v>0</v>
      </c>
      <c r="H9773" t="s">
        <v>9</v>
      </c>
    </row>
    <row r="9774" spans="2:8" x14ac:dyDescent="0.2">
      <c r="B9774" s="3">
        <v>45331</v>
      </c>
      <c r="G9774" s="2">
        <f t="shared" si="152"/>
        <v>0</v>
      </c>
      <c r="H9774" t="s">
        <v>8</v>
      </c>
    </row>
    <row r="9775" spans="2:8" x14ac:dyDescent="0.2">
      <c r="B9775" s="3">
        <v>45331</v>
      </c>
      <c r="G9775" s="2">
        <f t="shared" si="152"/>
        <v>0</v>
      </c>
      <c r="H9775" t="s">
        <v>5</v>
      </c>
    </row>
    <row r="9776" spans="2:8" x14ac:dyDescent="0.2">
      <c r="B9776" s="3">
        <v>45331</v>
      </c>
      <c r="G9776" s="2">
        <f t="shared" si="152"/>
        <v>0</v>
      </c>
      <c r="H9776" s="1"/>
    </row>
    <row r="9777" spans="2:8" x14ac:dyDescent="0.2">
      <c r="B9777" s="3">
        <v>45331</v>
      </c>
      <c r="G9777" s="2">
        <f t="shared" si="152"/>
        <v>0</v>
      </c>
      <c r="H9777" t="s">
        <v>0</v>
      </c>
    </row>
    <row r="9778" spans="2:8" x14ac:dyDescent="0.2">
      <c r="B9778" s="3">
        <v>45332</v>
      </c>
      <c r="G9778" s="2">
        <f t="shared" si="152"/>
        <v>0</v>
      </c>
      <c r="H9778" t="s">
        <v>14</v>
      </c>
    </row>
    <row r="9779" spans="2:8" x14ac:dyDescent="0.2">
      <c r="B9779" s="3">
        <v>45332</v>
      </c>
      <c r="D9779" s="28"/>
      <c r="G9779" s="2">
        <f t="shared" si="152"/>
        <v>0</v>
      </c>
      <c r="H9779" t="s">
        <v>13</v>
      </c>
    </row>
    <row r="9780" spans="2:8" x14ac:dyDescent="0.2">
      <c r="B9780" s="3">
        <v>45332</v>
      </c>
      <c r="D9780" s="28"/>
      <c r="G9780" s="2">
        <f t="shared" si="152"/>
        <v>0</v>
      </c>
      <c r="H9780" t="s">
        <v>26</v>
      </c>
    </row>
    <row r="9781" spans="2:8" x14ac:dyDescent="0.2">
      <c r="B9781" s="3">
        <v>45332</v>
      </c>
      <c r="G9781" s="2">
        <f t="shared" si="152"/>
        <v>0</v>
      </c>
      <c r="H9781" t="s">
        <v>9</v>
      </c>
    </row>
    <row r="9782" spans="2:8" x14ac:dyDescent="0.2">
      <c r="B9782" s="3">
        <v>45332</v>
      </c>
      <c r="G9782" s="2">
        <f t="shared" si="152"/>
        <v>0</v>
      </c>
      <c r="H9782" t="s">
        <v>8</v>
      </c>
    </row>
    <row r="9783" spans="2:8" x14ac:dyDescent="0.2">
      <c r="B9783" s="3">
        <v>45332</v>
      </c>
      <c r="G9783" s="2">
        <f t="shared" si="152"/>
        <v>0</v>
      </c>
      <c r="H9783" t="s">
        <v>5</v>
      </c>
    </row>
    <row r="9784" spans="2:8" x14ac:dyDescent="0.2">
      <c r="B9784" s="3">
        <v>45332</v>
      </c>
      <c r="G9784" s="2">
        <f t="shared" si="152"/>
        <v>0</v>
      </c>
      <c r="H9784" s="1"/>
    </row>
    <row r="9785" spans="2:8" x14ac:dyDescent="0.2">
      <c r="B9785" s="3">
        <v>45332</v>
      </c>
      <c r="D9785" s="1">
        <v>82111.155000000013</v>
      </c>
      <c r="E9785" s="1">
        <v>85122.45</v>
      </c>
      <c r="F9785" s="1">
        <v>73596.240000000005</v>
      </c>
      <c r="G9785" s="2">
        <f t="shared" si="152"/>
        <v>11526.209999999992</v>
      </c>
      <c r="H9785" t="s">
        <v>0</v>
      </c>
    </row>
    <row r="9786" spans="2:8" x14ac:dyDescent="0.2">
      <c r="B9786" s="3">
        <v>45333</v>
      </c>
      <c r="G9786" s="2">
        <f t="shared" si="152"/>
        <v>0</v>
      </c>
      <c r="H9786" t="s">
        <v>14</v>
      </c>
    </row>
    <row r="9787" spans="2:8" x14ac:dyDescent="0.2">
      <c r="B9787" s="3">
        <v>45333</v>
      </c>
      <c r="D9787" s="28"/>
      <c r="G9787" s="2">
        <f t="shared" si="152"/>
        <v>0</v>
      </c>
      <c r="H9787" t="s">
        <v>13</v>
      </c>
    </row>
    <row r="9788" spans="2:8" x14ac:dyDescent="0.2">
      <c r="B9788" s="3">
        <v>45333</v>
      </c>
      <c r="D9788" s="28"/>
      <c r="G9788" s="2">
        <f t="shared" si="152"/>
        <v>0</v>
      </c>
      <c r="H9788" t="s">
        <v>26</v>
      </c>
    </row>
    <row r="9789" spans="2:8" x14ac:dyDescent="0.2">
      <c r="B9789" s="3">
        <v>45333</v>
      </c>
      <c r="G9789" s="2">
        <f t="shared" si="152"/>
        <v>0</v>
      </c>
      <c r="H9789" t="s">
        <v>9</v>
      </c>
    </row>
    <row r="9790" spans="2:8" x14ac:dyDescent="0.2">
      <c r="B9790" s="3">
        <v>45333</v>
      </c>
      <c r="G9790" s="2">
        <f t="shared" si="152"/>
        <v>0</v>
      </c>
      <c r="H9790" t="s">
        <v>8</v>
      </c>
    </row>
    <row r="9791" spans="2:8" x14ac:dyDescent="0.2">
      <c r="B9791" s="3">
        <v>45333</v>
      </c>
      <c r="G9791" s="2">
        <f t="shared" si="152"/>
        <v>0</v>
      </c>
      <c r="H9791" t="s">
        <v>5</v>
      </c>
    </row>
    <row r="9792" spans="2:8" x14ac:dyDescent="0.2">
      <c r="B9792" s="3">
        <v>45333</v>
      </c>
      <c r="G9792" s="2">
        <f t="shared" si="152"/>
        <v>0</v>
      </c>
      <c r="H9792" s="1"/>
    </row>
    <row r="9793" spans="2:8" x14ac:dyDescent="0.2">
      <c r="B9793" s="3">
        <v>45333</v>
      </c>
      <c r="G9793" s="2">
        <f t="shared" si="152"/>
        <v>0</v>
      </c>
      <c r="H9793" t="s">
        <v>0</v>
      </c>
    </row>
    <row r="9794" spans="2:8" x14ac:dyDescent="0.2">
      <c r="B9794" s="3">
        <v>45334</v>
      </c>
      <c r="F9794" s="1">
        <v>10000</v>
      </c>
      <c r="G9794" s="2">
        <f t="shared" si="152"/>
        <v>-10000</v>
      </c>
      <c r="H9794" t="s">
        <v>14</v>
      </c>
    </row>
    <row r="9795" spans="2:8" x14ac:dyDescent="0.2">
      <c r="B9795" s="3">
        <v>45334</v>
      </c>
      <c r="D9795" s="28"/>
      <c r="G9795" s="2">
        <f t="shared" ref="G9795:G9858" si="153">E9795-F9795</f>
        <v>0</v>
      </c>
      <c r="H9795" t="s">
        <v>13</v>
      </c>
    </row>
    <row r="9796" spans="2:8" x14ac:dyDescent="0.2">
      <c r="B9796" s="3">
        <v>45334</v>
      </c>
      <c r="D9796" s="28"/>
      <c r="G9796" s="2">
        <f t="shared" si="153"/>
        <v>0</v>
      </c>
      <c r="H9796" t="s">
        <v>26</v>
      </c>
    </row>
    <row r="9797" spans="2:8" x14ac:dyDescent="0.2">
      <c r="B9797" s="3">
        <v>45334</v>
      </c>
      <c r="G9797" s="2">
        <f t="shared" si="153"/>
        <v>0</v>
      </c>
      <c r="H9797" t="s">
        <v>9</v>
      </c>
    </row>
    <row r="9798" spans="2:8" x14ac:dyDescent="0.2">
      <c r="B9798" s="3">
        <v>45334</v>
      </c>
      <c r="G9798" s="2">
        <f t="shared" si="153"/>
        <v>0</v>
      </c>
      <c r="H9798" t="s">
        <v>8</v>
      </c>
    </row>
    <row r="9799" spans="2:8" x14ac:dyDescent="0.2">
      <c r="B9799" s="3">
        <v>45334</v>
      </c>
      <c r="G9799" s="2">
        <f t="shared" si="153"/>
        <v>0</v>
      </c>
      <c r="H9799" t="s">
        <v>5</v>
      </c>
    </row>
    <row r="9800" spans="2:8" x14ac:dyDescent="0.2">
      <c r="B9800" s="3">
        <v>45334</v>
      </c>
      <c r="G9800" s="2">
        <f t="shared" si="153"/>
        <v>0</v>
      </c>
      <c r="H9800" s="1"/>
    </row>
    <row r="9801" spans="2:8" x14ac:dyDescent="0.2">
      <c r="B9801" s="3">
        <v>45334</v>
      </c>
      <c r="G9801" s="2">
        <f t="shared" si="153"/>
        <v>0</v>
      </c>
      <c r="H9801" t="s">
        <v>0</v>
      </c>
    </row>
    <row r="9802" spans="2:8" x14ac:dyDescent="0.2">
      <c r="B9802" s="3">
        <v>45335</v>
      </c>
      <c r="G9802" s="2">
        <f t="shared" si="153"/>
        <v>0</v>
      </c>
      <c r="H9802" t="s">
        <v>14</v>
      </c>
    </row>
    <row r="9803" spans="2:8" x14ac:dyDescent="0.2">
      <c r="B9803" s="3">
        <v>45335</v>
      </c>
      <c r="D9803" s="28"/>
      <c r="G9803" s="2">
        <f t="shared" si="153"/>
        <v>0</v>
      </c>
      <c r="H9803" t="s">
        <v>13</v>
      </c>
    </row>
    <row r="9804" spans="2:8" x14ac:dyDescent="0.2">
      <c r="B9804" s="3">
        <v>45335</v>
      </c>
      <c r="D9804" s="28"/>
      <c r="G9804" s="2">
        <f t="shared" si="153"/>
        <v>0</v>
      </c>
      <c r="H9804" t="s">
        <v>26</v>
      </c>
    </row>
    <row r="9805" spans="2:8" x14ac:dyDescent="0.2">
      <c r="B9805" s="3">
        <v>45335</v>
      </c>
      <c r="G9805" s="2">
        <f t="shared" si="153"/>
        <v>0</v>
      </c>
      <c r="H9805" t="s">
        <v>9</v>
      </c>
    </row>
    <row r="9806" spans="2:8" x14ac:dyDescent="0.2">
      <c r="B9806" s="3">
        <v>45335</v>
      </c>
      <c r="F9806" s="1">
        <v>10000</v>
      </c>
      <c r="G9806" s="2">
        <f t="shared" si="153"/>
        <v>-10000</v>
      </c>
      <c r="H9806" t="s">
        <v>8</v>
      </c>
    </row>
    <row r="9807" spans="2:8" x14ac:dyDescent="0.2">
      <c r="B9807" s="3">
        <v>45335</v>
      </c>
      <c r="G9807" s="2">
        <f t="shared" si="153"/>
        <v>0</v>
      </c>
      <c r="H9807" t="s">
        <v>5</v>
      </c>
    </row>
    <row r="9808" spans="2:8" x14ac:dyDescent="0.2">
      <c r="B9808" s="3">
        <v>45335</v>
      </c>
      <c r="G9808" s="2">
        <f t="shared" si="153"/>
        <v>0</v>
      </c>
      <c r="H9808" s="1"/>
    </row>
    <row r="9809" spans="2:8" x14ac:dyDescent="0.2">
      <c r="B9809" s="3">
        <v>45335</v>
      </c>
      <c r="D9809" s="1">
        <v>61051.1</v>
      </c>
      <c r="E9809" s="1">
        <v>62645.8</v>
      </c>
      <c r="F9809" s="1">
        <v>65122.45</v>
      </c>
      <c r="G9809" s="2">
        <f t="shared" si="153"/>
        <v>-2476.6499999999942</v>
      </c>
      <c r="H9809" t="s">
        <v>0</v>
      </c>
    </row>
    <row r="9810" spans="2:8" x14ac:dyDescent="0.2">
      <c r="B9810" s="3">
        <v>45336</v>
      </c>
      <c r="G9810" s="2">
        <f t="shared" si="153"/>
        <v>0</v>
      </c>
      <c r="H9810" t="s">
        <v>14</v>
      </c>
    </row>
    <row r="9811" spans="2:8" x14ac:dyDescent="0.2">
      <c r="B9811" s="3">
        <v>45336</v>
      </c>
      <c r="D9811" s="28"/>
      <c r="G9811" s="2">
        <f t="shared" si="153"/>
        <v>0</v>
      </c>
      <c r="H9811" t="s">
        <v>13</v>
      </c>
    </row>
    <row r="9812" spans="2:8" x14ac:dyDescent="0.2">
      <c r="B9812" s="3">
        <v>45336</v>
      </c>
      <c r="D9812" s="28"/>
      <c r="G9812" s="2">
        <f t="shared" si="153"/>
        <v>0</v>
      </c>
      <c r="H9812" t="s">
        <v>26</v>
      </c>
    </row>
    <row r="9813" spans="2:8" x14ac:dyDescent="0.2">
      <c r="B9813" s="3">
        <v>45336</v>
      </c>
      <c r="G9813" s="2">
        <f t="shared" si="153"/>
        <v>0</v>
      </c>
      <c r="H9813" t="s">
        <v>9</v>
      </c>
    </row>
    <row r="9814" spans="2:8" x14ac:dyDescent="0.2">
      <c r="B9814" s="3">
        <v>45336</v>
      </c>
      <c r="G9814" s="2">
        <f t="shared" si="153"/>
        <v>0</v>
      </c>
      <c r="H9814" t="s">
        <v>8</v>
      </c>
    </row>
    <row r="9815" spans="2:8" x14ac:dyDescent="0.2">
      <c r="B9815" s="3">
        <v>45336</v>
      </c>
      <c r="G9815" s="2">
        <f t="shared" si="153"/>
        <v>0</v>
      </c>
      <c r="H9815" t="s">
        <v>5</v>
      </c>
    </row>
    <row r="9816" spans="2:8" x14ac:dyDescent="0.2">
      <c r="B9816" s="3">
        <v>45336</v>
      </c>
      <c r="D9816" s="1">
        <v>1233</v>
      </c>
      <c r="E9816" s="1">
        <v>1705</v>
      </c>
      <c r="F9816" s="1">
        <v>1705</v>
      </c>
      <c r="G9816" s="2">
        <f t="shared" si="153"/>
        <v>0</v>
      </c>
      <c r="H9816" s="1" t="s">
        <v>1</v>
      </c>
    </row>
    <row r="9817" spans="2:8" x14ac:dyDescent="0.2">
      <c r="B9817" s="3">
        <v>45336</v>
      </c>
      <c r="G9817" s="2">
        <f t="shared" si="153"/>
        <v>0</v>
      </c>
      <c r="H9817" t="s">
        <v>0</v>
      </c>
    </row>
    <row r="9818" spans="2:8" x14ac:dyDescent="0.2">
      <c r="B9818" s="3">
        <v>45337</v>
      </c>
      <c r="D9818" s="1">
        <v>1400</v>
      </c>
      <c r="E9818" s="1">
        <v>1600</v>
      </c>
      <c r="G9818" s="2">
        <f t="shared" si="153"/>
        <v>1600</v>
      </c>
      <c r="H9818" t="s">
        <v>14</v>
      </c>
    </row>
    <row r="9819" spans="2:8" x14ac:dyDescent="0.2">
      <c r="B9819" s="3">
        <v>45337</v>
      </c>
      <c r="D9819" s="28">
        <f>5093.75+3037.5+8450+1110+2280+900+80+1080+1100+1200+235+5400+5775+651.6+185+1920</f>
        <v>38497.85</v>
      </c>
      <c r="E9819" s="1">
        <v>41350</v>
      </c>
      <c r="F9819" s="1">
        <v>41350</v>
      </c>
      <c r="G9819" s="2">
        <f t="shared" si="153"/>
        <v>0</v>
      </c>
      <c r="H9819" t="s">
        <v>13</v>
      </c>
    </row>
    <row r="9820" spans="2:8" x14ac:dyDescent="0.2">
      <c r="B9820" s="3">
        <v>45337</v>
      </c>
      <c r="D9820" s="28"/>
      <c r="G9820" s="2">
        <f t="shared" si="153"/>
        <v>0</v>
      </c>
      <c r="H9820" t="s">
        <v>26</v>
      </c>
    </row>
    <row r="9821" spans="2:8" x14ac:dyDescent="0.2">
      <c r="B9821" s="3">
        <v>45337</v>
      </c>
      <c r="G9821" s="2">
        <f t="shared" si="153"/>
        <v>0</v>
      </c>
      <c r="H9821" t="s">
        <v>9</v>
      </c>
    </row>
    <row r="9822" spans="2:8" x14ac:dyDescent="0.2">
      <c r="B9822" s="3">
        <v>45337</v>
      </c>
      <c r="G9822" s="2">
        <f t="shared" si="153"/>
        <v>0</v>
      </c>
      <c r="H9822" t="s">
        <v>8</v>
      </c>
    </row>
    <row r="9823" spans="2:8" x14ac:dyDescent="0.2">
      <c r="B9823" s="3">
        <v>45337</v>
      </c>
      <c r="G9823" s="2">
        <f t="shared" si="153"/>
        <v>0</v>
      </c>
      <c r="H9823" t="s">
        <v>5</v>
      </c>
    </row>
    <row r="9824" spans="2:8" x14ac:dyDescent="0.2">
      <c r="B9824" s="3">
        <v>45337</v>
      </c>
      <c r="G9824" s="2">
        <f t="shared" si="153"/>
        <v>0</v>
      </c>
      <c r="H9824" s="1"/>
    </row>
    <row r="9825" spans="2:8" x14ac:dyDescent="0.2">
      <c r="B9825" s="3">
        <v>45337</v>
      </c>
      <c r="G9825" s="2">
        <f t="shared" si="153"/>
        <v>0</v>
      </c>
      <c r="H9825" t="s">
        <v>0</v>
      </c>
    </row>
    <row r="9826" spans="2:8" x14ac:dyDescent="0.2">
      <c r="B9826" s="3">
        <v>45338</v>
      </c>
      <c r="G9826" s="2">
        <f t="shared" si="153"/>
        <v>0</v>
      </c>
      <c r="H9826" t="s">
        <v>14</v>
      </c>
    </row>
    <row r="9827" spans="2:8" x14ac:dyDescent="0.2">
      <c r="B9827" s="3">
        <v>45338</v>
      </c>
      <c r="D9827" s="28"/>
      <c r="F9827" s="1">
        <v>6000</v>
      </c>
      <c r="G9827" s="2">
        <f t="shared" si="153"/>
        <v>-6000</v>
      </c>
      <c r="H9827" t="s">
        <v>13</v>
      </c>
    </row>
    <row r="9828" spans="2:8" x14ac:dyDescent="0.2">
      <c r="B9828" s="3">
        <v>45338</v>
      </c>
      <c r="D9828" s="28"/>
      <c r="G9828" s="2">
        <f t="shared" si="153"/>
        <v>0</v>
      </c>
      <c r="H9828" t="s">
        <v>26</v>
      </c>
    </row>
    <row r="9829" spans="2:8" x14ac:dyDescent="0.2">
      <c r="B9829" s="3">
        <v>45338</v>
      </c>
      <c r="G9829" s="2">
        <f t="shared" si="153"/>
        <v>0</v>
      </c>
      <c r="H9829" t="s">
        <v>9</v>
      </c>
    </row>
    <row r="9830" spans="2:8" x14ac:dyDescent="0.2">
      <c r="B9830" s="3">
        <v>45338</v>
      </c>
      <c r="G9830" s="2">
        <f t="shared" si="153"/>
        <v>0</v>
      </c>
      <c r="H9830" t="s">
        <v>8</v>
      </c>
    </row>
    <row r="9831" spans="2:8" x14ac:dyDescent="0.2">
      <c r="B9831" s="3">
        <v>45338</v>
      </c>
      <c r="G9831" s="2">
        <f t="shared" si="153"/>
        <v>0</v>
      </c>
      <c r="H9831" t="s">
        <v>5</v>
      </c>
    </row>
    <row r="9832" spans="2:8" x14ac:dyDescent="0.2">
      <c r="B9832" s="3">
        <v>45338</v>
      </c>
      <c r="G9832" s="2">
        <f t="shared" si="153"/>
        <v>0</v>
      </c>
      <c r="H9832" s="1"/>
    </row>
    <row r="9833" spans="2:8" x14ac:dyDescent="0.2">
      <c r="B9833" s="3">
        <v>45338</v>
      </c>
      <c r="G9833" s="2">
        <f t="shared" si="153"/>
        <v>0</v>
      </c>
      <c r="H9833" t="s">
        <v>0</v>
      </c>
    </row>
    <row r="9834" spans="2:8" x14ac:dyDescent="0.2">
      <c r="B9834" s="3">
        <v>45339</v>
      </c>
      <c r="G9834" s="2">
        <f t="shared" si="153"/>
        <v>0</v>
      </c>
      <c r="H9834" t="s">
        <v>14</v>
      </c>
    </row>
    <row r="9835" spans="2:8" x14ac:dyDescent="0.2">
      <c r="B9835" s="3">
        <v>45339</v>
      </c>
      <c r="D9835" s="28"/>
      <c r="G9835" s="2">
        <f t="shared" si="153"/>
        <v>0</v>
      </c>
      <c r="H9835" t="s">
        <v>13</v>
      </c>
    </row>
    <row r="9836" spans="2:8" x14ac:dyDescent="0.2">
      <c r="B9836" s="3">
        <v>45339</v>
      </c>
      <c r="D9836" s="28"/>
      <c r="E9836" s="32"/>
      <c r="G9836" s="2">
        <f t="shared" si="153"/>
        <v>0</v>
      </c>
      <c r="H9836" t="s">
        <v>26</v>
      </c>
    </row>
    <row r="9837" spans="2:8" x14ac:dyDescent="0.2">
      <c r="B9837" s="3">
        <v>45339</v>
      </c>
      <c r="D9837" s="1">
        <v>4650</v>
      </c>
      <c r="E9837" s="1">
        <v>5250</v>
      </c>
      <c r="F9837" s="1">
        <v>5250</v>
      </c>
      <c r="G9837" s="2">
        <f t="shared" si="153"/>
        <v>0</v>
      </c>
      <c r="H9837" t="s">
        <v>9</v>
      </c>
    </row>
    <row r="9838" spans="2:8" x14ac:dyDescent="0.2">
      <c r="B9838" s="3">
        <v>45339</v>
      </c>
      <c r="G9838" s="2">
        <f t="shared" si="153"/>
        <v>0</v>
      </c>
      <c r="H9838" t="s">
        <v>8</v>
      </c>
    </row>
    <row r="9839" spans="2:8" x14ac:dyDescent="0.2">
      <c r="B9839" s="3">
        <v>45339</v>
      </c>
      <c r="D9839" s="1">
        <v>17400</v>
      </c>
      <c r="E9839" s="1">
        <v>18600</v>
      </c>
      <c r="F9839" s="1">
        <v>18600</v>
      </c>
      <c r="G9839" s="2">
        <f t="shared" si="153"/>
        <v>0</v>
      </c>
      <c r="H9839" t="s">
        <v>5</v>
      </c>
    </row>
    <row r="9840" spans="2:8" x14ac:dyDescent="0.2">
      <c r="B9840" s="3">
        <v>45339</v>
      </c>
      <c r="G9840" s="2">
        <f t="shared" si="153"/>
        <v>0</v>
      </c>
      <c r="H9840" s="1"/>
    </row>
    <row r="9841" spans="2:8" x14ac:dyDescent="0.2">
      <c r="B9841" s="3">
        <v>45339</v>
      </c>
      <c r="G9841" s="2">
        <f t="shared" si="153"/>
        <v>0</v>
      </c>
      <c r="H9841" t="s">
        <v>0</v>
      </c>
    </row>
    <row r="9842" spans="2:8" x14ac:dyDescent="0.2">
      <c r="B9842" s="3">
        <v>45340</v>
      </c>
      <c r="G9842" s="2">
        <f t="shared" si="153"/>
        <v>0</v>
      </c>
      <c r="H9842" t="s">
        <v>14</v>
      </c>
    </row>
    <row r="9843" spans="2:8" x14ac:dyDescent="0.2">
      <c r="B9843" s="3">
        <v>45340</v>
      </c>
      <c r="D9843" s="28"/>
      <c r="G9843" s="2">
        <f t="shared" si="153"/>
        <v>0</v>
      </c>
      <c r="H9843" t="s">
        <v>13</v>
      </c>
    </row>
    <row r="9844" spans="2:8" x14ac:dyDescent="0.2">
      <c r="B9844" s="3">
        <v>45340</v>
      </c>
      <c r="D9844" s="28"/>
      <c r="G9844" s="2">
        <f t="shared" si="153"/>
        <v>0</v>
      </c>
      <c r="H9844" t="s">
        <v>26</v>
      </c>
    </row>
    <row r="9845" spans="2:8" x14ac:dyDescent="0.2">
      <c r="B9845" s="3">
        <v>45340</v>
      </c>
      <c r="G9845" s="2">
        <f t="shared" si="153"/>
        <v>0</v>
      </c>
      <c r="H9845" t="s">
        <v>9</v>
      </c>
    </row>
    <row r="9846" spans="2:8" x14ac:dyDescent="0.2">
      <c r="B9846" s="3">
        <v>45340</v>
      </c>
      <c r="G9846" s="2">
        <f t="shared" si="153"/>
        <v>0</v>
      </c>
      <c r="H9846" t="s">
        <v>8</v>
      </c>
    </row>
    <row r="9847" spans="2:8" x14ac:dyDescent="0.2">
      <c r="B9847" s="3">
        <v>45340</v>
      </c>
      <c r="G9847" s="2">
        <f t="shared" si="153"/>
        <v>0</v>
      </c>
      <c r="H9847" t="s">
        <v>5</v>
      </c>
    </row>
    <row r="9848" spans="2:8" x14ac:dyDescent="0.2">
      <c r="B9848" s="3">
        <v>45340</v>
      </c>
      <c r="G9848" s="2">
        <f t="shared" si="153"/>
        <v>0</v>
      </c>
      <c r="H9848" s="1"/>
    </row>
    <row r="9849" spans="2:8" x14ac:dyDescent="0.2">
      <c r="B9849" s="3">
        <v>45340</v>
      </c>
      <c r="F9849" s="1">
        <v>86645</v>
      </c>
      <c r="G9849" s="2">
        <f t="shared" si="153"/>
        <v>-86645</v>
      </c>
      <c r="H9849" t="s">
        <v>0</v>
      </c>
    </row>
    <row r="9850" spans="2:8" x14ac:dyDescent="0.2">
      <c r="B9850" s="3">
        <v>45341</v>
      </c>
      <c r="F9850" s="1">
        <v>7000</v>
      </c>
      <c r="G9850" s="2">
        <f t="shared" si="153"/>
        <v>-7000</v>
      </c>
      <c r="H9850" t="s">
        <v>14</v>
      </c>
    </row>
    <row r="9851" spans="2:8" x14ac:dyDescent="0.2">
      <c r="B9851" s="3">
        <v>45341</v>
      </c>
      <c r="D9851" s="28"/>
      <c r="G9851" s="2">
        <f t="shared" si="153"/>
        <v>0</v>
      </c>
      <c r="H9851" t="s">
        <v>13</v>
      </c>
    </row>
    <row r="9852" spans="2:8" x14ac:dyDescent="0.2">
      <c r="B9852" s="3">
        <v>45341</v>
      </c>
      <c r="D9852" s="28"/>
      <c r="G9852" s="2">
        <f t="shared" si="153"/>
        <v>0</v>
      </c>
      <c r="H9852" t="s">
        <v>26</v>
      </c>
    </row>
    <row r="9853" spans="2:8" x14ac:dyDescent="0.2">
      <c r="B9853" s="3">
        <v>45341</v>
      </c>
      <c r="G9853" s="2">
        <f t="shared" si="153"/>
        <v>0</v>
      </c>
      <c r="H9853" t="s">
        <v>9</v>
      </c>
    </row>
    <row r="9854" spans="2:8" x14ac:dyDescent="0.2">
      <c r="B9854" s="3">
        <v>45341</v>
      </c>
      <c r="D9854" s="1">
        <v>21750</v>
      </c>
      <c r="E9854" s="1">
        <v>22500</v>
      </c>
      <c r="F9854" s="1">
        <v>22500</v>
      </c>
      <c r="G9854" s="2">
        <f t="shared" si="153"/>
        <v>0</v>
      </c>
      <c r="H9854" t="s">
        <v>8</v>
      </c>
    </row>
    <row r="9855" spans="2:8" x14ac:dyDescent="0.2">
      <c r="B9855" s="3">
        <v>45341</v>
      </c>
      <c r="G9855" s="2">
        <f t="shared" si="153"/>
        <v>0</v>
      </c>
      <c r="H9855" t="s">
        <v>5</v>
      </c>
    </row>
    <row r="9856" spans="2:8" x14ac:dyDescent="0.2">
      <c r="B9856" s="3">
        <v>45341</v>
      </c>
      <c r="G9856" s="2">
        <f t="shared" si="153"/>
        <v>0</v>
      </c>
      <c r="H9856" s="1"/>
    </row>
    <row r="9857" spans="2:8" x14ac:dyDescent="0.2">
      <c r="B9857" s="3">
        <v>45341</v>
      </c>
      <c r="G9857" s="2">
        <f t="shared" si="153"/>
        <v>0</v>
      </c>
      <c r="H9857" t="s">
        <v>0</v>
      </c>
    </row>
    <row r="9858" spans="2:8" x14ac:dyDescent="0.2">
      <c r="B9858" s="3">
        <v>45342</v>
      </c>
      <c r="G9858" s="2">
        <f t="shared" si="153"/>
        <v>0</v>
      </c>
      <c r="H9858" t="s">
        <v>14</v>
      </c>
    </row>
    <row r="9859" spans="2:8" x14ac:dyDescent="0.2">
      <c r="B9859" s="3">
        <v>45342</v>
      </c>
      <c r="D9859" s="28"/>
      <c r="G9859" s="2">
        <f t="shared" ref="G9859:G9922" si="154">E9859-F9859</f>
        <v>0</v>
      </c>
      <c r="H9859" t="s">
        <v>13</v>
      </c>
    </row>
    <row r="9860" spans="2:8" x14ac:dyDescent="0.2">
      <c r="B9860" s="3">
        <v>45342</v>
      </c>
      <c r="D9860" s="28"/>
      <c r="E9860" s="32"/>
      <c r="G9860" s="2">
        <f t="shared" si="154"/>
        <v>0</v>
      </c>
      <c r="H9860" t="s">
        <v>26</v>
      </c>
    </row>
    <row r="9861" spans="2:8" x14ac:dyDescent="0.2">
      <c r="B9861" s="3">
        <v>45342</v>
      </c>
      <c r="G9861" s="2">
        <f t="shared" si="154"/>
        <v>0</v>
      </c>
      <c r="H9861" t="s">
        <v>9</v>
      </c>
    </row>
    <row r="9862" spans="2:8" x14ac:dyDescent="0.2">
      <c r="B9862" s="3">
        <v>45342</v>
      </c>
      <c r="D9862" s="1">
        <v>11750</v>
      </c>
      <c r="E9862" s="1">
        <v>13000</v>
      </c>
      <c r="F9862" s="1">
        <v>10000</v>
      </c>
      <c r="G9862" s="2">
        <f t="shared" si="154"/>
        <v>3000</v>
      </c>
      <c r="H9862" t="s">
        <v>8</v>
      </c>
    </row>
    <row r="9863" spans="2:8" x14ac:dyDescent="0.2">
      <c r="B9863" s="3">
        <v>45342</v>
      </c>
      <c r="G9863" s="2">
        <f t="shared" si="154"/>
        <v>0</v>
      </c>
      <c r="H9863" t="s">
        <v>5</v>
      </c>
    </row>
    <row r="9864" spans="2:8" x14ac:dyDescent="0.2">
      <c r="B9864" s="3">
        <v>45342</v>
      </c>
      <c r="G9864" s="2">
        <f t="shared" si="154"/>
        <v>0</v>
      </c>
      <c r="H9864" s="1" t="s">
        <v>39</v>
      </c>
    </row>
    <row r="9865" spans="2:8" x14ac:dyDescent="0.2">
      <c r="B9865" s="3">
        <v>45342</v>
      </c>
      <c r="G9865" s="2">
        <f t="shared" si="154"/>
        <v>0</v>
      </c>
      <c r="H9865" t="s">
        <v>0</v>
      </c>
    </row>
    <row r="9866" spans="2:8" x14ac:dyDescent="0.2">
      <c r="B9866" s="3">
        <v>45343</v>
      </c>
      <c r="G9866" s="2">
        <f t="shared" si="154"/>
        <v>0</v>
      </c>
      <c r="H9866" t="s">
        <v>14</v>
      </c>
    </row>
    <row r="9867" spans="2:8" x14ac:dyDescent="0.2">
      <c r="B9867" s="3">
        <v>45343</v>
      </c>
      <c r="G9867" s="2">
        <f t="shared" si="154"/>
        <v>0</v>
      </c>
      <c r="H9867" t="s">
        <v>27</v>
      </c>
    </row>
    <row r="9868" spans="2:8" x14ac:dyDescent="0.2">
      <c r="B9868" s="3">
        <v>45343</v>
      </c>
      <c r="D9868" s="28"/>
      <c r="G9868" s="2">
        <f t="shared" si="154"/>
        <v>0</v>
      </c>
      <c r="H9868" t="s">
        <v>13</v>
      </c>
    </row>
    <row r="9869" spans="2:8" x14ac:dyDescent="0.2">
      <c r="B9869" s="3">
        <v>45343</v>
      </c>
      <c r="D9869" s="28"/>
      <c r="G9869" s="2">
        <f t="shared" si="154"/>
        <v>0</v>
      </c>
      <c r="H9869" t="s">
        <v>26</v>
      </c>
    </row>
    <row r="9870" spans="2:8" x14ac:dyDescent="0.2">
      <c r="B9870" s="3">
        <v>45343</v>
      </c>
      <c r="G9870" s="2">
        <f t="shared" si="154"/>
        <v>0</v>
      </c>
      <c r="H9870" t="s">
        <v>9</v>
      </c>
    </row>
    <row r="9871" spans="2:8" x14ac:dyDescent="0.2">
      <c r="B9871" s="3">
        <v>45343</v>
      </c>
      <c r="D9871" s="1">
        <v>9270</v>
      </c>
      <c r="E9871" s="1">
        <v>10858</v>
      </c>
      <c r="G9871" s="2">
        <f t="shared" si="154"/>
        <v>10858</v>
      </c>
      <c r="H9871" t="s">
        <v>8</v>
      </c>
    </row>
    <row r="9872" spans="2:8" x14ac:dyDescent="0.2">
      <c r="B9872" s="3">
        <v>45343</v>
      </c>
      <c r="G9872" s="2">
        <f t="shared" si="154"/>
        <v>0</v>
      </c>
      <c r="H9872" t="s">
        <v>5</v>
      </c>
    </row>
    <row r="9873" spans="2:8" x14ac:dyDescent="0.2">
      <c r="B9873" s="3">
        <v>45343</v>
      </c>
      <c r="G9873" s="2">
        <f t="shared" si="154"/>
        <v>0</v>
      </c>
      <c r="H9873" s="1"/>
    </row>
    <row r="9874" spans="2:8" x14ac:dyDescent="0.2">
      <c r="B9874" s="3">
        <v>45343</v>
      </c>
      <c r="D9874" s="1">
        <v>166935.15999999997</v>
      </c>
      <c r="E9874" s="1">
        <v>172760.86499999996</v>
      </c>
      <c r="G9874" s="2">
        <f t="shared" si="154"/>
        <v>172760.86499999996</v>
      </c>
      <c r="H9874" t="s">
        <v>0</v>
      </c>
    </row>
    <row r="9875" spans="2:8" x14ac:dyDescent="0.2">
      <c r="B9875" s="3">
        <v>45344</v>
      </c>
      <c r="D9875" s="1">
        <v>16560</v>
      </c>
      <c r="E9875" s="1">
        <v>18720</v>
      </c>
      <c r="F9875" s="1">
        <v>10000</v>
      </c>
      <c r="G9875" s="2">
        <f t="shared" si="154"/>
        <v>8720</v>
      </c>
      <c r="H9875" t="s">
        <v>14</v>
      </c>
    </row>
    <row r="9876" spans="2:8" x14ac:dyDescent="0.2">
      <c r="B9876" s="3">
        <v>45344</v>
      </c>
      <c r="D9876" s="1">
        <v>4635</v>
      </c>
      <c r="E9876" s="1">
        <v>5130</v>
      </c>
      <c r="G9876" s="2">
        <f t="shared" si="154"/>
        <v>5130</v>
      </c>
      <c r="H9876" t="s">
        <v>27</v>
      </c>
    </row>
    <row r="9877" spans="2:8" x14ac:dyDescent="0.2">
      <c r="B9877" s="3">
        <v>45344</v>
      </c>
      <c r="D9877" s="28"/>
      <c r="G9877" s="2">
        <f t="shared" si="154"/>
        <v>0</v>
      </c>
      <c r="H9877" t="s">
        <v>13</v>
      </c>
    </row>
    <row r="9878" spans="2:8" x14ac:dyDescent="0.2">
      <c r="B9878" s="3">
        <v>45344</v>
      </c>
      <c r="D9878" s="28"/>
      <c r="G9878" s="2">
        <f t="shared" si="154"/>
        <v>0</v>
      </c>
      <c r="H9878" t="s">
        <v>26</v>
      </c>
    </row>
    <row r="9879" spans="2:8" x14ac:dyDescent="0.2">
      <c r="B9879" s="3">
        <v>45344</v>
      </c>
      <c r="G9879" s="2">
        <f t="shared" si="154"/>
        <v>0</v>
      </c>
      <c r="H9879" t="s">
        <v>9</v>
      </c>
    </row>
    <row r="9880" spans="2:8" x14ac:dyDescent="0.2">
      <c r="B9880" s="3">
        <v>45344</v>
      </c>
      <c r="G9880" s="2">
        <f t="shared" si="154"/>
        <v>0</v>
      </c>
      <c r="H9880" t="s">
        <v>8</v>
      </c>
    </row>
    <row r="9881" spans="2:8" x14ac:dyDescent="0.2">
      <c r="B9881" s="3">
        <v>45344</v>
      </c>
      <c r="G9881" s="2">
        <f t="shared" si="154"/>
        <v>0</v>
      </c>
      <c r="H9881" t="s">
        <v>5</v>
      </c>
    </row>
    <row r="9882" spans="2:8" x14ac:dyDescent="0.2">
      <c r="B9882" s="3">
        <v>45344</v>
      </c>
      <c r="G9882" s="2">
        <f t="shared" si="154"/>
        <v>0</v>
      </c>
      <c r="H9882" s="1"/>
    </row>
    <row r="9883" spans="2:8" x14ac:dyDescent="0.2">
      <c r="B9883" s="3">
        <v>45344</v>
      </c>
      <c r="G9883" s="2">
        <f t="shared" si="154"/>
        <v>0</v>
      </c>
      <c r="H9883" t="s">
        <v>0</v>
      </c>
    </row>
    <row r="9884" spans="2:8" x14ac:dyDescent="0.2">
      <c r="B9884" s="3">
        <v>45345</v>
      </c>
      <c r="G9884" s="2">
        <f t="shared" si="154"/>
        <v>0</v>
      </c>
      <c r="H9884" t="s">
        <v>14</v>
      </c>
    </row>
    <row r="9885" spans="2:8" x14ac:dyDescent="0.2">
      <c r="B9885" s="3">
        <v>45345</v>
      </c>
      <c r="G9885" s="2">
        <f t="shared" si="154"/>
        <v>0</v>
      </c>
      <c r="H9885" t="s">
        <v>27</v>
      </c>
    </row>
    <row r="9886" spans="2:8" x14ac:dyDescent="0.2">
      <c r="B9886" s="3">
        <v>45345</v>
      </c>
      <c r="D9886" s="28"/>
      <c r="G9886" s="2">
        <f t="shared" si="154"/>
        <v>0</v>
      </c>
      <c r="H9886" t="s">
        <v>13</v>
      </c>
    </row>
    <row r="9887" spans="2:8" x14ac:dyDescent="0.2">
      <c r="B9887" s="3">
        <v>45345</v>
      </c>
      <c r="D9887" s="28"/>
      <c r="G9887" s="2">
        <f t="shared" si="154"/>
        <v>0</v>
      </c>
      <c r="H9887" t="s">
        <v>26</v>
      </c>
    </row>
    <row r="9888" spans="2:8" x14ac:dyDescent="0.2">
      <c r="B9888" s="3">
        <v>45345</v>
      </c>
      <c r="G9888" s="2">
        <f t="shared" si="154"/>
        <v>0</v>
      </c>
      <c r="H9888" t="s">
        <v>9</v>
      </c>
    </row>
    <row r="9889" spans="2:8" x14ac:dyDescent="0.2">
      <c r="B9889" s="3">
        <v>45345</v>
      </c>
      <c r="G9889" s="2">
        <f t="shared" si="154"/>
        <v>0</v>
      </c>
      <c r="H9889" t="s">
        <v>8</v>
      </c>
    </row>
    <row r="9890" spans="2:8" x14ac:dyDescent="0.2">
      <c r="B9890" s="3">
        <v>45345</v>
      </c>
      <c r="G9890" s="2">
        <f t="shared" si="154"/>
        <v>0</v>
      </c>
      <c r="H9890" t="s">
        <v>5</v>
      </c>
    </row>
    <row r="9891" spans="2:8" x14ac:dyDescent="0.2">
      <c r="B9891" s="3">
        <v>45345</v>
      </c>
      <c r="G9891" s="2">
        <f t="shared" si="154"/>
        <v>0</v>
      </c>
      <c r="H9891" s="1"/>
    </row>
    <row r="9892" spans="2:8" x14ac:dyDescent="0.2">
      <c r="B9892" s="3">
        <v>45345</v>
      </c>
      <c r="G9892" s="2">
        <f t="shared" si="154"/>
        <v>0</v>
      </c>
      <c r="H9892" t="s">
        <v>0</v>
      </c>
    </row>
    <row r="9893" spans="2:8" x14ac:dyDescent="0.2">
      <c r="B9893" s="3">
        <v>45346</v>
      </c>
      <c r="D9893" s="1">
        <v>15600</v>
      </c>
      <c r="E9893" s="1">
        <v>18720</v>
      </c>
      <c r="F9893" s="1">
        <v>10000</v>
      </c>
      <c r="G9893" s="2">
        <f t="shared" si="154"/>
        <v>8720</v>
      </c>
      <c r="H9893" t="s">
        <v>14</v>
      </c>
    </row>
    <row r="9894" spans="2:8" x14ac:dyDescent="0.2">
      <c r="B9894" s="3">
        <v>45346</v>
      </c>
      <c r="F9894" s="1">
        <v>5130</v>
      </c>
      <c r="G9894" s="2">
        <f t="shared" si="154"/>
        <v>-5130</v>
      </c>
      <c r="H9894" t="s">
        <v>27</v>
      </c>
    </row>
    <row r="9895" spans="2:8" x14ac:dyDescent="0.2">
      <c r="B9895" s="3">
        <v>45346</v>
      </c>
      <c r="D9895" s="28">
        <f>320+320+990+330+1180+1220+3700+630+940</f>
        <v>9630</v>
      </c>
      <c r="E9895" s="1">
        <v>10652</v>
      </c>
      <c r="F9895" s="1">
        <v>10652</v>
      </c>
      <c r="G9895" s="2">
        <f t="shared" si="154"/>
        <v>0</v>
      </c>
      <c r="H9895" t="s">
        <v>13</v>
      </c>
    </row>
    <row r="9896" spans="2:8" x14ac:dyDescent="0.2">
      <c r="B9896" s="3">
        <v>45346</v>
      </c>
      <c r="D9896" s="28"/>
      <c r="G9896" s="2">
        <f t="shared" si="154"/>
        <v>0</v>
      </c>
      <c r="H9896" t="s">
        <v>26</v>
      </c>
    </row>
    <row r="9897" spans="2:8" x14ac:dyDescent="0.2">
      <c r="B9897" s="3">
        <v>45346</v>
      </c>
      <c r="G9897" s="2">
        <f t="shared" si="154"/>
        <v>0</v>
      </c>
      <c r="H9897" t="s">
        <v>9</v>
      </c>
    </row>
    <row r="9898" spans="2:8" x14ac:dyDescent="0.2">
      <c r="B9898" s="3">
        <v>45346</v>
      </c>
      <c r="G9898" s="2">
        <f t="shared" si="154"/>
        <v>0</v>
      </c>
      <c r="H9898" t="s">
        <v>8</v>
      </c>
    </row>
    <row r="9899" spans="2:8" x14ac:dyDescent="0.2">
      <c r="B9899" s="3">
        <v>45346</v>
      </c>
      <c r="G9899" s="2">
        <f t="shared" si="154"/>
        <v>0</v>
      </c>
      <c r="H9899" t="s">
        <v>5</v>
      </c>
    </row>
    <row r="9900" spans="2:8" x14ac:dyDescent="0.2">
      <c r="B9900" s="3">
        <v>45346</v>
      </c>
      <c r="G9900" s="2">
        <f t="shared" si="154"/>
        <v>0</v>
      </c>
      <c r="H9900" s="1"/>
    </row>
    <row r="9901" spans="2:8" x14ac:dyDescent="0.2">
      <c r="B9901" s="3">
        <v>45346</v>
      </c>
      <c r="F9901" s="1">
        <v>140000</v>
      </c>
      <c r="G9901" s="2">
        <f t="shared" si="154"/>
        <v>-140000</v>
      </c>
      <c r="H9901" t="s">
        <v>0</v>
      </c>
    </row>
    <row r="9902" spans="2:8" x14ac:dyDescent="0.2">
      <c r="B9902" s="3">
        <v>45347</v>
      </c>
      <c r="G9902" s="2">
        <f t="shared" si="154"/>
        <v>0</v>
      </c>
      <c r="H9902" t="s">
        <v>14</v>
      </c>
    </row>
    <row r="9903" spans="2:8" x14ac:dyDescent="0.2">
      <c r="B9903" s="3">
        <v>45347</v>
      </c>
      <c r="G9903" s="2">
        <f t="shared" si="154"/>
        <v>0</v>
      </c>
      <c r="H9903" t="s">
        <v>27</v>
      </c>
    </row>
    <row r="9904" spans="2:8" x14ac:dyDescent="0.2">
      <c r="B9904" s="3">
        <v>45347</v>
      </c>
      <c r="D9904" s="28"/>
      <c r="G9904" s="2">
        <f t="shared" si="154"/>
        <v>0</v>
      </c>
      <c r="H9904" t="s">
        <v>13</v>
      </c>
    </row>
    <row r="9905" spans="2:8" x14ac:dyDescent="0.2">
      <c r="B9905" s="3">
        <v>45347</v>
      </c>
      <c r="D9905" s="28"/>
      <c r="G9905" s="2">
        <f t="shared" si="154"/>
        <v>0</v>
      </c>
      <c r="H9905" t="s">
        <v>26</v>
      </c>
    </row>
    <row r="9906" spans="2:8" x14ac:dyDescent="0.2">
      <c r="B9906" s="3">
        <v>45347</v>
      </c>
      <c r="G9906" s="2">
        <f t="shared" si="154"/>
        <v>0</v>
      </c>
      <c r="H9906" t="s">
        <v>9</v>
      </c>
    </row>
    <row r="9907" spans="2:8" x14ac:dyDescent="0.2">
      <c r="B9907" s="3">
        <v>45347</v>
      </c>
      <c r="G9907" s="2">
        <f t="shared" si="154"/>
        <v>0</v>
      </c>
      <c r="H9907" t="s">
        <v>8</v>
      </c>
    </row>
    <row r="9908" spans="2:8" x14ac:dyDescent="0.2">
      <c r="B9908" s="3">
        <v>45347</v>
      </c>
      <c r="G9908" s="2">
        <f t="shared" si="154"/>
        <v>0</v>
      </c>
      <c r="H9908" t="s">
        <v>5</v>
      </c>
    </row>
    <row r="9909" spans="2:8" x14ac:dyDescent="0.2">
      <c r="B9909" s="3">
        <v>45347</v>
      </c>
      <c r="G9909" s="2">
        <f t="shared" si="154"/>
        <v>0</v>
      </c>
      <c r="H9909" s="1"/>
    </row>
    <row r="9910" spans="2:8" x14ac:dyDescent="0.2">
      <c r="B9910" s="3">
        <v>45347</v>
      </c>
      <c r="D9910" s="1">
        <v>105441.53</v>
      </c>
      <c r="E9910" s="1">
        <v>109208.22</v>
      </c>
      <c r="G9910" s="2">
        <f t="shared" si="154"/>
        <v>109208.22</v>
      </c>
      <c r="H9910" t="s">
        <v>0</v>
      </c>
    </row>
    <row r="9911" spans="2:8" x14ac:dyDescent="0.2">
      <c r="B9911" s="3">
        <v>45348</v>
      </c>
      <c r="G9911" s="2">
        <f t="shared" si="154"/>
        <v>0</v>
      </c>
      <c r="H9911" t="s">
        <v>14</v>
      </c>
    </row>
    <row r="9912" spans="2:8" x14ac:dyDescent="0.2">
      <c r="B9912" s="3">
        <v>45348</v>
      </c>
      <c r="G9912" s="2">
        <f t="shared" si="154"/>
        <v>0</v>
      </c>
      <c r="H9912" t="s">
        <v>27</v>
      </c>
    </row>
    <row r="9913" spans="2:8" x14ac:dyDescent="0.2">
      <c r="B9913" s="3">
        <v>45348</v>
      </c>
      <c r="D9913" s="28"/>
      <c r="G9913" s="2">
        <f t="shared" si="154"/>
        <v>0</v>
      </c>
      <c r="H9913" t="s">
        <v>13</v>
      </c>
    </row>
    <row r="9914" spans="2:8" x14ac:dyDescent="0.2">
      <c r="B9914" s="3">
        <v>45348</v>
      </c>
      <c r="D9914" s="28"/>
      <c r="G9914" s="2">
        <f t="shared" si="154"/>
        <v>0</v>
      </c>
      <c r="H9914" t="s">
        <v>26</v>
      </c>
    </row>
    <row r="9915" spans="2:8" x14ac:dyDescent="0.2">
      <c r="B9915" s="3">
        <v>45348</v>
      </c>
      <c r="G9915" s="2">
        <f t="shared" si="154"/>
        <v>0</v>
      </c>
      <c r="H9915" t="s">
        <v>9</v>
      </c>
    </row>
    <row r="9916" spans="2:8" x14ac:dyDescent="0.2">
      <c r="B9916" s="3">
        <v>45348</v>
      </c>
      <c r="G9916" s="2">
        <f t="shared" si="154"/>
        <v>0</v>
      </c>
      <c r="H9916" t="s">
        <v>8</v>
      </c>
    </row>
    <row r="9917" spans="2:8" x14ac:dyDescent="0.2">
      <c r="B9917" s="3">
        <v>45348</v>
      </c>
      <c r="G9917" s="2">
        <f t="shared" si="154"/>
        <v>0</v>
      </c>
      <c r="H9917" t="s">
        <v>5</v>
      </c>
    </row>
    <row r="9918" spans="2:8" x14ac:dyDescent="0.2">
      <c r="B9918" s="3">
        <v>45348</v>
      </c>
      <c r="G9918" s="2">
        <f t="shared" si="154"/>
        <v>0</v>
      </c>
      <c r="H9918" s="1"/>
    </row>
    <row r="9919" spans="2:8" x14ac:dyDescent="0.2">
      <c r="B9919" s="3">
        <v>45348</v>
      </c>
      <c r="G9919" s="2">
        <f t="shared" si="154"/>
        <v>0</v>
      </c>
      <c r="H9919" t="s">
        <v>0</v>
      </c>
    </row>
    <row r="9920" spans="2:8" x14ac:dyDescent="0.2">
      <c r="B9920" s="3">
        <v>45349</v>
      </c>
      <c r="G9920" s="2">
        <f t="shared" si="154"/>
        <v>0</v>
      </c>
      <c r="H9920" t="s">
        <v>14</v>
      </c>
    </row>
    <row r="9921" spans="2:8" x14ac:dyDescent="0.2">
      <c r="B9921" s="3">
        <v>45349</v>
      </c>
      <c r="G9921" s="2">
        <f t="shared" si="154"/>
        <v>0</v>
      </c>
      <c r="H9921" t="s">
        <v>27</v>
      </c>
    </row>
    <row r="9922" spans="2:8" x14ac:dyDescent="0.2">
      <c r="B9922" s="3">
        <v>45349</v>
      </c>
      <c r="D9922" s="28"/>
      <c r="G9922" s="2">
        <f t="shared" si="154"/>
        <v>0</v>
      </c>
      <c r="H9922" t="s">
        <v>13</v>
      </c>
    </row>
    <row r="9923" spans="2:8" x14ac:dyDescent="0.2">
      <c r="B9923" s="3">
        <v>45349</v>
      </c>
      <c r="D9923" s="28"/>
      <c r="G9923" s="2">
        <f t="shared" ref="G9923:G9986" si="155">E9923-F9923</f>
        <v>0</v>
      </c>
      <c r="H9923" t="s">
        <v>26</v>
      </c>
    </row>
    <row r="9924" spans="2:8" x14ac:dyDescent="0.2">
      <c r="B9924" s="3">
        <v>45349</v>
      </c>
      <c r="G9924" s="2">
        <f t="shared" si="155"/>
        <v>0</v>
      </c>
      <c r="H9924" t="s">
        <v>9</v>
      </c>
    </row>
    <row r="9925" spans="2:8" x14ac:dyDescent="0.2">
      <c r="B9925" s="3">
        <v>45349</v>
      </c>
      <c r="G9925" s="2">
        <f t="shared" si="155"/>
        <v>0</v>
      </c>
      <c r="H9925" t="s">
        <v>8</v>
      </c>
    </row>
    <row r="9926" spans="2:8" x14ac:dyDescent="0.2">
      <c r="B9926" s="3">
        <v>45349</v>
      </c>
      <c r="G9926" s="2">
        <f t="shared" si="155"/>
        <v>0</v>
      </c>
      <c r="H9926" t="s">
        <v>5</v>
      </c>
    </row>
    <row r="9927" spans="2:8" x14ac:dyDescent="0.2">
      <c r="B9927" s="3">
        <v>45349</v>
      </c>
      <c r="D9927" s="2"/>
      <c r="E9927" s="2"/>
      <c r="F9927" s="2"/>
      <c r="G9927" s="2">
        <f t="shared" si="155"/>
        <v>0</v>
      </c>
      <c r="H9927" s="1"/>
    </row>
    <row r="9928" spans="2:8" x14ac:dyDescent="0.2">
      <c r="B9928" s="3">
        <v>45349</v>
      </c>
      <c r="D9928" s="2"/>
      <c r="E9928" s="2"/>
      <c r="F9928" s="2">
        <v>131969</v>
      </c>
      <c r="G9928" s="2">
        <f t="shared" si="155"/>
        <v>-131969</v>
      </c>
      <c r="H9928" t="s">
        <v>0</v>
      </c>
    </row>
    <row r="9929" spans="2:8" x14ac:dyDescent="0.2">
      <c r="B9929" s="3">
        <v>45350</v>
      </c>
      <c r="D9929" s="2"/>
      <c r="E9929" s="2"/>
      <c r="F9929" s="2">
        <v>10000</v>
      </c>
      <c r="G9929" s="2">
        <f t="shared" si="155"/>
        <v>-10000</v>
      </c>
      <c r="H9929" t="s">
        <v>14</v>
      </c>
    </row>
    <row r="9930" spans="2:8" x14ac:dyDescent="0.2">
      <c r="B9930" s="3">
        <v>45350</v>
      </c>
      <c r="D9930" s="2"/>
      <c r="E9930" s="2"/>
      <c r="F9930" s="2"/>
      <c r="G9930" s="2">
        <f t="shared" si="155"/>
        <v>0</v>
      </c>
      <c r="H9930" t="s">
        <v>27</v>
      </c>
    </row>
    <row r="9931" spans="2:8" x14ac:dyDescent="0.2">
      <c r="B9931" s="3">
        <v>45350</v>
      </c>
      <c r="D9931" s="6"/>
      <c r="E9931" s="2"/>
      <c r="F9931" s="2"/>
      <c r="G9931" s="2">
        <f t="shared" si="155"/>
        <v>0</v>
      </c>
      <c r="H9931" t="s">
        <v>13</v>
      </c>
    </row>
    <row r="9932" spans="2:8" x14ac:dyDescent="0.2">
      <c r="B9932" s="3">
        <v>45350</v>
      </c>
      <c r="D9932" s="6"/>
      <c r="E9932" s="2"/>
      <c r="F9932" s="2"/>
      <c r="G9932" s="2">
        <f t="shared" si="155"/>
        <v>0</v>
      </c>
      <c r="H9932" t="s">
        <v>26</v>
      </c>
    </row>
    <row r="9933" spans="2:8" x14ac:dyDescent="0.2">
      <c r="B9933" s="3">
        <v>45350</v>
      </c>
      <c r="D9933" s="2"/>
      <c r="E9933" s="2"/>
      <c r="F9933" s="2"/>
      <c r="G9933" s="2">
        <f t="shared" si="155"/>
        <v>0</v>
      </c>
      <c r="H9933" t="s">
        <v>9</v>
      </c>
    </row>
    <row r="9934" spans="2:8" x14ac:dyDescent="0.2">
      <c r="B9934" s="3">
        <v>45350</v>
      </c>
      <c r="D9934" s="2"/>
      <c r="E9934" s="2"/>
      <c r="F9934" s="2"/>
      <c r="G9934" s="2">
        <f t="shared" si="155"/>
        <v>0</v>
      </c>
      <c r="H9934" t="s">
        <v>8</v>
      </c>
    </row>
    <row r="9935" spans="2:8" x14ac:dyDescent="0.2">
      <c r="B9935" s="3">
        <v>45350</v>
      </c>
      <c r="D9935" s="2"/>
      <c r="E9935" s="2"/>
      <c r="F9935" s="2"/>
      <c r="G9935" s="2">
        <f t="shared" si="155"/>
        <v>0</v>
      </c>
      <c r="H9935" t="s">
        <v>5</v>
      </c>
    </row>
    <row r="9936" spans="2:8" x14ac:dyDescent="0.2">
      <c r="B9936" s="3">
        <v>45350</v>
      </c>
      <c r="D9936" s="2"/>
      <c r="E9936" s="2"/>
      <c r="F9936" s="2"/>
      <c r="G9936" s="2">
        <f t="shared" si="155"/>
        <v>0</v>
      </c>
      <c r="H9936" s="1"/>
    </row>
    <row r="9937" spans="2:8" x14ac:dyDescent="0.2">
      <c r="B9937" s="3">
        <v>45350</v>
      </c>
      <c r="D9937" s="2">
        <v>191505.39749999999</v>
      </c>
      <c r="E9937" s="2">
        <v>197097.24999999997</v>
      </c>
      <c r="F9937" s="2"/>
      <c r="G9937" s="2">
        <f t="shared" si="155"/>
        <v>197097.24999999997</v>
      </c>
      <c r="H9937" t="s">
        <v>0</v>
      </c>
    </row>
    <row r="9938" spans="2:8" x14ac:dyDescent="0.2">
      <c r="B9938" s="3">
        <v>45351</v>
      </c>
      <c r="D9938" s="2"/>
      <c r="E9938" s="2"/>
      <c r="F9938" s="2"/>
      <c r="G9938" s="2">
        <f t="shared" si="155"/>
        <v>0</v>
      </c>
      <c r="H9938" t="s">
        <v>14</v>
      </c>
    </row>
    <row r="9939" spans="2:8" x14ac:dyDescent="0.2">
      <c r="B9939" s="3">
        <v>45351</v>
      </c>
      <c r="D9939" s="2"/>
      <c r="E9939" s="2"/>
      <c r="F9939" s="2"/>
      <c r="G9939" s="2">
        <f t="shared" si="155"/>
        <v>0</v>
      </c>
      <c r="H9939" t="s">
        <v>27</v>
      </c>
    </row>
    <row r="9940" spans="2:8" x14ac:dyDescent="0.2">
      <c r="B9940" s="3">
        <v>45351</v>
      </c>
      <c r="D9940" s="6"/>
      <c r="E9940" s="2"/>
      <c r="F9940" s="2"/>
      <c r="G9940" s="2">
        <f t="shared" si="155"/>
        <v>0</v>
      </c>
      <c r="H9940" t="s">
        <v>13</v>
      </c>
    </row>
    <row r="9941" spans="2:8" x14ac:dyDescent="0.2">
      <c r="B9941" s="3">
        <v>45351</v>
      </c>
      <c r="D9941" s="6"/>
      <c r="E9941" s="2"/>
      <c r="F9941" s="2"/>
      <c r="G9941" s="2">
        <f t="shared" si="155"/>
        <v>0</v>
      </c>
      <c r="H9941" t="s">
        <v>26</v>
      </c>
    </row>
    <row r="9942" spans="2:8" x14ac:dyDescent="0.2">
      <c r="B9942" s="3">
        <v>45351</v>
      </c>
      <c r="D9942" s="2"/>
      <c r="E9942" s="2"/>
      <c r="F9942" s="2"/>
      <c r="G9942" s="2">
        <f t="shared" si="155"/>
        <v>0</v>
      </c>
      <c r="H9942" t="s">
        <v>9</v>
      </c>
    </row>
    <row r="9943" spans="2:8" x14ac:dyDescent="0.2">
      <c r="B9943" s="3">
        <v>45351</v>
      </c>
      <c r="D9943" s="2"/>
      <c r="E9943" s="2"/>
      <c r="F9943" s="2"/>
      <c r="G9943" s="2">
        <f t="shared" si="155"/>
        <v>0</v>
      </c>
      <c r="H9943" t="s">
        <v>8</v>
      </c>
    </row>
    <row r="9944" spans="2:8" x14ac:dyDescent="0.2">
      <c r="B9944" s="3">
        <v>45351</v>
      </c>
      <c r="D9944" s="2"/>
      <c r="E9944" s="2"/>
      <c r="F9944" s="2"/>
      <c r="G9944" s="2">
        <f t="shared" si="155"/>
        <v>0</v>
      </c>
      <c r="H9944" t="s">
        <v>5</v>
      </c>
    </row>
    <row r="9945" spans="2:8" x14ac:dyDescent="0.2">
      <c r="B9945" s="3">
        <v>45351</v>
      </c>
      <c r="D9945" s="2"/>
      <c r="E9945" s="2"/>
      <c r="F9945" s="2"/>
      <c r="G9945" s="2">
        <f t="shared" si="155"/>
        <v>0</v>
      </c>
      <c r="H9945" s="1"/>
    </row>
    <row r="9946" spans="2:8" x14ac:dyDescent="0.2">
      <c r="B9946" s="3">
        <v>45351</v>
      </c>
      <c r="D9946" s="2"/>
      <c r="E9946" s="2"/>
      <c r="F9946" s="2"/>
      <c r="G9946" s="2">
        <f t="shared" si="155"/>
        <v>0</v>
      </c>
      <c r="H9946" t="s">
        <v>0</v>
      </c>
    </row>
    <row r="9947" spans="2:8" x14ac:dyDescent="0.2">
      <c r="B9947" s="3">
        <v>45352</v>
      </c>
      <c r="D9947" s="2"/>
      <c r="E9947" s="2"/>
      <c r="F9947" s="2"/>
      <c r="G9947" s="2">
        <f t="shared" si="155"/>
        <v>0</v>
      </c>
      <c r="H9947" t="s">
        <v>14</v>
      </c>
    </row>
    <row r="9948" spans="2:8" x14ac:dyDescent="0.2">
      <c r="B9948" s="3">
        <v>45352</v>
      </c>
      <c r="D9948" s="2"/>
      <c r="E9948" s="2"/>
      <c r="F9948" s="2"/>
      <c r="G9948" s="2">
        <f t="shared" si="155"/>
        <v>0</v>
      </c>
      <c r="H9948" t="s">
        <v>27</v>
      </c>
    </row>
    <row r="9949" spans="2:8" x14ac:dyDescent="0.2">
      <c r="B9949" s="3">
        <v>45352</v>
      </c>
      <c r="D9949" s="6"/>
      <c r="E9949" s="2"/>
      <c r="F9949" s="2"/>
      <c r="G9949" s="2">
        <f t="shared" si="155"/>
        <v>0</v>
      </c>
      <c r="H9949" t="s">
        <v>13</v>
      </c>
    </row>
    <row r="9950" spans="2:8" x14ac:dyDescent="0.2">
      <c r="B9950" s="3">
        <v>45352</v>
      </c>
      <c r="D9950" s="6"/>
      <c r="E9950" s="2"/>
      <c r="F9950" s="2"/>
      <c r="G9950" s="2">
        <f t="shared" si="155"/>
        <v>0</v>
      </c>
      <c r="H9950" t="s">
        <v>26</v>
      </c>
    </row>
    <row r="9951" spans="2:8" x14ac:dyDescent="0.2">
      <c r="B9951" s="3">
        <v>45352</v>
      </c>
      <c r="D9951" s="2"/>
      <c r="E9951" s="2"/>
      <c r="F9951" s="2"/>
      <c r="G9951" s="2">
        <f t="shared" si="155"/>
        <v>0</v>
      </c>
      <c r="H9951" t="s">
        <v>9</v>
      </c>
    </row>
    <row r="9952" spans="2:8" x14ac:dyDescent="0.2">
      <c r="B9952" s="3">
        <v>45352</v>
      </c>
      <c r="D9952" s="2"/>
      <c r="E9952" s="2"/>
      <c r="F9952" s="2"/>
      <c r="G9952" s="2">
        <f t="shared" si="155"/>
        <v>0</v>
      </c>
      <c r="H9952" t="s">
        <v>8</v>
      </c>
    </row>
    <row r="9953" spans="2:8" x14ac:dyDescent="0.2">
      <c r="B9953" s="3">
        <v>45352</v>
      </c>
      <c r="D9953" s="2"/>
      <c r="E9953" s="2"/>
      <c r="F9953" s="2"/>
      <c r="G9953" s="2">
        <f t="shared" si="155"/>
        <v>0</v>
      </c>
      <c r="H9953" t="s">
        <v>5</v>
      </c>
    </row>
    <row r="9954" spans="2:8" x14ac:dyDescent="0.2">
      <c r="B9954" s="3">
        <v>45352</v>
      </c>
      <c r="D9954" s="2"/>
      <c r="E9954" s="2"/>
      <c r="F9954" s="2"/>
      <c r="G9954" s="2">
        <f t="shared" si="155"/>
        <v>0</v>
      </c>
      <c r="H9954" s="1"/>
    </row>
    <row r="9955" spans="2:8" x14ac:dyDescent="0.2">
      <c r="B9955" s="3">
        <v>45352</v>
      </c>
      <c r="D9955" s="2">
        <v>49245</v>
      </c>
      <c r="E9955" s="2">
        <v>51450</v>
      </c>
      <c r="F9955" s="2">
        <v>130000</v>
      </c>
      <c r="G9955" s="2">
        <f t="shared" si="155"/>
        <v>-78550</v>
      </c>
      <c r="H9955" t="s">
        <v>0</v>
      </c>
    </row>
    <row r="9956" spans="2:8" x14ac:dyDescent="0.2">
      <c r="B9956" s="3">
        <v>45353</v>
      </c>
      <c r="D9956" s="2"/>
      <c r="E9956" s="2"/>
      <c r="F9956" s="2"/>
      <c r="G9956" s="2">
        <f t="shared" si="155"/>
        <v>0</v>
      </c>
      <c r="H9956" t="s">
        <v>14</v>
      </c>
    </row>
    <row r="9957" spans="2:8" x14ac:dyDescent="0.2">
      <c r="B9957" s="3">
        <v>45353</v>
      </c>
      <c r="D9957" s="2"/>
      <c r="E9957" s="2"/>
      <c r="F9957" s="2"/>
      <c r="G9957" s="2">
        <f t="shared" si="155"/>
        <v>0</v>
      </c>
      <c r="H9957" t="s">
        <v>27</v>
      </c>
    </row>
    <row r="9958" spans="2:8" x14ac:dyDescent="0.2">
      <c r="B9958" s="3">
        <v>45353</v>
      </c>
      <c r="D9958" s="6"/>
      <c r="E9958" s="2"/>
      <c r="F9958" s="2"/>
      <c r="G9958" s="2">
        <f t="shared" si="155"/>
        <v>0</v>
      </c>
      <c r="H9958" t="s">
        <v>13</v>
      </c>
    </row>
    <row r="9959" spans="2:8" x14ac:dyDescent="0.2">
      <c r="B9959" s="3">
        <v>45353</v>
      </c>
      <c r="D9959" s="6"/>
      <c r="E9959" s="2"/>
      <c r="F9959" s="2"/>
      <c r="G9959" s="2">
        <f t="shared" si="155"/>
        <v>0</v>
      </c>
      <c r="H9959" t="s">
        <v>26</v>
      </c>
    </row>
    <row r="9960" spans="2:8" x14ac:dyDescent="0.2">
      <c r="B9960" s="3">
        <v>45353</v>
      </c>
      <c r="D9960" s="2"/>
      <c r="E9960" s="2"/>
      <c r="F9960" s="2"/>
      <c r="G9960" s="2">
        <f t="shared" si="155"/>
        <v>0</v>
      </c>
      <c r="H9960" t="s">
        <v>9</v>
      </c>
    </row>
    <row r="9961" spans="2:8" x14ac:dyDescent="0.2">
      <c r="B9961" s="3">
        <v>45353</v>
      </c>
      <c r="D9961" s="2"/>
      <c r="E9961" s="2"/>
      <c r="F9961" s="2"/>
      <c r="G9961" s="2">
        <f t="shared" si="155"/>
        <v>0</v>
      </c>
      <c r="H9961" t="s">
        <v>8</v>
      </c>
    </row>
    <row r="9962" spans="2:8" x14ac:dyDescent="0.2">
      <c r="B9962" s="3">
        <v>45353</v>
      </c>
      <c r="D9962" s="2"/>
      <c r="E9962" s="2"/>
      <c r="F9962" s="2"/>
      <c r="G9962" s="2">
        <f t="shared" si="155"/>
        <v>0</v>
      </c>
      <c r="H9962" t="s">
        <v>5</v>
      </c>
    </row>
    <row r="9963" spans="2:8" x14ac:dyDescent="0.2">
      <c r="B9963" s="3">
        <v>45353</v>
      </c>
      <c r="D9963" s="2"/>
      <c r="E9963" s="2"/>
      <c r="F9963" s="2"/>
      <c r="G9963" s="2">
        <f t="shared" si="155"/>
        <v>0</v>
      </c>
      <c r="H9963" s="1"/>
    </row>
    <row r="9964" spans="2:8" x14ac:dyDescent="0.2">
      <c r="B9964" s="3">
        <v>45353</v>
      </c>
      <c r="D9964" s="2">
        <v>18600</v>
      </c>
      <c r="E9964" s="2">
        <v>22000</v>
      </c>
      <c r="F9964" s="2"/>
      <c r="G9964" s="2">
        <f t="shared" si="155"/>
        <v>22000</v>
      </c>
      <c r="H9964" t="s">
        <v>0</v>
      </c>
    </row>
    <row r="9965" spans="2:8" x14ac:dyDescent="0.2">
      <c r="B9965" s="3">
        <v>45354</v>
      </c>
      <c r="D9965" s="2">
        <v>4320</v>
      </c>
      <c r="E9965" s="2">
        <v>5440</v>
      </c>
      <c r="F9965" s="2"/>
      <c r="G9965" s="2">
        <f t="shared" si="155"/>
        <v>5440</v>
      </c>
      <c r="H9965" t="s">
        <v>14</v>
      </c>
    </row>
    <row r="9966" spans="2:8" x14ac:dyDescent="0.2">
      <c r="B9966" s="3">
        <v>45354</v>
      </c>
      <c r="D9966" s="2"/>
      <c r="E9966" s="2"/>
      <c r="F9966" s="2"/>
      <c r="G9966" s="2">
        <f t="shared" si="155"/>
        <v>0</v>
      </c>
      <c r="H9966" t="s">
        <v>27</v>
      </c>
    </row>
    <row r="9967" spans="2:8" x14ac:dyDescent="0.2">
      <c r="B9967" s="3">
        <v>45354</v>
      </c>
      <c r="D9967" s="6"/>
      <c r="E9967" s="2"/>
      <c r="F9967" s="2"/>
      <c r="G9967" s="2">
        <f t="shared" si="155"/>
        <v>0</v>
      </c>
      <c r="H9967" t="s">
        <v>13</v>
      </c>
    </row>
    <row r="9968" spans="2:8" x14ac:dyDescent="0.2">
      <c r="B9968" s="3">
        <v>45354</v>
      </c>
      <c r="D9968" s="6"/>
      <c r="E9968" s="2"/>
      <c r="F9968" s="2"/>
      <c r="G9968" s="2">
        <f t="shared" si="155"/>
        <v>0</v>
      </c>
      <c r="H9968" t="s">
        <v>26</v>
      </c>
    </row>
    <row r="9969" spans="2:8" x14ac:dyDescent="0.2">
      <c r="B9969" s="3">
        <v>45354</v>
      </c>
      <c r="D9969" s="2"/>
      <c r="E9969" s="2"/>
      <c r="F9969" s="2"/>
      <c r="G9969" s="2">
        <f t="shared" si="155"/>
        <v>0</v>
      </c>
      <c r="H9969" t="s">
        <v>9</v>
      </c>
    </row>
    <row r="9970" spans="2:8" x14ac:dyDescent="0.2">
      <c r="B9970" s="3">
        <v>45354</v>
      </c>
      <c r="D9970" s="2"/>
      <c r="E9970" s="2"/>
      <c r="F9970" s="2">
        <v>15000</v>
      </c>
      <c r="G9970" s="2">
        <f t="shared" si="155"/>
        <v>-15000</v>
      </c>
      <c r="H9970" t="s">
        <v>8</v>
      </c>
    </row>
    <row r="9971" spans="2:8" x14ac:dyDescent="0.2">
      <c r="B9971" s="3">
        <v>45354</v>
      </c>
      <c r="D9971" s="2"/>
      <c r="E9971" s="2"/>
      <c r="F9971" s="2"/>
      <c r="G9971" s="2">
        <f t="shared" si="155"/>
        <v>0</v>
      </c>
      <c r="H9971" t="s">
        <v>5</v>
      </c>
    </row>
    <row r="9972" spans="2:8" x14ac:dyDescent="0.2">
      <c r="B9972" s="3">
        <v>45354</v>
      </c>
      <c r="D9972" s="2"/>
      <c r="E9972" s="2"/>
      <c r="F9972" s="2"/>
      <c r="G9972" s="2">
        <f t="shared" si="155"/>
        <v>0</v>
      </c>
      <c r="H9972" s="1"/>
    </row>
    <row r="9973" spans="2:8" x14ac:dyDescent="0.2">
      <c r="B9973" s="3">
        <v>45354</v>
      </c>
      <c r="D9973" s="2">
        <v>142201.99</v>
      </c>
      <c r="E9973" s="2">
        <v>147237.70000000001</v>
      </c>
      <c r="F9973" s="2"/>
      <c r="G9973" s="2">
        <f t="shared" si="155"/>
        <v>147237.70000000001</v>
      </c>
      <c r="H9973" t="s">
        <v>0</v>
      </c>
    </row>
    <row r="9974" spans="2:8" x14ac:dyDescent="0.2">
      <c r="B9974" s="3">
        <v>45355</v>
      </c>
      <c r="D9974" s="2"/>
      <c r="E9974" s="2"/>
      <c r="F9974" s="2"/>
      <c r="G9974" s="2">
        <f t="shared" si="155"/>
        <v>0</v>
      </c>
      <c r="H9974" t="s">
        <v>14</v>
      </c>
    </row>
    <row r="9975" spans="2:8" x14ac:dyDescent="0.2">
      <c r="B9975" s="3">
        <v>45355</v>
      </c>
      <c r="D9975" s="2"/>
      <c r="E9975" s="2"/>
      <c r="F9975" s="2"/>
      <c r="G9975" s="2">
        <f t="shared" si="155"/>
        <v>0</v>
      </c>
      <c r="H9975" t="s">
        <v>27</v>
      </c>
    </row>
    <row r="9976" spans="2:8" x14ac:dyDescent="0.2">
      <c r="B9976" s="3">
        <v>45355</v>
      </c>
      <c r="D9976" s="6"/>
      <c r="E9976" s="2"/>
      <c r="F9976" s="2"/>
      <c r="G9976" s="2">
        <f t="shared" si="155"/>
        <v>0</v>
      </c>
      <c r="H9976" t="s">
        <v>13</v>
      </c>
    </row>
    <row r="9977" spans="2:8" x14ac:dyDescent="0.2">
      <c r="B9977" s="3">
        <v>45355</v>
      </c>
      <c r="D9977" s="6"/>
      <c r="E9977" s="2"/>
      <c r="F9977" s="2"/>
      <c r="G9977" s="2">
        <f t="shared" si="155"/>
        <v>0</v>
      </c>
      <c r="H9977" t="s">
        <v>26</v>
      </c>
    </row>
    <row r="9978" spans="2:8" x14ac:dyDescent="0.2">
      <c r="B9978" s="3">
        <v>45355</v>
      </c>
      <c r="D9978" s="2"/>
      <c r="E9978" s="2"/>
      <c r="F9978" s="2"/>
      <c r="G9978" s="2">
        <f t="shared" si="155"/>
        <v>0</v>
      </c>
      <c r="H9978" t="s">
        <v>9</v>
      </c>
    </row>
    <row r="9979" spans="2:8" x14ac:dyDescent="0.2">
      <c r="B9979" s="3">
        <v>45355</v>
      </c>
      <c r="D9979" s="2"/>
      <c r="E9979" s="2"/>
      <c r="F9979" s="2"/>
      <c r="G9979" s="2">
        <f t="shared" si="155"/>
        <v>0</v>
      </c>
      <c r="H9979" t="s">
        <v>8</v>
      </c>
    </row>
    <row r="9980" spans="2:8" x14ac:dyDescent="0.2">
      <c r="B9980" s="3">
        <v>45355</v>
      </c>
      <c r="D9980" s="2"/>
      <c r="E9980" s="2"/>
      <c r="F9980" s="2"/>
      <c r="G9980" s="2">
        <f t="shared" si="155"/>
        <v>0</v>
      </c>
      <c r="H9980" t="s">
        <v>5</v>
      </c>
    </row>
    <row r="9981" spans="2:8" x14ac:dyDescent="0.2">
      <c r="B9981" s="3">
        <v>45355</v>
      </c>
      <c r="D9981" s="2"/>
      <c r="E9981" s="2"/>
      <c r="F9981" s="2"/>
      <c r="G9981" s="2">
        <f t="shared" si="155"/>
        <v>0</v>
      </c>
      <c r="H9981" s="1"/>
    </row>
    <row r="9982" spans="2:8" x14ac:dyDescent="0.2">
      <c r="B9982" s="3">
        <v>45355</v>
      </c>
      <c r="D9982" s="2"/>
      <c r="E9982" s="2"/>
      <c r="F9982" s="2">
        <v>165000</v>
      </c>
      <c r="G9982" s="2">
        <f t="shared" si="155"/>
        <v>-165000</v>
      </c>
      <c r="H9982" t="s">
        <v>0</v>
      </c>
    </row>
    <row r="9983" spans="2:8" x14ac:dyDescent="0.2">
      <c r="B9983" s="3">
        <v>45356</v>
      </c>
      <c r="D9983" s="2">
        <v>6800</v>
      </c>
      <c r="E9983" s="2">
        <v>8000</v>
      </c>
      <c r="F9983" s="2"/>
      <c r="G9983" s="2">
        <f t="shared" si="155"/>
        <v>8000</v>
      </c>
      <c r="H9983" t="s">
        <v>14</v>
      </c>
    </row>
    <row r="9984" spans="2:8" x14ac:dyDescent="0.2">
      <c r="B9984" s="3">
        <v>45356</v>
      </c>
      <c r="D9984" s="2"/>
      <c r="E9984" s="2"/>
      <c r="F9984" s="2"/>
      <c r="G9984" s="2">
        <f t="shared" si="155"/>
        <v>0</v>
      </c>
      <c r="H9984" t="s">
        <v>27</v>
      </c>
    </row>
    <row r="9985" spans="2:8" x14ac:dyDescent="0.2">
      <c r="B9985" s="3">
        <v>45356</v>
      </c>
      <c r="D9985" s="6"/>
      <c r="E9985" s="2"/>
      <c r="F9985" s="2"/>
      <c r="G9985" s="2">
        <f t="shared" si="155"/>
        <v>0</v>
      </c>
      <c r="H9985" t="s">
        <v>13</v>
      </c>
    </row>
    <row r="9986" spans="2:8" x14ac:dyDescent="0.2">
      <c r="B9986" s="3">
        <v>45356</v>
      </c>
      <c r="D9986" s="6"/>
      <c r="E9986" s="2"/>
      <c r="F9986" s="2"/>
      <c r="G9986" s="2">
        <f t="shared" si="155"/>
        <v>0</v>
      </c>
      <c r="H9986" t="s">
        <v>26</v>
      </c>
    </row>
    <row r="9987" spans="2:8" x14ac:dyDescent="0.2">
      <c r="B9987" s="3">
        <v>45356</v>
      </c>
      <c r="D9987" s="2"/>
      <c r="E9987" s="2"/>
      <c r="F9987" s="2"/>
      <c r="G9987" s="2">
        <f t="shared" ref="G9987:G10050" si="156">E9987-F9987</f>
        <v>0</v>
      </c>
      <c r="H9987" t="s">
        <v>9</v>
      </c>
    </row>
    <row r="9988" spans="2:8" x14ac:dyDescent="0.2">
      <c r="B9988" s="3">
        <v>45356</v>
      </c>
      <c r="D9988" s="2"/>
      <c r="E9988" s="2"/>
      <c r="F9988" s="2"/>
      <c r="G9988" s="2">
        <f t="shared" si="156"/>
        <v>0</v>
      </c>
      <c r="H9988" t="s">
        <v>8</v>
      </c>
    </row>
    <row r="9989" spans="2:8" x14ac:dyDescent="0.2">
      <c r="B9989" s="3">
        <v>45356</v>
      </c>
      <c r="D9989" s="2"/>
      <c r="E9989" s="2"/>
      <c r="F9989" s="2"/>
      <c r="G9989" s="2">
        <f t="shared" si="156"/>
        <v>0</v>
      </c>
      <c r="H9989" t="s">
        <v>5</v>
      </c>
    </row>
    <row r="9990" spans="2:8" x14ac:dyDescent="0.2">
      <c r="B9990" s="3">
        <v>45356</v>
      </c>
      <c r="D9990" s="2"/>
      <c r="E9990" s="2"/>
      <c r="F9990" s="2"/>
      <c r="G9990" s="2">
        <f t="shared" si="156"/>
        <v>0</v>
      </c>
      <c r="H9990" s="1"/>
    </row>
    <row r="9991" spans="2:8" x14ac:dyDescent="0.2">
      <c r="B9991" s="3">
        <v>45356</v>
      </c>
      <c r="D9991" s="2"/>
      <c r="E9991" s="2"/>
      <c r="F9991" s="2"/>
      <c r="G9991" s="2">
        <f t="shared" si="156"/>
        <v>0</v>
      </c>
      <c r="H9991" t="s">
        <v>0</v>
      </c>
    </row>
    <row r="9992" spans="2:8" x14ac:dyDescent="0.2">
      <c r="B9992" s="3">
        <v>45357</v>
      </c>
      <c r="D9992" s="2">
        <v>17462</v>
      </c>
      <c r="E9992" s="2">
        <v>19880</v>
      </c>
      <c r="F9992" s="2">
        <v>10000</v>
      </c>
      <c r="G9992" s="2">
        <f t="shared" si="156"/>
        <v>9880</v>
      </c>
      <c r="H9992" t="s">
        <v>14</v>
      </c>
    </row>
    <row r="9993" spans="2:8" x14ac:dyDescent="0.2">
      <c r="B9993" s="3">
        <v>45357</v>
      </c>
      <c r="D9993" s="2"/>
      <c r="E9993" s="2"/>
      <c r="F9993" s="2"/>
      <c r="G9993" s="2">
        <f t="shared" si="156"/>
        <v>0</v>
      </c>
      <c r="H9993" t="s">
        <v>27</v>
      </c>
    </row>
    <row r="9994" spans="2:8" x14ac:dyDescent="0.2">
      <c r="B9994" s="3">
        <v>45357</v>
      </c>
      <c r="D9994" s="6"/>
      <c r="E9994" s="2"/>
      <c r="F9994" s="2"/>
      <c r="G9994" s="2">
        <f t="shared" si="156"/>
        <v>0</v>
      </c>
      <c r="H9994" t="s">
        <v>13</v>
      </c>
    </row>
    <row r="9995" spans="2:8" x14ac:dyDescent="0.2">
      <c r="B9995" s="3">
        <v>45357</v>
      </c>
      <c r="D9995" s="6"/>
      <c r="E9995" s="2"/>
      <c r="F9995" s="2"/>
      <c r="G9995" s="2">
        <f t="shared" si="156"/>
        <v>0</v>
      </c>
      <c r="H9995" t="s">
        <v>26</v>
      </c>
    </row>
    <row r="9996" spans="2:8" x14ac:dyDescent="0.2">
      <c r="B9996" s="3">
        <v>45357</v>
      </c>
      <c r="D9996" s="2"/>
      <c r="E9996" s="2"/>
      <c r="F9996" s="2"/>
      <c r="G9996" s="2">
        <f t="shared" si="156"/>
        <v>0</v>
      </c>
      <c r="H9996" t="s">
        <v>9</v>
      </c>
    </row>
    <row r="9997" spans="2:8" x14ac:dyDescent="0.2">
      <c r="B9997" s="3">
        <v>45357</v>
      </c>
      <c r="D9997" s="2"/>
      <c r="E9997" s="2"/>
      <c r="F9997" s="2"/>
      <c r="G9997" s="2">
        <f t="shared" si="156"/>
        <v>0</v>
      </c>
      <c r="H9997" t="s">
        <v>8</v>
      </c>
    </row>
    <row r="9998" spans="2:8" x14ac:dyDescent="0.2">
      <c r="B9998" s="3">
        <v>45357</v>
      </c>
      <c r="D9998" s="2"/>
      <c r="E9998" s="2"/>
      <c r="F9998" s="2"/>
      <c r="G9998" s="2">
        <f t="shared" si="156"/>
        <v>0</v>
      </c>
      <c r="H9998" t="s">
        <v>5</v>
      </c>
    </row>
    <row r="9999" spans="2:8" x14ac:dyDescent="0.2">
      <c r="B9999" s="3">
        <v>45357</v>
      </c>
      <c r="D9999" s="2"/>
      <c r="E9999" s="2"/>
      <c r="F9999" s="2"/>
      <c r="G9999" s="2">
        <f t="shared" si="156"/>
        <v>0</v>
      </c>
      <c r="H9999" s="1"/>
    </row>
    <row r="10000" spans="2:8" x14ac:dyDescent="0.2">
      <c r="B10000" s="3">
        <v>45357</v>
      </c>
      <c r="D10000" s="2"/>
      <c r="E10000" s="2"/>
      <c r="F10000" s="2"/>
      <c r="G10000" s="2">
        <f t="shared" si="156"/>
        <v>0</v>
      </c>
      <c r="H10000" t="s">
        <v>0</v>
      </c>
    </row>
    <row r="10001" spans="2:8" x14ac:dyDescent="0.2">
      <c r="B10001" s="3">
        <v>45358</v>
      </c>
      <c r="D10001" s="2"/>
      <c r="E10001" s="2"/>
      <c r="F10001" s="2"/>
      <c r="G10001" s="2">
        <f t="shared" si="156"/>
        <v>0</v>
      </c>
      <c r="H10001" t="s">
        <v>14</v>
      </c>
    </row>
    <row r="10002" spans="2:8" x14ac:dyDescent="0.2">
      <c r="B10002" s="3">
        <v>45358</v>
      </c>
      <c r="D10002" s="2"/>
      <c r="E10002" s="2"/>
      <c r="F10002" s="2"/>
      <c r="G10002" s="2">
        <f t="shared" si="156"/>
        <v>0</v>
      </c>
      <c r="H10002" t="s">
        <v>27</v>
      </c>
    </row>
    <row r="10003" spans="2:8" x14ac:dyDescent="0.2">
      <c r="B10003" s="3">
        <v>45358</v>
      </c>
      <c r="D10003" s="6"/>
      <c r="E10003" s="2"/>
      <c r="F10003" s="2"/>
      <c r="G10003" s="2">
        <f t="shared" si="156"/>
        <v>0</v>
      </c>
      <c r="H10003" t="s">
        <v>13</v>
      </c>
    </row>
    <row r="10004" spans="2:8" x14ac:dyDescent="0.2">
      <c r="B10004" s="3">
        <v>45358</v>
      </c>
      <c r="D10004" s="6"/>
      <c r="E10004" s="2"/>
      <c r="F10004" s="2"/>
      <c r="G10004" s="2">
        <f t="shared" si="156"/>
        <v>0</v>
      </c>
      <c r="H10004" t="s">
        <v>26</v>
      </c>
    </row>
    <row r="10005" spans="2:8" x14ac:dyDescent="0.2">
      <c r="B10005" s="3">
        <v>45358</v>
      </c>
      <c r="D10005" s="2"/>
      <c r="E10005" s="2"/>
      <c r="F10005" s="2"/>
      <c r="G10005" s="2">
        <f t="shared" si="156"/>
        <v>0</v>
      </c>
      <c r="H10005" t="s">
        <v>9</v>
      </c>
    </row>
    <row r="10006" spans="2:8" x14ac:dyDescent="0.2">
      <c r="B10006" s="3">
        <v>45358</v>
      </c>
      <c r="D10006" s="2"/>
      <c r="E10006" s="2"/>
      <c r="F10006" s="2"/>
      <c r="G10006" s="2">
        <f t="shared" si="156"/>
        <v>0</v>
      </c>
      <c r="H10006" t="s">
        <v>8</v>
      </c>
    </row>
    <row r="10007" spans="2:8" x14ac:dyDescent="0.2">
      <c r="B10007" s="3">
        <v>45358</v>
      </c>
      <c r="D10007" s="2"/>
      <c r="E10007" s="2"/>
      <c r="F10007" s="2"/>
      <c r="G10007" s="2">
        <f t="shared" si="156"/>
        <v>0</v>
      </c>
      <c r="H10007" t="s">
        <v>5</v>
      </c>
    </row>
    <row r="10008" spans="2:8" x14ac:dyDescent="0.2">
      <c r="B10008" s="3">
        <v>45358</v>
      </c>
      <c r="D10008" s="2"/>
      <c r="E10008" s="2"/>
      <c r="F10008" s="2"/>
      <c r="G10008" s="2">
        <f t="shared" si="156"/>
        <v>0</v>
      </c>
      <c r="H10008" s="1"/>
    </row>
    <row r="10009" spans="2:8" x14ac:dyDescent="0.2">
      <c r="B10009" s="3">
        <v>45358</v>
      </c>
      <c r="D10009" s="2"/>
      <c r="E10009" s="2"/>
      <c r="F10009" s="2"/>
      <c r="G10009" s="2">
        <f t="shared" si="156"/>
        <v>0</v>
      </c>
      <c r="H10009" t="s">
        <v>0</v>
      </c>
    </row>
    <row r="10010" spans="2:8" x14ac:dyDescent="0.2">
      <c r="B10010" s="3">
        <v>45359</v>
      </c>
      <c r="D10010" s="2"/>
      <c r="E10010" s="2"/>
      <c r="F10010" s="2">
        <v>15000</v>
      </c>
      <c r="G10010" s="2">
        <f t="shared" si="156"/>
        <v>-15000</v>
      </c>
      <c r="H10010" t="s">
        <v>14</v>
      </c>
    </row>
    <row r="10011" spans="2:8" x14ac:dyDescent="0.2">
      <c r="B10011" s="3">
        <v>45359</v>
      </c>
      <c r="D10011" s="2"/>
      <c r="E10011" s="2"/>
      <c r="F10011" s="2"/>
      <c r="G10011" s="2">
        <f t="shared" si="156"/>
        <v>0</v>
      </c>
      <c r="H10011" t="s">
        <v>27</v>
      </c>
    </row>
    <row r="10012" spans="2:8" x14ac:dyDescent="0.2">
      <c r="B10012" s="3">
        <v>45359</v>
      </c>
      <c r="D10012" s="6"/>
      <c r="E10012" s="2"/>
      <c r="F10012" s="2"/>
      <c r="G10012" s="2">
        <f t="shared" si="156"/>
        <v>0</v>
      </c>
      <c r="H10012" t="s">
        <v>13</v>
      </c>
    </row>
    <row r="10013" spans="2:8" x14ac:dyDescent="0.2">
      <c r="B10013" s="3">
        <v>45359</v>
      </c>
      <c r="D10013" s="6"/>
      <c r="E10013" s="2"/>
      <c r="F10013" s="2"/>
      <c r="G10013" s="2">
        <f t="shared" si="156"/>
        <v>0</v>
      </c>
      <c r="H10013" t="s">
        <v>26</v>
      </c>
    </row>
    <row r="10014" spans="2:8" x14ac:dyDescent="0.2">
      <c r="B10014" s="3">
        <v>45359</v>
      </c>
      <c r="D10014" s="2"/>
      <c r="E10014" s="2"/>
      <c r="F10014" s="2"/>
      <c r="G10014" s="2">
        <f t="shared" si="156"/>
        <v>0</v>
      </c>
      <c r="H10014" t="s">
        <v>9</v>
      </c>
    </row>
    <row r="10015" spans="2:8" x14ac:dyDescent="0.2">
      <c r="B10015" s="3">
        <v>45359</v>
      </c>
      <c r="D10015" s="2"/>
      <c r="E10015" s="2"/>
      <c r="F10015" s="2"/>
      <c r="G10015" s="2">
        <f t="shared" si="156"/>
        <v>0</v>
      </c>
      <c r="H10015" t="s">
        <v>8</v>
      </c>
    </row>
    <row r="10016" spans="2:8" x14ac:dyDescent="0.2">
      <c r="B10016" s="3">
        <v>45359</v>
      </c>
      <c r="D10016" s="2"/>
      <c r="E10016" s="2"/>
      <c r="F10016" s="2"/>
      <c r="G10016" s="2">
        <f t="shared" si="156"/>
        <v>0</v>
      </c>
      <c r="H10016" t="s">
        <v>5</v>
      </c>
    </row>
    <row r="10017" spans="2:8" x14ac:dyDescent="0.2">
      <c r="B10017" s="3">
        <v>45359</v>
      </c>
      <c r="D10017" s="2"/>
      <c r="E10017" s="2"/>
      <c r="F10017" s="2"/>
      <c r="G10017" s="2">
        <f t="shared" si="156"/>
        <v>0</v>
      </c>
      <c r="H10017" s="1"/>
    </row>
    <row r="10018" spans="2:8" x14ac:dyDescent="0.2">
      <c r="B10018" s="3">
        <v>45359</v>
      </c>
      <c r="D10018" s="2"/>
      <c r="E10018" s="2"/>
      <c r="F10018" s="2"/>
      <c r="G10018" s="2">
        <f t="shared" si="156"/>
        <v>0</v>
      </c>
      <c r="H10018" t="s">
        <v>0</v>
      </c>
    </row>
    <row r="10019" spans="2:8" x14ac:dyDescent="0.2">
      <c r="B10019" s="3">
        <v>45360</v>
      </c>
      <c r="D10019" s="2"/>
      <c r="E10019" s="2"/>
      <c r="F10019" s="2"/>
      <c r="G10019" s="2">
        <f t="shared" si="156"/>
        <v>0</v>
      </c>
      <c r="H10019" t="s">
        <v>14</v>
      </c>
    </row>
    <row r="10020" spans="2:8" x14ac:dyDescent="0.2">
      <c r="B10020" s="3">
        <v>45360</v>
      </c>
      <c r="D10020" s="2"/>
      <c r="E10020" s="2"/>
      <c r="F10020" s="2"/>
      <c r="G10020" s="2">
        <f t="shared" si="156"/>
        <v>0</v>
      </c>
      <c r="H10020" t="s">
        <v>27</v>
      </c>
    </row>
    <row r="10021" spans="2:8" x14ac:dyDescent="0.2">
      <c r="B10021" s="3">
        <v>45360</v>
      </c>
      <c r="D10021" s="6"/>
      <c r="E10021" s="2"/>
      <c r="F10021" s="2"/>
      <c r="G10021" s="2">
        <f t="shared" si="156"/>
        <v>0</v>
      </c>
      <c r="H10021" t="s">
        <v>13</v>
      </c>
    </row>
    <row r="10022" spans="2:8" x14ac:dyDescent="0.2">
      <c r="B10022" s="3">
        <v>45360</v>
      </c>
      <c r="D10022" s="6"/>
      <c r="E10022" s="2"/>
      <c r="F10022" s="2"/>
      <c r="G10022" s="2">
        <f t="shared" si="156"/>
        <v>0</v>
      </c>
      <c r="H10022" t="s">
        <v>26</v>
      </c>
    </row>
    <row r="10023" spans="2:8" x14ac:dyDescent="0.2">
      <c r="B10023" s="3">
        <v>45360</v>
      </c>
      <c r="D10023" s="2"/>
      <c r="E10023" s="2"/>
      <c r="F10023" s="2"/>
      <c r="G10023" s="2">
        <f t="shared" si="156"/>
        <v>0</v>
      </c>
      <c r="H10023" t="s">
        <v>9</v>
      </c>
    </row>
    <row r="10024" spans="2:8" x14ac:dyDescent="0.2">
      <c r="B10024" s="3">
        <v>45360</v>
      </c>
      <c r="D10024" s="2">
        <v>23000</v>
      </c>
      <c r="E10024" s="2">
        <v>25520</v>
      </c>
      <c r="F10024" s="2">
        <v>10000</v>
      </c>
      <c r="G10024" s="2">
        <f t="shared" si="156"/>
        <v>15520</v>
      </c>
      <c r="H10024" t="s">
        <v>8</v>
      </c>
    </row>
    <row r="10025" spans="2:8" x14ac:dyDescent="0.2">
      <c r="B10025" s="3">
        <v>45360</v>
      </c>
      <c r="D10025" s="2"/>
      <c r="E10025" s="2"/>
      <c r="F10025" s="2"/>
      <c r="G10025" s="2">
        <f t="shared" si="156"/>
        <v>0</v>
      </c>
      <c r="H10025" t="s">
        <v>5</v>
      </c>
    </row>
    <row r="10026" spans="2:8" x14ac:dyDescent="0.2">
      <c r="B10026" s="3">
        <v>45360</v>
      </c>
      <c r="D10026" s="2"/>
      <c r="E10026" s="2"/>
      <c r="F10026" s="2"/>
      <c r="G10026" s="2">
        <f t="shared" si="156"/>
        <v>0</v>
      </c>
      <c r="H10026" s="1"/>
    </row>
    <row r="10027" spans="2:8" x14ac:dyDescent="0.2">
      <c r="B10027" s="3">
        <v>45360</v>
      </c>
      <c r="D10027" s="2"/>
      <c r="E10027" s="2"/>
      <c r="F10027" s="2">
        <v>100000</v>
      </c>
      <c r="G10027" s="2">
        <f t="shared" si="156"/>
        <v>-100000</v>
      </c>
      <c r="H10027" t="s">
        <v>0</v>
      </c>
    </row>
    <row r="10028" spans="2:8" x14ac:dyDescent="0.2">
      <c r="B10028" s="3">
        <v>45361</v>
      </c>
      <c r="D10028" s="2"/>
      <c r="E10028" s="2"/>
      <c r="F10028" s="2"/>
      <c r="G10028" s="2">
        <f t="shared" si="156"/>
        <v>0</v>
      </c>
      <c r="H10028" t="s">
        <v>14</v>
      </c>
    </row>
    <row r="10029" spans="2:8" x14ac:dyDescent="0.2">
      <c r="B10029" s="3">
        <v>45361</v>
      </c>
      <c r="D10029" s="2"/>
      <c r="E10029" s="2"/>
      <c r="F10029" s="2"/>
      <c r="G10029" s="2">
        <f t="shared" si="156"/>
        <v>0</v>
      </c>
      <c r="H10029" t="s">
        <v>27</v>
      </c>
    </row>
    <row r="10030" spans="2:8" x14ac:dyDescent="0.2">
      <c r="B10030" s="3">
        <v>45361</v>
      </c>
      <c r="D10030" s="6"/>
      <c r="E10030" s="2"/>
      <c r="F10030" s="2"/>
      <c r="G10030" s="2">
        <f t="shared" si="156"/>
        <v>0</v>
      </c>
      <c r="H10030" t="s">
        <v>13</v>
      </c>
    </row>
    <row r="10031" spans="2:8" x14ac:dyDescent="0.2">
      <c r="B10031" s="3">
        <v>45361</v>
      </c>
      <c r="D10031" s="6"/>
      <c r="E10031" s="2"/>
      <c r="F10031" s="2"/>
      <c r="G10031" s="2">
        <f t="shared" si="156"/>
        <v>0</v>
      </c>
      <c r="H10031" t="s">
        <v>26</v>
      </c>
    </row>
    <row r="10032" spans="2:8" x14ac:dyDescent="0.2">
      <c r="B10032" s="3">
        <v>45361</v>
      </c>
      <c r="D10032" s="2"/>
      <c r="E10032" s="2"/>
      <c r="F10032" s="2"/>
      <c r="G10032" s="2">
        <f t="shared" si="156"/>
        <v>0</v>
      </c>
      <c r="H10032" t="s">
        <v>9</v>
      </c>
    </row>
    <row r="10033" spans="2:8" x14ac:dyDescent="0.2">
      <c r="B10033" s="3">
        <v>45361</v>
      </c>
      <c r="D10033" s="2"/>
      <c r="E10033" s="2"/>
      <c r="F10033" s="2"/>
      <c r="G10033" s="2">
        <f t="shared" si="156"/>
        <v>0</v>
      </c>
      <c r="H10033" t="s">
        <v>8</v>
      </c>
    </row>
    <row r="10034" spans="2:8" x14ac:dyDescent="0.2">
      <c r="B10034" s="3">
        <v>45361</v>
      </c>
      <c r="D10034" s="2"/>
      <c r="E10034" s="2"/>
      <c r="F10034" s="2"/>
      <c r="G10034" s="2">
        <f t="shared" si="156"/>
        <v>0</v>
      </c>
      <c r="H10034" t="s">
        <v>5</v>
      </c>
    </row>
    <row r="10035" spans="2:8" x14ac:dyDescent="0.2">
      <c r="B10035" s="3">
        <v>45361</v>
      </c>
      <c r="D10035" s="2"/>
      <c r="E10035" s="2"/>
      <c r="F10035" s="2"/>
      <c r="G10035" s="2">
        <f t="shared" si="156"/>
        <v>0</v>
      </c>
      <c r="H10035" s="1"/>
    </row>
    <row r="10036" spans="2:8" x14ac:dyDescent="0.2">
      <c r="B10036" s="3">
        <v>45361</v>
      </c>
      <c r="D10036" s="2"/>
      <c r="E10036" s="2"/>
      <c r="F10036" s="2"/>
      <c r="G10036" s="2">
        <f t="shared" si="156"/>
        <v>0</v>
      </c>
      <c r="H10036" t="s">
        <v>0</v>
      </c>
    </row>
    <row r="10037" spans="2:8" x14ac:dyDescent="0.2">
      <c r="B10037" s="3">
        <v>45362</v>
      </c>
      <c r="D10037" s="2"/>
      <c r="E10037" s="2"/>
      <c r="F10037" s="2"/>
      <c r="G10037" s="2">
        <f t="shared" si="156"/>
        <v>0</v>
      </c>
      <c r="H10037" t="s">
        <v>14</v>
      </c>
    </row>
    <row r="10038" spans="2:8" x14ac:dyDescent="0.2">
      <c r="B10038" s="3">
        <v>45362</v>
      </c>
      <c r="D10038" s="2"/>
      <c r="E10038" s="2"/>
      <c r="F10038" s="2"/>
      <c r="G10038" s="2">
        <f t="shared" si="156"/>
        <v>0</v>
      </c>
      <c r="H10038" t="s">
        <v>27</v>
      </c>
    </row>
    <row r="10039" spans="2:8" x14ac:dyDescent="0.2">
      <c r="B10039" s="3">
        <v>45362</v>
      </c>
      <c r="D10039" s="6"/>
      <c r="E10039" s="2"/>
      <c r="F10039" s="2"/>
      <c r="G10039" s="2">
        <f t="shared" si="156"/>
        <v>0</v>
      </c>
      <c r="H10039" t="s">
        <v>13</v>
      </c>
    </row>
    <row r="10040" spans="2:8" x14ac:dyDescent="0.2">
      <c r="B10040" s="3">
        <v>45362</v>
      </c>
      <c r="D10040" s="6"/>
      <c r="E10040" s="2"/>
      <c r="F10040" s="2"/>
      <c r="G10040" s="2">
        <f t="shared" si="156"/>
        <v>0</v>
      </c>
      <c r="H10040" t="s">
        <v>26</v>
      </c>
    </row>
    <row r="10041" spans="2:8" x14ac:dyDescent="0.2">
      <c r="B10041" s="3">
        <v>45362</v>
      </c>
      <c r="D10041" s="2"/>
      <c r="E10041" s="2"/>
      <c r="F10041" s="2"/>
      <c r="G10041" s="2">
        <f t="shared" si="156"/>
        <v>0</v>
      </c>
      <c r="H10041" t="s">
        <v>9</v>
      </c>
    </row>
    <row r="10042" spans="2:8" x14ac:dyDescent="0.2">
      <c r="B10042" s="3">
        <v>45362</v>
      </c>
      <c r="D10042" s="2"/>
      <c r="E10042" s="2"/>
      <c r="F10042" s="2"/>
      <c r="G10042" s="2">
        <f t="shared" si="156"/>
        <v>0</v>
      </c>
      <c r="H10042" t="s">
        <v>8</v>
      </c>
    </row>
    <row r="10043" spans="2:8" x14ac:dyDescent="0.2">
      <c r="B10043" s="3">
        <v>45362</v>
      </c>
      <c r="D10043" s="2"/>
      <c r="E10043" s="2"/>
      <c r="F10043" s="2"/>
      <c r="G10043" s="2">
        <f t="shared" si="156"/>
        <v>0</v>
      </c>
      <c r="H10043" t="s">
        <v>5</v>
      </c>
    </row>
    <row r="10044" spans="2:8" x14ac:dyDescent="0.2">
      <c r="B10044" s="3">
        <v>45362</v>
      </c>
      <c r="D10044" s="2"/>
      <c r="E10044" s="2"/>
      <c r="F10044" s="2"/>
      <c r="G10044" s="2">
        <f t="shared" si="156"/>
        <v>0</v>
      </c>
      <c r="H10044" s="1"/>
    </row>
    <row r="10045" spans="2:8" x14ac:dyDescent="0.2">
      <c r="B10045" s="3">
        <v>45362</v>
      </c>
      <c r="D10045" s="2"/>
      <c r="E10045" s="2"/>
      <c r="F10045" s="2"/>
      <c r="G10045" s="2">
        <f t="shared" si="156"/>
        <v>0</v>
      </c>
      <c r="H10045" t="s">
        <v>0</v>
      </c>
    </row>
    <row r="10046" spans="2:8" x14ac:dyDescent="0.2">
      <c r="B10046" s="3">
        <v>45363</v>
      </c>
      <c r="D10046" s="2"/>
      <c r="E10046" s="2"/>
      <c r="F10046" s="2"/>
      <c r="G10046" s="2">
        <f t="shared" si="156"/>
        <v>0</v>
      </c>
      <c r="H10046" t="s">
        <v>14</v>
      </c>
    </row>
    <row r="10047" spans="2:8" x14ac:dyDescent="0.2">
      <c r="B10047" s="3">
        <v>45363</v>
      </c>
      <c r="D10047" s="2"/>
      <c r="E10047" s="2"/>
      <c r="F10047" s="2"/>
      <c r="G10047" s="2">
        <f t="shared" si="156"/>
        <v>0</v>
      </c>
      <c r="H10047" t="s">
        <v>27</v>
      </c>
    </row>
    <row r="10048" spans="2:8" x14ac:dyDescent="0.2">
      <c r="B10048" s="3">
        <v>45363</v>
      </c>
      <c r="D10048" s="6"/>
      <c r="E10048" s="2"/>
      <c r="F10048" s="2"/>
      <c r="G10048" s="2">
        <f t="shared" si="156"/>
        <v>0</v>
      </c>
      <c r="H10048" t="s">
        <v>13</v>
      </c>
    </row>
    <row r="10049" spans="2:8" x14ac:dyDescent="0.2">
      <c r="B10049" s="3">
        <v>45363</v>
      </c>
      <c r="D10049" s="6"/>
      <c r="E10049" s="13"/>
      <c r="F10049" s="2"/>
      <c r="G10049" s="2">
        <f t="shared" si="156"/>
        <v>0</v>
      </c>
      <c r="H10049" t="s">
        <v>26</v>
      </c>
    </row>
    <row r="10050" spans="2:8" x14ac:dyDescent="0.2">
      <c r="B10050" s="3">
        <v>45363</v>
      </c>
      <c r="D10050" s="2"/>
      <c r="E10050" s="2"/>
      <c r="F10050" s="2"/>
      <c r="G10050" s="2">
        <f t="shared" si="156"/>
        <v>0</v>
      </c>
      <c r="H10050" t="s">
        <v>9</v>
      </c>
    </row>
    <row r="10051" spans="2:8" x14ac:dyDescent="0.2">
      <c r="B10051" s="3">
        <v>45363</v>
      </c>
      <c r="D10051" s="2"/>
      <c r="E10051" s="2"/>
      <c r="F10051" s="2"/>
      <c r="G10051" s="2">
        <f t="shared" ref="G10051:G10114" si="157">E10051-F10051</f>
        <v>0</v>
      </c>
      <c r="H10051" t="s">
        <v>8</v>
      </c>
    </row>
    <row r="10052" spans="2:8" x14ac:dyDescent="0.2">
      <c r="B10052" s="3">
        <v>45363</v>
      </c>
      <c r="D10052" s="2"/>
      <c r="E10052" s="2"/>
      <c r="F10052" s="2"/>
      <c r="G10052" s="2">
        <f t="shared" si="157"/>
        <v>0</v>
      </c>
      <c r="H10052" t="s">
        <v>5</v>
      </c>
    </row>
    <row r="10053" spans="2:8" x14ac:dyDescent="0.2">
      <c r="B10053" s="3">
        <v>45363</v>
      </c>
      <c r="D10053" s="2"/>
      <c r="E10053" s="2"/>
      <c r="F10053" s="2"/>
      <c r="G10053" s="2">
        <f t="shared" si="157"/>
        <v>0</v>
      </c>
      <c r="H10053" s="1"/>
    </row>
    <row r="10054" spans="2:8" x14ac:dyDescent="0.2">
      <c r="B10054" s="3">
        <v>45363</v>
      </c>
      <c r="D10054" s="2">
        <v>61832.955000000002</v>
      </c>
      <c r="E10054" s="2">
        <v>64186.695</v>
      </c>
      <c r="F10054" s="2"/>
      <c r="G10054" s="2">
        <f t="shared" si="157"/>
        <v>64186.695</v>
      </c>
      <c r="H10054" t="s">
        <v>0</v>
      </c>
    </row>
    <row r="10055" spans="2:8" x14ac:dyDescent="0.2">
      <c r="B10055" s="3">
        <v>45364</v>
      </c>
      <c r="D10055" s="2"/>
      <c r="E10055" s="2"/>
      <c r="F10055" s="2"/>
      <c r="G10055" s="2">
        <f t="shared" si="157"/>
        <v>0</v>
      </c>
      <c r="H10055" t="s">
        <v>14</v>
      </c>
    </row>
    <row r="10056" spans="2:8" x14ac:dyDescent="0.2">
      <c r="B10056" s="3">
        <v>45364</v>
      </c>
      <c r="D10056" s="2"/>
      <c r="E10056" s="2"/>
      <c r="F10056" s="2"/>
      <c r="G10056" s="2">
        <f t="shared" si="157"/>
        <v>0</v>
      </c>
      <c r="H10056" t="s">
        <v>27</v>
      </c>
    </row>
    <row r="10057" spans="2:8" x14ac:dyDescent="0.2">
      <c r="B10057" s="3">
        <v>45364</v>
      </c>
      <c r="D10057" s="6"/>
      <c r="E10057" s="2"/>
      <c r="F10057" s="2"/>
      <c r="G10057" s="2">
        <f t="shared" si="157"/>
        <v>0</v>
      </c>
      <c r="H10057" t="s">
        <v>13</v>
      </c>
    </row>
    <row r="10058" spans="2:8" x14ac:dyDescent="0.2">
      <c r="B10058" s="3">
        <v>45364</v>
      </c>
      <c r="D10058" s="6"/>
      <c r="E10058" s="2"/>
      <c r="F10058" s="2"/>
      <c r="G10058" s="2">
        <f t="shared" si="157"/>
        <v>0</v>
      </c>
      <c r="H10058" t="s">
        <v>26</v>
      </c>
    </row>
    <row r="10059" spans="2:8" x14ac:dyDescent="0.2">
      <c r="B10059" s="3">
        <v>45364</v>
      </c>
      <c r="D10059" s="2"/>
      <c r="E10059" s="2"/>
      <c r="F10059" s="2"/>
      <c r="G10059" s="2">
        <f t="shared" si="157"/>
        <v>0</v>
      </c>
      <c r="H10059" t="s">
        <v>9</v>
      </c>
    </row>
    <row r="10060" spans="2:8" x14ac:dyDescent="0.2">
      <c r="B10060" s="3">
        <v>45364</v>
      </c>
      <c r="D10060" s="2"/>
      <c r="E10060" s="2"/>
      <c r="F10060" s="2"/>
      <c r="G10060" s="2">
        <f t="shared" si="157"/>
        <v>0</v>
      </c>
      <c r="H10060" t="s">
        <v>8</v>
      </c>
    </row>
    <row r="10061" spans="2:8" x14ac:dyDescent="0.2">
      <c r="B10061" s="3">
        <v>45364</v>
      </c>
      <c r="D10061" s="2"/>
      <c r="E10061" s="2"/>
      <c r="F10061" s="2"/>
      <c r="G10061" s="2">
        <f t="shared" si="157"/>
        <v>0</v>
      </c>
      <c r="H10061" t="s">
        <v>5</v>
      </c>
    </row>
    <row r="10062" spans="2:8" x14ac:dyDescent="0.2">
      <c r="B10062" s="3">
        <v>45364</v>
      </c>
      <c r="D10062" s="2"/>
      <c r="E10062" s="2"/>
      <c r="F10062" s="2"/>
      <c r="G10062" s="2">
        <f t="shared" si="157"/>
        <v>0</v>
      </c>
      <c r="H10062" s="1"/>
    </row>
    <row r="10063" spans="2:8" x14ac:dyDescent="0.2">
      <c r="B10063" s="3">
        <v>45364</v>
      </c>
      <c r="D10063" s="2"/>
      <c r="E10063" s="2"/>
      <c r="F10063" s="2"/>
      <c r="G10063" s="2">
        <f t="shared" si="157"/>
        <v>0</v>
      </c>
      <c r="H10063" t="s">
        <v>0</v>
      </c>
    </row>
    <row r="10064" spans="2:8" x14ac:dyDescent="0.2">
      <c r="B10064" s="3">
        <v>45365</v>
      </c>
      <c r="D10064" s="2"/>
      <c r="E10064" s="2"/>
      <c r="F10064" s="2"/>
      <c r="G10064" s="2">
        <f t="shared" si="157"/>
        <v>0</v>
      </c>
      <c r="H10064" t="s">
        <v>14</v>
      </c>
    </row>
    <row r="10065" spans="2:8" x14ac:dyDescent="0.2">
      <c r="B10065" s="3">
        <v>45365</v>
      </c>
      <c r="D10065" s="2"/>
      <c r="E10065" s="2"/>
      <c r="F10065" s="2"/>
      <c r="G10065" s="2">
        <f t="shared" si="157"/>
        <v>0</v>
      </c>
      <c r="H10065" t="s">
        <v>27</v>
      </c>
    </row>
    <row r="10066" spans="2:8" x14ac:dyDescent="0.2">
      <c r="B10066" s="3">
        <v>45365</v>
      </c>
      <c r="D10066" s="6"/>
      <c r="E10066" s="2"/>
      <c r="F10066" s="2"/>
      <c r="G10066" s="2">
        <f t="shared" si="157"/>
        <v>0</v>
      </c>
      <c r="H10066" t="s">
        <v>13</v>
      </c>
    </row>
    <row r="10067" spans="2:8" x14ac:dyDescent="0.2">
      <c r="B10067" s="3">
        <v>45365</v>
      </c>
      <c r="D10067" s="6"/>
      <c r="E10067" s="2"/>
      <c r="F10067" s="2"/>
      <c r="G10067" s="2">
        <f t="shared" si="157"/>
        <v>0</v>
      </c>
      <c r="H10067" t="s">
        <v>26</v>
      </c>
    </row>
    <row r="10068" spans="2:8" x14ac:dyDescent="0.2">
      <c r="B10068" s="3">
        <v>45365</v>
      </c>
      <c r="D10068" s="2"/>
      <c r="E10068" s="2"/>
      <c r="F10068" s="2"/>
      <c r="G10068" s="2">
        <f t="shared" si="157"/>
        <v>0</v>
      </c>
      <c r="H10068" t="s">
        <v>9</v>
      </c>
    </row>
    <row r="10069" spans="2:8" x14ac:dyDescent="0.2">
      <c r="B10069" s="3">
        <v>45365</v>
      </c>
      <c r="D10069" s="2"/>
      <c r="E10069" s="2"/>
      <c r="F10069" s="2"/>
      <c r="G10069" s="2">
        <f t="shared" si="157"/>
        <v>0</v>
      </c>
      <c r="H10069" t="s">
        <v>8</v>
      </c>
    </row>
    <row r="10070" spans="2:8" x14ac:dyDescent="0.2">
      <c r="B10070" s="3">
        <v>45365</v>
      </c>
      <c r="D10070" s="2"/>
      <c r="E10070" s="2"/>
      <c r="F10070" s="2"/>
      <c r="G10070" s="2">
        <f t="shared" si="157"/>
        <v>0</v>
      </c>
      <c r="H10070" t="s">
        <v>5</v>
      </c>
    </row>
    <row r="10071" spans="2:8" x14ac:dyDescent="0.2">
      <c r="B10071" s="3">
        <v>45365</v>
      </c>
      <c r="D10071" s="2"/>
      <c r="E10071" s="2"/>
      <c r="F10071" s="2"/>
      <c r="G10071" s="2">
        <f t="shared" si="157"/>
        <v>0</v>
      </c>
      <c r="H10071" s="1"/>
    </row>
    <row r="10072" spans="2:8" x14ac:dyDescent="0.2">
      <c r="B10072" s="3">
        <v>45365</v>
      </c>
      <c r="D10072" s="2"/>
      <c r="E10072" s="2"/>
      <c r="F10072" s="2"/>
      <c r="G10072" s="2">
        <f t="shared" si="157"/>
        <v>0</v>
      </c>
      <c r="H10072" t="s">
        <v>0</v>
      </c>
    </row>
    <row r="10073" spans="2:8" x14ac:dyDescent="0.2">
      <c r="B10073" s="3">
        <v>45366</v>
      </c>
      <c r="D10073" s="2"/>
      <c r="E10073" s="2"/>
      <c r="F10073" s="2"/>
      <c r="G10073" s="2">
        <f t="shared" si="157"/>
        <v>0</v>
      </c>
      <c r="H10073" t="s">
        <v>14</v>
      </c>
    </row>
    <row r="10074" spans="2:8" x14ac:dyDescent="0.2">
      <c r="B10074" s="3">
        <v>45366</v>
      </c>
      <c r="D10074" s="2"/>
      <c r="E10074" s="2"/>
      <c r="F10074" s="2"/>
      <c r="G10074" s="2">
        <f t="shared" si="157"/>
        <v>0</v>
      </c>
      <c r="H10074" t="s">
        <v>27</v>
      </c>
    </row>
    <row r="10075" spans="2:8" x14ac:dyDescent="0.2">
      <c r="B10075" s="3">
        <v>45366</v>
      </c>
      <c r="D10075" s="6"/>
      <c r="E10075" s="2"/>
      <c r="F10075" s="2"/>
      <c r="G10075" s="2">
        <f t="shared" si="157"/>
        <v>0</v>
      </c>
      <c r="H10075" t="s">
        <v>13</v>
      </c>
    </row>
    <row r="10076" spans="2:8" x14ac:dyDescent="0.2">
      <c r="B10076" s="3">
        <v>45366</v>
      </c>
      <c r="D10076" s="6">
        <v>6800</v>
      </c>
      <c r="E10076" s="2">
        <v>7500</v>
      </c>
      <c r="F10076" s="2">
        <v>7500</v>
      </c>
      <c r="G10076" s="2">
        <f t="shared" si="157"/>
        <v>0</v>
      </c>
      <c r="H10076" t="s">
        <v>26</v>
      </c>
    </row>
    <row r="10077" spans="2:8" x14ac:dyDescent="0.2">
      <c r="B10077" s="3">
        <v>45366</v>
      </c>
      <c r="D10077" s="2"/>
      <c r="E10077" s="2"/>
      <c r="F10077" s="2"/>
      <c r="G10077" s="2">
        <f t="shared" si="157"/>
        <v>0</v>
      </c>
      <c r="H10077" t="s">
        <v>9</v>
      </c>
    </row>
    <row r="10078" spans="2:8" x14ac:dyDescent="0.2">
      <c r="B10078" s="3">
        <v>45366</v>
      </c>
      <c r="D10078" s="2"/>
      <c r="E10078" s="2"/>
      <c r="F10078" s="2"/>
      <c r="G10078" s="2">
        <f t="shared" si="157"/>
        <v>0</v>
      </c>
      <c r="H10078" t="s">
        <v>8</v>
      </c>
    </row>
    <row r="10079" spans="2:8" x14ac:dyDescent="0.2">
      <c r="B10079" s="3">
        <v>45366</v>
      </c>
      <c r="D10079" s="2"/>
      <c r="E10079" s="2"/>
      <c r="F10079" s="2"/>
      <c r="G10079" s="2">
        <f t="shared" si="157"/>
        <v>0</v>
      </c>
      <c r="H10079" t="s">
        <v>5</v>
      </c>
    </row>
    <row r="10080" spans="2:8" x14ac:dyDescent="0.2">
      <c r="B10080" s="3">
        <v>45366</v>
      </c>
      <c r="D10080" s="2"/>
      <c r="E10080" s="2"/>
      <c r="F10080" s="2"/>
      <c r="G10080" s="2">
        <f t="shared" si="157"/>
        <v>0</v>
      </c>
      <c r="H10080" s="1"/>
    </row>
    <row r="10081" spans="2:8" x14ac:dyDescent="0.2">
      <c r="B10081" s="3">
        <v>45366</v>
      </c>
      <c r="D10081" s="2"/>
      <c r="E10081" s="2"/>
      <c r="F10081" s="2"/>
      <c r="G10081" s="2">
        <f t="shared" si="157"/>
        <v>0</v>
      </c>
      <c r="H10081" t="s">
        <v>0</v>
      </c>
    </row>
    <row r="10082" spans="2:8" x14ac:dyDescent="0.2">
      <c r="B10082" s="3">
        <v>45367</v>
      </c>
      <c r="D10082" s="2"/>
      <c r="E10082" s="2"/>
      <c r="F10082" s="2"/>
      <c r="G10082" s="2">
        <f t="shared" si="157"/>
        <v>0</v>
      </c>
      <c r="H10082" t="s">
        <v>14</v>
      </c>
    </row>
    <row r="10083" spans="2:8" x14ac:dyDescent="0.2">
      <c r="B10083" s="3">
        <v>45367</v>
      </c>
      <c r="D10083" s="2"/>
      <c r="E10083" s="2"/>
      <c r="F10083" s="2"/>
      <c r="G10083" s="2">
        <f t="shared" si="157"/>
        <v>0</v>
      </c>
      <c r="H10083" t="s">
        <v>27</v>
      </c>
    </row>
    <row r="10084" spans="2:8" x14ac:dyDescent="0.2">
      <c r="B10084" s="3">
        <v>45367</v>
      </c>
      <c r="D10084" s="6"/>
      <c r="E10084" s="2"/>
      <c r="F10084" s="2"/>
      <c r="G10084" s="2">
        <f t="shared" si="157"/>
        <v>0</v>
      </c>
      <c r="H10084" t="s">
        <v>13</v>
      </c>
    </row>
    <row r="10085" spans="2:8" x14ac:dyDescent="0.2">
      <c r="B10085" s="3">
        <v>45367</v>
      </c>
      <c r="D10085" s="6"/>
      <c r="E10085" s="2"/>
      <c r="F10085" s="2"/>
      <c r="G10085" s="2">
        <f t="shared" si="157"/>
        <v>0</v>
      </c>
      <c r="H10085" t="s">
        <v>26</v>
      </c>
    </row>
    <row r="10086" spans="2:8" x14ac:dyDescent="0.2">
      <c r="B10086" s="3">
        <v>45367</v>
      </c>
      <c r="D10086" s="2"/>
      <c r="E10086" s="2"/>
      <c r="F10086" s="2"/>
      <c r="G10086" s="2">
        <f t="shared" si="157"/>
        <v>0</v>
      </c>
      <c r="H10086" t="s">
        <v>9</v>
      </c>
    </row>
    <row r="10087" spans="2:8" x14ac:dyDescent="0.2">
      <c r="B10087" s="3">
        <v>45367</v>
      </c>
      <c r="D10087" s="2"/>
      <c r="E10087" s="2"/>
      <c r="F10087" s="2">
        <v>10000</v>
      </c>
      <c r="G10087" s="2">
        <f t="shared" si="157"/>
        <v>-10000</v>
      </c>
      <c r="H10087" t="s">
        <v>8</v>
      </c>
    </row>
    <row r="10088" spans="2:8" x14ac:dyDescent="0.2">
      <c r="B10088" s="3">
        <v>45367</v>
      </c>
      <c r="D10088" s="2"/>
      <c r="E10088" s="2"/>
      <c r="F10088" s="2"/>
      <c r="G10088" s="2">
        <f t="shared" si="157"/>
        <v>0</v>
      </c>
      <c r="H10088" t="s">
        <v>5</v>
      </c>
    </row>
    <row r="10089" spans="2:8" x14ac:dyDescent="0.2">
      <c r="B10089" s="3">
        <v>45367</v>
      </c>
      <c r="D10089" s="2"/>
      <c r="E10089" s="2"/>
      <c r="F10089" s="2"/>
      <c r="G10089" s="2">
        <f t="shared" si="157"/>
        <v>0</v>
      </c>
      <c r="H10089" s="1"/>
    </row>
    <row r="10090" spans="2:8" x14ac:dyDescent="0.2">
      <c r="B10090" s="3">
        <v>45367</v>
      </c>
      <c r="D10090" s="2"/>
      <c r="E10090" s="2"/>
      <c r="F10090" s="2"/>
      <c r="G10090" s="2">
        <f t="shared" si="157"/>
        <v>0</v>
      </c>
      <c r="H10090" t="s">
        <v>0</v>
      </c>
    </row>
    <row r="10091" spans="2:8" x14ac:dyDescent="0.2">
      <c r="B10091" s="3">
        <v>45368</v>
      </c>
      <c r="D10091" s="2"/>
      <c r="E10091" s="2"/>
      <c r="F10091" s="2"/>
      <c r="G10091" s="2">
        <f t="shared" si="157"/>
        <v>0</v>
      </c>
      <c r="H10091" t="s">
        <v>14</v>
      </c>
    </row>
    <row r="10092" spans="2:8" x14ac:dyDescent="0.2">
      <c r="B10092" s="3">
        <v>45368</v>
      </c>
      <c r="D10092" s="2"/>
      <c r="E10092" s="2"/>
      <c r="F10092" s="2"/>
      <c r="G10092" s="2">
        <f t="shared" si="157"/>
        <v>0</v>
      </c>
      <c r="H10092" t="s">
        <v>27</v>
      </c>
    </row>
    <row r="10093" spans="2:8" x14ac:dyDescent="0.2">
      <c r="B10093" s="3">
        <v>45368</v>
      </c>
      <c r="D10093" s="6"/>
      <c r="E10093" s="2"/>
      <c r="F10093" s="2"/>
      <c r="G10093" s="2">
        <f t="shared" si="157"/>
        <v>0</v>
      </c>
      <c r="H10093" t="s">
        <v>13</v>
      </c>
    </row>
    <row r="10094" spans="2:8" x14ac:dyDescent="0.2">
      <c r="B10094" s="3">
        <v>45368</v>
      </c>
      <c r="D10094" s="6"/>
      <c r="E10094" s="2"/>
      <c r="F10094" s="2"/>
      <c r="G10094" s="2">
        <f t="shared" si="157"/>
        <v>0</v>
      </c>
      <c r="H10094" t="s">
        <v>26</v>
      </c>
    </row>
    <row r="10095" spans="2:8" x14ac:dyDescent="0.2">
      <c r="B10095" s="3">
        <v>45368</v>
      </c>
      <c r="D10095" s="2"/>
      <c r="E10095" s="2"/>
      <c r="F10095" s="2"/>
      <c r="G10095" s="2">
        <f t="shared" si="157"/>
        <v>0</v>
      </c>
      <c r="H10095" t="s">
        <v>9</v>
      </c>
    </row>
    <row r="10096" spans="2:8" x14ac:dyDescent="0.2">
      <c r="B10096" s="3">
        <v>45368</v>
      </c>
      <c r="D10096" s="2"/>
      <c r="E10096" s="2"/>
      <c r="F10096" s="2"/>
      <c r="G10096" s="2">
        <f t="shared" si="157"/>
        <v>0</v>
      </c>
      <c r="H10096" t="s">
        <v>8</v>
      </c>
    </row>
    <row r="10097" spans="2:8" x14ac:dyDescent="0.2">
      <c r="B10097" s="3">
        <v>45368</v>
      </c>
      <c r="D10097" s="2"/>
      <c r="E10097" s="2"/>
      <c r="F10097" s="2"/>
      <c r="G10097" s="2">
        <f t="shared" si="157"/>
        <v>0</v>
      </c>
      <c r="H10097" t="s">
        <v>5</v>
      </c>
    </row>
    <row r="10098" spans="2:8" x14ac:dyDescent="0.2">
      <c r="B10098" s="3">
        <v>45368</v>
      </c>
      <c r="D10098" s="2"/>
      <c r="E10098" s="2"/>
      <c r="F10098" s="2"/>
      <c r="G10098" s="2">
        <f t="shared" si="157"/>
        <v>0</v>
      </c>
      <c r="H10098" s="1"/>
    </row>
    <row r="10099" spans="2:8" x14ac:dyDescent="0.2">
      <c r="B10099" s="3">
        <v>45368</v>
      </c>
      <c r="D10099" s="2">
        <v>141136.84</v>
      </c>
      <c r="E10099" s="2">
        <v>145564.23000000001</v>
      </c>
      <c r="F10099" s="2"/>
      <c r="G10099" s="2">
        <f t="shared" si="157"/>
        <v>145564.23000000001</v>
      </c>
      <c r="H10099" t="s">
        <v>0</v>
      </c>
    </row>
    <row r="10100" spans="2:8" x14ac:dyDescent="0.2">
      <c r="B10100" s="3">
        <v>45369</v>
      </c>
      <c r="D10100" s="2"/>
      <c r="E10100" s="2"/>
      <c r="F10100" s="2"/>
      <c r="G10100" s="2">
        <f t="shared" si="157"/>
        <v>0</v>
      </c>
      <c r="H10100" t="s">
        <v>14</v>
      </c>
    </row>
    <row r="10101" spans="2:8" x14ac:dyDescent="0.2">
      <c r="B10101" s="3">
        <v>45369</v>
      </c>
      <c r="D10101" s="2"/>
      <c r="E10101" s="2"/>
      <c r="F10101" s="2"/>
      <c r="G10101" s="2">
        <f t="shared" si="157"/>
        <v>0</v>
      </c>
      <c r="H10101" t="s">
        <v>27</v>
      </c>
    </row>
    <row r="10102" spans="2:8" x14ac:dyDescent="0.2">
      <c r="B10102" s="3">
        <v>45369</v>
      </c>
      <c r="D10102" s="6"/>
      <c r="E10102" s="2"/>
      <c r="F10102" s="2"/>
      <c r="G10102" s="2">
        <f t="shared" si="157"/>
        <v>0</v>
      </c>
      <c r="H10102" t="s">
        <v>13</v>
      </c>
    </row>
    <row r="10103" spans="2:8" x14ac:dyDescent="0.2">
      <c r="B10103" s="3">
        <v>45369</v>
      </c>
      <c r="D10103" s="6"/>
      <c r="E10103" s="2"/>
      <c r="F10103" s="2"/>
      <c r="G10103" s="2">
        <f t="shared" si="157"/>
        <v>0</v>
      </c>
      <c r="H10103" t="s">
        <v>26</v>
      </c>
    </row>
    <row r="10104" spans="2:8" x14ac:dyDescent="0.2">
      <c r="B10104" s="3">
        <v>45369</v>
      </c>
      <c r="D10104" s="2"/>
      <c r="E10104" s="2"/>
      <c r="F10104" s="2"/>
      <c r="G10104" s="2">
        <f t="shared" si="157"/>
        <v>0</v>
      </c>
      <c r="H10104" t="s">
        <v>9</v>
      </c>
    </row>
    <row r="10105" spans="2:8" x14ac:dyDescent="0.2">
      <c r="B10105" s="3">
        <v>45369</v>
      </c>
      <c r="D10105" s="2"/>
      <c r="E10105" s="2"/>
      <c r="F10105" s="2"/>
      <c r="G10105" s="2">
        <f t="shared" si="157"/>
        <v>0</v>
      </c>
      <c r="H10105" t="s">
        <v>8</v>
      </c>
    </row>
    <row r="10106" spans="2:8" x14ac:dyDescent="0.2">
      <c r="B10106" s="3">
        <v>45369</v>
      </c>
      <c r="D10106" s="2"/>
      <c r="E10106" s="2"/>
      <c r="F10106" s="2"/>
      <c r="G10106" s="2">
        <f t="shared" si="157"/>
        <v>0</v>
      </c>
      <c r="H10106" t="s">
        <v>5</v>
      </c>
    </row>
    <row r="10107" spans="2:8" x14ac:dyDescent="0.2">
      <c r="B10107" s="3">
        <v>45369</v>
      </c>
      <c r="D10107" s="2"/>
      <c r="E10107" s="2"/>
      <c r="F10107" s="2"/>
      <c r="G10107" s="2">
        <f t="shared" si="157"/>
        <v>0</v>
      </c>
      <c r="H10107" s="1"/>
    </row>
    <row r="10108" spans="2:8" x14ac:dyDescent="0.2">
      <c r="B10108" s="3">
        <v>45369</v>
      </c>
      <c r="D10108" s="2">
        <v>6200</v>
      </c>
      <c r="E10108" s="2">
        <v>7500</v>
      </c>
      <c r="F10108" s="2">
        <v>40000</v>
      </c>
      <c r="G10108" s="2">
        <f t="shared" si="157"/>
        <v>-32500</v>
      </c>
      <c r="H10108" t="s">
        <v>0</v>
      </c>
    </row>
    <row r="10109" spans="2:8" x14ac:dyDescent="0.2">
      <c r="B10109" s="3">
        <v>45370</v>
      </c>
      <c r="D10109" s="2"/>
      <c r="E10109" s="2"/>
      <c r="F10109" s="2"/>
      <c r="G10109" s="2">
        <f t="shared" si="157"/>
        <v>0</v>
      </c>
      <c r="H10109" t="s">
        <v>14</v>
      </c>
    </row>
    <row r="10110" spans="2:8" x14ac:dyDescent="0.2">
      <c r="B10110" s="3">
        <v>45370</v>
      </c>
      <c r="D10110" s="2"/>
      <c r="E10110" s="2"/>
      <c r="F10110" s="2"/>
      <c r="G10110" s="2">
        <f t="shared" si="157"/>
        <v>0</v>
      </c>
      <c r="H10110" t="s">
        <v>27</v>
      </c>
    </row>
    <row r="10111" spans="2:8" x14ac:dyDescent="0.2">
      <c r="B10111" s="3">
        <v>45370</v>
      </c>
      <c r="D10111" s="6"/>
      <c r="E10111" s="2"/>
      <c r="F10111" s="2"/>
      <c r="G10111" s="2">
        <f t="shared" si="157"/>
        <v>0</v>
      </c>
      <c r="H10111" t="s">
        <v>13</v>
      </c>
    </row>
    <row r="10112" spans="2:8" x14ac:dyDescent="0.2">
      <c r="B10112" s="3">
        <v>45370</v>
      </c>
      <c r="D10112" s="6"/>
      <c r="E10112" s="2"/>
      <c r="F10112" s="2"/>
      <c r="G10112" s="2">
        <f t="shared" si="157"/>
        <v>0</v>
      </c>
      <c r="H10112" t="s">
        <v>26</v>
      </c>
    </row>
    <row r="10113" spans="2:8" x14ac:dyDescent="0.2">
      <c r="B10113" s="3">
        <v>45370</v>
      </c>
      <c r="D10113" s="2"/>
      <c r="E10113" s="2"/>
      <c r="F10113" s="2"/>
      <c r="G10113" s="2">
        <f t="shared" si="157"/>
        <v>0</v>
      </c>
      <c r="H10113" t="s">
        <v>9</v>
      </c>
    </row>
    <row r="10114" spans="2:8" x14ac:dyDescent="0.2">
      <c r="B10114" s="3">
        <v>45370</v>
      </c>
      <c r="D10114" s="2"/>
      <c r="E10114" s="2"/>
      <c r="F10114" s="2"/>
      <c r="G10114" s="2">
        <f t="shared" si="157"/>
        <v>0</v>
      </c>
      <c r="H10114" t="s">
        <v>8</v>
      </c>
    </row>
    <row r="10115" spans="2:8" x14ac:dyDescent="0.2">
      <c r="B10115" s="3">
        <v>45370</v>
      </c>
      <c r="D10115" s="2"/>
      <c r="E10115" s="2"/>
      <c r="F10115" s="2"/>
      <c r="G10115" s="2">
        <f t="shared" ref="G10115:G10178" si="158">E10115-F10115</f>
        <v>0</v>
      </c>
      <c r="H10115" t="s">
        <v>5</v>
      </c>
    </row>
    <row r="10116" spans="2:8" x14ac:dyDescent="0.2">
      <c r="B10116" s="3">
        <v>45370</v>
      </c>
      <c r="D10116" s="2"/>
      <c r="E10116" s="2"/>
      <c r="F10116" s="2"/>
      <c r="G10116" s="2">
        <f t="shared" si="158"/>
        <v>0</v>
      </c>
      <c r="H10116" s="1"/>
    </row>
    <row r="10117" spans="2:8" x14ac:dyDescent="0.2">
      <c r="B10117" s="3">
        <v>45370</v>
      </c>
      <c r="D10117" s="2"/>
      <c r="E10117" s="2"/>
      <c r="F10117" s="2"/>
      <c r="G10117" s="2">
        <f t="shared" si="158"/>
        <v>0</v>
      </c>
      <c r="H10117" t="s">
        <v>0</v>
      </c>
    </row>
    <row r="10118" spans="2:8" x14ac:dyDescent="0.2">
      <c r="B10118" s="3">
        <v>45371</v>
      </c>
      <c r="D10118" s="2">
        <v>336</v>
      </c>
      <c r="E10118" s="2">
        <v>1600</v>
      </c>
      <c r="F10118" s="2">
        <v>10000</v>
      </c>
      <c r="G10118" s="2">
        <f t="shared" si="158"/>
        <v>-8400</v>
      </c>
      <c r="H10118" t="s">
        <v>14</v>
      </c>
    </row>
    <row r="10119" spans="2:8" x14ac:dyDescent="0.2">
      <c r="B10119" s="3">
        <v>45371</v>
      </c>
      <c r="D10119" s="2"/>
      <c r="E10119" s="2"/>
      <c r="F10119" s="2"/>
      <c r="G10119" s="2">
        <f t="shared" si="158"/>
        <v>0</v>
      </c>
      <c r="H10119" t="s">
        <v>27</v>
      </c>
    </row>
    <row r="10120" spans="2:8" x14ac:dyDescent="0.2">
      <c r="B10120" s="3">
        <v>45371</v>
      </c>
      <c r="D10120" s="6"/>
      <c r="E10120" s="2"/>
      <c r="F10120" s="2"/>
      <c r="G10120" s="2">
        <f t="shared" si="158"/>
        <v>0</v>
      </c>
      <c r="H10120" t="s">
        <v>13</v>
      </c>
    </row>
    <row r="10121" spans="2:8" x14ac:dyDescent="0.2">
      <c r="B10121" s="3">
        <v>45371</v>
      </c>
      <c r="D10121" s="6"/>
      <c r="E10121" s="2"/>
      <c r="F10121" s="2"/>
      <c r="G10121" s="2">
        <f t="shared" si="158"/>
        <v>0</v>
      </c>
      <c r="H10121" t="s">
        <v>26</v>
      </c>
    </row>
    <row r="10122" spans="2:8" x14ac:dyDescent="0.2">
      <c r="B10122" s="3">
        <v>45371</v>
      </c>
      <c r="D10122" s="2"/>
      <c r="E10122" s="2"/>
      <c r="F10122" s="2"/>
      <c r="G10122" s="2">
        <f t="shared" si="158"/>
        <v>0</v>
      </c>
      <c r="H10122" t="s">
        <v>9</v>
      </c>
    </row>
    <row r="10123" spans="2:8" x14ac:dyDescent="0.2">
      <c r="B10123" s="3">
        <v>45371</v>
      </c>
      <c r="D10123" s="2">
        <v>34570</v>
      </c>
      <c r="E10123" s="2">
        <v>39410</v>
      </c>
      <c r="F10123" s="2"/>
      <c r="G10123" s="2">
        <f t="shared" si="158"/>
        <v>39410</v>
      </c>
      <c r="H10123" t="s">
        <v>8</v>
      </c>
    </row>
    <row r="10124" spans="2:8" x14ac:dyDescent="0.2">
      <c r="B10124" s="3">
        <v>45371</v>
      </c>
      <c r="D10124" s="2"/>
      <c r="E10124" s="2"/>
      <c r="F10124" s="2"/>
      <c r="G10124" s="2">
        <f t="shared" si="158"/>
        <v>0</v>
      </c>
      <c r="H10124" t="s">
        <v>5</v>
      </c>
    </row>
    <row r="10125" spans="2:8" x14ac:dyDescent="0.2">
      <c r="B10125" s="3">
        <v>45371</v>
      </c>
      <c r="D10125" s="2"/>
      <c r="E10125" s="2"/>
      <c r="F10125" s="2"/>
      <c r="G10125" s="2">
        <f t="shared" si="158"/>
        <v>0</v>
      </c>
      <c r="H10125" s="1"/>
    </row>
    <row r="10126" spans="2:8" x14ac:dyDescent="0.2">
      <c r="B10126" s="3">
        <v>45371</v>
      </c>
      <c r="D10126" s="2"/>
      <c r="E10126" s="2"/>
      <c r="F10126" s="2"/>
      <c r="G10126" s="2">
        <f t="shared" si="158"/>
        <v>0</v>
      </c>
      <c r="H10126" t="s">
        <v>0</v>
      </c>
    </row>
    <row r="10127" spans="2:8" x14ac:dyDescent="0.2">
      <c r="B10127" s="3">
        <v>45372</v>
      </c>
      <c r="D10127" s="2"/>
      <c r="E10127" s="2"/>
      <c r="F10127" s="2"/>
      <c r="G10127" s="2">
        <f t="shared" si="158"/>
        <v>0</v>
      </c>
      <c r="H10127" t="s">
        <v>14</v>
      </c>
    </row>
    <row r="10128" spans="2:8" x14ac:dyDescent="0.2">
      <c r="B10128" s="3">
        <v>45372</v>
      </c>
      <c r="D10128" s="2"/>
      <c r="E10128" s="2"/>
      <c r="F10128" s="2"/>
      <c r="G10128" s="2">
        <f t="shared" si="158"/>
        <v>0</v>
      </c>
      <c r="H10128" t="s">
        <v>27</v>
      </c>
    </row>
    <row r="10129" spans="2:8" x14ac:dyDescent="0.2">
      <c r="B10129" s="3">
        <v>45372</v>
      </c>
      <c r="D10129" s="6"/>
      <c r="E10129" s="2"/>
      <c r="F10129" s="2"/>
      <c r="G10129" s="2">
        <f t="shared" si="158"/>
        <v>0</v>
      </c>
      <c r="H10129" t="s">
        <v>13</v>
      </c>
    </row>
    <row r="10130" spans="2:8" x14ac:dyDescent="0.2">
      <c r="B10130" s="3">
        <v>45372</v>
      </c>
      <c r="D10130" s="6"/>
      <c r="E10130" s="2"/>
      <c r="F10130" s="2"/>
      <c r="G10130" s="2">
        <f t="shared" si="158"/>
        <v>0</v>
      </c>
      <c r="H10130" t="s">
        <v>26</v>
      </c>
    </row>
    <row r="10131" spans="2:8" x14ac:dyDescent="0.2">
      <c r="B10131" s="3">
        <v>45372</v>
      </c>
      <c r="D10131" s="2"/>
      <c r="E10131" s="2"/>
      <c r="F10131" s="2"/>
      <c r="G10131" s="2">
        <f t="shared" si="158"/>
        <v>0</v>
      </c>
      <c r="H10131" t="s">
        <v>9</v>
      </c>
    </row>
    <row r="10132" spans="2:8" x14ac:dyDescent="0.2">
      <c r="B10132" s="3">
        <v>45372</v>
      </c>
      <c r="D10132" s="2"/>
      <c r="E10132" s="2"/>
      <c r="F10132" s="2"/>
      <c r="G10132" s="2">
        <f t="shared" si="158"/>
        <v>0</v>
      </c>
      <c r="H10132" t="s">
        <v>8</v>
      </c>
    </row>
    <row r="10133" spans="2:8" x14ac:dyDescent="0.2">
      <c r="B10133" s="3">
        <v>45372</v>
      </c>
      <c r="D10133" s="2"/>
      <c r="E10133" s="2"/>
      <c r="F10133" s="2"/>
      <c r="G10133" s="2">
        <f t="shared" si="158"/>
        <v>0</v>
      </c>
      <c r="H10133" t="s">
        <v>5</v>
      </c>
    </row>
    <row r="10134" spans="2:8" x14ac:dyDescent="0.2">
      <c r="B10134" s="3">
        <v>45372</v>
      </c>
      <c r="D10134" s="2"/>
      <c r="E10134" s="2"/>
      <c r="F10134" s="2"/>
      <c r="G10134" s="2">
        <f t="shared" si="158"/>
        <v>0</v>
      </c>
      <c r="H10134" s="1"/>
    </row>
    <row r="10135" spans="2:8" x14ac:dyDescent="0.2">
      <c r="B10135" s="3">
        <v>45372</v>
      </c>
      <c r="D10135" s="2"/>
      <c r="E10135" s="2"/>
      <c r="F10135" s="2"/>
      <c r="G10135" s="2">
        <f t="shared" si="158"/>
        <v>0</v>
      </c>
      <c r="H10135" t="s">
        <v>0</v>
      </c>
    </row>
    <row r="10136" spans="2:8" x14ac:dyDescent="0.2">
      <c r="B10136" s="3">
        <v>45373</v>
      </c>
      <c r="D10136" s="2">
        <v>4200</v>
      </c>
      <c r="E10136" s="2">
        <v>5000</v>
      </c>
      <c r="F10136" s="2"/>
      <c r="G10136" s="2">
        <f t="shared" si="158"/>
        <v>5000</v>
      </c>
      <c r="H10136" t="s">
        <v>14</v>
      </c>
    </row>
    <row r="10137" spans="2:8" x14ac:dyDescent="0.2">
      <c r="B10137" s="3">
        <v>45373</v>
      </c>
      <c r="D10137" s="2"/>
      <c r="E10137" s="2"/>
      <c r="F10137" s="2"/>
      <c r="G10137" s="2">
        <f t="shared" si="158"/>
        <v>0</v>
      </c>
      <c r="H10137" t="s">
        <v>27</v>
      </c>
    </row>
    <row r="10138" spans="2:8" x14ac:dyDescent="0.2">
      <c r="B10138" s="3">
        <v>45373</v>
      </c>
      <c r="D10138" s="6"/>
      <c r="E10138" s="2"/>
      <c r="F10138" s="2"/>
      <c r="G10138" s="2">
        <f t="shared" si="158"/>
        <v>0</v>
      </c>
      <c r="H10138" t="s">
        <v>13</v>
      </c>
    </row>
    <row r="10139" spans="2:8" x14ac:dyDescent="0.2">
      <c r="B10139" s="3">
        <v>45373</v>
      </c>
      <c r="D10139" s="6"/>
      <c r="E10139" s="2"/>
      <c r="F10139" s="2"/>
      <c r="G10139" s="2">
        <f t="shared" si="158"/>
        <v>0</v>
      </c>
      <c r="H10139" t="s">
        <v>26</v>
      </c>
    </row>
    <row r="10140" spans="2:8" x14ac:dyDescent="0.2">
      <c r="B10140" s="3">
        <v>45373</v>
      </c>
      <c r="D10140" s="2"/>
      <c r="E10140" s="2"/>
      <c r="F10140" s="2"/>
      <c r="G10140" s="2">
        <f t="shared" si="158"/>
        <v>0</v>
      </c>
      <c r="H10140" t="s">
        <v>9</v>
      </c>
    </row>
    <row r="10141" spans="2:8" x14ac:dyDescent="0.2">
      <c r="B10141" s="3">
        <v>45373</v>
      </c>
      <c r="D10141" s="2"/>
      <c r="E10141" s="2"/>
      <c r="F10141" s="2"/>
      <c r="G10141" s="2">
        <f t="shared" si="158"/>
        <v>0</v>
      </c>
      <c r="H10141" t="s">
        <v>8</v>
      </c>
    </row>
    <row r="10142" spans="2:8" x14ac:dyDescent="0.2">
      <c r="B10142" s="3">
        <v>45373</v>
      </c>
      <c r="D10142" s="2"/>
      <c r="E10142" s="2"/>
      <c r="F10142" s="2"/>
      <c r="G10142" s="2">
        <f t="shared" si="158"/>
        <v>0</v>
      </c>
      <c r="H10142" t="s">
        <v>5</v>
      </c>
    </row>
    <row r="10143" spans="2:8" x14ac:dyDescent="0.2">
      <c r="B10143" s="3">
        <v>45373</v>
      </c>
      <c r="D10143" s="2"/>
      <c r="E10143" s="2"/>
      <c r="F10143" s="2"/>
      <c r="G10143" s="2">
        <f t="shared" si="158"/>
        <v>0</v>
      </c>
      <c r="H10143" s="1"/>
    </row>
    <row r="10144" spans="2:8" x14ac:dyDescent="0.2">
      <c r="B10144" s="3">
        <v>45373</v>
      </c>
      <c r="D10144" s="2"/>
      <c r="E10144" s="2"/>
      <c r="F10144" s="2"/>
      <c r="G10144" s="2">
        <f t="shared" si="158"/>
        <v>0</v>
      </c>
      <c r="H10144" t="s">
        <v>0</v>
      </c>
    </row>
    <row r="10145" spans="2:8" x14ac:dyDescent="0.2">
      <c r="B10145" s="3">
        <v>45374</v>
      </c>
      <c r="D10145" s="2"/>
      <c r="E10145" s="2"/>
      <c r="F10145" s="2"/>
      <c r="G10145" s="2">
        <f t="shared" si="158"/>
        <v>0</v>
      </c>
      <c r="H10145" t="s">
        <v>14</v>
      </c>
    </row>
    <row r="10146" spans="2:8" x14ac:dyDescent="0.2">
      <c r="B10146" s="3">
        <v>45374</v>
      </c>
      <c r="D10146" s="2"/>
      <c r="E10146" s="2"/>
      <c r="F10146" s="2"/>
      <c r="G10146" s="2">
        <f t="shared" si="158"/>
        <v>0</v>
      </c>
      <c r="H10146" t="s">
        <v>27</v>
      </c>
    </row>
    <row r="10147" spans="2:8" x14ac:dyDescent="0.2">
      <c r="B10147" s="3">
        <v>45374</v>
      </c>
      <c r="D10147" s="6"/>
      <c r="E10147" s="2"/>
      <c r="F10147" s="2"/>
      <c r="G10147" s="2">
        <f t="shared" si="158"/>
        <v>0</v>
      </c>
      <c r="H10147" t="s">
        <v>13</v>
      </c>
    </row>
    <row r="10148" spans="2:8" x14ac:dyDescent="0.2">
      <c r="B10148" s="3">
        <v>45374</v>
      </c>
      <c r="D10148" s="6"/>
      <c r="E10148" s="2"/>
      <c r="F10148" s="2"/>
      <c r="G10148" s="2">
        <f t="shared" si="158"/>
        <v>0</v>
      </c>
      <c r="H10148" t="s">
        <v>26</v>
      </c>
    </row>
    <row r="10149" spans="2:8" x14ac:dyDescent="0.2">
      <c r="B10149" s="3">
        <v>45374</v>
      </c>
      <c r="D10149" s="2"/>
      <c r="E10149" s="2"/>
      <c r="F10149" s="2"/>
      <c r="G10149" s="2">
        <f t="shared" si="158"/>
        <v>0</v>
      </c>
      <c r="H10149" t="s">
        <v>9</v>
      </c>
    </row>
    <row r="10150" spans="2:8" x14ac:dyDescent="0.2">
      <c r="B10150" s="3">
        <v>45374</v>
      </c>
      <c r="D10150" s="2"/>
      <c r="E10150" s="2"/>
      <c r="F10150" s="2">
        <v>15000</v>
      </c>
      <c r="G10150" s="2">
        <f t="shared" si="158"/>
        <v>-15000</v>
      </c>
      <c r="H10150" t="s">
        <v>8</v>
      </c>
    </row>
    <row r="10151" spans="2:8" x14ac:dyDescent="0.2">
      <c r="B10151" s="3">
        <v>45374</v>
      </c>
      <c r="D10151" s="2"/>
      <c r="E10151" s="2"/>
      <c r="F10151" s="2"/>
      <c r="G10151" s="2">
        <f t="shared" si="158"/>
        <v>0</v>
      </c>
      <c r="H10151" t="s">
        <v>5</v>
      </c>
    </row>
    <row r="10152" spans="2:8" x14ac:dyDescent="0.2">
      <c r="B10152" s="3">
        <v>45374</v>
      </c>
      <c r="D10152" s="2"/>
      <c r="E10152" s="2"/>
      <c r="F10152" s="2"/>
      <c r="G10152" s="2">
        <f t="shared" si="158"/>
        <v>0</v>
      </c>
      <c r="H10152" s="1"/>
    </row>
    <row r="10153" spans="2:8" x14ac:dyDescent="0.2">
      <c r="B10153" s="3">
        <v>45374</v>
      </c>
      <c r="D10153" s="2"/>
      <c r="E10153" s="2"/>
      <c r="F10153" s="2"/>
      <c r="G10153" s="2">
        <f t="shared" si="158"/>
        <v>0</v>
      </c>
      <c r="H10153" t="s">
        <v>0</v>
      </c>
    </row>
    <row r="10154" spans="2:8" x14ac:dyDescent="0.2">
      <c r="B10154" s="3">
        <v>45375</v>
      </c>
      <c r="D10154" s="2"/>
      <c r="E10154" s="2"/>
      <c r="F10154" s="2"/>
      <c r="G10154" s="2">
        <f t="shared" si="158"/>
        <v>0</v>
      </c>
      <c r="H10154" t="s">
        <v>14</v>
      </c>
    </row>
    <row r="10155" spans="2:8" x14ac:dyDescent="0.2">
      <c r="B10155" s="3">
        <v>45375</v>
      </c>
      <c r="D10155" s="2"/>
      <c r="E10155" s="2"/>
      <c r="F10155" s="2"/>
      <c r="G10155" s="2">
        <f t="shared" si="158"/>
        <v>0</v>
      </c>
      <c r="H10155" t="s">
        <v>27</v>
      </c>
    </row>
    <row r="10156" spans="2:8" x14ac:dyDescent="0.2">
      <c r="B10156" s="3">
        <v>45375</v>
      </c>
      <c r="D10156" s="6"/>
      <c r="E10156" s="2"/>
      <c r="F10156" s="2"/>
      <c r="G10156" s="2">
        <f t="shared" si="158"/>
        <v>0</v>
      </c>
      <c r="H10156" t="s">
        <v>13</v>
      </c>
    </row>
    <row r="10157" spans="2:8" x14ac:dyDescent="0.2">
      <c r="B10157" s="3">
        <v>45375</v>
      </c>
      <c r="D10157" s="6"/>
      <c r="E10157" s="2"/>
      <c r="F10157" s="2"/>
      <c r="G10157" s="2">
        <f t="shared" si="158"/>
        <v>0</v>
      </c>
      <c r="H10157" t="s">
        <v>26</v>
      </c>
    </row>
    <row r="10158" spans="2:8" x14ac:dyDescent="0.2">
      <c r="B10158" s="3">
        <v>45375</v>
      </c>
      <c r="D10158" s="2"/>
      <c r="E10158" s="2"/>
      <c r="F10158" s="2"/>
      <c r="G10158" s="2">
        <f t="shared" si="158"/>
        <v>0</v>
      </c>
      <c r="H10158" t="s">
        <v>9</v>
      </c>
    </row>
    <row r="10159" spans="2:8" x14ac:dyDescent="0.2">
      <c r="B10159" s="3">
        <v>45375</v>
      </c>
      <c r="D10159" s="2"/>
      <c r="E10159" s="2"/>
      <c r="F10159" s="2"/>
      <c r="G10159" s="2">
        <f t="shared" si="158"/>
        <v>0</v>
      </c>
      <c r="H10159" t="s">
        <v>8</v>
      </c>
    </row>
    <row r="10160" spans="2:8" x14ac:dyDescent="0.2">
      <c r="B10160" s="3">
        <v>45375</v>
      </c>
      <c r="D10160" s="2"/>
      <c r="E10160" s="2"/>
      <c r="F10160" s="2"/>
      <c r="G10160" s="2">
        <f t="shared" si="158"/>
        <v>0</v>
      </c>
      <c r="H10160" t="s">
        <v>5</v>
      </c>
    </row>
    <row r="10161" spans="2:8" x14ac:dyDescent="0.2">
      <c r="B10161" s="3">
        <v>45375</v>
      </c>
      <c r="D10161" s="2"/>
      <c r="E10161" s="2"/>
      <c r="F10161" s="2"/>
      <c r="G10161" s="2">
        <f t="shared" si="158"/>
        <v>0</v>
      </c>
      <c r="H10161" s="1"/>
    </row>
    <row r="10162" spans="2:8" x14ac:dyDescent="0.2">
      <c r="B10162" s="3">
        <v>45375</v>
      </c>
      <c r="D10162" s="2"/>
      <c r="E10162" s="2"/>
      <c r="F10162" s="2"/>
      <c r="G10162" s="2">
        <f t="shared" si="158"/>
        <v>0</v>
      </c>
      <c r="H10162" t="s">
        <v>0</v>
      </c>
    </row>
    <row r="10163" spans="2:8" x14ac:dyDescent="0.2">
      <c r="B10163" s="3">
        <v>45376</v>
      </c>
      <c r="D10163" s="2">
        <v>6300</v>
      </c>
      <c r="E10163" s="2">
        <v>7000</v>
      </c>
      <c r="F10163" s="2"/>
      <c r="G10163" s="2">
        <f t="shared" si="158"/>
        <v>7000</v>
      </c>
      <c r="H10163" t="s">
        <v>14</v>
      </c>
    </row>
    <row r="10164" spans="2:8" x14ac:dyDescent="0.2">
      <c r="B10164" s="3">
        <v>45376</v>
      </c>
      <c r="D10164" s="2"/>
      <c r="E10164" s="2"/>
      <c r="F10164" s="2"/>
      <c r="G10164" s="2">
        <f t="shared" si="158"/>
        <v>0</v>
      </c>
      <c r="H10164" t="s">
        <v>27</v>
      </c>
    </row>
    <row r="10165" spans="2:8" x14ac:dyDescent="0.2">
      <c r="B10165" s="3">
        <v>45376</v>
      </c>
      <c r="D10165" s="6"/>
      <c r="E10165" s="2"/>
      <c r="F10165" s="2"/>
      <c r="G10165" s="2">
        <f t="shared" si="158"/>
        <v>0</v>
      </c>
      <c r="H10165" t="s">
        <v>13</v>
      </c>
    </row>
    <row r="10166" spans="2:8" x14ac:dyDescent="0.2">
      <c r="B10166" s="3">
        <v>45376</v>
      </c>
      <c r="D10166" s="6"/>
      <c r="E10166" s="2"/>
      <c r="F10166" s="2"/>
      <c r="G10166" s="2">
        <f t="shared" si="158"/>
        <v>0</v>
      </c>
      <c r="H10166" t="s">
        <v>26</v>
      </c>
    </row>
    <row r="10167" spans="2:8" x14ac:dyDescent="0.2">
      <c r="B10167" s="3">
        <v>45376</v>
      </c>
      <c r="D10167" s="2"/>
      <c r="E10167" s="2"/>
      <c r="F10167" s="2"/>
      <c r="G10167" s="2">
        <f t="shared" si="158"/>
        <v>0</v>
      </c>
      <c r="H10167" t="s">
        <v>9</v>
      </c>
    </row>
    <row r="10168" spans="2:8" x14ac:dyDescent="0.2">
      <c r="B10168" s="3">
        <v>45376</v>
      </c>
      <c r="D10168" s="2"/>
      <c r="E10168" s="2"/>
      <c r="F10168" s="2"/>
      <c r="G10168" s="2">
        <f t="shared" si="158"/>
        <v>0</v>
      </c>
      <c r="H10168" t="s">
        <v>8</v>
      </c>
    </row>
    <row r="10169" spans="2:8" x14ac:dyDescent="0.2">
      <c r="B10169" s="3">
        <v>45376</v>
      </c>
      <c r="D10169" s="2"/>
      <c r="E10169" s="2"/>
      <c r="F10169" s="2"/>
      <c r="G10169" s="2">
        <f t="shared" si="158"/>
        <v>0</v>
      </c>
      <c r="H10169" t="s">
        <v>5</v>
      </c>
    </row>
    <row r="10170" spans="2:8" x14ac:dyDescent="0.2">
      <c r="B10170" s="3">
        <v>45376</v>
      </c>
      <c r="D10170" s="2">
        <v>4975.5</v>
      </c>
      <c r="E10170" s="2">
        <v>6404</v>
      </c>
      <c r="F10170" s="2">
        <v>6404</v>
      </c>
      <c r="G10170" s="2">
        <f t="shared" si="158"/>
        <v>0</v>
      </c>
      <c r="H10170" s="1" t="s">
        <v>83</v>
      </c>
    </row>
    <row r="10171" spans="2:8" x14ac:dyDescent="0.2">
      <c r="B10171" s="3">
        <v>45376</v>
      </c>
      <c r="D10171" s="2"/>
      <c r="E10171" s="2"/>
      <c r="F10171" s="2"/>
      <c r="G10171" s="2">
        <f t="shared" si="158"/>
        <v>0</v>
      </c>
      <c r="H10171" t="s">
        <v>0</v>
      </c>
    </row>
    <row r="10172" spans="2:8" x14ac:dyDescent="0.2">
      <c r="B10172" s="3">
        <v>45377</v>
      </c>
      <c r="D10172" s="2"/>
      <c r="E10172" s="2"/>
      <c r="F10172" s="2"/>
      <c r="G10172" s="2">
        <f t="shared" si="158"/>
        <v>0</v>
      </c>
      <c r="H10172" t="s">
        <v>14</v>
      </c>
    </row>
    <row r="10173" spans="2:8" x14ac:dyDescent="0.2">
      <c r="B10173" s="3">
        <v>45377</v>
      </c>
      <c r="D10173" s="2"/>
      <c r="E10173" s="2"/>
      <c r="F10173" s="2"/>
      <c r="G10173" s="2">
        <f t="shared" si="158"/>
        <v>0</v>
      </c>
      <c r="H10173" t="s">
        <v>27</v>
      </c>
    </row>
    <row r="10174" spans="2:8" x14ac:dyDescent="0.2">
      <c r="B10174" s="3">
        <v>45377</v>
      </c>
      <c r="D10174" s="6"/>
      <c r="E10174" s="2"/>
      <c r="F10174" s="2"/>
      <c r="G10174" s="2">
        <f t="shared" si="158"/>
        <v>0</v>
      </c>
      <c r="H10174" t="s">
        <v>13</v>
      </c>
    </row>
    <row r="10175" spans="2:8" x14ac:dyDescent="0.2">
      <c r="B10175" s="3">
        <v>45377</v>
      </c>
      <c r="D10175" s="6"/>
      <c r="E10175" s="2"/>
      <c r="F10175" s="2"/>
      <c r="G10175" s="2">
        <f t="shared" si="158"/>
        <v>0</v>
      </c>
      <c r="H10175" t="s">
        <v>26</v>
      </c>
    </row>
    <row r="10176" spans="2:8" x14ac:dyDescent="0.2">
      <c r="B10176" s="3">
        <v>45377</v>
      </c>
      <c r="D10176" s="2"/>
      <c r="E10176" s="2"/>
      <c r="F10176" s="2"/>
      <c r="G10176" s="2">
        <f t="shared" si="158"/>
        <v>0</v>
      </c>
      <c r="H10176" t="s">
        <v>9</v>
      </c>
    </row>
    <row r="10177" spans="2:8" x14ac:dyDescent="0.2">
      <c r="B10177" s="3">
        <v>45377</v>
      </c>
      <c r="D10177" s="2"/>
      <c r="E10177" s="2"/>
      <c r="F10177" s="2"/>
      <c r="G10177" s="2">
        <f t="shared" si="158"/>
        <v>0</v>
      </c>
      <c r="H10177" t="s">
        <v>8</v>
      </c>
    </row>
    <row r="10178" spans="2:8" x14ac:dyDescent="0.2">
      <c r="B10178" s="3">
        <v>45377</v>
      </c>
      <c r="D10178" s="2"/>
      <c r="E10178" s="2"/>
      <c r="F10178" s="2"/>
      <c r="G10178" s="2">
        <f t="shared" si="158"/>
        <v>0</v>
      </c>
      <c r="H10178" t="s">
        <v>5</v>
      </c>
    </row>
    <row r="10179" spans="2:8" x14ac:dyDescent="0.2">
      <c r="B10179" s="3">
        <v>45377</v>
      </c>
      <c r="D10179" s="2"/>
      <c r="E10179" s="2"/>
      <c r="F10179" s="2"/>
      <c r="G10179" s="2">
        <f t="shared" ref="G10179:G10242" si="159">E10179-F10179</f>
        <v>0</v>
      </c>
      <c r="H10179" s="1"/>
    </row>
    <row r="10180" spans="2:8" x14ac:dyDescent="0.2">
      <c r="B10180" s="3">
        <v>45377</v>
      </c>
      <c r="D10180" s="2"/>
      <c r="E10180" s="2"/>
      <c r="F10180" s="2">
        <v>70000</v>
      </c>
      <c r="G10180" s="2">
        <f t="shared" si="159"/>
        <v>-70000</v>
      </c>
      <c r="H10180" t="s">
        <v>0</v>
      </c>
    </row>
    <row r="10181" spans="2:8" x14ac:dyDescent="0.2">
      <c r="B10181" s="3">
        <v>45378</v>
      </c>
      <c r="D10181" s="2"/>
      <c r="E10181" s="2"/>
      <c r="F10181" s="2"/>
      <c r="G10181" s="2">
        <f t="shared" si="159"/>
        <v>0</v>
      </c>
      <c r="H10181" t="s">
        <v>14</v>
      </c>
    </row>
    <row r="10182" spans="2:8" x14ac:dyDescent="0.2">
      <c r="B10182" s="3">
        <v>45378</v>
      </c>
      <c r="D10182" s="2"/>
      <c r="E10182" s="2"/>
      <c r="F10182" s="2"/>
      <c r="G10182" s="2">
        <f t="shared" si="159"/>
        <v>0</v>
      </c>
      <c r="H10182" t="s">
        <v>27</v>
      </c>
    </row>
    <row r="10183" spans="2:8" x14ac:dyDescent="0.2">
      <c r="B10183" s="3">
        <v>45378</v>
      </c>
      <c r="D10183" s="6"/>
      <c r="E10183" s="2"/>
      <c r="F10183" s="2"/>
      <c r="G10183" s="2">
        <f t="shared" si="159"/>
        <v>0</v>
      </c>
      <c r="H10183" t="s">
        <v>13</v>
      </c>
    </row>
    <row r="10184" spans="2:8" x14ac:dyDescent="0.2">
      <c r="B10184" s="3">
        <v>45378</v>
      </c>
      <c r="D10184" s="6"/>
      <c r="E10184" s="2"/>
      <c r="F10184" s="2"/>
      <c r="G10184" s="2">
        <f t="shared" si="159"/>
        <v>0</v>
      </c>
      <c r="H10184" t="s">
        <v>26</v>
      </c>
    </row>
    <row r="10185" spans="2:8" x14ac:dyDescent="0.2">
      <c r="B10185" s="3">
        <v>45378</v>
      </c>
      <c r="D10185" s="2"/>
      <c r="E10185" s="2"/>
      <c r="F10185" s="2"/>
      <c r="G10185" s="2">
        <f t="shared" si="159"/>
        <v>0</v>
      </c>
      <c r="H10185" t="s">
        <v>9</v>
      </c>
    </row>
    <row r="10186" spans="2:8" x14ac:dyDescent="0.2">
      <c r="B10186" s="3">
        <v>45378</v>
      </c>
      <c r="D10186" s="2"/>
      <c r="E10186" s="2"/>
      <c r="F10186" s="2"/>
      <c r="G10186" s="2">
        <f t="shared" si="159"/>
        <v>0</v>
      </c>
      <c r="H10186" t="s">
        <v>8</v>
      </c>
    </row>
    <row r="10187" spans="2:8" x14ac:dyDescent="0.2">
      <c r="B10187" s="3">
        <v>45378</v>
      </c>
      <c r="D10187" s="2"/>
      <c r="E10187" s="2"/>
      <c r="F10187" s="2"/>
      <c r="G10187" s="2">
        <f t="shared" si="159"/>
        <v>0</v>
      </c>
      <c r="H10187" t="s">
        <v>5</v>
      </c>
    </row>
    <row r="10188" spans="2:8" x14ac:dyDescent="0.2">
      <c r="B10188" s="3">
        <v>45378</v>
      </c>
      <c r="D10188" s="2"/>
      <c r="E10188" s="2"/>
      <c r="F10188" s="2"/>
      <c r="G10188" s="2">
        <f t="shared" si="159"/>
        <v>0</v>
      </c>
      <c r="H10188" s="1"/>
    </row>
    <row r="10189" spans="2:8" x14ac:dyDescent="0.2">
      <c r="B10189" s="3">
        <v>45378</v>
      </c>
      <c r="D10189" s="2"/>
      <c r="E10189" s="2"/>
      <c r="F10189" s="2"/>
      <c r="G10189" s="2">
        <f t="shared" si="159"/>
        <v>0</v>
      </c>
      <c r="H10189" t="s">
        <v>0</v>
      </c>
    </row>
    <row r="10190" spans="2:8" x14ac:dyDescent="0.2">
      <c r="B10190" s="3">
        <v>45379</v>
      </c>
      <c r="D10190" s="2"/>
      <c r="E10190" s="2"/>
      <c r="F10190" s="2"/>
      <c r="G10190" s="2">
        <f t="shared" si="159"/>
        <v>0</v>
      </c>
      <c r="H10190" t="s">
        <v>14</v>
      </c>
    </row>
    <row r="10191" spans="2:8" x14ac:dyDescent="0.2">
      <c r="B10191" s="3">
        <v>45379</v>
      </c>
      <c r="D10191" s="2"/>
      <c r="E10191" s="2"/>
      <c r="F10191" s="2"/>
      <c r="G10191" s="2">
        <f t="shared" si="159"/>
        <v>0</v>
      </c>
      <c r="H10191" t="s">
        <v>27</v>
      </c>
    </row>
    <row r="10192" spans="2:8" x14ac:dyDescent="0.2">
      <c r="B10192" s="3">
        <v>45379</v>
      </c>
      <c r="D10192" s="6"/>
      <c r="E10192" s="2"/>
      <c r="F10192" s="2"/>
      <c r="G10192" s="2">
        <f t="shared" si="159"/>
        <v>0</v>
      </c>
      <c r="H10192" t="s">
        <v>13</v>
      </c>
    </row>
    <row r="10193" spans="2:8" x14ac:dyDescent="0.2">
      <c r="B10193" s="3">
        <v>45379</v>
      </c>
      <c r="D10193" s="6"/>
      <c r="E10193" s="2"/>
      <c r="F10193" s="2"/>
      <c r="G10193" s="2">
        <f t="shared" si="159"/>
        <v>0</v>
      </c>
      <c r="H10193" t="s">
        <v>26</v>
      </c>
    </row>
    <row r="10194" spans="2:8" x14ac:dyDescent="0.2">
      <c r="B10194" s="3">
        <v>45379</v>
      </c>
      <c r="D10194" s="2"/>
      <c r="E10194" s="2"/>
      <c r="F10194" s="2"/>
      <c r="G10194" s="2">
        <f t="shared" si="159"/>
        <v>0</v>
      </c>
      <c r="H10194" t="s">
        <v>9</v>
      </c>
    </row>
    <row r="10195" spans="2:8" x14ac:dyDescent="0.2">
      <c r="B10195" s="3">
        <v>45379</v>
      </c>
      <c r="D10195" s="2"/>
      <c r="E10195" s="2"/>
      <c r="F10195" s="2"/>
      <c r="G10195" s="2">
        <f t="shared" si="159"/>
        <v>0</v>
      </c>
      <c r="H10195" t="s">
        <v>8</v>
      </c>
    </row>
    <row r="10196" spans="2:8" x14ac:dyDescent="0.2">
      <c r="B10196" s="3">
        <v>45379</v>
      </c>
      <c r="D10196" s="2"/>
      <c r="E10196" s="2"/>
      <c r="F10196" s="2"/>
      <c r="G10196" s="2">
        <f t="shared" si="159"/>
        <v>0</v>
      </c>
      <c r="H10196" t="s">
        <v>5</v>
      </c>
    </row>
    <row r="10197" spans="2:8" x14ac:dyDescent="0.2">
      <c r="B10197" s="3">
        <v>45379</v>
      </c>
      <c r="D10197" s="2"/>
      <c r="E10197" s="2"/>
      <c r="F10197" s="2"/>
      <c r="G10197" s="2">
        <f t="shared" si="159"/>
        <v>0</v>
      </c>
      <c r="H10197" s="1"/>
    </row>
    <row r="10198" spans="2:8" x14ac:dyDescent="0.2">
      <c r="B10198" s="3">
        <v>45379</v>
      </c>
      <c r="D10198" s="2"/>
      <c r="E10198" s="2"/>
      <c r="F10198" s="2"/>
      <c r="G10198" s="2">
        <f t="shared" si="159"/>
        <v>0</v>
      </c>
      <c r="H10198" t="s">
        <v>0</v>
      </c>
    </row>
    <row r="10199" spans="2:8" x14ac:dyDescent="0.2">
      <c r="B10199" s="3">
        <v>45380</v>
      </c>
      <c r="D10199" s="2">
        <v>4170</v>
      </c>
      <c r="E10199" s="2">
        <v>5000</v>
      </c>
      <c r="F10199" s="2"/>
      <c r="G10199" s="2">
        <f t="shared" si="159"/>
        <v>5000</v>
      </c>
      <c r="H10199" t="s">
        <v>14</v>
      </c>
    </row>
    <row r="10200" spans="2:8" x14ac:dyDescent="0.2">
      <c r="B10200" s="3">
        <v>45380</v>
      </c>
      <c r="D10200" s="2"/>
      <c r="E10200" s="2"/>
      <c r="F10200" s="2"/>
      <c r="G10200" s="2">
        <f t="shared" si="159"/>
        <v>0</v>
      </c>
      <c r="H10200" t="s">
        <v>27</v>
      </c>
    </row>
    <row r="10201" spans="2:8" x14ac:dyDescent="0.2">
      <c r="B10201" s="3">
        <v>45380</v>
      </c>
      <c r="D10201" s="6"/>
      <c r="E10201" s="2"/>
      <c r="F10201" s="2"/>
      <c r="G10201" s="2">
        <f t="shared" si="159"/>
        <v>0</v>
      </c>
      <c r="H10201" t="s">
        <v>13</v>
      </c>
    </row>
    <row r="10202" spans="2:8" x14ac:dyDescent="0.2">
      <c r="B10202" s="3">
        <v>45380</v>
      </c>
      <c r="D10202" s="6"/>
      <c r="E10202" s="2"/>
      <c r="F10202" s="2"/>
      <c r="G10202" s="2">
        <f t="shared" si="159"/>
        <v>0</v>
      </c>
      <c r="H10202" t="s">
        <v>26</v>
      </c>
    </row>
    <row r="10203" spans="2:8" x14ac:dyDescent="0.2">
      <c r="B10203" s="3">
        <v>45380</v>
      </c>
      <c r="D10203" s="2"/>
      <c r="E10203" s="2"/>
      <c r="F10203" s="2"/>
      <c r="G10203" s="2">
        <f t="shared" si="159"/>
        <v>0</v>
      </c>
      <c r="H10203" t="s">
        <v>9</v>
      </c>
    </row>
    <row r="10204" spans="2:8" x14ac:dyDescent="0.2">
      <c r="B10204" s="3">
        <v>45380</v>
      </c>
      <c r="D10204" s="2"/>
      <c r="E10204" s="2"/>
      <c r="F10204" s="2"/>
      <c r="G10204" s="2">
        <f t="shared" si="159"/>
        <v>0</v>
      </c>
      <c r="H10204" t="s">
        <v>8</v>
      </c>
    </row>
    <row r="10205" spans="2:8" x14ac:dyDescent="0.2">
      <c r="B10205" s="3">
        <v>45380</v>
      </c>
      <c r="D10205" s="2"/>
      <c r="E10205" s="2"/>
      <c r="F10205" s="2"/>
      <c r="G10205" s="2">
        <f t="shared" si="159"/>
        <v>0</v>
      </c>
      <c r="H10205" t="s">
        <v>5</v>
      </c>
    </row>
    <row r="10206" spans="2:8" x14ac:dyDescent="0.2">
      <c r="B10206" s="3">
        <v>45380</v>
      </c>
      <c r="D10206" s="2"/>
      <c r="E10206" s="2"/>
      <c r="F10206" s="2"/>
      <c r="G10206" s="2">
        <f t="shared" si="159"/>
        <v>0</v>
      </c>
      <c r="H10206" s="1"/>
    </row>
    <row r="10207" spans="2:8" x14ac:dyDescent="0.2">
      <c r="B10207" s="3">
        <v>45380</v>
      </c>
      <c r="D10207" s="2"/>
      <c r="E10207" s="2"/>
      <c r="F10207" s="2">
        <v>50000</v>
      </c>
      <c r="G10207" s="2">
        <f t="shared" si="159"/>
        <v>-50000</v>
      </c>
      <c r="H10207" t="s">
        <v>0</v>
      </c>
    </row>
    <row r="10208" spans="2:8" x14ac:dyDescent="0.2">
      <c r="B10208" s="3">
        <v>45381</v>
      </c>
      <c r="D10208" s="2"/>
      <c r="E10208" s="2"/>
      <c r="F10208" s="2">
        <v>7000</v>
      </c>
      <c r="G10208" s="2">
        <f t="shared" si="159"/>
        <v>-7000</v>
      </c>
      <c r="H10208" t="s">
        <v>14</v>
      </c>
    </row>
    <row r="10209" spans="2:8" x14ac:dyDescent="0.2">
      <c r="B10209" s="3">
        <v>45381</v>
      </c>
      <c r="D10209" s="2"/>
      <c r="E10209" s="2"/>
      <c r="F10209" s="2"/>
      <c r="G10209" s="2">
        <f t="shared" si="159"/>
        <v>0</v>
      </c>
      <c r="H10209" t="s">
        <v>27</v>
      </c>
    </row>
    <row r="10210" spans="2:8" x14ac:dyDescent="0.2">
      <c r="B10210" s="3">
        <v>45381</v>
      </c>
      <c r="D10210" s="6"/>
      <c r="E10210" s="2"/>
      <c r="F10210" s="2"/>
      <c r="G10210" s="2">
        <f t="shared" si="159"/>
        <v>0</v>
      </c>
      <c r="H10210" t="s">
        <v>13</v>
      </c>
    </row>
    <row r="10211" spans="2:8" x14ac:dyDescent="0.2">
      <c r="B10211" s="3">
        <v>45381</v>
      </c>
      <c r="D10211" s="6"/>
      <c r="E10211" s="2"/>
      <c r="F10211" s="2"/>
      <c r="G10211" s="2">
        <f t="shared" si="159"/>
        <v>0</v>
      </c>
      <c r="H10211" t="s">
        <v>26</v>
      </c>
    </row>
    <row r="10212" spans="2:8" x14ac:dyDescent="0.2">
      <c r="B10212" s="3">
        <v>45381</v>
      </c>
      <c r="D10212" s="2"/>
      <c r="E10212" s="2"/>
      <c r="F10212" s="2"/>
      <c r="G10212" s="2">
        <f t="shared" si="159"/>
        <v>0</v>
      </c>
      <c r="H10212" t="s">
        <v>9</v>
      </c>
    </row>
    <row r="10213" spans="2:8" x14ac:dyDescent="0.2">
      <c r="B10213" s="3">
        <v>45381</v>
      </c>
      <c r="D10213" s="2">
        <v>27821.75</v>
      </c>
      <c r="E10213" s="2">
        <v>34517.5</v>
      </c>
      <c r="F10213" s="2"/>
      <c r="G10213" s="2">
        <f t="shared" si="159"/>
        <v>34517.5</v>
      </c>
      <c r="H10213" t="s">
        <v>8</v>
      </c>
    </row>
    <row r="10214" spans="2:8" x14ac:dyDescent="0.2">
      <c r="B10214" s="3">
        <v>45381</v>
      </c>
      <c r="D10214" s="2"/>
      <c r="E10214" s="2"/>
      <c r="F10214" s="2"/>
      <c r="G10214" s="2">
        <f t="shared" si="159"/>
        <v>0</v>
      </c>
      <c r="H10214" t="s">
        <v>23</v>
      </c>
    </row>
    <row r="10215" spans="2:8" x14ac:dyDescent="0.2">
      <c r="B10215" s="3">
        <v>45381</v>
      </c>
      <c r="D10215" s="2"/>
      <c r="E10215" s="2"/>
      <c r="F10215" s="2"/>
      <c r="G10215" s="2">
        <f t="shared" si="159"/>
        <v>0</v>
      </c>
      <c r="H10215" t="s">
        <v>5</v>
      </c>
    </row>
    <row r="10216" spans="2:8" x14ac:dyDescent="0.2">
      <c r="B10216" s="3">
        <v>45381</v>
      </c>
      <c r="D10216" s="2">
        <v>1770</v>
      </c>
      <c r="E10216" s="2">
        <v>1950</v>
      </c>
      <c r="F10216" s="2">
        <v>1950</v>
      </c>
      <c r="G10216" s="2">
        <f t="shared" si="159"/>
        <v>0</v>
      </c>
      <c r="H10216" t="s">
        <v>39</v>
      </c>
    </row>
    <row r="10217" spans="2:8" x14ac:dyDescent="0.2">
      <c r="B10217" s="3">
        <v>45381</v>
      </c>
      <c r="D10217" s="2"/>
      <c r="E10217" s="2"/>
      <c r="F10217" s="2"/>
      <c r="G10217" s="2">
        <f t="shared" si="159"/>
        <v>0</v>
      </c>
      <c r="H10217" t="s">
        <v>0</v>
      </c>
    </row>
    <row r="10218" spans="2:8" x14ac:dyDescent="0.2">
      <c r="B10218" s="3">
        <v>45382</v>
      </c>
      <c r="D10218" s="2"/>
      <c r="E10218" s="2"/>
      <c r="F10218" s="2"/>
      <c r="G10218" s="2">
        <f t="shared" si="159"/>
        <v>0</v>
      </c>
      <c r="H10218" t="s">
        <v>14</v>
      </c>
    </row>
    <row r="10219" spans="2:8" x14ac:dyDescent="0.2">
      <c r="B10219" s="3">
        <v>45382</v>
      </c>
      <c r="D10219" s="2"/>
      <c r="E10219" s="2"/>
      <c r="F10219" s="2"/>
      <c r="G10219" s="2">
        <f t="shared" si="159"/>
        <v>0</v>
      </c>
      <c r="H10219" t="s">
        <v>27</v>
      </c>
    </row>
    <row r="10220" spans="2:8" x14ac:dyDescent="0.2">
      <c r="B10220" s="3">
        <v>45382</v>
      </c>
      <c r="D10220" s="6"/>
      <c r="E10220" s="2"/>
      <c r="F10220" s="2"/>
      <c r="G10220" s="2">
        <f t="shared" si="159"/>
        <v>0</v>
      </c>
      <c r="H10220" t="s">
        <v>13</v>
      </c>
    </row>
    <row r="10221" spans="2:8" x14ac:dyDescent="0.2">
      <c r="B10221" s="3">
        <v>45382</v>
      </c>
      <c r="D10221" s="6"/>
      <c r="E10221" s="2"/>
      <c r="F10221" s="2"/>
      <c r="G10221" s="2">
        <f t="shared" si="159"/>
        <v>0</v>
      </c>
      <c r="H10221" t="s">
        <v>26</v>
      </c>
    </row>
    <row r="10222" spans="2:8" x14ac:dyDescent="0.2">
      <c r="B10222" s="3">
        <v>45382</v>
      </c>
      <c r="D10222" s="2"/>
      <c r="E10222" s="2"/>
      <c r="F10222" s="2"/>
      <c r="G10222" s="2">
        <f t="shared" si="159"/>
        <v>0</v>
      </c>
      <c r="H10222" t="s">
        <v>9</v>
      </c>
    </row>
    <row r="10223" spans="2:8" x14ac:dyDescent="0.2">
      <c r="B10223" s="3">
        <v>45382</v>
      </c>
      <c r="D10223" s="2"/>
      <c r="E10223" s="2"/>
      <c r="F10223" s="2"/>
      <c r="G10223" s="2">
        <f t="shared" si="159"/>
        <v>0</v>
      </c>
      <c r="H10223" t="s">
        <v>8</v>
      </c>
    </row>
    <row r="10224" spans="2:8" x14ac:dyDescent="0.2">
      <c r="B10224" s="3">
        <v>45382</v>
      </c>
      <c r="D10224" s="2">
        <v>17700</v>
      </c>
      <c r="E10224" s="2">
        <v>18500</v>
      </c>
      <c r="F10224" s="2">
        <v>18500</v>
      </c>
      <c r="G10224" s="2">
        <f t="shared" si="159"/>
        <v>0</v>
      </c>
      <c r="H10224" t="s">
        <v>23</v>
      </c>
    </row>
    <row r="10225" spans="2:8" x14ac:dyDescent="0.2">
      <c r="B10225" s="3">
        <v>45382</v>
      </c>
      <c r="D10225" s="2"/>
      <c r="E10225" s="2"/>
      <c r="F10225" s="2"/>
      <c r="G10225" s="2">
        <f t="shared" si="159"/>
        <v>0</v>
      </c>
      <c r="H10225" t="s">
        <v>5</v>
      </c>
    </row>
    <row r="10226" spans="2:8" x14ac:dyDescent="0.2">
      <c r="B10226" s="3">
        <v>45382</v>
      </c>
      <c r="D10226" s="2"/>
      <c r="E10226" s="2"/>
      <c r="F10226" s="2"/>
      <c r="G10226" s="2">
        <f t="shared" si="159"/>
        <v>0</v>
      </c>
      <c r="H10226" s="1"/>
    </row>
    <row r="10227" spans="2:8" x14ac:dyDescent="0.2">
      <c r="B10227" s="3">
        <v>45382</v>
      </c>
      <c r="D10227" s="2"/>
      <c r="E10227" s="2"/>
      <c r="F10227" s="2"/>
      <c r="G10227" s="2">
        <f t="shared" si="159"/>
        <v>0</v>
      </c>
      <c r="H10227" t="s">
        <v>0</v>
      </c>
    </row>
    <row r="10228" spans="2:8" x14ac:dyDescent="0.2">
      <c r="B10228" s="3">
        <v>45383</v>
      </c>
      <c r="D10228" s="2"/>
      <c r="E10228" s="2"/>
      <c r="F10228" s="2"/>
      <c r="G10228" s="2">
        <f t="shared" si="159"/>
        <v>0</v>
      </c>
      <c r="H10228" t="s">
        <v>14</v>
      </c>
    </row>
    <row r="10229" spans="2:8" x14ac:dyDescent="0.2">
      <c r="B10229" s="3">
        <v>45383</v>
      </c>
      <c r="D10229" s="2"/>
      <c r="E10229" s="2"/>
      <c r="F10229" s="2"/>
      <c r="G10229" s="2">
        <f t="shared" si="159"/>
        <v>0</v>
      </c>
      <c r="H10229" t="s">
        <v>27</v>
      </c>
    </row>
    <row r="10230" spans="2:8" x14ac:dyDescent="0.2">
      <c r="B10230" s="3">
        <v>45383</v>
      </c>
      <c r="D10230" s="6"/>
      <c r="E10230" s="2"/>
      <c r="F10230" s="2"/>
      <c r="G10230" s="2">
        <f t="shared" si="159"/>
        <v>0</v>
      </c>
      <c r="H10230" t="s">
        <v>13</v>
      </c>
    </row>
    <row r="10231" spans="2:8" x14ac:dyDescent="0.2">
      <c r="B10231" s="3">
        <v>45383</v>
      </c>
      <c r="D10231" s="6"/>
      <c r="E10231" s="2"/>
      <c r="F10231" s="2"/>
      <c r="G10231" s="2">
        <f t="shared" si="159"/>
        <v>0</v>
      </c>
      <c r="H10231" t="s">
        <v>26</v>
      </c>
    </row>
    <row r="10232" spans="2:8" x14ac:dyDescent="0.2">
      <c r="B10232" s="3">
        <v>45383</v>
      </c>
      <c r="D10232" s="2"/>
      <c r="E10232" s="2"/>
      <c r="F10232" s="2"/>
      <c r="G10232" s="2">
        <f t="shared" si="159"/>
        <v>0</v>
      </c>
      <c r="H10232" t="s">
        <v>9</v>
      </c>
    </row>
    <row r="10233" spans="2:8" x14ac:dyDescent="0.2">
      <c r="B10233" s="3">
        <v>45383</v>
      </c>
      <c r="D10233" s="2"/>
      <c r="E10233" s="2"/>
      <c r="F10233" s="2"/>
      <c r="G10233" s="2">
        <f t="shared" si="159"/>
        <v>0</v>
      </c>
      <c r="H10233" t="s">
        <v>8</v>
      </c>
    </row>
    <row r="10234" spans="2:8" x14ac:dyDescent="0.2">
      <c r="B10234" s="3">
        <v>45383</v>
      </c>
      <c r="D10234" s="2"/>
      <c r="E10234" s="2"/>
      <c r="F10234" s="2"/>
      <c r="G10234" s="2">
        <f t="shared" si="159"/>
        <v>0</v>
      </c>
      <c r="H10234" t="s">
        <v>23</v>
      </c>
    </row>
    <row r="10235" spans="2:8" x14ac:dyDescent="0.2">
      <c r="B10235" s="3">
        <v>45383</v>
      </c>
      <c r="D10235" s="2"/>
      <c r="E10235" s="2"/>
      <c r="F10235" s="2"/>
      <c r="G10235" s="2">
        <f t="shared" si="159"/>
        <v>0</v>
      </c>
      <c r="H10235" t="s">
        <v>5</v>
      </c>
    </row>
    <row r="10236" spans="2:8" x14ac:dyDescent="0.2">
      <c r="B10236" s="3">
        <v>45383</v>
      </c>
      <c r="D10236" s="2"/>
      <c r="E10236" s="2"/>
      <c r="F10236" s="2"/>
      <c r="G10236" s="2">
        <f t="shared" si="159"/>
        <v>0</v>
      </c>
      <c r="H10236" s="1"/>
    </row>
    <row r="10237" spans="2:8" x14ac:dyDescent="0.2">
      <c r="B10237" s="3">
        <v>45383</v>
      </c>
      <c r="D10237" s="2"/>
      <c r="E10237" s="2"/>
      <c r="F10237" s="2"/>
      <c r="G10237" s="2">
        <f t="shared" si="159"/>
        <v>0</v>
      </c>
      <c r="H10237" t="s">
        <v>0</v>
      </c>
    </row>
    <row r="10238" spans="2:8" x14ac:dyDescent="0.2">
      <c r="B10238" s="3">
        <v>45384</v>
      </c>
      <c r="D10238" s="2"/>
      <c r="E10238" s="2"/>
      <c r="F10238" s="2"/>
      <c r="G10238" s="2">
        <f t="shared" si="159"/>
        <v>0</v>
      </c>
      <c r="H10238" t="s">
        <v>14</v>
      </c>
    </row>
    <row r="10239" spans="2:8" x14ac:dyDescent="0.2">
      <c r="B10239" s="3">
        <v>45384</v>
      </c>
      <c r="D10239" s="2"/>
      <c r="E10239" s="2"/>
      <c r="F10239" s="2"/>
      <c r="G10239" s="2">
        <f t="shared" si="159"/>
        <v>0</v>
      </c>
      <c r="H10239" t="s">
        <v>27</v>
      </c>
    </row>
    <row r="10240" spans="2:8" x14ac:dyDescent="0.2">
      <c r="B10240" s="3">
        <v>45384</v>
      </c>
      <c r="D10240" s="6"/>
      <c r="E10240" s="2"/>
      <c r="F10240" s="2"/>
      <c r="G10240" s="2">
        <f t="shared" si="159"/>
        <v>0</v>
      </c>
      <c r="H10240" t="s">
        <v>13</v>
      </c>
    </row>
    <row r="10241" spans="2:8" x14ac:dyDescent="0.2">
      <c r="B10241" s="3">
        <v>45384</v>
      </c>
      <c r="D10241" s="6"/>
      <c r="E10241" s="2"/>
      <c r="F10241" s="2"/>
      <c r="G10241" s="2">
        <f t="shared" si="159"/>
        <v>0</v>
      </c>
      <c r="H10241" t="s">
        <v>26</v>
      </c>
    </row>
    <row r="10242" spans="2:8" x14ac:dyDescent="0.2">
      <c r="B10242" s="3">
        <v>45384</v>
      </c>
      <c r="D10242" s="2"/>
      <c r="E10242" s="2"/>
      <c r="F10242" s="2"/>
      <c r="G10242" s="2">
        <f t="shared" si="159"/>
        <v>0</v>
      </c>
      <c r="H10242" t="s">
        <v>9</v>
      </c>
    </row>
    <row r="10243" spans="2:8" x14ac:dyDescent="0.2">
      <c r="B10243" s="3">
        <v>45384</v>
      </c>
      <c r="D10243" s="2"/>
      <c r="E10243" s="2"/>
      <c r="F10243" s="2"/>
      <c r="G10243" s="2">
        <f t="shared" ref="G10243:G10306" si="160">E10243-F10243</f>
        <v>0</v>
      </c>
      <c r="H10243" t="s">
        <v>8</v>
      </c>
    </row>
    <row r="10244" spans="2:8" x14ac:dyDescent="0.2">
      <c r="B10244" s="3">
        <v>45384</v>
      </c>
      <c r="D10244" s="2"/>
      <c r="E10244" s="2"/>
      <c r="F10244" s="2"/>
      <c r="G10244" s="2">
        <f t="shared" si="160"/>
        <v>0</v>
      </c>
      <c r="H10244" t="s">
        <v>23</v>
      </c>
    </row>
    <row r="10245" spans="2:8" x14ac:dyDescent="0.2">
      <c r="B10245" s="3">
        <v>45384</v>
      </c>
      <c r="D10245" s="2"/>
      <c r="E10245" s="2"/>
      <c r="F10245" s="2"/>
      <c r="G10245" s="2">
        <f t="shared" si="160"/>
        <v>0</v>
      </c>
      <c r="H10245" t="s">
        <v>5</v>
      </c>
    </row>
    <row r="10246" spans="2:8" x14ac:dyDescent="0.2">
      <c r="B10246" s="3">
        <v>45384</v>
      </c>
      <c r="D10246" s="2"/>
      <c r="E10246" s="2"/>
      <c r="F10246" s="2"/>
      <c r="G10246" s="2">
        <f t="shared" si="160"/>
        <v>0</v>
      </c>
      <c r="H10246" s="1"/>
    </row>
    <row r="10247" spans="2:8" x14ac:dyDescent="0.2">
      <c r="B10247" s="3">
        <v>45384</v>
      </c>
      <c r="D10247" s="2"/>
      <c r="E10247" s="2"/>
      <c r="F10247" s="2"/>
      <c r="G10247" s="2">
        <f t="shared" si="160"/>
        <v>0</v>
      </c>
      <c r="H10247" t="s">
        <v>0</v>
      </c>
    </row>
    <row r="10248" spans="2:8" x14ac:dyDescent="0.2">
      <c r="B10248" s="3">
        <v>45385</v>
      </c>
      <c r="D10248" s="2"/>
      <c r="E10248" s="2"/>
      <c r="F10248" s="2"/>
      <c r="G10248" s="2">
        <f t="shared" si="160"/>
        <v>0</v>
      </c>
      <c r="H10248" t="s">
        <v>14</v>
      </c>
    </row>
    <row r="10249" spans="2:8" x14ac:dyDescent="0.2">
      <c r="B10249" s="3">
        <v>45385</v>
      </c>
      <c r="D10249" s="2"/>
      <c r="E10249" s="2"/>
      <c r="F10249" s="2"/>
      <c r="G10249" s="2">
        <f t="shared" si="160"/>
        <v>0</v>
      </c>
      <c r="H10249" t="s">
        <v>27</v>
      </c>
    </row>
    <row r="10250" spans="2:8" x14ac:dyDescent="0.2">
      <c r="B10250" s="3">
        <v>45385</v>
      </c>
      <c r="D10250" s="6"/>
      <c r="E10250" s="2"/>
      <c r="F10250" s="9"/>
      <c r="G10250" s="2">
        <f t="shared" si="160"/>
        <v>0</v>
      </c>
      <c r="H10250" t="s">
        <v>13</v>
      </c>
    </row>
    <row r="10251" spans="2:8" x14ac:dyDescent="0.2">
      <c r="B10251" s="3">
        <v>45385</v>
      </c>
      <c r="D10251" s="6"/>
      <c r="E10251" s="2"/>
      <c r="F10251" s="2"/>
      <c r="G10251" s="2">
        <f t="shared" si="160"/>
        <v>0</v>
      </c>
      <c r="H10251" t="s">
        <v>26</v>
      </c>
    </row>
    <row r="10252" spans="2:8" x14ac:dyDescent="0.2">
      <c r="B10252" s="3">
        <v>45385</v>
      </c>
      <c r="D10252" s="2"/>
      <c r="E10252" s="2"/>
      <c r="F10252" s="2"/>
      <c r="G10252" s="2">
        <f t="shared" si="160"/>
        <v>0</v>
      </c>
      <c r="H10252" t="s">
        <v>9</v>
      </c>
    </row>
    <row r="10253" spans="2:8" x14ac:dyDescent="0.2">
      <c r="B10253" s="3">
        <v>45385</v>
      </c>
      <c r="D10253" s="2"/>
      <c r="E10253" s="2"/>
      <c r="F10253" s="2">
        <v>20000</v>
      </c>
      <c r="G10253" s="2">
        <f t="shared" si="160"/>
        <v>-20000</v>
      </c>
      <c r="H10253" t="s">
        <v>8</v>
      </c>
    </row>
    <row r="10254" spans="2:8" x14ac:dyDescent="0.2">
      <c r="B10254" s="3">
        <v>45385</v>
      </c>
      <c r="D10254" s="2"/>
      <c r="E10254" s="2"/>
      <c r="F10254" s="2"/>
      <c r="G10254" s="2">
        <f t="shared" si="160"/>
        <v>0</v>
      </c>
      <c r="H10254" t="s">
        <v>23</v>
      </c>
    </row>
    <row r="10255" spans="2:8" x14ac:dyDescent="0.2">
      <c r="B10255" s="3">
        <v>45385</v>
      </c>
      <c r="D10255" s="2"/>
      <c r="E10255" s="2"/>
      <c r="F10255" s="2"/>
      <c r="G10255" s="2">
        <f t="shared" si="160"/>
        <v>0</v>
      </c>
      <c r="H10255" t="s">
        <v>5</v>
      </c>
    </row>
    <row r="10256" spans="2:8" x14ac:dyDescent="0.2">
      <c r="B10256" s="3">
        <v>45385</v>
      </c>
      <c r="D10256" s="2"/>
      <c r="E10256" s="2"/>
      <c r="F10256" s="2"/>
      <c r="G10256" s="2">
        <f t="shared" si="160"/>
        <v>0</v>
      </c>
      <c r="H10256" s="1"/>
    </row>
    <row r="10257" spans="2:8" x14ac:dyDescent="0.2">
      <c r="B10257" s="3">
        <v>45385</v>
      </c>
      <c r="D10257" s="2"/>
      <c r="E10257" s="2"/>
      <c r="F10257" s="2"/>
      <c r="G10257" s="2">
        <f t="shared" si="160"/>
        <v>0</v>
      </c>
      <c r="H10257" t="s">
        <v>0</v>
      </c>
    </row>
    <row r="10258" spans="2:8" x14ac:dyDescent="0.2">
      <c r="B10258" s="3">
        <v>45386</v>
      </c>
      <c r="D10258" s="2"/>
      <c r="E10258" s="2"/>
      <c r="F10258" s="2"/>
      <c r="G10258" s="2">
        <f t="shared" si="160"/>
        <v>0</v>
      </c>
      <c r="H10258" t="s">
        <v>14</v>
      </c>
    </row>
    <row r="10259" spans="2:8" x14ac:dyDescent="0.2">
      <c r="B10259" s="3">
        <v>45386</v>
      </c>
      <c r="D10259" s="2"/>
      <c r="E10259" s="2"/>
      <c r="F10259" s="2"/>
      <c r="G10259" s="2">
        <f t="shared" si="160"/>
        <v>0</v>
      </c>
      <c r="H10259" t="s">
        <v>27</v>
      </c>
    </row>
    <row r="10260" spans="2:8" x14ac:dyDescent="0.2">
      <c r="B10260" s="3">
        <v>45386</v>
      </c>
      <c r="D10260" s="6"/>
      <c r="E10260" s="2"/>
      <c r="F10260" s="2"/>
      <c r="G10260" s="2">
        <f t="shared" si="160"/>
        <v>0</v>
      </c>
      <c r="H10260" t="s">
        <v>13</v>
      </c>
    </row>
    <row r="10261" spans="2:8" x14ac:dyDescent="0.2">
      <c r="B10261" s="3">
        <v>45386</v>
      </c>
      <c r="D10261" s="6"/>
      <c r="E10261" s="2"/>
      <c r="F10261" s="2"/>
      <c r="G10261" s="2">
        <f t="shared" si="160"/>
        <v>0</v>
      </c>
      <c r="H10261" t="s">
        <v>26</v>
      </c>
    </row>
    <row r="10262" spans="2:8" x14ac:dyDescent="0.2">
      <c r="B10262" s="3">
        <v>45386</v>
      </c>
      <c r="D10262" s="2"/>
      <c r="E10262" s="2"/>
      <c r="F10262" s="2"/>
      <c r="G10262" s="2">
        <f t="shared" si="160"/>
        <v>0</v>
      </c>
      <c r="H10262" t="s">
        <v>9</v>
      </c>
    </row>
    <row r="10263" spans="2:8" x14ac:dyDescent="0.2">
      <c r="B10263" s="3">
        <v>45386</v>
      </c>
      <c r="D10263" s="2"/>
      <c r="E10263" s="2"/>
      <c r="F10263" s="2"/>
      <c r="G10263" s="2">
        <f t="shared" si="160"/>
        <v>0</v>
      </c>
      <c r="H10263" t="s">
        <v>8</v>
      </c>
    </row>
    <row r="10264" spans="2:8" x14ac:dyDescent="0.2">
      <c r="B10264" s="3">
        <v>45386</v>
      </c>
      <c r="D10264" s="2"/>
      <c r="E10264" s="2"/>
      <c r="F10264" s="2"/>
      <c r="G10264" s="2">
        <f t="shared" si="160"/>
        <v>0</v>
      </c>
      <c r="H10264" t="s">
        <v>23</v>
      </c>
    </row>
    <row r="10265" spans="2:8" x14ac:dyDescent="0.2">
      <c r="B10265" s="3">
        <v>45386</v>
      </c>
      <c r="D10265" s="2"/>
      <c r="E10265" s="2"/>
      <c r="F10265" s="2"/>
      <c r="G10265" s="2">
        <f t="shared" si="160"/>
        <v>0</v>
      </c>
      <c r="H10265" t="s">
        <v>5</v>
      </c>
    </row>
    <row r="10266" spans="2:8" x14ac:dyDescent="0.2">
      <c r="B10266" s="3">
        <v>45386</v>
      </c>
      <c r="D10266" s="2"/>
      <c r="E10266" s="2"/>
      <c r="F10266" s="2"/>
      <c r="G10266" s="2">
        <f t="shared" si="160"/>
        <v>0</v>
      </c>
      <c r="H10266" s="1"/>
    </row>
    <row r="10267" spans="2:8" x14ac:dyDescent="0.2">
      <c r="B10267" s="3">
        <v>45386</v>
      </c>
      <c r="D10267" s="2"/>
      <c r="E10267" s="2"/>
      <c r="F10267" s="2"/>
      <c r="G10267" s="2">
        <f t="shared" si="160"/>
        <v>0</v>
      </c>
      <c r="H10267" t="s">
        <v>0</v>
      </c>
    </row>
    <row r="10268" spans="2:8" x14ac:dyDescent="0.2">
      <c r="B10268" s="3">
        <v>45387</v>
      </c>
      <c r="D10268" s="2"/>
      <c r="E10268" s="2"/>
      <c r="F10268" s="2"/>
      <c r="G10268" s="2">
        <f t="shared" si="160"/>
        <v>0</v>
      </c>
      <c r="H10268" t="s">
        <v>14</v>
      </c>
    </row>
    <row r="10269" spans="2:8" x14ac:dyDescent="0.2">
      <c r="B10269" s="3">
        <v>45387</v>
      </c>
      <c r="D10269" s="2"/>
      <c r="E10269" s="2"/>
      <c r="F10269" s="2"/>
      <c r="G10269" s="2">
        <f t="shared" si="160"/>
        <v>0</v>
      </c>
      <c r="H10269" t="s">
        <v>27</v>
      </c>
    </row>
    <row r="10270" spans="2:8" x14ac:dyDescent="0.2">
      <c r="B10270" s="3">
        <v>45387</v>
      </c>
      <c r="D10270" s="6"/>
      <c r="E10270" s="2"/>
      <c r="F10270" s="2"/>
      <c r="G10270" s="2">
        <f t="shared" si="160"/>
        <v>0</v>
      </c>
      <c r="H10270" t="s">
        <v>13</v>
      </c>
    </row>
    <row r="10271" spans="2:8" x14ac:dyDescent="0.2">
      <c r="B10271" s="3">
        <v>45387</v>
      </c>
      <c r="D10271" s="6"/>
      <c r="E10271" s="2"/>
      <c r="F10271" s="2"/>
      <c r="G10271" s="2">
        <f t="shared" si="160"/>
        <v>0</v>
      </c>
      <c r="H10271" t="s">
        <v>26</v>
      </c>
    </row>
    <row r="10272" spans="2:8" x14ac:dyDescent="0.2">
      <c r="B10272" s="3">
        <v>45387</v>
      </c>
      <c r="D10272" s="2"/>
      <c r="E10272" s="2"/>
      <c r="F10272" s="2"/>
      <c r="G10272" s="2">
        <f t="shared" si="160"/>
        <v>0</v>
      </c>
      <c r="H10272" t="s">
        <v>9</v>
      </c>
    </row>
    <row r="10273" spans="2:8" x14ac:dyDescent="0.2">
      <c r="B10273" s="3">
        <v>45387</v>
      </c>
      <c r="D10273" s="2"/>
      <c r="E10273" s="2"/>
      <c r="F10273" s="2"/>
      <c r="G10273" s="2">
        <f t="shared" si="160"/>
        <v>0</v>
      </c>
      <c r="H10273" t="s">
        <v>8</v>
      </c>
    </row>
    <row r="10274" spans="2:8" x14ac:dyDescent="0.2">
      <c r="B10274" s="3">
        <v>45387</v>
      </c>
      <c r="D10274" s="2"/>
      <c r="E10274" s="2"/>
      <c r="F10274" s="2"/>
      <c r="G10274" s="2">
        <f t="shared" si="160"/>
        <v>0</v>
      </c>
      <c r="H10274" t="s">
        <v>23</v>
      </c>
    </row>
    <row r="10275" spans="2:8" x14ac:dyDescent="0.2">
      <c r="B10275" s="3">
        <v>45387</v>
      </c>
      <c r="D10275" s="2"/>
      <c r="E10275" s="2"/>
      <c r="F10275" s="2"/>
      <c r="G10275" s="2">
        <f t="shared" si="160"/>
        <v>0</v>
      </c>
      <c r="H10275" t="s">
        <v>5</v>
      </c>
    </row>
    <row r="10276" spans="2:8" x14ac:dyDescent="0.2">
      <c r="B10276" s="3">
        <v>45387</v>
      </c>
      <c r="D10276" s="2"/>
      <c r="E10276" s="2"/>
      <c r="F10276" s="2"/>
      <c r="G10276" s="2">
        <f t="shared" si="160"/>
        <v>0</v>
      </c>
      <c r="H10276" s="1"/>
    </row>
    <row r="10277" spans="2:8" x14ac:dyDescent="0.2">
      <c r="B10277" s="3">
        <v>45387</v>
      </c>
      <c r="D10277" s="2"/>
      <c r="E10277" s="2"/>
      <c r="F10277" s="2"/>
      <c r="G10277" s="2">
        <f t="shared" si="160"/>
        <v>0</v>
      </c>
      <c r="H10277" t="s">
        <v>0</v>
      </c>
    </row>
    <row r="10278" spans="2:8" x14ac:dyDescent="0.2">
      <c r="B10278" s="3">
        <v>45388</v>
      </c>
      <c r="D10278" s="2">
        <v>3500</v>
      </c>
      <c r="E10278" s="2">
        <v>3937.5</v>
      </c>
      <c r="F10278" s="2">
        <v>10000</v>
      </c>
      <c r="G10278" s="2">
        <f t="shared" si="160"/>
        <v>-6062.5</v>
      </c>
      <c r="H10278" t="s">
        <v>14</v>
      </c>
    </row>
    <row r="10279" spans="2:8" x14ac:dyDescent="0.2">
      <c r="B10279" s="3">
        <v>45388</v>
      </c>
      <c r="D10279" s="2"/>
      <c r="E10279" s="2"/>
      <c r="F10279" s="2"/>
      <c r="G10279" s="2">
        <f t="shared" si="160"/>
        <v>0</v>
      </c>
      <c r="H10279" t="s">
        <v>27</v>
      </c>
    </row>
    <row r="10280" spans="2:8" x14ac:dyDescent="0.2">
      <c r="B10280" s="3">
        <v>45388</v>
      </c>
      <c r="D10280" s="6"/>
      <c r="E10280" s="2"/>
      <c r="F10280" s="2"/>
      <c r="G10280" s="2">
        <f t="shared" si="160"/>
        <v>0</v>
      </c>
      <c r="H10280" t="s">
        <v>13</v>
      </c>
    </row>
    <row r="10281" spans="2:8" x14ac:dyDescent="0.2">
      <c r="B10281" s="3">
        <v>45388</v>
      </c>
      <c r="D10281" s="6"/>
      <c r="E10281" s="2"/>
      <c r="F10281" s="2"/>
      <c r="G10281" s="2">
        <f t="shared" si="160"/>
        <v>0</v>
      </c>
      <c r="H10281" t="s">
        <v>26</v>
      </c>
    </row>
    <row r="10282" spans="2:8" x14ac:dyDescent="0.2">
      <c r="B10282" s="3">
        <v>45388</v>
      </c>
      <c r="D10282" s="2"/>
      <c r="E10282" s="2"/>
      <c r="F10282" s="2"/>
      <c r="G10282" s="2">
        <f t="shared" si="160"/>
        <v>0</v>
      </c>
      <c r="H10282" t="s">
        <v>9</v>
      </c>
    </row>
    <row r="10283" spans="2:8" x14ac:dyDescent="0.2">
      <c r="B10283" s="3">
        <v>45388</v>
      </c>
      <c r="D10283" s="2"/>
      <c r="E10283" s="2"/>
      <c r="F10283" s="2"/>
      <c r="G10283" s="2">
        <f t="shared" si="160"/>
        <v>0</v>
      </c>
      <c r="H10283" t="s">
        <v>8</v>
      </c>
    </row>
    <row r="10284" spans="2:8" x14ac:dyDescent="0.2">
      <c r="B10284" s="3">
        <v>45388</v>
      </c>
      <c r="D10284" s="2"/>
      <c r="E10284" s="2"/>
      <c r="F10284" s="2"/>
      <c r="G10284" s="2">
        <f t="shared" si="160"/>
        <v>0</v>
      </c>
      <c r="H10284" t="s">
        <v>23</v>
      </c>
    </row>
    <row r="10285" spans="2:8" x14ac:dyDescent="0.2">
      <c r="B10285" s="3">
        <v>45388</v>
      </c>
      <c r="D10285" s="2"/>
      <c r="E10285" s="2"/>
      <c r="F10285" s="2"/>
      <c r="G10285" s="2">
        <f t="shared" si="160"/>
        <v>0</v>
      </c>
      <c r="H10285" t="s">
        <v>5</v>
      </c>
    </row>
    <row r="10286" spans="2:8" x14ac:dyDescent="0.2">
      <c r="B10286" s="3">
        <v>45388</v>
      </c>
      <c r="D10286" s="2">
        <v>2700</v>
      </c>
      <c r="E10286" s="2">
        <v>3900</v>
      </c>
      <c r="F10286" s="2">
        <v>3900</v>
      </c>
      <c r="G10286" s="2">
        <f t="shared" si="160"/>
        <v>0</v>
      </c>
      <c r="H10286" s="1" t="s">
        <v>2</v>
      </c>
    </row>
    <row r="10287" spans="2:8" x14ac:dyDescent="0.2">
      <c r="B10287" s="3">
        <v>45388</v>
      </c>
      <c r="D10287" s="2"/>
      <c r="E10287" s="2"/>
      <c r="F10287" s="2">
        <v>86040</v>
      </c>
      <c r="G10287" s="2">
        <f t="shared" si="160"/>
        <v>-86040</v>
      </c>
      <c r="H10287" t="s">
        <v>0</v>
      </c>
    </row>
    <row r="10288" spans="2:8" x14ac:dyDescent="0.2">
      <c r="B10288" s="3">
        <v>45389</v>
      </c>
      <c r="D10288" s="2"/>
      <c r="E10288" s="2"/>
      <c r="F10288" s="2"/>
      <c r="G10288" s="2">
        <f t="shared" si="160"/>
        <v>0</v>
      </c>
      <c r="H10288" t="s">
        <v>14</v>
      </c>
    </row>
    <row r="10289" spans="2:8" x14ac:dyDescent="0.2">
      <c r="B10289" s="3">
        <v>45389</v>
      </c>
      <c r="D10289" s="2"/>
      <c r="E10289" s="2"/>
      <c r="F10289" s="2"/>
      <c r="G10289" s="2">
        <f t="shared" si="160"/>
        <v>0</v>
      </c>
      <c r="H10289" t="s">
        <v>27</v>
      </c>
    </row>
    <row r="10290" spans="2:8" x14ac:dyDescent="0.2">
      <c r="B10290" s="3">
        <v>45389</v>
      </c>
      <c r="D10290" s="6"/>
      <c r="E10290" s="2"/>
      <c r="F10290" s="2"/>
      <c r="G10290" s="2">
        <f t="shared" si="160"/>
        <v>0</v>
      </c>
      <c r="H10290" t="s">
        <v>13</v>
      </c>
    </row>
    <row r="10291" spans="2:8" x14ac:dyDescent="0.2">
      <c r="B10291" s="3">
        <v>45389</v>
      </c>
      <c r="D10291" s="6"/>
      <c r="E10291" s="2"/>
      <c r="F10291" s="2"/>
      <c r="G10291" s="2">
        <f t="shared" si="160"/>
        <v>0</v>
      </c>
      <c r="H10291" t="s">
        <v>26</v>
      </c>
    </row>
    <row r="10292" spans="2:8" x14ac:dyDescent="0.2">
      <c r="B10292" s="3">
        <v>45389</v>
      </c>
      <c r="D10292" s="2"/>
      <c r="E10292" s="2"/>
      <c r="F10292" s="2"/>
      <c r="G10292" s="2">
        <f t="shared" si="160"/>
        <v>0</v>
      </c>
      <c r="H10292" t="s">
        <v>9</v>
      </c>
    </row>
    <row r="10293" spans="2:8" x14ac:dyDescent="0.2">
      <c r="B10293" s="3">
        <v>45389</v>
      </c>
      <c r="D10293" s="2">
        <v>27658.5</v>
      </c>
      <c r="E10293" s="2">
        <v>32434.5</v>
      </c>
      <c r="F10293" s="2"/>
      <c r="G10293" s="2">
        <f t="shared" si="160"/>
        <v>32434.5</v>
      </c>
      <c r="H10293" t="s">
        <v>8</v>
      </c>
    </row>
    <row r="10294" spans="2:8" x14ac:dyDescent="0.2">
      <c r="B10294" s="3">
        <v>45389</v>
      </c>
      <c r="D10294" s="2">
        <v>8000</v>
      </c>
      <c r="E10294" s="2">
        <v>8500</v>
      </c>
      <c r="F10294" s="2">
        <v>8500</v>
      </c>
      <c r="G10294" s="2">
        <f t="shared" si="160"/>
        <v>0</v>
      </c>
      <c r="H10294" t="s">
        <v>23</v>
      </c>
    </row>
    <row r="10295" spans="2:8" x14ac:dyDescent="0.2">
      <c r="B10295" s="3">
        <v>45389</v>
      </c>
      <c r="D10295" s="2">
        <v>5300</v>
      </c>
      <c r="E10295" s="2">
        <v>5600</v>
      </c>
      <c r="F10295" s="2">
        <v>5600</v>
      </c>
      <c r="G10295" s="2">
        <f t="shared" si="160"/>
        <v>0</v>
      </c>
      <c r="H10295" t="s">
        <v>5</v>
      </c>
    </row>
    <row r="10296" spans="2:8" x14ac:dyDescent="0.2">
      <c r="B10296" s="3">
        <v>45389</v>
      </c>
      <c r="D10296" s="2">
        <v>16904.5</v>
      </c>
      <c r="E10296" s="2">
        <v>17762</v>
      </c>
      <c r="F10296" s="2">
        <v>17650</v>
      </c>
      <c r="G10296" s="2">
        <f t="shared" si="160"/>
        <v>112</v>
      </c>
      <c r="H10296" t="s">
        <v>39</v>
      </c>
    </row>
    <row r="10297" spans="2:8" x14ac:dyDescent="0.2">
      <c r="B10297" s="3">
        <v>45389</v>
      </c>
      <c r="D10297" s="2">
        <v>73411.342680000002</v>
      </c>
      <c r="E10297" s="2">
        <v>78219.588309999992</v>
      </c>
      <c r="F10297" s="2"/>
      <c r="G10297" s="2">
        <f t="shared" si="160"/>
        <v>78219.588309999992</v>
      </c>
      <c r="H10297" t="s">
        <v>0</v>
      </c>
    </row>
    <row r="10298" spans="2:8" x14ac:dyDescent="0.2">
      <c r="B10298" s="3">
        <v>45390</v>
      </c>
      <c r="D10298" s="2"/>
      <c r="E10298" s="2"/>
      <c r="F10298" s="2"/>
      <c r="G10298" s="2">
        <f t="shared" si="160"/>
        <v>0</v>
      </c>
      <c r="H10298" t="s">
        <v>14</v>
      </c>
    </row>
    <row r="10299" spans="2:8" x14ac:dyDescent="0.2">
      <c r="B10299" s="3">
        <v>45390</v>
      </c>
      <c r="D10299" s="2"/>
      <c r="E10299" s="2"/>
      <c r="F10299" s="2"/>
      <c r="G10299" s="2">
        <f t="shared" si="160"/>
        <v>0</v>
      </c>
      <c r="H10299" t="s">
        <v>27</v>
      </c>
    </row>
    <row r="10300" spans="2:8" x14ac:dyDescent="0.2">
      <c r="B10300" s="3">
        <v>45390</v>
      </c>
      <c r="D10300" s="6">
        <v>1500</v>
      </c>
      <c r="E10300" s="2">
        <v>1600</v>
      </c>
      <c r="F10300" s="2">
        <v>1600</v>
      </c>
      <c r="G10300" s="2">
        <f t="shared" si="160"/>
        <v>0</v>
      </c>
      <c r="H10300" t="s">
        <v>13</v>
      </c>
    </row>
    <row r="10301" spans="2:8" x14ac:dyDescent="0.2">
      <c r="B10301" s="3">
        <v>45390</v>
      </c>
      <c r="D10301" s="6"/>
      <c r="E10301" s="2"/>
      <c r="F10301" s="2"/>
      <c r="G10301" s="2">
        <f t="shared" si="160"/>
        <v>0</v>
      </c>
      <c r="H10301" t="s">
        <v>26</v>
      </c>
    </row>
    <row r="10302" spans="2:8" x14ac:dyDescent="0.2">
      <c r="B10302" s="3">
        <v>45390</v>
      </c>
      <c r="D10302" s="2"/>
      <c r="E10302" s="2"/>
      <c r="F10302" s="2"/>
      <c r="G10302" s="2">
        <f t="shared" si="160"/>
        <v>0</v>
      </c>
      <c r="H10302" t="s">
        <v>9</v>
      </c>
    </row>
    <row r="10303" spans="2:8" x14ac:dyDescent="0.2">
      <c r="B10303" s="3">
        <v>45390</v>
      </c>
      <c r="D10303" s="2"/>
      <c r="E10303" s="2"/>
      <c r="F10303" s="2"/>
      <c r="G10303" s="2">
        <f t="shared" si="160"/>
        <v>0</v>
      </c>
      <c r="H10303" t="s">
        <v>8</v>
      </c>
    </row>
    <row r="10304" spans="2:8" x14ac:dyDescent="0.2">
      <c r="B10304" s="3">
        <v>45390</v>
      </c>
      <c r="D10304" s="2"/>
      <c r="E10304" s="2"/>
      <c r="F10304" s="2"/>
      <c r="G10304" s="2">
        <f t="shared" si="160"/>
        <v>0</v>
      </c>
      <c r="H10304" t="s">
        <v>23</v>
      </c>
    </row>
    <row r="10305" spans="2:8" x14ac:dyDescent="0.2">
      <c r="B10305" s="3">
        <v>45390</v>
      </c>
      <c r="D10305" s="2"/>
      <c r="E10305" s="2"/>
      <c r="F10305" s="2"/>
      <c r="G10305" s="2">
        <f t="shared" si="160"/>
        <v>0</v>
      </c>
      <c r="H10305" t="s">
        <v>5</v>
      </c>
    </row>
    <row r="10306" spans="2:8" x14ac:dyDescent="0.2">
      <c r="B10306" s="3">
        <v>45390</v>
      </c>
      <c r="D10306" s="2">
        <v>2686</v>
      </c>
      <c r="E10306" s="2">
        <v>2980</v>
      </c>
      <c r="F10306" s="2">
        <v>2980</v>
      </c>
      <c r="G10306" s="2">
        <f t="shared" si="160"/>
        <v>0</v>
      </c>
      <c r="H10306" s="1" t="s">
        <v>83</v>
      </c>
    </row>
    <row r="10307" spans="2:8" x14ac:dyDescent="0.2">
      <c r="B10307" s="3">
        <v>45390</v>
      </c>
      <c r="D10307" s="2"/>
      <c r="E10307" s="2"/>
      <c r="F10307" s="2"/>
      <c r="G10307" s="2">
        <f t="shared" ref="G10307:G10370" si="161">E10307-F10307</f>
        <v>0</v>
      </c>
      <c r="H10307" t="s">
        <v>0</v>
      </c>
    </row>
    <row r="10308" spans="2:8" x14ac:dyDescent="0.2">
      <c r="B10308" s="3">
        <v>45391</v>
      </c>
      <c r="D10308" s="2"/>
      <c r="E10308" s="2"/>
      <c r="F10308" s="2"/>
      <c r="G10308" s="2">
        <f t="shared" si="161"/>
        <v>0</v>
      </c>
      <c r="H10308" t="s">
        <v>14</v>
      </c>
    </row>
    <row r="10309" spans="2:8" x14ac:dyDescent="0.2">
      <c r="B10309" s="3">
        <v>45391</v>
      </c>
      <c r="D10309" s="2"/>
      <c r="E10309" s="2"/>
      <c r="F10309" s="2"/>
      <c r="G10309" s="2">
        <f t="shared" si="161"/>
        <v>0</v>
      </c>
      <c r="H10309" t="s">
        <v>27</v>
      </c>
    </row>
    <row r="10310" spans="2:8" x14ac:dyDescent="0.2">
      <c r="B10310" s="3">
        <v>45391</v>
      </c>
      <c r="D10310" s="6"/>
      <c r="E10310" s="2"/>
      <c r="F10310" s="2"/>
      <c r="G10310" s="2">
        <f t="shared" si="161"/>
        <v>0</v>
      </c>
      <c r="H10310" t="s">
        <v>13</v>
      </c>
    </row>
    <row r="10311" spans="2:8" x14ac:dyDescent="0.2">
      <c r="B10311" s="3">
        <v>45391</v>
      </c>
      <c r="D10311" s="6"/>
      <c r="E10311" s="2"/>
      <c r="F10311" s="2"/>
      <c r="G10311" s="2">
        <f t="shared" si="161"/>
        <v>0</v>
      </c>
      <c r="H10311" t="s">
        <v>26</v>
      </c>
    </row>
    <row r="10312" spans="2:8" x14ac:dyDescent="0.2">
      <c r="B10312" s="3">
        <v>45391</v>
      </c>
      <c r="D10312" s="2"/>
      <c r="E10312" s="2"/>
      <c r="F10312" s="2"/>
      <c r="G10312" s="2">
        <f t="shared" si="161"/>
        <v>0</v>
      </c>
      <c r="H10312" t="s">
        <v>9</v>
      </c>
    </row>
    <row r="10313" spans="2:8" x14ac:dyDescent="0.2">
      <c r="B10313" s="3">
        <v>45391</v>
      </c>
      <c r="D10313" s="2"/>
      <c r="E10313" s="2"/>
      <c r="F10313" s="2"/>
      <c r="G10313" s="2">
        <f t="shared" si="161"/>
        <v>0</v>
      </c>
      <c r="H10313" t="s">
        <v>8</v>
      </c>
    </row>
    <row r="10314" spans="2:8" x14ac:dyDescent="0.2">
      <c r="B10314" s="3">
        <v>45391</v>
      </c>
      <c r="D10314" s="2"/>
      <c r="E10314" s="2"/>
      <c r="F10314" s="2"/>
      <c r="G10314" s="2">
        <f t="shared" si="161"/>
        <v>0</v>
      </c>
      <c r="H10314" t="s">
        <v>23</v>
      </c>
    </row>
    <row r="10315" spans="2:8" x14ac:dyDescent="0.2">
      <c r="B10315" s="3">
        <v>45391</v>
      </c>
      <c r="D10315" s="2"/>
      <c r="E10315" s="2"/>
      <c r="F10315" s="2"/>
      <c r="G10315" s="2">
        <f t="shared" si="161"/>
        <v>0</v>
      </c>
      <c r="H10315" t="s">
        <v>5</v>
      </c>
    </row>
    <row r="10316" spans="2:8" x14ac:dyDescent="0.2">
      <c r="B10316" s="3">
        <v>45391</v>
      </c>
      <c r="D10316" s="2"/>
      <c r="E10316" s="2"/>
      <c r="F10316" s="2"/>
      <c r="G10316" s="2">
        <f t="shared" si="161"/>
        <v>0</v>
      </c>
      <c r="H10316" s="1"/>
    </row>
    <row r="10317" spans="2:8" x14ac:dyDescent="0.2">
      <c r="B10317" s="3">
        <v>45391</v>
      </c>
      <c r="D10317" s="2"/>
      <c r="E10317" s="2"/>
      <c r="F10317" s="2"/>
      <c r="G10317" s="2">
        <f t="shared" si="161"/>
        <v>0</v>
      </c>
      <c r="H10317" t="s">
        <v>0</v>
      </c>
    </row>
    <row r="10318" spans="2:8" x14ac:dyDescent="0.2">
      <c r="B10318" s="3">
        <v>45392</v>
      </c>
      <c r="D10318" s="2"/>
      <c r="E10318" s="2"/>
      <c r="F10318" s="2"/>
      <c r="G10318" s="2">
        <f t="shared" si="161"/>
        <v>0</v>
      </c>
      <c r="H10318" t="s">
        <v>14</v>
      </c>
    </row>
    <row r="10319" spans="2:8" x14ac:dyDescent="0.2">
      <c r="B10319" s="3">
        <v>45392</v>
      </c>
      <c r="D10319" s="2"/>
      <c r="E10319" s="2"/>
      <c r="F10319" s="2"/>
      <c r="G10319" s="2">
        <f t="shared" si="161"/>
        <v>0</v>
      </c>
      <c r="H10319" t="s">
        <v>27</v>
      </c>
    </row>
    <row r="10320" spans="2:8" x14ac:dyDescent="0.2">
      <c r="B10320" s="3">
        <v>45392</v>
      </c>
      <c r="D10320" s="6"/>
      <c r="E10320" s="2"/>
      <c r="F10320" s="2"/>
      <c r="G10320" s="2">
        <f t="shared" si="161"/>
        <v>0</v>
      </c>
      <c r="H10320" t="s">
        <v>13</v>
      </c>
    </row>
    <row r="10321" spans="2:8" x14ac:dyDescent="0.2">
      <c r="B10321" s="3">
        <v>45392</v>
      </c>
      <c r="D10321" s="6"/>
      <c r="E10321" s="2"/>
      <c r="F10321" s="2"/>
      <c r="G10321" s="2">
        <f t="shared" si="161"/>
        <v>0</v>
      </c>
      <c r="H10321" t="s">
        <v>26</v>
      </c>
    </row>
    <row r="10322" spans="2:8" x14ac:dyDescent="0.2">
      <c r="B10322" s="3">
        <v>45392</v>
      </c>
      <c r="D10322" s="2"/>
      <c r="E10322" s="2"/>
      <c r="F10322" s="2"/>
      <c r="G10322" s="2">
        <f t="shared" si="161"/>
        <v>0</v>
      </c>
      <c r="H10322" t="s">
        <v>9</v>
      </c>
    </row>
    <row r="10323" spans="2:8" x14ac:dyDescent="0.2">
      <c r="B10323" s="3">
        <v>45392</v>
      </c>
      <c r="D10323" s="2"/>
      <c r="E10323" s="2"/>
      <c r="F10323" s="2"/>
      <c r="G10323" s="2">
        <f t="shared" si="161"/>
        <v>0</v>
      </c>
      <c r="H10323" t="s">
        <v>8</v>
      </c>
    </row>
    <row r="10324" spans="2:8" x14ac:dyDescent="0.2">
      <c r="B10324" s="3">
        <v>45392</v>
      </c>
      <c r="D10324" s="2"/>
      <c r="E10324" s="2"/>
      <c r="F10324" s="2"/>
      <c r="G10324" s="2">
        <f t="shared" si="161"/>
        <v>0</v>
      </c>
      <c r="H10324" t="s">
        <v>5</v>
      </c>
    </row>
    <row r="10325" spans="2:8" x14ac:dyDescent="0.2">
      <c r="B10325" s="3">
        <v>45392</v>
      </c>
      <c r="D10325" s="2"/>
      <c r="E10325" s="2"/>
      <c r="F10325" s="2"/>
      <c r="G10325" s="2">
        <f t="shared" si="161"/>
        <v>0</v>
      </c>
      <c r="H10325" s="1"/>
    </row>
    <row r="10326" spans="2:8" x14ac:dyDescent="0.2">
      <c r="B10326" s="3">
        <v>45392</v>
      </c>
      <c r="D10326" s="2"/>
      <c r="E10326" s="2"/>
      <c r="F10326" s="2"/>
      <c r="G10326" s="2">
        <f t="shared" si="161"/>
        <v>0</v>
      </c>
      <c r="H10326" t="s">
        <v>0</v>
      </c>
    </row>
    <row r="10327" spans="2:8" x14ac:dyDescent="0.2">
      <c r="B10327" s="3">
        <v>45393</v>
      </c>
      <c r="D10327" s="2"/>
      <c r="E10327" s="2"/>
      <c r="F10327" s="2"/>
      <c r="G10327" s="2">
        <f t="shared" si="161"/>
        <v>0</v>
      </c>
      <c r="H10327" t="s">
        <v>14</v>
      </c>
    </row>
    <row r="10328" spans="2:8" x14ac:dyDescent="0.2">
      <c r="B10328" s="3">
        <v>45393</v>
      </c>
      <c r="D10328" s="2"/>
      <c r="E10328" s="2"/>
      <c r="F10328" s="2"/>
      <c r="G10328" s="2">
        <f t="shared" si="161"/>
        <v>0</v>
      </c>
      <c r="H10328" t="s">
        <v>27</v>
      </c>
    </row>
    <row r="10329" spans="2:8" x14ac:dyDescent="0.2">
      <c r="B10329" s="3">
        <v>45393</v>
      </c>
      <c r="D10329" s="6"/>
      <c r="E10329" s="2"/>
      <c r="F10329" s="2"/>
      <c r="G10329" s="2">
        <f t="shared" si="161"/>
        <v>0</v>
      </c>
      <c r="H10329" t="s">
        <v>13</v>
      </c>
    </row>
    <row r="10330" spans="2:8" x14ac:dyDescent="0.2">
      <c r="B10330" s="3">
        <v>45393</v>
      </c>
      <c r="D10330" s="6"/>
      <c r="E10330" s="2"/>
      <c r="F10330" s="2"/>
      <c r="G10330" s="2">
        <f t="shared" si="161"/>
        <v>0</v>
      </c>
      <c r="H10330" t="s">
        <v>26</v>
      </c>
    </row>
    <row r="10331" spans="2:8" x14ac:dyDescent="0.2">
      <c r="B10331" s="3">
        <v>45393</v>
      </c>
      <c r="D10331" s="2"/>
      <c r="E10331" s="2"/>
      <c r="F10331" s="2"/>
      <c r="G10331" s="2">
        <f t="shared" si="161"/>
        <v>0</v>
      </c>
      <c r="H10331" t="s">
        <v>9</v>
      </c>
    </row>
    <row r="10332" spans="2:8" x14ac:dyDescent="0.2">
      <c r="B10332" s="3">
        <v>45393</v>
      </c>
      <c r="D10332" s="2"/>
      <c r="E10332" s="2"/>
      <c r="F10332" s="2"/>
      <c r="G10332" s="2">
        <f t="shared" si="161"/>
        <v>0</v>
      </c>
      <c r="H10332" t="s">
        <v>8</v>
      </c>
    </row>
    <row r="10333" spans="2:8" x14ac:dyDescent="0.2">
      <c r="B10333" s="3">
        <v>45393</v>
      </c>
      <c r="D10333" s="2"/>
      <c r="E10333" s="2"/>
      <c r="F10333" s="2"/>
      <c r="G10333" s="2">
        <f t="shared" si="161"/>
        <v>0</v>
      </c>
      <c r="H10333" t="s">
        <v>5</v>
      </c>
    </row>
    <row r="10334" spans="2:8" x14ac:dyDescent="0.2">
      <c r="B10334" s="3">
        <v>45393</v>
      </c>
      <c r="D10334" s="2"/>
      <c r="E10334" s="2"/>
      <c r="F10334" s="2"/>
      <c r="G10334" s="2">
        <f t="shared" si="161"/>
        <v>0</v>
      </c>
      <c r="H10334" s="1"/>
    </row>
    <row r="10335" spans="2:8" x14ac:dyDescent="0.2">
      <c r="B10335" s="3">
        <v>45393</v>
      </c>
      <c r="D10335" s="2"/>
      <c r="E10335" s="2"/>
      <c r="F10335" s="2"/>
      <c r="G10335" s="2">
        <f t="shared" si="161"/>
        <v>0</v>
      </c>
      <c r="H10335" t="s">
        <v>0</v>
      </c>
    </row>
    <row r="10336" spans="2:8" x14ac:dyDescent="0.2">
      <c r="B10336" s="3">
        <v>45394</v>
      </c>
      <c r="D10336" s="2"/>
      <c r="E10336" s="2"/>
      <c r="F10336" s="2"/>
      <c r="G10336" s="2">
        <f t="shared" si="161"/>
        <v>0</v>
      </c>
      <c r="H10336" t="s">
        <v>14</v>
      </c>
    </row>
    <row r="10337" spans="2:8" x14ac:dyDescent="0.2">
      <c r="B10337" s="3">
        <v>45394</v>
      </c>
      <c r="D10337" s="2"/>
      <c r="E10337" s="2"/>
      <c r="F10337" s="2"/>
      <c r="G10337" s="2">
        <f t="shared" si="161"/>
        <v>0</v>
      </c>
      <c r="H10337" t="s">
        <v>27</v>
      </c>
    </row>
    <row r="10338" spans="2:8" x14ac:dyDescent="0.2">
      <c r="B10338" s="3">
        <v>45394</v>
      </c>
      <c r="D10338" s="6"/>
      <c r="E10338" s="2"/>
      <c r="F10338" s="2"/>
      <c r="G10338" s="2">
        <f t="shared" si="161"/>
        <v>0</v>
      </c>
      <c r="H10338" t="s">
        <v>13</v>
      </c>
    </row>
    <row r="10339" spans="2:8" x14ac:dyDescent="0.2">
      <c r="B10339" s="3">
        <v>45394</v>
      </c>
      <c r="D10339" s="6"/>
      <c r="E10339" s="2"/>
      <c r="F10339" s="2"/>
      <c r="G10339" s="2">
        <f t="shared" si="161"/>
        <v>0</v>
      </c>
      <c r="H10339" t="s">
        <v>26</v>
      </c>
    </row>
    <row r="10340" spans="2:8" x14ac:dyDescent="0.2">
      <c r="B10340" s="3">
        <v>45394</v>
      </c>
      <c r="D10340" s="2"/>
      <c r="E10340" s="2"/>
      <c r="F10340" s="2"/>
      <c r="G10340" s="2">
        <f t="shared" si="161"/>
        <v>0</v>
      </c>
      <c r="H10340" t="s">
        <v>9</v>
      </c>
    </row>
    <row r="10341" spans="2:8" x14ac:dyDescent="0.2">
      <c r="B10341" s="3">
        <v>45394</v>
      </c>
      <c r="D10341" s="2"/>
      <c r="E10341" s="2"/>
      <c r="F10341" s="2"/>
      <c r="G10341" s="2">
        <f t="shared" si="161"/>
        <v>0</v>
      </c>
      <c r="H10341" t="s">
        <v>8</v>
      </c>
    </row>
    <row r="10342" spans="2:8" x14ac:dyDescent="0.2">
      <c r="B10342" s="3">
        <v>45394</v>
      </c>
      <c r="D10342" s="2"/>
      <c r="E10342" s="2"/>
      <c r="F10342" s="2"/>
      <c r="G10342" s="2">
        <f t="shared" si="161"/>
        <v>0</v>
      </c>
      <c r="H10342" t="s">
        <v>5</v>
      </c>
    </row>
    <row r="10343" spans="2:8" x14ac:dyDescent="0.2">
      <c r="B10343" s="3">
        <v>45394</v>
      </c>
      <c r="D10343" s="2"/>
      <c r="E10343" s="2"/>
      <c r="F10343" s="2"/>
      <c r="G10343" s="2">
        <f t="shared" si="161"/>
        <v>0</v>
      </c>
      <c r="H10343" s="1"/>
    </row>
    <row r="10344" spans="2:8" x14ac:dyDescent="0.2">
      <c r="B10344" s="3">
        <v>45394</v>
      </c>
      <c r="D10344" s="2"/>
      <c r="E10344" s="2"/>
      <c r="F10344" s="2"/>
      <c r="G10344" s="2">
        <f t="shared" si="161"/>
        <v>0</v>
      </c>
      <c r="H10344" t="s">
        <v>0</v>
      </c>
    </row>
    <row r="10345" spans="2:8" x14ac:dyDescent="0.2">
      <c r="B10345" s="3">
        <v>45395</v>
      </c>
      <c r="D10345" s="2"/>
      <c r="E10345" s="2"/>
      <c r="F10345" s="2"/>
      <c r="G10345" s="2">
        <f t="shared" si="161"/>
        <v>0</v>
      </c>
      <c r="H10345" t="s">
        <v>14</v>
      </c>
    </row>
    <row r="10346" spans="2:8" x14ac:dyDescent="0.2">
      <c r="B10346" s="3">
        <v>45395</v>
      </c>
      <c r="D10346" s="2"/>
      <c r="E10346" s="2"/>
      <c r="F10346" s="2"/>
      <c r="G10346" s="2">
        <f t="shared" si="161"/>
        <v>0</v>
      </c>
      <c r="H10346" t="s">
        <v>27</v>
      </c>
    </row>
    <row r="10347" spans="2:8" x14ac:dyDescent="0.2">
      <c r="B10347" s="3">
        <v>45395</v>
      </c>
      <c r="D10347" s="6"/>
      <c r="E10347" s="2"/>
      <c r="F10347" s="2"/>
      <c r="G10347" s="2">
        <f t="shared" si="161"/>
        <v>0</v>
      </c>
      <c r="H10347" t="s">
        <v>13</v>
      </c>
    </row>
    <row r="10348" spans="2:8" x14ac:dyDescent="0.2">
      <c r="B10348" s="3">
        <v>45395</v>
      </c>
      <c r="D10348" s="6"/>
      <c r="E10348" s="4"/>
      <c r="F10348" s="2"/>
      <c r="G10348" s="2">
        <f t="shared" si="161"/>
        <v>0</v>
      </c>
      <c r="H10348" t="s">
        <v>26</v>
      </c>
    </row>
    <row r="10349" spans="2:8" x14ac:dyDescent="0.2">
      <c r="B10349" s="3">
        <v>45395</v>
      </c>
      <c r="D10349" s="2"/>
      <c r="E10349" s="2"/>
      <c r="F10349" s="2"/>
      <c r="G10349" s="2">
        <f t="shared" si="161"/>
        <v>0</v>
      </c>
      <c r="H10349" t="s">
        <v>9</v>
      </c>
    </row>
    <row r="10350" spans="2:8" x14ac:dyDescent="0.2">
      <c r="B10350" s="3">
        <v>45395</v>
      </c>
      <c r="D10350" s="2"/>
      <c r="E10350" s="2"/>
      <c r="F10350" s="2"/>
      <c r="G10350" s="2">
        <f t="shared" si="161"/>
        <v>0</v>
      </c>
      <c r="H10350" t="s">
        <v>8</v>
      </c>
    </row>
    <row r="10351" spans="2:8" x14ac:dyDescent="0.2">
      <c r="B10351" s="3">
        <v>45395</v>
      </c>
      <c r="D10351" s="2"/>
      <c r="E10351" s="2"/>
      <c r="F10351" s="2"/>
      <c r="G10351" s="2">
        <f t="shared" si="161"/>
        <v>0</v>
      </c>
      <c r="H10351" t="s">
        <v>5</v>
      </c>
    </row>
    <row r="10352" spans="2:8" x14ac:dyDescent="0.2">
      <c r="B10352" s="3">
        <v>45395</v>
      </c>
      <c r="D10352" s="2"/>
      <c r="E10352" s="2"/>
      <c r="F10352" s="2"/>
      <c r="G10352" s="2">
        <f t="shared" si="161"/>
        <v>0</v>
      </c>
      <c r="H10352" s="1"/>
    </row>
    <row r="10353" spans="2:8" x14ac:dyDescent="0.2">
      <c r="B10353" s="3">
        <v>45395</v>
      </c>
      <c r="D10353" s="2"/>
      <c r="E10353" s="2"/>
      <c r="F10353" s="2"/>
      <c r="G10353" s="2">
        <f t="shared" si="161"/>
        <v>0</v>
      </c>
      <c r="H10353" t="s">
        <v>0</v>
      </c>
    </row>
    <row r="10354" spans="2:8" x14ac:dyDescent="0.2">
      <c r="B10354" s="3">
        <v>45396</v>
      </c>
      <c r="D10354" s="2"/>
      <c r="E10354" s="2"/>
      <c r="F10354" s="2"/>
      <c r="G10354" s="2">
        <f t="shared" si="161"/>
        <v>0</v>
      </c>
      <c r="H10354" t="s">
        <v>14</v>
      </c>
    </row>
    <row r="10355" spans="2:8" x14ac:dyDescent="0.2">
      <c r="B10355" s="3">
        <v>45396</v>
      </c>
      <c r="D10355" s="2"/>
      <c r="E10355" s="2"/>
      <c r="F10355" s="2"/>
      <c r="G10355" s="2">
        <f t="shared" si="161"/>
        <v>0</v>
      </c>
      <c r="H10355" t="s">
        <v>27</v>
      </c>
    </row>
    <row r="10356" spans="2:8" x14ac:dyDescent="0.2">
      <c r="B10356" s="3">
        <v>45396</v>
      </c>
      <c r="D10356" s="6"/>
      <c r="E10356" s="2"/>
      <c r="F10356" s="2"/>
      <c r="G10356" s="2">
        <f t="shared" si="161"/>
        <v>0</v>
      </c>
      <c r="H10356" t="s">
        <v>13</v>
      </c>
    </row>
    <row r="10357" spans="2:8" x14ac:dyDescent="0.2">
      <c r="B10357" s="3">
        <v>45396</v>
      </c>
      <c r="D10357" s="6"/>
      <c r="E10357" s="2"/>
      <c r="F10357" s="2"/>
      <c r="G10357" s="2">
        <f t="shared" si="161"/>
        <v>0</v>
      </c>
      <c r="H10357" t="s">
        <v>26</v>
      </c>
    </row>
    <row r="10358" spans="2:8" x14ac:dyDescent="0.2">
      <c r="B10358" s="3">
        <v>45396</v>
      </c>
      <c r="D10358" s="2"/>
      <c r="E10358" s="2"/>
      <c r="F10358" s="2"/>
      <c r="G10358" s="2">
        <f t="shared" si="161"/>
        <v>0</v>
      </c>
      <c r="H10358" t="s">
        <v>9</v>
      </c>
    </row>
    <row r="10359" spans="2:8" x14ac:dyDescent="0.2">
      <c r="B10359" s="3">
        <v>45396</v>
      </c>
      <c r="D10359" s="2"/>
      <c r="E10359" s="2"/>
      <c r="F10359" s="2"/>
      <c r="G10359" s="2">
        <f t="shared" si="161"/>
        <v>0</v>
      </c>
      <c r="H10359" t="s">
        <v>8</v>
      </c>
    </row>
    <row r="10360" spans="2:8" x14ac:dyDescent="0.2">
      <c r="B10360" s="3">
        <v>45396</v>
      </c>
      <c r="D10360" s="2"/>
      <c r="E10360" s="2"/>
      <c r="F10360" s="2"/>
      <c r="G10360" s="2">
        <f t="shared" si="161"/>
        <v>0</v>
      </c>
      <c r="H10360" t="s">
        <v>5</v>
      </c>
    </row>
    <row r="10361" spans="2:8" x14ac:dyDescent="0.2">
      <c r="B10361" s="3">
        <v>45396</v>
      </c>
      <c r="D10361" s="2"/>
      <c r="E10361" s="2"/>
      <c r="F10361" s="2"/>
      <c r="G10361" s="2">
        <f t="shared" si="161"/>
        <v>0</v>
      </c>
      <c r="H10361" s="1"/>
    </row>
    <row r="10362" spans="2:8" x14ac:dyDescent="0.2">
      <c r="B10362" s="3">
        <v>45396</v>
      </c>
      <c r="D10362" s="2"/>
      <c r="E10362" s="2"/>
      <c r="F10362" s="2"/>
      <c r="G10362" s="2">
        <f t="shared" si="161"/>
        <v>0</v>
      </c>
      <c r="H10362" t="s">
        <v>0</v>
      </c>
    </row>
    <row r="10363" spans="2:8" x14ac:dyDescent="0.2">
      <c r="B10363" s="3">
        <v>45397</v>
      </c>
      <c r="D10363" s="2">
        <v>34380</v>
      </c>
      <c r="E10363" s="2">
        <v>40560</v>
      </c>
      <c r="F10363" s="2"/>
      <c r="G10363" s="2">
        <f t="shared" si="161"/>
        <v>40560</v>
      </c>
      <c r="H10363" t="s">
        <v>14</v>
      </c>
    </row>
    <row r="10364" spans="2:8" x14ac:dyDescent="0.2">
      <c r="B10364" s="3">
        <v>45397</v>
      </c>
      <c r="D10364" s="2"/>
      <c r="E10364" s="2"/>
      <c r="F10364" s="2"/>
      <c r="G10364" s="2">
        <f t="shared" si="161"/>
        <v>0</v>
      </c>
      <c r="H10364" t="s">
        <v>27</v>
      </c>
    </row>
    <row r="10365" spans="2:8" x14ac:dyDescent="0.2">
      <c r="B10365" s="3">
        <v>45397</v>
      </c>
      <c r="D10365" s="6"/>
      <c r="E10365" s="2"/>
      <c r="F10365" s="2"/>
      <c r="G10365" s="2">
        <f t="shared" si="161"/>
        <v>0</v>
      </c>
      <c r="H10365" t="s">
        <v>13</v>
      </c>
    </row>
    <row r="10366" spans="2:8" x14ac:dyDescent="0.2">
      <c r="B10366" s="3">
        <v>45397</v>
      </c>
      <c r="D10366" s="6"/>
      <c r="E10366" s="2"/>
      <c r="F10366" s="2"/>
      <c r="G10366" s="2">
        <f t="shared" si="161"/>
        <v>0</v>
      </c>
      <c r="H10366" t="s">
        <v>26</v>
      </c>
    </row>
    <row r="10367" spans="2:8" x14ac:dyDescent="0.2">
      <c r="B10367" s="3">
        <v>45397</v>
      </c>
      <c r="D10367" s="2"/>
      <c r="E10367" s="2"/>
      <c r="F10367" s="2"/>
      <c r="G10367" s="2">
        <f t="shared" si="161"/>
        <v>0</v>
      </c>
      <c r="H10367" t="s">
        <v>9</v>
      </c>
    </row>
    <row r="10368" spans="2:8" x14ac:dyDescent="0.2">
      <c r="B10368" s="3">
        <v>45397</v>
      </c>
      <c r="D10368" s="2"/>
      <c r="E10368" s="2"/>
      <c r="F10368" s="2"/>
      <c r="G10368" s="2">
        <f t="shared" si="161"/>
        <v>0</v>
      </c>
      <c r="H10368" t="s">
        <v>8</v>
      </c>
    </row>
    <row r="10369" spans="2:8" x14ac:dyDescent="0.2">
      <c r="B10369" s="3">
        <v>45397</v>
      </c>
      <c r="D10369" s="2"/>
      <c r="E10369" s="2"/>
      <c r="F10369" s="2"/>
      <c r="G10369" s="2">
        <f t="shared" si="161"/>
        <v>0</v>
      </c>
      <c r="H10369" t="s">
        <v>5</v>
      </c>
    </row>
    <row r="10370" spans="2:8" x14ac:dyDescent="0.2">
      <c r="B10370" s="3">
        <v>45397</v>
      </c>
      <c r="D10370" s="2"/>
      <c r="E10370" s="2"/>
      <c r="F10370" s="2"/>
      <c r="G10370" s="2">
        <f t="shared" si="161"/>
        <v>0</v>
      </c>
      <c r="H10370" s="1"/>
    </row>
    <row r="10371" spans="2:8" x14ac:dyDescent="0.2">
      <c r="B10371" s="3">
        <v>45397</v>
      </c>
      <c r="D10371" s="2"/>
      <c r="E10371" s="2"/>
      <c r="F10371" s="2"/>
      <c r="G10371" s="2">
        <f t="shared" ref="G10371:G10434" si="162">E10371-F10371</f>
        <v>0</v>
      </c>
      <c r="H10371" t="s">
        <v>0</v>
      </c>
    </row>
    <row r="10372" spans="2:8" x14ac:dyDescent="0.2">
      <c r="B10372" s="3">
        <v>45398</v>
      </c>
      <c r="D10372" s="2"/>
      <c r="E10372" s="2"/>
      <c r="F10372" s="2"/>
      <c r="G10372" s="2">
        <f t="shared" si="162"/>
        <v>0</v>
      </c>
      <c r="H10372" t="s">
        <v>14</v>
      </c>
    </row>
    <row r="10373" spans="2:8" x14ac:dyDescent="0.2">
      <c r="B10373" s="3">
        <v>45398</v>
      </c>
      <c r="D10373" s="2"/>
      <c r="E10373" s="2"/>
      <c r="F10373" s="2"/>
      <c r="G10373" s="2">
        <f t="shared" si="162"/>
        <v>0</v>
      </c>
      <c r="H10373" t="s">
        <v>27</v>
      </c>
    </row>
    <row r="10374" spans="2:8" x14ac:dyDescent="0.2">
      <c r="B10374" s="3">
        <v>45398</v>
      </c>
      <c r="D10374" s="6"/>
      <c r="E10374" s="2"/>
      <c r="F10374" s="2"/>
      <c r="G10374" s="2">
        <f t="shared" si="162"/>
        <v>0</v>
      </c>
      <c r="H10374" t="s">
        <v>13</v>
      </c>
    </row>
    <row r="10375" spans="2:8" x14ac:dyDescent="0.2">
      <c r="B10375" s="3">
        <v>45398</v>
      </c>
      <c r="D10375" s="6"/>
      <c r="E10375" s="2"/>
      <c r="F10375" s="2"/>
      <c r="G10375" s="2">
        <f t="shared" si="162"/>
        <v>0</v>
      </c>
      <c r="H10375" t="s">
        <v>26</v>
      </c>
    </row>
    <row r="10376" spans="2:8" x14ac:dyDescent="0.2">
      <c r="B10376" s="3">
        <v>45398</v>
      </c>
      <c r="D10376" s="2"/>
      <c r="E10376" s="2"/>
      <c r="F10376" s="2"/>
      <c r="G10376" s="2">
        <f t="shared" si="162"/>
        <v>0</v>
      </c>
      <c r="H10376" t="s">
        <v>9</v>
      </c>
    </row>
    <row r="10377" spans="2:8" x14ac:dyDescent="0.2">
      <c r="B10377" s="3">
        <v>45398</v>
      </c>
      <c r="D10377" s="2"/>
      <c r="E10377" s="2"/>
      <c r="F10377" s="2">
        <v>15000</v>
      </c>
      <c r="G10377" s="2">
        <f t="shared" si="162"/>
        <v>-15000</v>
      </c>
      <c r="H10377" t="s">
        <v>8</v>
      </c>
    </row>
    <row r="10378" spans="2:8" x14ac:dyDescent="0.2">
      <c r="B10378" s="3">
        <v>45398</v>
      </c>
      <c r="D10378" s="2"/>
      <c r="E10378" s="2"/>
      <c r="F10378" s="2"/>
      <c r="G10378" s="2">
        <f t="shared" si="162"/>
        <v>0</v>
      </c>
      <c r="H10378" t="s">
        <v>5</v>
      </c>
    </row>
    <row r="10379" spans="2:8" x14ac:dyDescent="0.2">
      <c r="B10379" s="3">
        <v>45398</v>
      </c>
      <c r="D10379" s="2"/>
      <c r="E10379" s="2"/>
      <c r="F10379" s="2"/>
      <c r="G10379" s="2">
        <f t="shared" si="162"/>
        <v>0</v>
      </c>
      <c r="H10379" s="1"/>
    </row>
    <row r="10380" spans="2:8" x14ac:dyDescent="0.2">
      <c r="B10380" s="3">
        <v>45398</v>
      </c>
      <c r="D10380" s="2"/>
      <c r="E10380" s="2"/>
      <c r="F10380" s="2"/>
      <c r="G10380" s="2">
        <f t="shared" si="162"/>
        <v>0</v>
      </c>
      <c r="H10380" t="s">
        <v>0</v>
      </c>
    </row>
    <row r="10381" spans="2:8" x14ac:dyDescent="0.2">
      <c r="B10381" s="3">
        <v>45399</v>
      </c>
      <c r="D10381" s="2">
        <v>3520</v>
      </c>
      <c r="E10381" s="2">
        <v>4800</v>
      </c>
      <c r="F10381" s="2">
        <v>10000</v>
      </c>
      <c r="G10381" s="2">
        <f t="shared" si="162"/>
        <v>-5200</v>
      </c>
      <c r="H10381" t="s">
        <v>14</v>
      </c>
    </row>
    <row r="10382" spans="2:8" x14ac:dyDescent="0.2">
      <c r="B10382" s="3">
        <v>45399</v>
      </c>
      <c r="D10382" s="2"/>
      <c r="E10382" s="2"/>
      <c r="F10382" s="2"/>
      <c r="G10382" s="2">
        <f t="shared" si="162"/>
        <v>0</v>
      </c>
      <c r="H10382" t="s">
        <v>27</v>
      </c>
    </row>
    <row r="10383" spans="2:8" x14ac:dyDescent="0.2">
      <c r="B10383" s="3">
        <v>45399</v>
      </c>
      <c r="D10383" s="6"/>
      <c r="E10383" s="2"/>
      <c r="F10383" s="2"/>
      <c r="G10383" s="2">
        <f t="shared" si="162"/>
        <v>0</v>
      </c>
      <c r="H10383" t="s">
        <v>13</v>
      </c>
    </row>
    <row r="10384" spans="2:8" x14ac:dyDescent="0.2">
      <c r="B10384" s="3">
        <v>45399</v>
      </c>
      <c r="D10384" s="6"/>
      <c r="E10384" s="2"/>
      <c r="F10384" s="2"/>
      <c r="G10384" s="2">
        <f t="shared" si="162"/>
        <v>0</v>
      </c>
      <c r="H10384" t="s">
        <v>26</v>
      </c>
    </row>
    <row r="10385" spans="2:8" x14ac:dyDescent="0.2">
      <c r="B10385" s="3">
        <v>45399</v>
      </c>
      <c r="D10385" s="2"/>
      <c r="E10385" s="2"/>
      <c r="F10385" s="2"/>
      <c r="G10385" s="2">
        <f t="shared" si="162"/>
        <v>0</v>
      </c>
      <c r="H10385" t="s">
        <v>9</v>
      </c>
    </row>
    <row r="10386" spans="2:8" x14ac:dyDescent="0.2">
      <c r="B10386" s="3">
        <v>45399</v>
      </c>
      <c r="D10386" s="2"/>
      <c r="E10386" s="2"/>
      <c r="F10386" s="2"/>
      <c r="G10386" s="2">
        <f t="shared" si="162"/>
        <v>0</v>
      </c>
      <c r="H10386" t="s">
        <v>8</v>
      </c>
    </row>
    <row r="10387" spans="2:8" x14ac:dyDescent="0.2">
      <c r="B10387" s="3">
        <v>45399</v>
      </c>
      <c r="D10387" s="2"/>
      <c r="E10387" s="2"/>
      <c r="F10387" s="2"/>
      <c r="G10387" s="2">
        <f t="shared" si="162"/>
        <v>0</v>
      </c>
      <c r="H10387" t="s">
        <v>5</v>
      </c>
    </row>
    <row r="10388" spans="2:8" x14ac:dyDescent="0.2">
      <c r="B10388" s="3">
        <v>45399</v>
      </c>
      <c r="D10388" s="2"/>
      <c r="E10388" s="2"/>
      <c r="F10388" s="2"/>
      <c r="G10388" s="2">
        <f t="shared" si="162"/>
        <v>0</v>
      </c>
      <c r="H10388" s="1"/>
    </row>
    <row r="10389" spans="2:8" x14ac:dyDescent="0.2">
      <c r="B10389" s="3">
        <v>45399</v>
      </c>
      <c r="D10389" s="2"/>
      <c r="E10389" s="2"/>
      <c r="F10389" s="2"/>
      <c r="G10389" s="2">
        <f t="shared" si="162"/>
        <v>0</v>
      </c>
      <c r="H10389" t="s">
        <v>0</v>
      </c>
    </row>
    <row r="10390" spans="2:8" x14ac:dyDescent="0.2">
      <c r="B10390" s="3">
        <v>45400</v>
      </c>
      <c r="D10390" s="2"/>
      <c r="E10390" s="2"/>
      <c r="F10390" s="2"/>
      <c r="G10390" s="2">
        <f t="shared" si="162"/>
        <v>0</v>
      </c>
      <c r="H10390" t="s">
        <v>14</v>
      </c>
    </row>
    <row r="10391" spans="2:8" x14ac:dyDescent="0.2">
      <c r="B10391" s="3">
        <v>45400</v>
      </c>
      <c r="D10391" s="2"/>
      <c r="E10391" s="2"/>
      <c r="F10391" s="2"/>
      <c r="G10391" s="2">
        <f t="shared" si="162"/>
        <v>0</v>
      </c>
      <c r="H10391" t="s">
        <v>27</v>
      </c>
    </row>
    <row r="10392" spans="2:8" x14ac:dyDescent="0.2">
      <c r="B10392" s="3">
        <v>45400</v>
      </c>
      <c r="D10392" s="6"/>
      <c r="E10392" s="2"/>
      <c r="F10392" s="2"/>
      <c r="G10392" s="2">
        <f t="shared" si="162"/>
        <v>0</v>
      </c>
      <c r="H10392" t="s">
        <v>13</v>
      </c>
    </row>
    <row r="10393" spans="2:8" x14ac:dyDescent="0.2">
      <c r="B10393" s="3">
        <v>45400</v>
      </c>
      <c r="D10393" s="6"/>
      <c r="E10393" s="2"/>
      <c r="F10393" s="2"/>
      <c r="G10393" s="2">
        <f t="shared" si="162"/>
        <v>0</v>
      </c>
      <c r="H10393" t="s">
        <v>26</v>
      </c>
    </row>
    <row r="10394" spans="2:8" x14ac:dyDescent="0.2">
      <c r="B10394" s="3">
        <v>45400</v>
      </c>
      <c r="D10394" s="2"/>
      <c r="E10394" s="2"/>
      <c r="F10394" s="2"/>
      <c r="G10394" s="2">
        <f t="shared" si="162"/>
        <v>0</v>
      </c>
      <c r="H10394" t="s">
        <v>9</v>
      </c>
    </row>
    <row r="10395" spans="2:8" x14ac:dyDescent="0.2">
      <c r="B10395" s="3">
        <v>45400</v>
      </c>
      <c r="D10395" s="2"/>
      <c r="E10395" s="2"/>
      <c r="F10395" s="2"/>
      <c r="G10395" s="2">
        <f t="shared" si="162"/>
        <v>0</v>
      </c>
      <c r="H10395" t="s">
        <v>8</v>
      </c>
    </row>
    <row r="10396" spans="2:8" x14ac:dyDescent="0.2">
      <c r="B10396" s="3">
        <v>45400</v>
      </c>
      <c r="D10396" s="2"/>
      <c r="E10396" s="2"/>
      <c r="F10396" s="2"/>
      <c r="G10396" s="2">
        <f t="shared" si="162"/>
        <v>0</v>
      </c>
      <c r="H10396" t="s">
        <v>5</v>
      </c>
    </row>
    <row r="10397" spans="2:8" x14ac:dyDescent="0.2">
      <c r="B10397" s="3">
        <v>45400</v>
      </c>
      <c r="D10397" s="2"/>
      <c r="E10397" s="2"/>
      <c r="F10397" s="2"/>
      <c r="G10397" s="2">
        <f t="shared" si="162"/>
        <v>0</v>
      </c>
      <c r="H10397" s="1"/>
    </row>
    <row r="10398" spans="2:8" x14ac:dyDescent="0.2">
      <c r="B10398" s="3">
        <v>45400</v>
      </c>
      <c r="D10398" s="2"/>
      <c r="E10398" s="2"/>
      <c r="F10398" s="2"/>
      <c r="G10398" s="2">
        <f t="shared" si="162"/>
        <v>0</v>
      </c>
      <c r="H10398" t="s">
        <v>0</v>
      </c>
    </row>
    <row r="10399" spans="2:8" x14ac:dyDescent="0.2">
      <c r="B10399" s="3">
        <v>45401</v>
      </c>
      <c r="D10399" s="2"/>
      <c r="E10399" s="2"/>
      <c r="F10399" s="2"/>
      <c r="G10399" s="2">
        <f t="shared" si="162"/>
        <v>0</v>
      </c>
      <c r="H10399" t="s">
        <v>14</v>
      </c>
    </row>
    <row r="10400" spans="2:8" x14ac:dyDescent="0.2">
      <c r="B10400" s="3">
        <v>45401</v>
      </c>
      <c r="D10400" s="2"/>
      <c r="E10400" s="2"/>
      <c r="F10400" s="2"/>
      <c r="G10400" s="2">
        <f t="shared" si="162"/>
        <v>0</v>
      </c>
      <c r="H10400" t="s">
        <v>27</v>
      </c>
    </row>
    <row r="10401" spans="2:8" x14ac:dyDescent="0.2">
      <c r="B10401" s="3">
        <v>45401</v>
      </c>
      <c r="D10401" s="6">
        <f>1650+1925+1387.5+470+1110+1140+1170+1280+400+172.87+45+400.25+555+1140+340</f>
        <v>13185.62</v>
      </c>
      <c r="E10401" s="2">
        <v>14194</v>
      </c>
      <c r="F10401" s="2">
        <v>13800</v>
      </c>
      <c r="G10401" s="2">
        <f t="shared" si="162"/>
        <v>394</v>
      </c>
      <c r="H10401" t="s">
        <v>13</v>
      </c>
    </row>
    <row r="10402" spans="2:8" x14ac:dyDescent="0.2">
      <c r="B10402" s="3">
        <v>45401</v>
      </c>
      <c r="D10402" s="6"/>
      <c r="E10402" s="4"/>
      <c r="F10402" s="2"/>
      <c r="G10402" s="2">
        <f t="shared" si="162"/>
        <v>0</v>
      </c>
      <c r="H10402" t="s">
        <v>26</v>
      </c>
    </row>
    <row r="10403" spans="2:8" x14ac:dyDescent="0.2">
      <c r="B10403" s="3">
        <v>45401</v>
      </c>
      <c r="D10403" s="2"/>
      <c r="E10403" s="2"/>
      <c r="F10403" s="2"/>
      <c r="G10403" s="2">
        <f t="shared" si="162"/>
        <v>0</v>
      </c>
      <c r="H10403" t="s">
        <v>9</v>
      </c>
    </row>
    <row r="10404" spans="2:8" x14ac:dyDescent="0.2">
      <c r="B10404" s="3">
        <v>45401</v>
      </c>
      <c r="D10404" s="2"/>
      <c r="E10404" s="2"/>
      <c r="F10404" s="2"/>
      <c r="G10404" s="2">
        <f t="shared" si="162"/>
        <v>0</v>
      </c>
      <c r="H10404" t="s">
        <v>8</v>
      </c>
    </row>
    <row r="10405" spans="2:8" x14ac:dyDescent="0.2">
      <c r="B10405" s="3">
        <v>45401</v>
      </c>
      <c r="D10405" s="2"/>
      <c r="E10405" s="2"/>
      <c r="F10405" s="2"/>
      <c r="G10405" s="2">
        <f t="shared" si="162"/>
        <v>0</v>
      </c>
      <c r="H10405" t="s">
        <v>5</v>
      </c>
    </row>
    <row r="10406" spans="2:8" x14ac:dyDescent="0.2">
      <c r="B10406" s="3">
        <v>45401</v>
      </c>
      <c r="D10406" s="2">
        <v>7346</v>
      </c>
      <c r="E10406" s="2">
        <v>7707.5</v>
      </c>
      <c r="F10406" s="2">
        <v>7700</v>
      </c>
      <c r="G10406" s="2">
        <f t="shared" si="162"/>
        <v>7.5</v>
      </c>
      <c r="H10406" s="1" t="s">
        <v>83</v>
      </c>
    </row>
    <row r="10407" spans="2:8" x14ac:dyDescent="0.2">
      <c r="B10407" s="3">
        <v>45401</v>
      </c>
      <c r="D10407" s="2"/>
      <c r="E10407" s="2"/>
      <c r="F10407" s="2">
        <v>78220</v>
      </c>
      <c r="G10407" s="2">
        <f t="shared" si="162"/>
        <v>-78220</v>
      </c>
      <c r="H10407" t="s">
        <v>0</v>
      </c>
    </row>
    <row r="10408" spans="2:8" x14ac:dyDescent="0.2">
      <c r="B10408" s="3">
        <v>45402</v>
      </c>
      <c r="D10408" s="2"/>
      <c r="E10408" s="2"/>
      <c r="F10408" s="2"/>
      <c r="G10408" s="2">
        <f t="shared" si="162"/>
        <v>0</v>
      </c>
      <c r="H10408" t="s">
        <v>14</v>
      </c>
    </row>
    <row r="10409" spans="2:8" x14ac:dyDescent="0.2">
      <c r="B10409" s="3">
        <v>45402</v>
      </c>
      <c r="D10409" s="2"/>
      <c r="E10409" s="2"/>
      <c r="F10409" s="2"/>
      <c r="G10409" s="2">
        <f t="shared" si="162"/>
        <v>0</v>
      </c>
      <c r="H10409" t="s">
        <v>27</v>
      </c>
    </row>
    <row r="10410" spans="2:8" x14ac:dyDescent="0.2">
      <c r="B10410" s="3">
        <v>45402</v>
      </c>
      <c r="D10410" s="6"/>
      <c r="E10410" s="2"/>
      <c r="F10410" s="2"/>
      <c r="G10410" s="2">
        <f t="shared" si="162"/>
        <v>0</v>
      </c>
      <c r="H10410" t="s">
        <v>13</v>
      </c>
    </row>
    <row r="10411" spans="2:8" x14ac:dyDescent="0.2">
      <c r="B10411" s="3">
        <v>45402</v>
      </c>
      <c r="D10411" s="6"/>
      <c r="E10411" s="2"/>
      <c r="F10411" s="2"/>
      <c r="G10411" s="2">
        <f t="shared" si="162"/>
        <v>0</v>
      </c>
      <c r="H10411" t="s">
        <v>26</v>
      </c>
    </row>
    <row r="10412" spans="2:8" x14ac:dyDescent="0.2">
      <c r="B10412" s="3">
        <v>45402</v>
      </c>
      <c r="D10412" s="2"/>
      <c r="E10412" s="2"/>
      <c r="F10412" s="2"/>
      <c r="G10412" s="2">
        <f t="shared" si="162"/>
        <v>0</v>
      </c>
      <c r="H10412" t="s">
        <v>9</v>
      </c>
    </row>
    <row r="10413" spans="2:8" x14ac:dyDescent="0.2">
      <c r="B10413" s="3">
        <v>45402</v>
      </c>
      <c r="D10413" s="2"/>
      <c r="E10413" s="2"/>
      <c r="F10413" s="2"/>
      <c r="G10413" s="2">
        <f t="shared" si="162"/>
        <v>0</v>
      </c>
      <c r="H10413" t="s">
        <v>8</v>
      </c>
    </row>
    <row r="10414" spans="2:8" x14ac:dyDescent="0.2">
      <c r="B10414" s="3">
        <v>45402</v>
      </c>
      <c r="D10414" s="2"/>
      <c r="E10414" s="2"/>
      <c r="F10414" s="2"/>
      <c r="G10414" s="2">
        <f t="shared" si="162"/>
        <v>0</v>
      </c>
      <c r="H10414" t="s">
        <v>5</v>
      </c>
    </row>
    <row r="10415" spans="2:8" x14ac:dyDescent="0.2">
      <c r="B10415" s="3">
        <v>45402</v>
      </c>
      <c r="D10415" s="2">
        <v>2600</v>
      </c>
      <c r="E10415" s="2">
        <v>2650</v>
      </c>
      <c r="F10415" s="2">
        <v>2650</v>
      </c>
      <c r="G10415" s="2">
        <f t="shared" si="162"/>
        <v>0</v>
      </c>
      <c r="H10415" s="1" t="s">
        <v>3</v>
      </c>
    </row>
    <row r="10416" spans="2:8" x14ac:dyDescent="0.2">
      <c r="B10416" s="3">
        <v>45402</v>
      </c>
      <c r="D10416" s="2"/>
      <c r="E10416" s="2"/>
      <c r="F10416" s="2"/>
      <c r="G10416" s="2">
        <f t="shared" si="162"/>
        <v>0</v>
      </c>
      <c r="H10416" t="s">
        <v>0</v>
      </c>
    </row>
    <row r="10417" spans="2:8" x14ac:dyDescent="0.2">
      <c r="B10417" s="3">
        <v>45403</v>
      </c>
      <c r="D10417" s="2"/>
      <c r="E10417" s="2"/>
      <c r="F10417" s="2"/>
      <c r="G10417" s="2">
        <f t="shared" si="162"/>
        <v>0</v>
      </c>
      <c r="H10417" t="s">
        <v>14</v>
      </c>
    </row>
    <row r="10418" spans="2:8" x14ac:dyDescent="0.2">
      <c r="B10418" s="3">
        <v>45403</v>
      </c>
      <c r="D10418" s="2"/>
      <c r="E10418" s="2"/>
      <c r="F10418" s="2"/>
      <c r="G10418" s="2">
        <f t="shared" si="162"/>
        <v>0</v>
      </c>
      <c r="H10418" t="s">
        <v>27</v>
      </c>
    </row>
    <row r="10419" spans="2:8" x14ac:dyDescent="0.2">
      <c r="B10419" s="3">
        <v>45403</v>
      </c>
      <c r="D10419" s="6"/>
      <c r="E10419" s="2"/>
      <c r="F10419" s="2"/>
      <c r="G10419" s="2">
        <f t="shared" si="162"/>
        <v>0</v>
      </c>
      <c r="H10419" t="s">
        <v>13</v>
      </c>
    </row>
    <row r="10420" spans="2:8" x14ac:dyDescent="0.2">
      <c r="B10420" s="3">
        <v>45403</v>
      </c>
      <c r="D10420" s="6"/>
      <c r="E10420" s="2"/>
      <c r="F10420" s="2"/>
      <c r="G10420" s="2">
        <f t="shared" si="162"/>
        <v>0</v>
      </c>
      <c r="H10420" t="s">
        <v>26</v>
      </c>
    </row>
    <row r="10421" spans="2:8" x14ac:dyDescent="0.2">
      <c r="B10421" s="3">
        <v>45403</v>
      </c>
      <c r="D10421" s="2"/>
      <c r="E10421" s="2"/>
      <c r="F10421" s="2"/>
      <c r="G10421" s="2">
        <f t="shared" si="162"/>
        <v>0</v>
      </c>
      <c r="H10421" t="s">
        <v>9</v>
      </c>
    </row>
    <row r="10422" spans="2:8" x14ac:dyDescent="0.2">
      <c r="B10422" s="3">
        <v>45403</v>
      </c>
      <c r="D10422" s="2"/>
      <c r="E10422" s="2"/>
      <c r="F10422" s="2"/>
      <c r="G10422" s="2">
        <f t="shared" si="162"/>
        <v>0</v>
      </c>
      <c r="H10422" t="s">
        <v>8</v>
      </c>
    </row>
    <row r="10423" spans="2:8" x14ac:dyDescent="0.2">
      <c r="B10423" s="3">
        <v>45403</v>
      </c>
      <c r="D10423" s="2"/>
      <c r="E10423" s="2"/>
      <c r="F10423" s="2"/>
      <c r="G10423" s="2">
        <f t="shared" si="162"/>
        <v>0</v>
      </c>
      <c r="H10423" t="s">
        <v>5</v>
      </c>
    </row>
    <row r="10424" spans="2:8" x14ac:dyDescent="0.2">
      <c r="B10424" s="3">
        <v>45403</v>
      </c>
      <c r="D10424" s="2"/>
      <c r="E10424" s="2"/>
      <c r="F10424" s="2"/>
      <c r="G10424" s="2">
        <f t="shared" si="162"/>
        <v>0</v>
      </c>
      <c r="H10424" s="1"/>
    </row>
    <row r="10425" spans="2:8" x14ac:dyDescent="0.2">
      <c r="B10425" s="3">
        <v>45403</v>
      </c>
      <c r="D10425" s="2"/>
      <c r="E10425" s="2"/>
      <c r="F10425" s="2"/>
      <c r="G10425" s="2">
        <f t="shared" si="162"/>
        <v>0</v>
      </c>
      <c r="H10425" t="s">
        <v>0</v>
      </c>
    </row>
    <row r="10426" spans="2:8" x14ac:dyDescent="0.2">
      <c r="B10426" s="3">
        <v>45404</v>
      </c>
      <c r="D10426" s="2"/>
      <c r="E10426" s="2"/>
      <c r="F10426" s="2"/>
      <c r="G10426" s="2">
        <f t="shared" si="162"/>
        <v>0</v>
      </c>
      <c r="H10426" t="s">
        <v>14</v>
      </c>
    </row>
    <row r="10427" spans="2:8" x14ac:dyDescent="0.2">
      <c r="B10427" s="3">
        <v>45404</v>
      </c>
      <c r="D10427" s="2"/>
      <c r="E10427" s="2"/>
      <c r="F10427" s="2"/>
      <c r="G10427" s="2">
        <f t="shared" si="162"/>
        <v>0</v>
      </c>
      <c r="H10427" t="s">
        <v>27</v>
      </c>
    </row>
    <row r="10428" spans="2:8" x14ac:dyDescent="0.2">
      <c r="B10428" s="3">
        <v>45404</v>
      </c>
      <c r="D10428" s="6"/>
      <c r="E10428" s="2"/>
      <c r="F10428" s="2"/>
      <c r="G10428" s="2">
        <f t="shared" si="162"/>
        <v>0</v>
      </c>
      <c r="H10428" t="s">
        <v>13</v>
      </c>
    </row>
    <row r="10429" spans="2:8" x14ac:dyDescent="0.2">
      <c r="B10429" s="3">
        <v>45404</v>
      </c>
      <c r="D10429" s="6"/>
      <c r="E10429" s="2"/>
      <c r="F10429" s="2"/>
      <c r="G10429" s="2">
        <f t="shared" si="162"/>
        <v>0</v>
      </c>
      <c r="H10429" t="s">
        <v>26</v>
      </c>
    </row>
    <row r="10430" spans="2:8" x14ac:dyDescent="0.2">
      <c r="B10430" s="3">
        <v>45404</v>
      </c>
      <c r="D10430" s="2"/>
      <c r="E10430" s="2"/>
      <c r="F10430" s="2"/>
      <c r="G10430" s="2">
        <f t="shared" si="162"/>
        <v>0</v>
      </c>
      <c r="H10430" t="s">
        <v>9</v>
      </c>
    </row>
    <row r="10431" spans="2:8" x14ac:dyDescent="0.2">
      <c r="B10431" s="3">
        <v>45404</v>
      </c>
      <c r="D10431" s="2"/>
      <c r="E10431" s="2"/>
      <c r="F10431" s="2"/>
      <c r="G10431" s="2">
        <f t="shared" si="162"/>
        <v>0</v>
      </c>
      <c r="H10431" t="s">
        <v>8</v>
      </c>
    </row>
    <row r="10432" spans="2:8" x14ac:dyDescent="0.2">
      <c r="B10432" s="3">
        <v>45404</v>
      </c>
      <c r="D10432" s="2"/>
      <c r="E10432" s="2"/>
      <c r="F10432" s="2"/>
      <c r="G10432" s="2">
        <f t="shared" si="162"/>
        <v>0</v>
      </c>
      <c r="H10432" t="s">
        <v>5</v>
      </c>
    </row>
    <row r="10433" spans="2:8" x14ac:dyDescent="0.2">
      <c r="B10433" s="3">
        <v>45404</v>
      </c>
      <c r="D10433" s="2"/>
      <c r="E10433" s="2"/>
      <c r="F10433" s="2"/>
      <c r="G10433" s="2">
        <f t="shared" si="162"/>
        <v>0</v>
      </c>
      <c r="H10433" s="1"/>
    </row>
    <row r="10434" spans="2:8" x14ac:dyDescent="0.2">
      <c r="B10434" s="3">
        <v>45404</v>
      </c>
      <c r="D10434" s="2">
        <v>182830.96</v>
      </c>
      <c r="E10434" s="2">
        <v>189089.29499999998</v>
      </c>
      <c r="F10434" s="2"/>
      <c r="G10434" s="2">
        <f t="shared" si="162"/>
        <v>189089.29499999998</v>
      </c>
      <c r="H10434" t="s">
        <v>0</v>
      </c>
    </row>
    <row r="10435" spans="2:8" x14ac:dyDescent="0.2">
      <c r="B10435" s="3">
        <v>45405</v>
      </c>
      <c r="D10435" s="2"/>
      <c r="E10435" s="2"/>
      <c r="F10435" s="2">
        <v>10000</v>
      </c>
      <c r="G10435" s="2">
        <f t="shared" ref="G10435:G10498" si="163">E10435-F10435</f>
        <v>-10000</v>
      </c>
      <c r="H10435" t="s">
        <v>14</v>
      </c>
    </row>
    <row r="10436" spans="2:8" x14ac:dyDescent="0.2">
      <c r="B10436" s="3">
        <v>45405</v>
      </c>
      <c r="D10436" s="2"/>
      <c r="E10436" s="2"/>
      <c r="F10436" s="2"/>
      <c r="G10436" s="2">
        <f t="shared" si="163"/>
        <v>0</v>
      </c>
      <c r="H10436" t="s">
        <v>27</v>
      </c>
    </row>
    <row r="10437" spans="2:8" x14ac:dyDescent="0.2">
      <c r="B10437" s="3">
        <v>45405</v>
      </c>
      <c r="D10437" s="6"/>
      <c r="E10437" s="2"/>
      <c r="F10437" s="2"/>
      <c r="G10437" s="2">
        <f t="shared" si="163"/>
        <v>0</v>
      </c>
      <c r="H10437" t="s">
        <v>13</v>
      </c>
    </row>
    <row r="10438" spans="2:8" x14ac:dyDescent="0.2">
      <c r="B10438" s="3">
        <v>45405</v>
      </c>
      <c r="D10438" s="6"/>
      <c r="E10438" s="2"/>
      <c r="F10438" s="2"/>
      <c r="G10438" s="2">
        <f t="shared" si="163"/>
        <v>0</v>
      </c>
      <c r="H10438" t="s">
        <v>26</v>
      </c>
    </row>
    <row r="10439" spans="2:8" x14ac:dyDescent="0.2">
      <c r="B10439" s="3">
        <v>45405</v>
      </c>
      <c r="D10439" s="2"/>
      <c r="E10439" s="2"/>
      <c r="F10439" s="2"/>
      <c r="G10439" s="2">
        <f t="shared" si="163"/>
        <v>0</v>
      </c>
      <c r="H10439" t="s">
        <v>9</v>
      </c>
    </row>
    <row r="10440" spans="2:8" x14ac:dyDescent="0.2">
      <c r="B10440" s="3">
        <v>45405</v>
      </c>
      <c r="D10440" s="2"/>
      <c r="E10440" s="2"/>
      <c r="F10440" s="2"/>
      <c r="G10440" s="2">
        <f t="shared" si="163"/>
        <v>0</v>
      </c>
      <c r="H10440" t="s">
        <v>8</v>
      </c>
    </row>
    <row r="10441" spans="2:8" x14ac:dyDescent="0.2">
      <c r="B10441" s="3">
        <v>45405</v>
      </c>
      <c r="D10441" s="2"/>
      <c r="E10441" s="2"/>
      <c r="F10441" s="2"/>
      <c r="G10441" s="2">
        <f t="shared" si="163"/>
        <v>0</v>
      </c>
      <c r="H10441" t="s">
        <v>5</v>
      </c>
    </row>
    <row r="10442" spans="2:8" x14ac:dyDescent="0.2">
      <c r="B10442" s="3">
        <v>45405</v>
      </c>
      <c r="D10442" s="2"/>
      <c r="E10442" s="2"/>
      <c r="F10442" s="2"/>
      <c r="G10442" s="2">
        <f t="shared" si="163"/>
        <v>0</v>
      </c>
      <c r="H10442" s="1"/>
    </row>
    <row r="10443" spans="2:8" x14ac:dyDescent="0.2">
      <c r="B10443" s="3">
        <v>45405</v>
      </c>
      <c r="D10443" s="2"/>
      <c r="E10443" s="2"/>
      <c r="F10443" s="2"/>
      <c r="G10443" s="2">
        <f t="shared" si="163"/>
        <v>0</v>
      </c>
      <c r="H10443" t="s">
        <v>0</v>
      </c>
    </row>
    <row r="10444" spans="2:8" x14ac:dyDescent="0.2">
      <c r="B10444" s="3">
        <v>45406</v>
      </c>
      <c r="D10444" s="2"/>
      <c r="E10444" s="2"/>
      <c r="F10444" s="2"/>
      <c r="G10444" s="2">
        <f t="shared" si="163"/>
        <v>0</v>
      </c>
      <c r="H10444" t="s">
        <v>14</v>
      </c>
    </row>
    <row r="10445" spans="2:8" x14ac:dyDescent="0.2">
      <c r="B10445" s="3">
        <v>45406</v>
      </c>
      <c r="D10445" s="2"/>
      <c r="E10445" s="2"/>
      <c r="F10445" s="2"/>
      <c r="G10445" s="2">
        <f t="shared" si="163"/>
        <v>0</v>
      </c>
      <c r="H10445" t="s">
        <v>27</v>
      </c>
    </row>
    <row r="10446" spans="2:8" x14ac:dyDescent="0.2">
      <c r="B10446" s="3">
        <v>45406</v>
      </c>
      <c r="D10446" s="6"/>
      <c r="E10446" s="2"/>
      <c r="F10446" s="2"/>
      <c r="G10446" s="2">
        <f t="shared" si="163"/>
        <v>0</v>
      </c>
      <c r="H10446" t="s">
        <v>13</v>
      </c>
    </row>
    <row r="10447" spans="2:8" x14ac:dyDescent="0.2">
      <c r="B10447" s="3">
        <v>45406</v>
      </c>
      <c r="D10447" s="6"/>
      <c r="E10447" s="2"/>
      <c r="F10447" s="2"/>
      <c r="G10447" s="2">
        <f t="shared" si="163"/>
        <v>0</v>
      </c>
      <c r="H10447" t="s">
        <v>26</v>
      </c>
    </row>
    <row r="10448" spans="2:8" x14ac:dyDescent="0.2">
      <c r="B10448" s="3">
        <v>45406</v>
      </c>
      <c r="D10448" s="2">
        <v>32502.5</v>
      </c>
      <c r="E10448" s="2">
        <v>35400</v>
      </c>
      <c r="F10448" s="2">
        <v>10000</v>
      </c>
      <c r="G10448" s="2">
        <f t="shared" si="163"/>
        <v>25400</v>
      </c>
      <c r="H10448" t="s">
        <v>9</v>
      </c>
    </row>
    <row r="10449" spans="2:8" x14ac:dyDescent="0.2">
      <c r="B10449" s="3">
        <v>45406</v>
      </c>
      <c r="D10449" s="2"/>
      <c r="E10449" s="2"/>
      <c r="F10449" s="2">
        <v>20000</v>
      </c>
      <c r="G10449" s="2">
        <f t="shared" si="163"/>
        <v>-20000</v>
      </c>
      <c r="H10449" t="s">
        <v>8</v>
      </c>
    </row>
    <row r="10450" spans="2:8" x14ac:dyDescent="0.2">
      <c r="B10450" s="3">
        <v>45406</v>
      </c>
      <c r="D10450" s="2"/>
      <c r="E10450" s="2"/>
      <c r="F10450" s="2"/>
      <c r="G10450" s="2">
        <f t="shared" si="163"/>
        <v>0</v>
      </c>
      <c r="H10450" t="s">
        <v>5</v>
      </c>
    </row>
    <row r="10451" spans="2:8" x14ac:dyDescent="0.2">
      <c r="B10451" s="3">
        <v>45406</v>
      </c>
      <c r="D10451" s="2"/>
      <c r="E10451" s="2"/>
      <c r="F10451" s="2"/>
      <c r="G10451" s="2">
        <f t="shared" si="163"/>
        <v>0</v>
      </c>
      <c r="H10451" s="1"/>
    </row>
    <row r="10452" spans="2:8" x14ac:dyDescent="0.2">
      <c r="B10452" s="3">
        <v>45406</v>
      </c>
      <c r="D10452" s="2"/>
      <c r="E10452" s="2"/>
      <c r="F10452" s="2"/>
      <c r="G10452" s="2">
        <f t="shared" si="163"/>
        <v>0</v>
      </c>
      <c r="H10452" t="s">
        <v>0</v>
      </c>
    </row>
    <row r="10453" spans="2:8" x14ac:dyDescent="0.2">
      <c r="B10453" s="3">
        <v>45407</v>
      </c>
      <c r="D10453" s="2"/>
      <c r="E10453" s="2"/>
      <c r="F10453" s="2"/>
      <c r="G10453" s="2">
        <f t="shared" si="163"/>
        <v>0</v>
      </c>
      <c r="H10453" t="s">
        <v>14</v>
      </c>
    </row>
    <row r="10454" spans="2:8" x14ac:dyDescent="0.2">
      <c r="B10454" s="3">
        <v>45407</v>
      </c>
      <c r="D10454" s="2"/>
      <c r="E10454" s="2"/>
      <c r="F10454" s="2"/>
      <c r="G10454" s="2">
        <f t="shared" si="163"/>
        <v>0</v>
      </c>
      <c r="H10454" t="s">
        <v>27</v>
      </c>
    </row>
    <row r="10455" spans="2:8" x14ac:dyDescent="0.2">
      <c r="B10455" s="3">
        <v>45407</v>
      </c>
      <c r="D10455" s="6"/>
      <c r="E10455" s="2"/>
      <c r="F10455" s="2"/>
      <c r="G10455" s="2">
        <f t="shared" si="163"/>
        <v>0</v>
      </c>
      <c r="H10455" t="s">
        <v>13</v>
      </c>
    </row>
    <row r="10456" spans="2:8" x14ac:dyDescent="0.2">
      <c r="B10456" s="3">
        <v>45407</v>
      </c>
      <c r="D10456" s="6"/>
      <c r="E10456" s="2"/>
      <c r="F10456" s="2"/>
      <c r="G10456" s="2">
        <f t="shared" si="163"/>
        <v>0</v>
      </c>
      <c r="H10456" t="s">
        <v>26</v>
      </c>
    </row>
    <row r="10457" spans="2:8" x14ac:dyDescent="0.2">
      <c r="B10457" s="3">
        <v>45407</v>
      </c>
      <c r="D10457" s="2"/>
      <c r="E10457" s="2"/>
      <c r="F10457" s="2"/>
      <c r="G10457" s="2">
        <f t="shared" si="163"/>
        <v>0</v>
      </c>
      <c r="H10457" t="s">
        <v>9</v>
      </c>
    </row>
    <row r="10458" spans="2:8" x14ac:dyDescent="0.2">
      <c r="B10458" s="3">
        <v>45407</v>
      </c>
      <c r="D10458" s="2"/>
      <c r="E10458" s="2"/>
      <c r="F10458" s="2"/>
      <c r="G10458" s="2">
        <f t="shared" si="163"/>
        <v>0</v>
      </c>
      <c r="H10458" t="s">
        <v>8</v>
      </c>
    </row>
    <row r="10459" spans="2:8" x14ac:dyDescent="0.2">
      <c r="B10459" s="3">
        <v>45407</v>
      </c>
      <c r="D10459" s="2"/>
      <c r="E10459" s="2"/>
      <c r="F10459" s="2"/>
      <c r="G10459" s="2">
        <f t="shared" si="163"/>
        <v>0</v>
      </c>
      <c r="H10459" t="s">
        <v>5</v>
      </c>
    </row>
    <row r="10460" spans="2:8" x14ac:dyDescent="0.2">
      <c r="B10460" s="3">
        <v>45407</v>
      </c>
      <c r="D10460" s="2"/>
      <c r="E10460" s="2"/>
      <c r="F10460" s="2"/>
      <c r="G10460" s="2">
        <f t="shared" si="163"/>
        <v>0</v>
      </c>
      <c r="H10460" s="1"/>
    </row>
    <row r="10461" spans="2:8" x14ac:dyDescent="0.2">
      <c r="B10461" s="3">
        <v>45407</v>
      </c>
      <c r="D10461" s="2"/>
      <c r="E10461" s="2"/>
      <c r="F10461" s="2"/>
      <c r="G10461" s="2">
        <f t="shared" si="163"/>
        <v>0</v>
      </c>
      <c r="H10461" t="s">
        <v>0</v>
      </c>
    </row>
    <row r="10462" spans="2:8" x14ac:dyDescent="0.2">
      <c r="B10462" s="3">
        <v>45408</v>
      </c>
      <c r="D10462" s="2"/>
      <c r="E10462" s="2"/>
      <c r="F10462" s="2"/>
      <c r="G10462" s="2">
        <f t="shared" si="163"/>
        <v>0</v>
      </c>
      <c r="H10462" t="s">
        <v>14</v>
      </c>
    </row>
    <row r="10463" spans="2:8" x14ac:dyDescent="0.2">
      <c r="B10463" s="3">
        <v>45408</v>
      </c>
      <c r="D10463" s="2"/>
      <c r="E10463" s="2"/>
      <c r="F10463" s="2"/>
      <c r="G10463" s="2">
        <f t="shared" si="163"/>
        <v>0</v>
      </c>
      <c r="H10463" t="s">
        <v>27</v>
      </c>
    </row>
    <row r="10464" spans="2:8" x14ac:dyDescent="0.2">
      <c r="B10464" s="3">
        <v>45408</v>
      </c>
      <c r="D10464" s="6"/>
      <c r="E10464" s="2"/>
      <c r="F10464" s="2"/>
      <c r="G10464" s="2">
        <f t="shared" si="163"/>
        <v>0</v>
      </c>
      <c r="H10464" t="s">
        <v>13</v>
      </c>
    </row>
    <row r="10465" spans="2:8" x14ac:dyDescent="0.2">
      <c r="B10465" s="3">
        <v>45408</v>
      </c>
      <c r="D10465" s="6"/>
      <c r="E10465" s="2"/>
      <c r="F10465" s="2"/>
      <c r="G10465" s="2">
        <f t="shared" si="163"/>
        <v>0</v>
      </c>
      <c r="H10465" t="s">
        <v>26</v>
      </c>
    </row>
    <row r="10466" spans="2:8" x14ac:dyDescent="0.2">
      <c r="B10466" s="3">
        <v>45408</v>
      </c>
      <c r="D10466" s="2"/>
      <c r="E10466" s="2"/>
      <c r="F10466" s="2"/>
      <c r="G10466" s="2">
        <f t="shared" si="163"/>
        <v>0</v>
      </c>
      <c r="H10466" t="s">
        <v>9</v>
      </c>
    </row>
    <row r="10467" spans="2:8" x14ac:dyDescent="0.2">
      <c r="B10467" s="3">
        <v>45408</v>
      </c>
      <c r="D10467" s="2"/>
      <c r="E10467" s="2"/>
      <c r="F10467" s="2"/>
      <c r="G10467" s="2">
        <f t="shared" si="163"/>
        <v>0</v>
      </c>
      <c r="H10467" t="s">
        <v>8</v>
      </c>
    </row>
    <row r="10468" spans="2:8" x14ac:dyDescent="0.2">
      <c r="B10468" s="3">
        <v>45408</v>
      </c>
      <c r="D10468" s="2"/>
      <c r="E10468" s="2"/>
      <c r="F10468" s="2"/>
      <c r="G10468" s="2">
        <f t="shared" si="163"/>
        <v>0</v>
      </c>
      <c r="H10468" t="s">
        <v>5</v>
      </c>
    </row>
    <row r="10469" spans="2:8" x14ac:dyDescent="0.2">
      <c r="B10469" s="3">
        <v>45408</v>
      </c>
      <c r="D10469" s="2"/>
      <c r="E10469" s="2"/>
      <c r="F10469" s="2"/>
      <c r="G10469" s="2">
        <f t="shared" si="163"/>
        <v>0</v>
      </c>
      <c r="H10469" s="1"/>
    </row>
    <row r="10470" spans="2:8" x14ac:dyDescent="0.2">
      <c r="B10470" s="3">
        <v>45408</v>
      </c>
      <c r="D10470" s="2"/>
      <c r="E10470" s="2"/>
      <c r="F10470" s="2">
        <v>110000</v>
      </c>
      <c r="G10470" s="2">
        <f t="shared" si="163"/>
        <v>-110000</v>
      </c>
      <c r="H10470" t="s">
        <v>0</v>
      </c>
    </row>
    <row r="10471" spans="2:8" x14ac:dyDescent="0.2">
      <c r="B10471" s="3">
        <v>45409</v>
      </c>
      <c r="D10471" s="2"/>
      <c r="E10471" s="2"/>
      <c r="F10471" s="2"/>
      <c r="G10471" s="2">
        <f t="shared" si="163"/>
        <v>0</v>
      </c>
      <c r="H10471" t="s">
        <v>14</v>
      </c>
    </row>
    <row r="10472" spans="2:8" x14ac:dyDescent="0.2">
      <c r="B10472" s="3">
        <v>45409</v>
      </c>
      <c r="D10472" s="2"/>
      <c r="E10472" s="2"/>
      <c r="F10472" s="2"/>
      <c r="G10472" s="2">
        <f t="shared" si="163"/>
        <v>0</v>
      </c>
      <c r="H10472" t="s">
        <v>27</v>
      </c>
    </row>
    <row r="10473" spans="2:8" x14ac:dyDescent="0.2">
      <c r="B10473" s="3">
        <v>45409</v>
      </c>
      <c r="D10473" s="6"/>
      <c r="E10473" s="2"/>
      <c r="F10473" s="2"/>
      <c r="G10473" s="2">
        <f t="shared" si="163"/>
        <v>0</v>
      </c>
      <c r="H10473" t="s">
        <v>13</v>
      </c>
    </row>
    <row r="10474" spans="2:8" x14ac:dyDescent="0.2">
      <c r="B10474" s="3">
        <v>45409</v>
      </c>
      <c r="D10474" s="6"/>
      <c r="E10474" s="2"/>
      <c r="F10474" s="2"/>
      <c r="G10474" s="2">
        <f t="shared" si="163"/>
        <v>0</v>
      </c>
      <c r="H10474" t="s">
        <v>26</v>
      </c>
    </row>
    <row r="10475" spans="2:8" x14ac:dyDescent="0.2">
      <c r="B10475" s="3">
        <v>45409</v>
      </c>
      <c r="D10475" s="2"/>
      <c r="E10475" s="2"/>
      <c r="F10475" s="2"/>
      <c r="G10475" s="2">
        <f t="shared" si="163"/>
        <v>0</v>
      </c>
      <c r="H10475" t="s">
        <v>9</v>
      </c>
    </row>
    <row r="10476" spans="2:8" x14ac:dyDescent="0.2">
      <c r="B10476" s="3">
        <v>45409</v>
      </c>
      <c r="D10476" s="2">
        <v>22865</v>
      </c>
      <c r="E10476" s="2">
        <v>27150</v>
      </c>
      <c r="F10476" s="2"/>
      <c r="G10476" s="2">
        <f t="shared" si="163"/>
        <v>27150</v>
      </c>
      <c r="H10476" t="s">
        <v>8</v>
      </c>
    </row>
    <row r="10477" spans="2:8" x14ac:dyDescent="0.2">
      <c r="B10477" s="3">
        <v>45409</v>
      </c>
      <c r="D10477" s="2"/>
      <c r="E10477" s="2"/>
      <c r="F10477" s="2"/>
      <c r="G10477" s="2">
        <f t="shared" si="163"/>
        <v>0</v>
      </c>
      <c r="H10477" t="s">
        <v>5</v>
      </c>
    </row>
    <row r="10478" spans="2:8" x14ac:dyDescent="0.2">
      <c r="B10478" s="3">
        <v>45409</v>
      </c>
      <c r="D10478" s="2"/>
      <c r="E10478" s="2"/>
      <c r="F10478" s="2"/>
      <c r="G10478" s="2">
        <f t="shared" si="163"/>
        <v>0</v>
      </c>
      <c r="H10478" s="1"/>
    </row>
    <row r="10479" spans="2:8" x14ac:dyDescent="0.2">
      <c r="B10479" s="3">
        <v>45409</v>
      </c>
      <c r="D10479" s="2"/>
      <c r="E10479" s="2"/>
      <c r="F10479" s="2"/>
      <c r="G10479" s="2">
        <f t="shared" si="163"/>
        <v>0</v>
      </c>
      <c r="H10479" t="s">
        <v>0</v>
      </c>
    </row>
    <row r="10480" spans="2:8" x14ac:dyDescent="0.2">
      <c r="B10480" s="3">
        <v>45410</v>
      </c>
      <c r="D10480" s="2">
        <v>30150</v>
      </c>
      <c r="E10480" s="2">
        <v>33300</v>
      </c>
      <c r="F10480" s="2">
        <v>15000</v>
      </c>
      <c r="G10480" s="2">
        <f t="shared" si="163"/>
        <v>18300</v>
      </c>
      <c r="H10480" t="s">
        <v>14</v>
      </c>
    </row>
    <row r="10481" spans="2:8" x14ac:dyDescent="0.2">
      <c r="B10481" s="3">
        <v>45410</v>
      </c>
      <c r="D10481" s="2"/>
      <c r="E10481" s="2"/>
      <c r="F10481" s="2"/>
      <c r="G10481" s="2">
        <f t="shared" si="163"/>
        <v>0</v>
      </c>
      <c r="H10481" t="s">
        <v>27</v>
      </c>
    </row>
    <row r="10482" spans="2:8" x14ac:dyDescent="0.2">
      <c r="B10482" s="3">
        <v>45410</v>
      </c>
      <c r="D10482" s="6"/>
      <c r="E10482" s="2"/>
      <c r="F10482" s="2">
        <v>400</v>
      </c>
      <c r="G10482" s="2">
        <f t="shared" si="163"/>
        <v>-400</v>
      </c>
      <c r="H10482" t="s">
        <v>13</v>
      </c>
    </row>
    <row r="10483" spans="2:8" x14ac:dyDescent="0.2">
      <c r="B10483" s="3">
        <v>45410</v>
      </c>
      <c r="D10483" s="6"/>
      <c r="E10483" s="2"/>
      <c r="F10483" s="2"/>
      <c r="G10483" s="2">
        <f t="shared" si="163"/>
        <v>0</v>
      </c>
      <c r="H10483" t="s">
        <v>26</v>
      </c>
    </row>
    <row r="10484" spans="2:8" x14ac:dyDescent="0.2">
      <c r="B10484" s="3">
        <v>45410</v>
      </c>
      <c r="D10484" s="2"/>
      <c r="E10484" s="2"/>
      <c r="F10484" s="2">
        <v>15000</v>
      </c>
      <c r="G10484" s="2">
        <f t="shared" si="163"/>
        <v>-15000</v>
      </c>
      <c r="H10484" t="s">
        <v>9</v>
      </c>
    </row>
    <row r="10485" spans="2:8" x14ac:dyDescent="0.2">
      <c r="B10485" s="3">
        <v>45410</v>
      </c>
      <c r="D10485" s="2"/>
      <c r="E10485" s="2"/>
      <c r="F10485" s="2"/>
      <c r="G10485" s="2">
        <f t="shared" si="163"/>
        <v>0</v>
      </c>
      <c r="H10485" t="s">
        <v>8</v>
      </c>
    </row>
    <row r="10486" spans="2:8" x14ac:dyDescent="0.2">
      <c r="B10486" s="3">
        <v>45410</v>
      </c>
      <c r="D10486" s="2"/>
      <c r="E10486" s="2"/>
      <c r="F10486" s="2"/>
      <c r="G10486" s="2">
        <f t="shared" si="163"/>
        <v>0</v>
      </c>
      <c r="H10486" t="s">
        <v>5</v>
      </c>
    </row>
    <row r="10487" spans="2:8" x14ac:dyDescent="0.2">
      <c r="B10487" s="3">
        <v>45410</v>
      </c>
      <c r="D10487" s="2"/>
      <c r="E10487" s="2"/>
      <c r="F10487" s="2"/>
      <c r="G10487" s="2">
        <f t="shared" si="163"/>
        <v>0</v>
      </c>
      <c r="H10487" s="1"/>
    </row>
    <row r="10488" spans="2:8" x14ac:dyDescent="0.2">
      <c r="B10488" s="3">
        <v>45410</v>
      </c>
      <c r="D10488" s="2"/>
      <c r="E10488" s="2"/>
      <c r="F10488" s="2"/>
      <c r="G10488" s="2">
        <f t="shared" si="163"/>
        <v>0</v>
      </c>
      <c r="H10488" t="s">
        <v>0</v>
      </c>
    </row>
    <row r="10489" spans="2:8" x14ac:dyDescent="0.2">
      <c r="B10489" s="3">
        <v>45411</v>
      </c>
      <c r="D10489" s="2"/>
      <c r="E10489" s="2"/>
      <c r="F10489" s="2"/>
      <c r="G10489" s="2">
        <f t="shared" si="163"/>
        <v>0</v>
      </c>
      <c r="H10489" t="s">
        <v>14</v>
      </c>
    </row>
    <row r="10490" spans="2:8" x14ac:dyDescent="0.2">
      <c r="B10490" s="3">
        <v>45411</v>
      </c>
      <c r="D10490" s="2"/>
      <c r="E10490" s="2"/>
      <c r="F10490" s="2"/>
      <c r="G10490" s="2">
        <f t="shared" si="163"/>
        <v>0</v>
      </c>
      <c r="H10490" t="s">
        <v>27</v>
      </c>
    </row>
    <row r="10491" spans="2:8" x14ac:dyDescent="0.2">
      <c r="B10491" s="3">
        <v>45411</v>
      </c>
      <c r="D10491" s="6"/>
      <c r="E10491" s="2"/>
      <c r="F10491" s="2"/>
      <c r="G10491" s="2">
        <f t="shared" si="163"/>
        <v>0</v>
      </c>
      <c r="H10491" t="s">
        <v>13</v>
      </c>
    </row>
    <row r="10492" spans="2:8" x14ac:dyDescent="0.2">
      <c r="B10492" s="3">
        <v>45411</v>
      </c>
      <c r="D10492" s="6"/>
      <c r="E10492" s="2"/>
      <c r="F10492" s="2"/>
      <c r="G10492" s="2">
        <f t="shared" si="163"/>
        <v>0</v>
      </c>
      <c r="H10492" t="s">
        <v>26</v>
      </c>
    </row>
    <row r="10493" spans="2:8" x14ac:dyDescent="0.2">
      <c r="B10493" s="3">
        <v>45411</v>
      </c>
      <c r="D10493" s="2"/>
      <c r="E10493" s="2"/>
      <c r="F10493" s="2"/>
      <c r="G10493" s="2">
        <f t="shared" si="163"/>
        <v>0</v>
      </c>
      <c r="H10493" t="s">
        <v>9</v>
      </c>
    </row>
    <row r="10494" spans="2:8" x14ac:dyDescent="0.2">
      <c r="B10494" s="3">
        <v>45411</v>
      </c>
      <c r="D10494" s="2"/>
      <c r="E10494" s="2"/>
      <c r="F10494" s="2"/>
      <c r="G10494" s="2">
        <f t="shared" si="163"/>
        <v>0</v>
      </c>
      <c r="H10494" t="s">
        <v>8</v>
      </c>
    </row>
    <row r="10495" spans="2:8" x14ac:dyDescent="0.2">
      <c r="B10495" s="3">
        <v>45411</v>
      </c>
      <c r="D10495" s="2"/>
      <c r="E10495" s="2"/>
      <c r="F10495" s="2"/>
      <c r="G10495" s="2">
        <f t="shared" si="163"/>
        <v>0</v>
      </c>
      <c r="H10495" t="s">
        <v>5</v>
      </c>
    </row>
    <row r="10496" spans="2:8" x14ac:dyDescent="0.2">
      <c r="B10496" s="3">
        <v>45411</v>
      </c>
      <c r="D10496" s="2"/>
      <c r="E10496" s="2"/>
      <c r="F10496" s="2"/>
      <c r="G10496" s="2">
        <f t="shared" si="163"/>
        <v>0</v>
      </c>
      <c r="H10496" s="1"/>
    </row>
    <row r="10497" spans="2:8" x14ac:dyDescent="0.2">
      <c r="B10497" s="3">
        <v>45411</v>
      </c>
      <c r="D10497" s="2">
        <v>149307.58000000002</v>
      </c>
      <c r="E10497" s="2">
        <v>153860.44</v>
      </c>
      <c r="F10497" s="2">
        <v>79090</v>
      </c>
      <c r="G10497" s="2">
        <f t="shared" si="163"/>
        <v>74770.44</v>
      </c>
      <c r="H10497" t="s">
        <v>0</v>
      </c>
    </row>
    <row r="10498" spans="2:8" x14ac:dyDescent="0.2">
      <c r="B10498" s="3">
        <v>45412</v>
      </c>
      <c r="D10498" s="2">
        <v>11483</v>
      </c>
      <c r="E10498" s="2">
        <v>13625</v>
      </c>
      <c r="F10498" s="2">
        <v>10000</v>
      </c>
      <c r="G10498" s="2">
        <f t="shared" si="163"/>
        <v>3625</v>
      </c>
      <c r="H10498" t="s">
        <v>14</v>
      </c>
    </row>
    <row r="10499" spans="2:8" x14ac:dyDescent="0.2">
      <c r="B10499" s="3">
        <v>45412</v>
      </c>
      <c r="D10499" s="2"/>
      <c r="E10499" s="2"/>
      <c r="F10499" s="2"/>
      <c r="G10499" s="2">
        <f t="shared" ref="G10499:G10562" si="164">E10499-F10499</f>
        <v>0</v>
      </c>
      <c r="H10499" t="s">
        <v>27</v>
      </c>
    </row>
    <row r="10500" spans="2:8" x14ac:dyDescent="0.2">
      <c r="B10500" s="3">
        <v>45412</v>
      </c>
      <c r="D10500" s="6">
        <v>7500</v>
      </c>
      <c r="E10500" s="2">
        <v>7750</v>
      </c>
      <c r="F10500" s="2">
        <v>7750</v>
      </c>
      <c r="G10500" s="2">
        <f t="shared" si="164"/>
        <v>0</v>
      </c>
      <c r="H10500" t="s">
        <v>13</v>
      </c>
    </row>
    <row r="10501" spans="2:8" x14ac:dyDescent="0.2">
      <c r="B10501" s="3">
        <v>45412</v>
      </c>
      <c r="D10501" s="6">
        <v>3300</v>
      </c>
      <c r="E10501" s="2">
        <v>3750</v>
      </c>
      <c r="F10501" s="2">
        <v>3750</v>
      </c>
      <c r="G10501" s="2">
        <f t="shared" si="164"/>
        <v>0</v>
      </c>
      <c r="H10501" t="s">
        <v>26</v>
      </c>
    </row>
    <row r="10502" spans="2:8" x14ac:dyDescent="0.2">
      <c r="B10502" s="3">
        <v>45412</v>
      </c>
      <c r="D10502" s="2"/>
      <c r="E10502" s="2"/>
      <c r="F10502" s="2"/>
      <c r="G10502" s="2">
        <f t="shared" si="164"/>
        <v>0</v>
      </c>
      <c r="H10502" t="s">
        <v>9</v>
      </c>
    </row>
    <row r="10503" spans="2:8" x14ac:dyDescent="0.2">
      <c r="B10503" s="3">
        <v>45412</v>
      </c>
      <c r="D10503" s="2"/>
      <c r="E10503" s="2"/>
      <c r="F10503" s="2"/>
      <c r="G10503" s="2">
        <f t="shared" si="164"/>
        <v>0</v>
      </c>
      <c r="H10503" t="s">
        <v>8</v>
      </c>
    </row>
    <row r="10504" spans="2:8" x14ac:dyDescent="0.2">
      <c r="B10504" s="3">
        <v>45412</v>
      </c>
      <c r="D10504" s="2"/>
      <c r="E10504" s="2"/>
      <c r="F10504" s="2"/>
      <c r="G10504" s="2">
        <f t="shared" si="164"/>
        <v>0</v>
      </c>
      <c r="H10504" t="s">
        <v>5</v>
      </c>
    </row>
    <row r="10505" spans="2:8" x14ac:dyDescent="0.2">
      <c r="B10505" s="3">
        <v>45412</v>
      </c>
      <c r="D10505" s="2">
        <v>11190</v>
      </c>
      <c r="E10505" s="2">
        <v>12255</v>
      </c>
      <c r="F10505" s="2">
        <v>12255</v>
      </c>
      <c r="G10505" s="2">
        <f t="shared" si="164"/>
        <v>0</v>
      </c>
      <c r="H10505" s="1" t="s">
        <v>83</v>
      </c>
    </row>
    <row r="10506" spans="2:8" x14ac:dyDescent="0.2">
      <c r="B10506" s="3">
        <v>45412</v>
      </c>
      <c r="D10506" s="2"/>
      <c r="E10506" s="2"/>
      <c r="F10506" s="2"/>
      <c r="G10506" s="2">
        <f t="shared" si="164"/>
        <v>0</v>
      </c>
      <c r="H10506" t="s">
        <v>0</v>
      </c>
    </row>
    <row r="10507" spans="2:8" x14ac:dyDescent="0.2">
      <c r="B10507" s="3">
        <v>45413</v>
      </c>
      <c r="D10507" s="2"/>
      <c r="E10507" s="2"/>
      <c r="F10507" s="2"/>
      <c r="G10507" s="2">
        <f t="shared" si="164"/>
        <v>0</v>
      </c>
      <c r="H10507" t="s">
        <v>14</v>
      </c>
    </row>
    <row r="10508" spans="2:8" x14ac:dyDescent="0.2">
      <c r="B10508" s="3">
        <v>45413</v>
      </c>
      <c r="D10508" s="2"/>
      <c r="E10508" s="2"/>
      <c r="F10508" s="2"/>
      <c r="G10508" s="2">
        <f t="shared" si="164"/>
        <v>0</v>
      </c>
      <c r="H10508" t="s">
        <v>27</v>
      </c>
    </row>
    <row r="10509" spans="2:8" x14ac:dyDescent="0.2">
      <c r="B10509" s="3">
        <v>45413</v>
      </c>
      <c r="D10509" s="6"/>
      <c r="E10509" s="2"/>
      <c r="F10509" s="2"/>
      <c r="G10509" s="2">
        <f t="shared" si="164"/>
        <v>0</v>
      </c>
      <c r="H10509" t="s">
        <v>13</v>
      </c>
    </row>
    <row r="10510" spans="2:8" x14ac:dyDescent="0.2">
      <c r="B10510" s="3">
        <v>45413</v>
      </c>
      <c r="D10510" s="6"/>
      <c r="E10510" s="2"/>
      <c r="F10510" s="2"/>
      <c r="G10510" s="2">
        <f t="shared" si="164"/>
        <v>0</v>
      </c>
      <c r="H10510" t="s">
        <v>26</v>
      </c>
    </row>
    <row r="10511" spans="2:8" x14ac:dyDescent="0.2">
      <c r="B10511" s="3">
        <v>45413</v>
      </c>
      <c r="D10511" s="2"/>
      <c r="E10511" s="2"/>
      <c r="F10511" s="2"/>
      <c r="G10511" s="2">
        <f t="shared" si="164"/>
        <v>0</v>
      </c>
      <c r="H10511" t="s">
        <v>9</v>
      </c>
    </row>
    <row r="10512" spans="2:8" x14ac:dyDescent="0.2">
      <c r="B10512" s="3">
        <v>45413</v>
      </c>
      <c r="D10512" s="2"/>
      <c r="E10512" s="2"/>
      <c r="F10512" s="2"/>
      <c r="G10512" s="2">
        <f t="shared" si="164"/>
        <v>0</v>
      </c>
      <c r="H10512" t="s">
        <v>8</v>
      </c>
    </row>
    <row r="10513" spans="2:8" x14ac:dyDescent="0.2">
      <c r="B10513" s="3">
        <v>45413</v>
      </c>
      <c r="D10513" s="2"/>
      <c r="E10513" s="2"/>
      <c r="F10513" s="2"/>
      <c r="G10513" s="2">
        <f t="shared" si="164"/>
        <v>0</v>
      </c>
      <c r="H10513" t="s">
        <v>5</v>
      </c>
    </row>
    <row r="10514" spans="2:8" x14ac:dyDescent="0.2">
      <c r="B10514" s="3">
        <v>45413</v>
      </c>
      <c r="D10514" s="2">
        <v>750</v>
      </c>
      <c r="E10514" s="2">
        <v>775</v>
      </c>
      <c r="F10514" s="2">
        <v>770</v>
      </c>
      <c r="G10514" s="2">
        <f t="shared" si="164"/>
        <v>5</v>
      </c>
      <c r="H10514" t="s">
        <v>39</v>
      </c>
    </row>
    <row r="10515" spans="2:8" x14ac:dyDescent="0.2">
      <c r="B10515" s="3">
        <v>45413</v>
      </c>
      <c r="D10515" s="2"/>
      <c r="E10515" s="2"/>
      <c r="F10515" s="2"/>
      <c r="G10515" s="2">
        <f t="shared" si="164"/>
        <v>0</v>
      </c>
      <c r="H10515" t="s">
        <v>0</v>
      </c>
    </row>
    <row r="10516" spans="2:8" x14ac:dyDescent="0.2">
      <c r="B10516" s="3">
        <v>45414</v>
      </c>
      <c r="D10516" s="2"/>
      <c r="E10516" s="2"/>
      <c r="F10516" s="2"/>
      <c r="G10516" s="2">
        <f t="shared" si="164"/>
        <v>0</v>
      </c>
      <c r="H10516" t="s">
        <v>14</v>
      </c>
    </row>
    <row r="10517" spans="2:8" x14ac:dyDescent="0.2">
      <c r="B10517" s="3">
        <v>45414</v>
      </c>
      <c r="D10517" s="2"/>
      <c r="E10517" s="2"/>
      <c r="F10517" s="2"/>
      <c r="G10517" s="2">
        <f t="shared" si="164"/>
        <v>0</v>
      </c>
      <c r="H10517" t="s">
        <v>27</v>
      </c>
    </row>
    <row r="10518" spans="2:8" x14ac:dyDescent="0.2">
      <c r="B10518" s="3">
        <v>45414</v>
      </c>
      <c r="D10518" s="6"/>
      <c r="E10518" s="2"/>
      <c r="F10518" s="2"/>
      <c r="G10518" s="2">
        <f t="shared" si="164"/>
        <v>0</v>
      </c>
      <c r="H10518" t="s">
        <v>13</v>
      </c>
    </row>
    <row r="10519" spans="2:8" x14ac:dyDescent="0.2">
      <c r="B10519" s="3">
        <v>45414</v>
      </c>
      <c r="D10519" s="6"/>
      <c r="E10519" s="2"/>
      <c r="F10519" s="2"/>
      <c r="G10519" s="2">
        <f t="shared" si="164"/>
        <v>0</v>
      </c>
      <c r="H10519" t="s">
        <v>26</v>
      </c>
    </row>
    <row r="10520" spans="2:8" x14ac:dyDescent="0.2">
      <c r="B10520" s="3">
        <v>45414</v>
      </c>
      <c r="D10520" s="2"/>
      <c r="E10520" s="2"/>
      <c r="F10520" s="2"/>
      <c r="G10520" s="2">
        <f t="shared" si="164"/>
        <v>0</v>
      </c>
      <c r="H10520" t="s">
        <v>9</v>
      </c>
    </row>
    <row r="10521" spans="2:8" x14ac:dyDescent="0.2">
      <c r="B10521" s="3">
        <v>45414</v>
      </c>
      <c r="D10521" s="2"/>
      <c r="E10521" s="2"/>
      <c r="F10521" s="2"/>
      <c r="G10521" s="2">
        <f t="shared" si="164"/>
        <v>0</v>
      </c>
      <c r="H10521" t="s">
        <v>8</v>
      </c>
    </row>
    <row r="10522" spans="2:8" x14ac:dyDescent="0.2">
      <c r="B10522" s="3">
        <v>45414</v>
      </c>
      <c r="D10522" s="2"/>
      <c r="E10522" s="2"/>
      <c r="F10522" s="2"/>
      <c r="G10522" s="2">
        <f t="shared" si="164"/>
        <v>0</v>
      </c>
      <c r="H10522" t="s">
        <v>5</v>
      </c>
    </row>
    <row r="10523" spans="2:8" x14ac:dyDescent="0.2">
      <c r="B10523" s="3">
        <v>45414</v>
      </c>
      <c r="D10523" s="2">
        <v>754</v>
      </c>
      <c r="E10523" s="2">
        <v>806</v>
      </c>
      <c r="F10523" s="2">
        <v>800</v>
      </c>
      <c r="G10523" s="2">
        <f t="shared" si="164"/>
        <v>6</v>
      </c>
      <c r="H10523" t="s">
        <v>39</v>
      </c>
    </row>
    <row r="10524" spans="2:8" x14ac:dyDescent="0.2">
      <c r="B10524" s="3">
        <v>45414</v>
      </c>
      <c r="D10524" s="2"/>
      <c r="E10524" s="2"/>
      <c r="F10524" s="2"/>
      <c r="G10524" s="2">
        <f t="shared" si="164"/>
        <v>0</v>
      </c>
      <c r="H10524" t="s">
        <v>0</v>
      </c>
    </row>
    <row r="10525" spans="2:8" x14ac:dyDescent="0.2">
      <c r="B10525" s="3">
        <v>45415</v>
      </c>
      <c r="D10525" s="2"/>
      <c r="E10525" s="2"/>
      <c r="F10525" s="2"/>
      <c r="G10525" s="2">
        <f t="shared" si="164"/>
        <v>0</v>
      </c>
      <c r="H10525" t="s">
        <v>14</v>
      </c>
    </row>
    <row r="10526" spans="2:8" x14ac:dyDescent="0.2">
      <c r="B10526" s="3">
        <v>45415</v>
      </c>
      <c r="D10526" s="2"/>
      <c r="E10526" s="2"/>
      <c r="F10526" s="2"/>
      <c r="G10526" s="2">
        <f t="shared" si="164"/>
        <v>0</v>
      </c>
      <c r="H10526" t="s">
        <v>27</v>
      </c>
    </row>
    <row r="10527" spans="2:8" x14ac:dyDescent="0.2">
      <c r="B10527" s="3">
        <v>45415</v>
      </c>
      <c r="D10527" s="6"/>
      <c r="E10527" s="2"/>
      <c r="F10527" s="2"/>
      <c r="G10527" s="2">
        <f t="shared" si="164"/>
        <v>0</v>
      </c>
      <c r="H10527" t="s">
        <v>13</v>
      </c>
    </row>
    <row r="10528" spans="2:8" x14ac:dyDescent="0.2">
      <c r="B10528" s="3">
        <v>45415</v>
      </c>
      <c r="D10528" s="6"/>
      <c r="E10528" s="2"/>
      <c r="F10528" s="2"/>
      <c r="G10528" s="2">
        <f t="shared" si="164"/>
        <v>0</v>
      </c>
      <c r="H10528" t="s">
        <v>26</v>
      </c>
    </row>
    <row r="10529" spans="2:8" x14ac:dyDescent="0.2">
      <c r="B10529" s="3">
        <v>45415</v>
      </c>
      <c r="D10529" s="2"/>
      <c r="E10529" s="2"/>
      <c r="F10529" s="2"/>
      <c r="G10529" s="2">
        <f t="shared" si="164"/>
        <v>0</v>
      </c>
      <c r="H10529" t="s">
        <v>9</v>
      </c>
    </row>
    <row r="10530" spans="2:8" x14ac:dyDescent="0.2">
      <c r="B10530" s="3">
        <v>45415</v>
      </c>
      <c r="D10530" s="2"/>
      <c r="E10530" s="2"/>
      <c r="F10530" s="2"/>
      <c r="G10530" s="2">
        <f t="shared" si="164"/>
        <v>0</v>
      </c>
      <c r="H10530" t="s">
        <v>8</v>
      </c>
    </row>
    <row r="10531" spans="2:8" x14ac:dyDescent="0.2">
      <c r="B10531" s="3">
        <v>45415</v>
      </c>
      <c r="D10531" s="2"/>
      <c r="E10531" s="2"/>
      <c r="F10531" s="2"/>
      <c r="G10531" s="2">
        <f t="shared" si="164"/>
        <v>0</v>
      </c>
      <c r="H10531" t="s">
        <v>5</v>
      </c>
    </row>
    <row r="10532" spans="2:8" x14ac:dyDescent="0.2">
      <c r="B10532" s="3">
        <v>45415</v>
      </c>
      <c r="D10532" s="2">
        <v>2880</v>
      </c>
      <c r="E10532" s="2">
        <v>3050</v>
      </c>
      <c r="F10532" s="2">
        <v>3050</v>
      </c>
      <c r="G10532" s="2">
        <f t="shared" si="164"/>
        <v>0</v>
      </c>
      <c r="H10532" s="1" t="s">
        <v>83</v>
      </c>
    </row>
    <row r="10533" spans="2:8" x14ac:dyDescent="0.2">
      <c r="B10533" s="3">
        <v>45415</v>
      </c>
      <c r="D10533" s="2"/>
      <c r="E10533" s="2"/>
      <c r="F10533" s="2">
        <v>123860</v>
      </c>
      <c r="G10533" s="2">
        <f t="shared" si="164"/>
        <v>-123860</v>
      </c>
      <c r="H10533" t="s">
        <v>0</v>
      </c>
    </row>
    <row r="10534" spans="2:8" x14ac:dyDescent="0.2">
      <c r="B10534" s="3">
        <v>45416</v>
      </c>
      <c r="D10534" s="2"/>
      <c r="E10534" s="2"/>
      <c r="F10534" s="2"/>
      <c r="G10534" s="2">
        <f t="shared" si="164"/>
        <v>0</v>
      </c>
      <c r="H10534" t="s">
        <v>14</v>
      </c>
    </row>
    <row r="10535" spans="2:8" x14ac:dyDescent="0.2">
      <c r="B10535" s="3">
        <v>45416</v>
      </c>
      <c r="D10535" s="2"/>
      <c r="E10535" s="2"/>
      <c r="F10535" s="2"/>
      <c r="G10535" s="2">
        <f t="shared" si="164"/>
        <v>0</v>
      </c>
      <c r="H10535" t="s">
        <v>27</v>
      </c>
    </row>
    <row r="10536" spans="2:8" x14ac:dyDescent="0.2">
      <c r="B10536" s="3">
        <v>45416</v>
      </c>
      <c r="D10536" s="6"/>
      <c r="E10536" s="2"/>
      <c r="F10536" s="2"/>
      <c r="G10536" s="2">
        <f t="shared" si="164"/>
        <v>0</v>
      </c>
      <c r="H10536" t="s">
        <v>13</v>
      </c>
    </row>
    <row r="10537" spans="2:8" x14ac:dyDescent="0.2">
      <c r="B10537" s="3">
        <v>45416</v>
      </c>
      <c r="D10537" s="6"/>
      <c r="E10537" s="2"/>
      <c r="F10537" s="2"/>
      <c r="G10537" s="2">
        <f t="shared" si="164"/>
        <v>0</v>
      </c>
      <c r="H10537" t="s">
        <v>26</v>
      </c>
    </row>
    <row r="10538" spans="2:8" x14ac:dyDescent="0.2">
      <c r="B10538" s="3">
        <v>45416</v>
      </c>
      <c r="D10538" s="2"/>
      <c r="E10538" s="2"/>
      <c r="F10538" s="2"/>
      <c r="G10538" s="2">
        <f t="shared" si="164"/>
        <v>0</v>
      </c>
      <c r="H10538" t="s">
        <v>9</v>
      </c>
    </row>
    <row r="10539" spans="2:8" x14ac:dyDescent="0.2">
      <c r="B10539" s="3">
        <v>45416</v>
      </c>
      <c r="D10539" s="2"/>
      <c r="E10539" s="2"/>
      <c r="F10539" s="2">
        <v>20000</v>
      </c>
      <c r="G10539" s="2">
        <f t="shared" si="164"/>
        <v>-20000</v>
      </c>
      <c r="H10539" t="s">
        <v>8</v>
      </c>
    </row>
    <row r="10540" spans="2:8" x14ac:dyDescent="0.2">
      <c r="B10540" s="3">
        <v>45416</v>
      </c>
      <c r="D10540" s="2"/>
      <c r="E10540" s="2"/>
      <c r="F10540" s="2"/>
      <c r="G10540" s="2">
        <f t="shared" si="164"/>
        <v>0</v>
      </c>
      <c r="H10540" t="s">
        <v>5</v>
      </c>
    </row>
    <row r="10541" spans="2:8" x14ac:dyDescent="0.2">
      <c r="B10541" s="3">
        <v>45416</v>
      </c>
      <c r="D10541" s="2"/>
      <c r="E10541" s="2"/>
      <c r="F10541" s="2"/>
      <c r="G10541" s="2">
        <f t="shared" si="164"/>
        <v>0</v>
      </c>
      <c r="H10541" s="1"/>
    </row>
    <row r="10542" spans="2:8" x14ac:dyDescent="0.2">
      <c r="B10542" s="3">
        <v>45416</v>
      </c>
      <c r="D10542" s="2"/>
      <c r="E10542" s="2"/>
      <c r="F10542" s="2"/>
      <c r="G10542" s="2">
        <f t="shared" si="164"/>
        <v>0</v>
      </c>
      <c r="H10542" t="s">
        <v>0</v>
      </c>
    </row>
    <row r="10543" spans="2:8" x14ac:dyDescent="0.2">
      <c r="B10543" s="3">
        <v>45417</v>
      </c>
      <c r="D10543" s="2"/>
      <c r="E10543" s="2"/>
      <c r="F10543" s="2"/>
      <c r="G10543" s="2">
        <f t="shared" si="164"/>
        <v>0</v>
      </c>
      <c r="H10543" t="s">
        <v>14</v>
      </c>
    </row>
    <row r="10544" spans="2:8" x14ac:dyDescent="0.2">
      <c r="B10544" s="3">
        <v>45417</v>
      </c>
      <c r="D10544" s="2"/>
      <c r="E10544" s="2"/>
      <c r="F10544" s="2"/>
      <c r="G10544" s="2">
        <f t="shared" si="164"/>
        <v>0</v>
      </c>
      <c r="H10544" t="s">
        <v>27</v>
      </c>
    </row>
    <row r="10545" spans="2:8" x14ac:dyDescent="0.2">
      <c r="B10545" s="3">
        <v>45417</v>
      </c>
      <c r="D10545" s="6"/>
      <c r="E10545" s="2"/>
      <c r="F10545" s="2"/>
      <c r="G10545" s="2">
        <f t="shared" si="164"/>
        <v>0</v>
      </c>
      <c r="H10545" t="s">
        <v>13</v>
      </c>
    </row>
    <row r="10546" spans="2:8" x14ac:dyDescent="0.2">
      <c r="B10546" s="3">
        <v>45417</v>
      </c>
      <c r="D10546" s="6"/>
      <c r="E10546" s="2"/>
      <c r="F10546" s="2"/>
      <c r="G10546" s="2">
        <f t="shared" si="164"/>
        <v>0</v>
      </c>
      <c r="H10546" t="s">
        <v>26</v>
      </c>
    </row>
    <row r="10547" spans="2:8" x14ac:dyDescent="0.2">
      <c r="B10547" s="3">
        <v>45417</v>
      </c>
      <c r="D10547" s="2"/>
      <c r="E10547" s="2"/>
      <c r="F10547" s="2"/>
      <c r="G10547" s="2">
        <f t="shared" si="164"/>
        <v>0</v>
      </c>
      <c r="H10547" t="s">
        <v>9</v>
      </c>
    </row>
    <row r="10548" spans="2:8" x14ac:dyDescent="0.2">
      <c r="B10548" s="3">
        <v>45417</v>
      </c>
      <c r="D10548" s="2"/>
      <c r="E10548" s="2"/>
      <c r="F10548" s="2"/>
      <c r="G10548" s="2">
        <f t="shared" si="164"/>
        <v>0</v>
      </c>
      <c r="H10548" t="s">
        <v>8</v>
      </c>
    </row>
    <row r="10549" spans="2:8" x14ac:dyDescent="0.2">
      <c r="B10549" s="3">
        <v>45417</v>
      </c>
      <c r="D10549" s="2"/>
      <c r="E10549" s="2"/>
      <c r="F10549" s="2"/>
      <c r="G10549" s="2">
        <f t="shared" si="164"/>
        <v>0</v>
      </c>
      <c r="H10549" t="s">
        <v>5</v>
      </c>
    </row>
    <row r="10550" spans="2:8" x14ac:dyDescent="0.2">
      <c r="B10550" s="3">
        <v>45417</v>
      </c>
      <c r="D10550" s="2"/>
      <c r="E10550" s="2"/>
      <c r="F10550" s="2"/>
      <c r="G10550" s="2">
        <f t="shared" si="164"/>
        <v>0</v>
      </c>
      <c r="H10550" s="1"/>
    </row>
    <row r="10551" spans="2:8" x14ac:dyDescent="0.2">
      <c r="B10551" s="3">
        <v>45417</v>
      </c>
      <c r="D10551" s="2"/>
      <c r="E10551" s="2"/>
      <c r="F10551" s="2"/>
      <c r="G10551" s="2">
        <f t="shared" si="164"/>
        <v>0</v>
      </c>
      <c r="H10551" t="s">
        <v>0</v>
      </c>
    </row>
    <row r="10552" spans="2:8" x14ac:dyDescent="0.2">
      <c r="B10552" s="3">
        <v>45418</v>
      </c>
      <c r="D10552" s="2"/>
      <c r="E10552" s="2"/>
      <c r="F10552" s="2">
        <v>10000</v>
      </c>
      <c r="G10552" s="2">
        <f t="shared" si="164"/>
        <v>-10000</v>
      </c>
      <c r="H10552" t="s">
        <v>14</v>
      </c>
    </row>
    <row r="10553" spans="2:8" x14ac:dyDescent="0.2">
      <c r="B10553" s="3">
        <v>45418</v>
      </c>
      <c r="D10553" s="2"/>
      <c r="E10553" s="2"/>
      <c r="F10553" s="2"/>
      <c r="G10553" s="2">
        <f t="shared" si="164"/>
        <v>0</v>
      </c>
      <c r="H10553" t="s">
        <v>27</v>
      </c>
    </row>
    <row r="10554" spans="2:8" x14ac:dyDescent="0.2">
      <c r="B10554" s="3">
        <v>45418</v>
      </c>
      <c r="D10554" s="6"/>
      <c r="E10554" s="2"/>
      <c r="F10554" s="2"/>
      <c r="G10554" s="2">
        <f t="shared" si="164"/>
        <v>0</v>
      </c>
      <c r="H10554" t="s">
        <v>13</v>
      </c>
    </row>
    <row r="10555" spans="2:8" x14ac:dyDescent="0.2">
      <c r="B10555" s="3">
        <v>45418</v>
      </c>
      <c r="D10555" s="6"/>
      <c r="E10555" s="2"/>
      <c r="F10555" s="2"/>
      <c r="G10555" s="2">
        <f t="shared" si="164"/>
        <v>0</v>
      </c>
      <c r="H10555" t="s">
        <v>26</v>
      </c>
    </row>
    <row r="10556" spans="2:8" x14ac:dyDescent="0.2">
      <c r="B10556" s="3">
        <v>45418</v>
      </c>
      <c r="D10556" s="2"/>
      <c r="E10556" s="2"/>
      <c r="F10556" s="2"/>
      <c r="G10556" s="2">
        <f t="shared" si="164"/>
        <v>0</v>
      </c>
      <c r="H10556" t="s">
        <v>9</v>
      </c>
    </row>
    <row r="10557" spans="2:8" x14ac:dyDescent="0.2">
      <c r="B10557" s="3">
        <v>45418</v>
      </c>
      <c r="D10557" s="2"/>
      <c r="E10557" s="2"/>
      <c r="F10557" s="2"/>
      <c r="G10557" s="2">
        <f t="shared" si="164"/>
        <v>0</v>
      </c>
      <c r="H10557" t="s">
        <v>8</v>
      </c>
    </row>
    <row r="10558" spans="2:8" x14ac:dyDescent="0.2">
      <c r="B10558" s="3">
        <v>45418</v>
      </c>
      <c r="D10558" s="2"/>
      <c r="E10558" s="2"/>
      <c r="F10558" s="2"/>
      <c r="G10558" s="2">
        <f t="shared" si="164"/>
        <v>0</v>
      </c>
      <c r="H10558" t="s">
        <v>5</v>
      </c>
    </row>
    <row r="10559" spans="2:8" x14ac:dyDescent="0.2">
      <c r="B10559" s="3">
        <v>45418</v>
      </c>
      <c r="D10559" s="2"/>
      <c r="E10559" s="2"/>
      <c r="F10559" s="2"/>
      <c r="G10559" s="2">
        <f t="shared" si="164"/>
        <v>0</v>
      </c>
      <c r="H10559" s="1"/>
    </row>
    <row r="10560" spans="2:8" x14ac:dyDescent="0.2">
      <c r="B10560" s="3">
        <v>45418</v>
      </c>
      <c r="D10560" s="2">
        <v>6100</v>
      </c>
      <c r="E10560" s="2">
        <v>7500</v>
      </c>
      <c r="F10560" s="2"/>
      <c r="G10560" s="2">
        <f t="shared" si="164"/>
        <v>7500</v>
      </c>
      <c r="H10560" t="s">
        <v>0</v>
      </c>
    </row>
    <row r="10561" spans="2:8" x14ac:dyDescent="0.2">
      <c r="B10561" s="3">
        <v>45419</v>
      </c>
      <c r="D10561" s="2"/>
      <c r="E10561" s="2"/>
      <c r="F10561" s="2"/>
      <c r="G10561" s="2">
        <f t="shared" si="164"/>
        <v>0</v>
      </c>
      <c r="H10561" t="s">
        <v>14</v>
      </c>
    </row>
    <row r="10562" spans="2:8" x14ac:dyDescent="0.2">
      <c r="B10562" s="3">
        <v>45419</v>
      </c>
      <c r="D10562" s="2"/>
      <c r="E10562" s="2"/>
      <c r="F10562" s="2"/>
      <c r="G10562" s="2">
        <f t="shared" si="164"/>
        <v>0</v>
      </c>
      <c r="H10562" t="s">
        <v>27</v>
      </c>
    </row>
    <row r="10563" spans="2:8" x14ac:dyDescent="0.2">
      <c r="B10563" s="3">
        <v>45419</v>
      </c>
      <c r="D10563" s="6"/>
      <c r="E10563" s="2"/>
      <c r="F10563" s="2"/>
      <c r="G10563" s="2">
        <f t="shared" ref="G10563:G10626" si="165">E10563-F10563</f>
        <v>0</v>
      </c>
      <c r="H10563" t="s">
        <v>13</v>
      </c>
    </row>
    <row r="10564" spans="2:8" x14ac:dyDescent="0.2">
      <c r="B10564" s="3">
        <v>45419</v>
      </c>
      <c r="D10564" s="6"/>
      <c r="E10564" s="2"/>
      <c r="F10564" s="2"/>
      <c r="G10564" s="2">
        <f t="shared" si="165"/>
        <v>0</v>
      </c>
      <c r="H10564" t="s">
        <v>26</v>
      </c>
    </row>
    <row r="10565" spans="2:8" x14ac:dyDescent="0.2">
      <c r="B10565" s="3">
        <v>45419</v>
      </c>
      <c r="D10565" s="2"/>
      <c r="E10565" s="2"/>
      <c r="F10565" s="2"/>
      <c r="G10565" s="2">
        <f t="shared" si="165"/>
        <v>0</v>
      </c>
      <c r="H10565" t="s">
        <v>9</v>
      </c>
    </row>
    <row r="10566" spans="2:8" x14ac:dyDescent="0.2">
      <c r="B10566" s="3">
        <v>45419</v>
      </c>
      <c r="D10566" s="2"/>
      <c r="E10566" s="2"/>
      <c r="F10566" s="2"/>
      <c r="G10566" s="2">
        <f t="shared" si="165"/>
        <v>0</v>
      </c>
      <c r="H10566" t="s">
        <v>8</v>
      </c>
    </row>
    <row r="10567" spans="2:8" x14ac:dyDescent="0.2">
      <c r="B10567" s="3">
        <v>45419</v>
      </c>
      <c r="D10567" s="2"/>
      <c r="E10567" s="2"/>
      <c r="F10567" s="2"/>
      <c r="G10567" s="2">
        <f t="shared" si="165"/>
        <v>0</v>
      </c>
      <c r="H10567" t="s">
        <v>5</v>
      </c>
    </row>
    <row r="10568" spans="2:8" x14ac:dyDescent="0.2">
      <c r="B10568" s="3">
        <v>45419</v>
      </c>
      <c r="D10568" s="2"/>
      <c r="E10568" s="2"/>
      <c r="F10568" s="2"/>
      <c r="G10568" s="2">
        <f t="shared" si="165"/>
        <v>0</v>
      </c>
      <c r="H10568" s="1"/>
    </row>
    <row r="10569" spans="2:8" x14ac:dyDescent="0.2">
      <c r="B10569" s="3">
        <v>45419</v>
      </c>
      <c r="D10569" s="2"/>
      <c r="E10569" s="2"/>
      <c r="F10569" s="2">
        <v>7500</v>
      </c>
      <c r="G10569" s="2">
        <f t="shared" si="165"/>
        <v>-7500</v>
      </c>
      <c r="H10569" t="s">
        <v>0</v>
      </c>
    </row>
    <row r="10570" spans="2:8" x14ac:dyDescent="0.2">
      <c r="B10570" s="3">
        <v>45420</v>
      </c>
      <c r="D10570" s="2"/>
      <c r="E10570" s="2"/>
      <c r="F10570" s="2">
        <v>10000</v>
      </c>
      <c r="G10570" s="2">
        <f t="shared" si="165"/>
        <v>-10000</v>
      </c>
      <c r="H10570" t="s">
        <v>14</v>
      </c>
    </row>
    <row r="10571" spans="2:8" x14ac:dyDescent="0.2">
      <c r="B10571" s="3">
        <v>45420</v>
      </c>
      <c r="D10571" s="2"/>
      <c r="E10571" s="2"/>
      <c r="F10571" s="2"/>
      <c r="G10571" s="2">
        <f t="shared" si="165"/>
        <v>0</v>
      </c>
      <c r="H10571" t="s">
        <v>27</v>
      </c>
    </row>
    <row r="10572" spans="2:8" x14ac:dyDescent="0.2">
      <c r="B10572" s="3">
        <v>45420</v>
      </c>
      <c r="D10572" s="6"/>
      <c r="E10572" s="2"/>
      <c r="F10572" s="2"/>
      <c r="G10572" s="2">
        <f t="shared" si="165"/>
        <v>0</v>
      </c>
      <c r="H10572" t="s">
        <v>13</v>
      </c>
    </row>
    <row r="10573" spans="2:8" x14ac:dyDescent="0.2">
      <c r="B10573" s="3">
        <v>45420</v>
      </c>
      <c r="D10573" s="6"/>
      <c r="E10573" s="2"/>
      <c r="F10573" s="2"/>
      <c r="G10573" s="2">
        <f t="shared" si="165"/>
        <v>0</v>
      </c>
      <c r="H10573" t="s">
        <v>26</v>
      </c>
    </row>
    <row r="10574" spans="2:8" x14ac:dyDescent="0.2">
      <c r="B10574" s="3">
        <v>45420</v>
      </c>
      <c r="D10574" s="2"/>
      <c r="E10574" s="2"/>
      <c r="F10574" s="2">
        <v>10400</v>
      </c>
      <c r="G10574" s="2">
        <f t="shared" si="165"/>
        <v>-10400</v>
      </c>
      <c r="H10574" t="s">
        <v>9</v>
      </c>
    </row>
    <row r="10575" spans="2:8" x14ac:dyDescent="0.2">
      <c r="B10575" s="3">
        <v>45420</v>
      </c>
      <c r="D10575" s="2"/>
      <c r="E10575" s="2"/>
      <c r="F10575" s="2"/>
      <c r="G10575" s="2">
        <f t="shared" si="165"/>
        <v>0</v>
      </c>
      <c r="H10575" t="s">
        <v>8</v>
      </c>
    </row>
    <row r="10576" spans="2:8" x14ac:dyDescent="0.2">
      <c r="B10576" s="3">
        <v>45420</v>
      </c>
      <c r="D10576" s="2"/>
      <c r="E10576" s="2"/>
      <c r="F10576" s="2"/>
      <c r="G10576" s="2">
        <f t="shared" si="165"/>
        <v>0</v>
      </c>
      <c r="H10576" t="s">
        <v>5</v>
      </c>
    </row>
    <row r="10577" spans="2:8" x14ac:dyDescent="0.2">
      <c r="B10577" s="3">
        <v>45420</v>
      </c>
      <c r="D10577" s="2"/>
      <c r="E10577" s="2"/>
      <c r="F10577" s="2"/>
      <c r="G10577" s="2">
        <f t="shared" si="165"/>
        <v>0</v>
      </c>
      <c r="H10577" s="1"/>
    </row>
    <row r="10578" spans="2:8" x14ac:dyDescent="0.2">
      <c r="B10578" s="3">
        <v>45420</v>
      </c>
      <c r="D10578" s="2"/>
      <c r="E10578" s="2"/>
      <c r="F10578" s="2"/>
      <c r="G10578" s="2">
        <f t="shared" si="165"/>
        <v>0</v>
      </c>
      <c r="H10578" t="s">
        <v>0</v>
      </c>
    </row>
    <row r="10579" spans="2:8" x14ac:dyDescent="0.2">
      <c r="B10579" s="3">
        <v>45421</v>
      </c>
      <c r="D10579" s="2"/>
      <c r="E10579" s="2"/>
      <c r="F10579" s="2"/>
      <c r="G10579" s="2">
        <f t="shared" si="165"/>
        <v>0</v>
      </c>
      <c r="H10579" t="s">
        <v>14</v>
      </c>
    </row>
    <row r="10580" spans="2:8" x14ac:dyDescent="0.2">
      <c r="B10580" s="3">
        <v>45421</v>
      </c>
      <c r="D10580" s="2"/>
      <c r="E10580" s="2"/>
      <c r="F10580" s="2"/>
      <c r="G10580" s="2">
        <f t="shared" si="165"/>
        <v>0</v>
      </c>
      <c r="H10580" t="s">
        <v>27</v>
      </c>
    </row>
    <row r="10581" spans="2:8" x14ac:dyDescent="0.2">
      <c r="B10581" s="3">
        <v>45421</v>
      </c>
      <c r="D10581" s="6"/>
      <c r="E10581" s="2"/>
      <c r="F10581" s="2"/>
      <c r="G10581" s="2">
        <f t="shared" si="165"/>
        <v>0</v>
      </c>
      <c r="H10581" t="s">
        <v>13</v>
      </c>
    </row>
    <row r="10582" spans="2:8" x14ac:dyDescent="0.2">
      <c r="B10582" s="3">
        <v>45421</v>
      </c>
      <c r="D10582" s="6"/>
      <c r="E10582" s="2"/>
      <c r="F10582" s="2"/>
      <c r="G10582" s="2">
        <f t="shared" si="165"/>
        <v>0</v>
      </c>
      <c r="H10582" t="s">
        <v>26</v>
      </c>
    </row>
    <row r="10583" spans="2:8" x14ac:dyDescent="0.2">
      <c r="B10583" s="3">
        <v>45421</v>
      </c>
      <c r="D10583" s="2"/>
      <c r="E10583" s="2"/>
      <c r="F10583" s="2"/>
      <c r="G10583" s="2">
        <f t="shared" si="165"/>
        <v>0</v>
      </c>
      <c r="H10583" t="s">
        <v>9</v>
      </c>
    </row>
    <row r="10584" spans="2:8" x14ac:dyDescent="0.2">
      <c r="B10584" s="3">
        <v>45421</v>
      </c>
      <c r="D10584" s="2"/>
      <c r="E10584" s="2"/>
      <c r="F10584" s="2"/>
      <c r="G10584" s="2">
        <f t="shared" si="165"/>
        <v>0</v>
      </c>
      <c r="H10584" t="s">
        <v>8</v>
      </c>
    </row>
    <row r="10585" spans="2:8" x14ac:dyDescent="0.2">
      <c r="B10585" s="3">
        <v>45421</v>
      </c>
      <c r="D10585" s="2"/>
      <c r="E10585" s="2"/>
      <c r="F10585" s="2"/>
      <c r="G10585" s="2">
        <f t="shared" si="165"/>
        <v>0</v>
      </c>
      <c r="H10585" t="s">
        <v>5</v>
      </c>
    </row>
    <row r="10586" spans="2:8" x14ac:dyDescent="0.2">
      <c r="B10586" s="3">
        <v>45421</v>
      </c>
      <c r="D10586" s="2"/>
      <c r="E10586" s="2"/>
      <c r="F10586" s="2"/>
      <c r="G10586" s="2">
        <f t="shared" si="165"/>
        <v>0</v>
      </c>
      <c r="H10586" s="1"/>
    </row>
    <row r="10587" spans="2:8" x14ac:dyDescent="0.2">
      <c r="B10587" s="3">
        <v>45421</v>
      </c>
      <c r="D10587" s="2"/>
      <c r="E10587" s="2"/>
      <c r="F10587" s="2"/>
      <c r="G10587" s="2">
        <f t="shared" si="165"/>
        <v>0</v>
      </c>
      <c r="H10587" t="s">
        <v>0</v>
      </c>
    </row>
    <row r="10588" spans="2:8" x14ac:dyDescent="0.2">
      <c r="B10588" s="3">
        <v>45422</v>
      </c>
      <c r="D10588" s="2"/>
      <c r="E10588" s="2"/>
      <c r="F10588" s="2"/>
      <c r="G10588" s="2">
        <f t="shared" si="165"/>
        <v>0</v>
      </c>
      <c r="H10588" t="s">
        <v>14</v>
      </c>
    </row>
    <row r="10589" spans="2:8" x14ac:dyDescent="0.2">
      <c r="B10589" s="3">
        <v>45422</v>
      </c>
      <c r="D10589" s="2"/>
      <c r="E10589" s="2"/>
      <c r="F10589" s="2"/>
      <c r="G10589" s="2">
        <f t="shared" si="165"/>
        <v>0</v>
      </c>
      <c r="H10589" t="s">
        <v>27</v>
      </c>
    </row>
    <row r="10590" spans="2:8" x14ac:dyDescent="0.2">
      <c r="B10590" s="3">
        <v>45422</v>
      </c>
      <c r="D10590" s="6"/>
      <c r="E10590" s="2"/>
      <c r="F10590" s="2"/>
      <c r="G10590" s="2">
        <f t="shared" si="165"/>
        <v>0</v>
      </c>
      <c r="H10590" t="s">
        <v>13</v>
      </c>
    </row>
    <row r="10591" spans="2:8" x14ac:dyDescent="0.2">
      <c r="B10591" s="3">
        <v>45422</v>
      </c>
      <c r="D10591" s="6"/>
      <c r="E10591" s="2"/>
      <c r="F10591" s="2"/>
      <c r="G10591" s="2">
        <f t="shared" si="165"/>
        <v>0</v>
      </c>
      <c r="H10591" t="s">
        <v>26</v>
      </c>
    </row>
    <row r="10592" spans="2:8" x14ac:dyDescent="0.2">
      <c r="B10592" s="3">
        <v>45422</v>
      </c>
      <c r="D10592" s="2"/>
      <c r="E10592" s="2"/>
      <c r="F10592" s="2"/>
      <c r="G10592" s="2">
        <f t="shared" si="165"/>
        <v>0</v>
      </c>
      <c r="H10592" t="s">
        <v>9</v>
      </c>
    </row>
    <row r="10593" spans="2:8" x14ac:dyDescent="0.2">
      <c r="B10593" s="3">
        <v>45422</v>
      </c>
      <c r="D10593" s="2"/>
      <c r="E10593" s="2"/>
      <c r="F10593" s="2"/>
      <c r="G10593" s="2">
        <f t="shared" si="165"/>
        <v>0</v>
      </c>
      <c r="H10593" t="s">
        <v>8</v>
      </c>
    </row>
    <row r="10594" spans="2:8" x14ac:dyDescent="0.2">
      <c r="B10594" s="3">
        <v>45422</v>
      </c>
      <c r="D10594" s="2"/>
      <c r="E10594" s="2"/>
      <c r="F10594" s="2"/>
      <c r="G10594" s="2">
        <f t="shared" si="165"/>
        <v>0</v>
      </c>
      <c r="H10594" t="s">
        <v>5</v>
      </c>
    </row>
    <row r="10595" spans="2:8" x14ac:dyDescent="0.2">
      <c r="B10595" s="3">
        <v>45422</v>
      </c>
      <c r="D10595" s="2"/>
      <c r="E10595" s="2"/>
      <c r="F10595" s="2"/>
      <c r="G10595" s="2">
        <f t="shared" si="165"/>
        <v>0</v>
      </c>
      <c r="H10595" s="1"/>
    </row>
    <row r="10596" spans="2:8" x14ac:dyDescent="0.2">
      <c r="B10596" s="3">
        <v>45422</v>
      </c>
      <c r="D10596" s="2"/>
      <c r="E10596" s="2"/>
      <c r="F10596" s="2">
        <v>30000</v>
      </c>
      <c r="G10596" s="2">
        <f t="shared" si="165"/>
        <v>-30000</v>
      </c>
      <c r="H10596" t="s">
        <v>0</v>
      </c>
    </row>
    <row r="10597" spans="2:8" x14ac:dyDescent="0.2">
      <c r="B10597" s="3">
        <v>45423</v>
      </c>
      <c r="D10597" s="2"/>
      <c r="E10597" s="2"/>
      <c r="F10597" s="2"/>
      <c r="G10597" s="2">
        <f t="shared" si="165"/>
        <v>0</v>
      </c>
      <c r="H10597" t="s">
        <v>14</v>
      </c>
    </row>
    <row r="10598" spans="2:8" x14ac:dyDescent="0.2">
      <c r="B10598" s="3">
        <v>45423</v>
      </c>
      <c r="D10598" s="2"/>
      <c r="E10598" s="2"/>
      <c r="F10598" s="2"/>
      <c r="G10598" s="2">
        <f t="shared" si="165"/>
        <v>0</v>
      </c>
      <c r="H10598" t="s">
        <v>27</v>
      </c>
    </row>
    <row r="10599" spans="2:8" x14ac:dyDescent="0.2">
      <c r="B10599" s="3">
        <v>45423</v>
      </c>
      <c r="D10599" s="6"/>
      <c r="E10599" s="2"/>
      <c r="F10599" s="2"/>
      <c r="G10599" s="2">
        <f t="shared" si="165"/>
        <v>0</v>
      </c>
      <c r="H10599" t="s">
        <v>13</v>
      </c>
    </row>
    <row r="10600" spans="2:8" x14ac:dyDescent="0.2">
      <c r="B10600" s="3">
        <v>45423</v>
      </c>
      <c r="D10600" s="6"/>
      <c r="E10600" s="12"/>
      <c r="F10600" s="2"/>
      <c r="G10600" s="2">
        <f t="shared" si="165"/>
        <v>0</v>
      </c>
      <c r="H10600" t="s">
        <v>26</v>
      </c>
    </row>
    <row r="10601" spans="2:8" x14ac:dyDescent="0.2">
      <c r="B10601" s="3">
        <v>45423</v>
      </c>
      <c r="D10601" s="2"/>
      <c r="E10601" s="2"/>
      <c r="F10601" s="2"/>
      <c r="G10601" s="2">
        <f t="shared" si="165"/>
        <v>0</v>
      </c>
      <c r="H10601" t="s">
        <v>9</v>
      </c>
    </row>
    <row r="10602" spans="2:8" x14ac:dyDescent="0.2">
      <c r="B10602" s="3">
        <v>45423</v>
      </c>
      <c r="D10602" s="2"/>
      <c r="E10602" s="2"/>
      <c r="F10602" s="2"/>
      <c r="G10602" s="2">
        <f t="shared" si="165"/>
        <v>0</v>
      </c>
      <c r="H10602" t="s">
        <v>8</v>
      </c>
    </row>
    <row r="10603" spans="2:8" x14ac:dyDescent="0.2">
      <c r="B10603" s="3">
        <v>45423</v>
      </c>
      <c r="D10603" s="2"/>
      <c r="E10603" s="2"/>
      <c r="F10603" s="2"/>
      <c r="G10603" s="2">
        <f t="shared" si="165"/>
        <v>0</v>
      </c>
      <c r="H10603" t="s">
        <v>5</v>
      </c>
    </row>
    <row r="10604" spans="2:8" x14ac:dyDescent="0.2">
      <c r="B10604" s="3">
        <v>45423</v>
      </c>
      <c r="D10604" s="2"/>
      <c r="E10604" s="2"/>
      <c r="F10604" s="2"/>
      <c r="G10604" s="2">
        <f t="shared" si="165"/>
        <v>0</v>
      </c>
      <c r="H10604" s="1"/>
    </row>
    <row r="10605" spans="2:8" x14ac:dyDescent="0.2">
      <c r="B10605" s="3">
        <v>45423</v>
      </c>
      <c r="D10605" s="2"/>
      <c r="E10605" s="2"/>
      <c r="F10605" s="2"/>
      <c r="G10605" s="2">
        <f t="shared" si="165"/>
        <v>0</v>
      </c>
      <c r="H10605" t="s">
        <v>0</v>
      </c>
    </row>
    <row r="10606" spans="2:8" x14ac:dyDescent="0.2">
      <c r="B10606" s="3">
        <v>45424</v>
      </c>
      <c r="D10606" s="2"/>
      <c r="E10606" s="2"/>
      <c r="F10606" s="2"/>
      <c r="G10606" s="2">
        <f t="shared" si="165"/>
        <v>0</v>
      </c>
      <c r="H10606" t="s">
        <v>14</v>
      </c>
    </row>
    <row r="10607" spans="2:8" x14ac:dyDescent="0.2">
      <c r="B10607" s="3">
        <v>45424</v>
      </c>
      <c r="D10607" s="2"/>
      <c r="E10607" s="2"/>
      <c r="F10607" s="2"/>
      <c r="G10607" s="2">
        <f t="shared" si="165"/>
        <v>0</v>
      </c>
      <c r="H10607" t="s">
        <v>27</v>
      </c>
    </row>
    <row r="10608" spans="2:8" x14ac:dyDescent="0.2">
      <c r="B10608" s="3">
        <v>45424</v>
      </c>
      <c r="D10608" s="6"/>
      <c r="E10608" s="2"/>
      <c r="F10608" s="2"/>
      <c r="G10608" s="2">
        <f t="shared" si="165"/>
        <v>0</v>
      </c>
      <c r="H10608" t="s">
        <v>13</v>
      </c>
    </row>
    <row r="10609" spans="2:8" x14ac:dyDescent="0.2">
      <c r="B10609" s="3">
        <v>45424</v>
      </c>
      <c r="D10609" s="6">
        <f>1310+860</f>
        <v>2170</v>
      </c>
      <c r="E10609" s="2">
        <v>2460</v>
      </c>
      <c r="F10609" s="2">
        <v>2460</v>
      </c>
      <c r="G10609" s="2">
        <f t="shared" si="165"/>
        <v>0</v>
      </c>
      <c r="H10609" t="s">
        <v>26</v>
      </c>
    </row>
    <row r="10610" spans="2:8" x14ac:dyDescent="0.2">
      <c r="B10610" s="3">
        <v>45424</v>
      </c>
      <c r="D10610" s="2"/>
      <c r="E10610" s="2"/>
      <c r="F10610" s="2"/>
      <c r="G10610" s="2">
        <f t="shared" si="165"/>
        <v>0</v>
      </c>
      <c r="H10610" t="s">
        <v>9</v>
      </c>
    </row>
    <row r="10611" spans="2:8" x14ac:dyDescent="0.2">
      <c r="B10611" s="3">
        <v>45424</v>
      </c>
      <c r="D10611" s="2">
        <v>9028</v>
      </c>
      <c r="E10611" s="2">
        <v>10012.5</v>
      </c>
      <c r="F10611" s="2">
        <v>20000</v>
      </c>
      <c r="G10611" s="2">
        <f t="shared" si="165"/>
        <v>-9987.5</v>
      </c>
      <c r="H10611" t="s">
        <v>8</v>
      </c>
    </row>
    <row r="10612" spans="2:8" x14ac:dyDescent="0.2">
      <c r="B10612" s="3">
        <v>45424</v>
      </c>
      <c r="D10612" s="2"/>
      <c r="E10612" s="2"/>
      <c r="F10612" s="2"/>
      <c r="G10612" s="2">
        <f t="shared" si="165"/>
        <v>0</v>
      </c>
      <c r="H10612" t="s">
        <v>5</v>
      </c>
    </row>
    <row r="10613" spans="2:8" x14ac:dyDescent="0.2">
      <c r="B10613" s="3">
        <v>45424</v>
      </c>
      <c r="D10613" s="2">
        <v>6232</v>
      </c>
      <c r="E10613" s="2">
        <v>6716</v>
      </c>
      <c r="F10613" s="2">
        <v>6715</v>
      </c>
      <c r="G10613" s="2">
        <f t="shared" si="165"/>
        <v>1</v>
      </c>
      <c r="H10613" s="1" t="s">
        <v>83</v>
      </c>
    </row>
    <row r="10614" spans="2:8" x14ac:dyDescent="0.2">
      <c r="B10614" s="3">
        <v>45424</v>
      </c>
      <c r="D10614" s="2"/>
      <c r="E10614" s="2"/>
      <c r="F10614" s="2"/>
      <c r="G10614" s="2">
        <f t="shared" si="165"/>
        <v>0</v>
      </c>
      <c r="H10614" t="s">
        <v>0</v>
      </c>
    </row>
    <row r="10615" spans="2:8" x14ac:dyDescent="0.2">
      <c r="B10615" s="3">
        <v>45425</v>
      </c>
      <c r="D10615" s="2"/>
      <c r="E10615" s="2"/>
      <c r="F10615" s="2"/>
      <c r="G10615" s="2">
        <f t="shared" si="165"/>
        <v>0</v>
      </c>
      <c r="H10615" t="s">
        <v>14</v>
      </c>
    </row>
    <row r="10616" spans="2:8" x14ac:dyDescent="0.2">
      <c r="B10616" s="3">
        <v>45425</v>
      </c>
      <c r="D10616" s="2"/>
      <c r="E10616" s="2"/>
      <c r="F10616" s="2"/>
      <c r="G10616" s="2">
        <f t="shared" si="165"/>
        <v>0</v>
      </c>
      <c r="H10616" t="s">
        <v>27</v>
      </c>
    </row>
    <row r="10617" spans="2:8" x14ac:dyDescent="0.2">
      <c r="B10617" s="3">
        <v>45425</v>
      </c>
      <c r="D10617" s="6">
        <f>7800+4900+2960+1980+1410</f>
        <v>19050</v>
      </c>
      <c r="E10617" s="2">
        <v>19905</v>
      </c>
      <c r="F10617" s="2"/>
      <c r="G10617" s="2">
        <f t="shared" si="165"/>
        <v>19905</v>
      </c>
      <c r="H10617" t="s">
        <v>13</v>
      </c>
    </row>
    <row r="10618" spans="2:8" x14ac:dyDescent="0.2">
      <c r="B10618" s="3">
        <v>45425</v>
      </c>
      <c r="D10618" s="6"/>
      <c r="E10618" s="2"/>
      <c r="F10618" s="2"/>
      <c r="G10618" s="2">
        <f t="shared" si="165"/>
        <v>0</v>
      </c>
      <c r="H10618" t="s">
        <v>26</v>
      </c>
    </row>
    <row r="10619" spans="2:8" x14ac:dyDescent="0.2">
      <c r="B10619" s="3">
        <v>45425</v>
      </c>
      <c r="D10619" s="2"/>
      <c r="E10619" s="2"/>
      <c r="F10619" s="2"/>
      <c r="G10619" s="2">
        <f t="shared" si="165"/>
        <v>0</v>
      </c>
      <c r="H10619" t="s">
        <v>9</v>
      </c>
    </row>
    <row r="10620" spans="2:8" x14ac:dyDescent="0.2">
      <c r="B10620" s="3">
        <v>45425</v>
      </c>
      <c r="D10620" s="2"/>
      <c r="E10620" s="2"/>
      <c r="F10620" s="2"/>
      <c r="G10620" s="2">
        <f t="shared" si="165"/>
        <v>0</v>
      </c>
      <c r="H10620" t="s">
        <v>8</v>
      </c>
    </row>
    <row r="10621" spans="2:8" x14ac:dyDescent="0.2">
      <c r="B10621" s="3">
        <v>45425</v>
      </c>
      <c r="D10621" s="2"/>
      <c r="E10621" s="2"/>
      <c r="F10621" s="2"/>
      <c r="G10621" s="2">
        <f t="shared" si="165"/>
        <v>0</v>
      </c>
      <c r="H10621" t="s">
        <v>5</v>
      </c>
    </row>
    <row r="10622" spans="2:8" x14ac:dyDescent="0.2">
      <c r="B10622" s="3">
        <v>45425</v>
      </c>
      <c r="D10622" s="2">
        <v>740</v>
      </c>
      <c r="E10622" s="2">
        <v>775</v>
      </c>
      <c r="F10622" s="2">
        <v>775</v>
      </c>
      <c r="G10622" s="2">
        <f t="shared" si="165"/>
        <v>0</v>
      </c>
      <c r="H10622" t="s">
        <v>39</v>
      </c>
    </row>
    <row r="10623" spans="2:8" x14ac:dyDescent="0.2">
      <c r="B10623" s="3">
        <v>45425</v>
      </c>
      <c r="D10623" s="2"/>
      <c r="E10623" s="2"/>
      <c r="F10623" s="2"/>
      <c r="G10623" s="2">
        <f t="shared" si="165"/>
        <v>0</v>
      </c>
      <c r="H10623" t="s">
        <v>0</v>
      </c>
    </row>
    <row r="10624" spans="2:8" x14ac:dyDescent="0.2">
      <c r="B10624" s="3">
        <v>45426</v>
      </c>
      <c r="D10624" s="2">
        <v>3360</v>
      </c>
      <c r="E10624" s="2">
        <v>4160</v>
      </c>
      <c r="F10624" s="2"/>
      <c r="G10624" s="2">
        <f t="shared" si="165"/>
        <v>4160</v>
      </c>
      <c r="H10624" t="s">
        <v>14</v>
      </c>
    </row>
    <row r="10625" spans="2:8" x14ac:dyDescent="0.2">
      <c r="B10625" s="3">
        <v>45426</v>
      </c>
      <c r="D10625" s="2"/>
      <c r="E10625" s="2"/>
      <c r="F10625" s="2"/>
      <c r="G10625" s="2">
        <f t="shared" si="165"/>
        <v>0</v>
      </c>
      <c r="H10625" t="s">
        <v>27</v>
      </c>
    </row>
    <row r="10626" spans="2:8" x14ac:dyDescent="0.2">
      <c r="B10626" s="3">
        <v>45426</v>
      </c>
      <c r="D10626" s="6"/>
      <c r="E10626" s="2"/>
      <c r="F10626" s="2"/>
      <c r="G10626" s="2">
        <f t="shared" si="165"/>
        <v>0</v>
      </c>
      <c r="H10626" t="s">
        <v>13</v>
      </c>
    </row>
    <row r="10627" spans="2:8" x14ac:dyDescent="0.2">
      <c r="B10627" s="3">
        <v>45426</v>
      </c>
      <c r="D10627" s="6"/>
      <c r="E10627" s="2"/>
      <c r="F10627" s="2"/>
      <c r="G10627" s="2">
        <f t="shared" ref="G10627:G10690" si="166">E10627-F10627</f>
        <v>0</v>
      </c>
      <c r="H10627" t="s">
        <v>26</v>
      </c>
    </row>
    <row r="10628" spans="2:8" x14ac:dyDescent="0.2">
      <c r="B10628" s="3">
        <v>45426</v>
      </c>
      <c r="D10628" s="2"/>
      <c r="E10628" s="2"/>
      <c r="F10628" s="2"/>
      <c r="G10628" s="2">
        <f t="shared" si="166"/>
        <v>0</v>
      </c>
      <c r="H10628" t="s">
        <v>9</v>
      </c>
    </row>
    <row r="10629" spans="2:8" x14ac:dyDescent="0.2">
      <c r="B10629" s="3">
        <v>45426</v>
      </c>
      <c r="D10629" s="2"/>
      <c r="E10629" s="2"/>
      <c r="F10629" s="2"/>
      <c r="G10629" s="2">
        <f t="shared" si="166"/>
        <v>0</v>
      </c>
      <c r="H10629" t="s">
        <v>8</v>
      </c>
    </row>
    <row r="10630" spans="2:8" x14ac:dyDescent="0.2">
      <c r="B10630" s="3">
        <v>45426</v>
      </c>
      <c r="D10630" s="2"/>
      <c r="E10630" s="2"/>
      <c r="F10630" s="2"/>
      <c r="G10630" s="2">
        <f t="shared" si="166"/>
        <v>0</v>
      </c>
      <c r="H10630" t="s">
        <v>5</v>
      </c>
    </row>
    <row r="10631" spans="2:8" x14ac:dyDescent="0.2">
      <c r="B10631" s="3">
        <v>45426</v>
      </c>
      <c r="D10631" s="2"/>
      <c r="E10631" s="2"/>
      <c r="F10631" s="2"/>
      <c r="G10631" s="2">
        <f t="shared" si="166"/>
        <v>0</v>
      </c>
      <c r="H10631" s="1"/>
    </row>
    <row r="10632" spans="2:8" x14ac:dyDescent="0.2">
      <c r="B10632" s="3">
        <v>45426</v>
      </c>
      <c r="D10632" s="2"/>
      <c r="E10632" s="2"/>
      <c r="F10632" s="2"/>
      <c r="G10632" s="2">
        <f t="shared" si="166"/>
        <v>0</v>
      </c>
      <c r="H10632" t="s">
        <v>0</v>
      </c>
    </row>
    <row r="10633" spans="2:8" x14ac:dyDescent="0.2">
      <c r="B10633" s="3">
        <v>45427</v>
      </c>
      <c r="D10633" s="2"/>
      <c r="E10633" s="2"/>
      <c r="F10633" s="2">
        <v>10000</v>
      </c>
      <c r="G10633" s="2">
        <f t="shared" si="166"/>
        <v>-10000</v>
      </c>
      <c r="H10633" t="s">
        <v>14</v>
      </c>
    </row>
    <row r="10634" spans="2:8" x14ac:dyDescent="0.2">
      <c r="B10634" s="3">
        <v>45427</v>
      </c>
      <c r="D10634" s="2"/>
      <c r="E10634" s="2"/>
      <c r="F10634" s="2"/>
      <c r="G10634" s="2">
        <f t="shared" si="166"/>
        <v>0</v>
      </c>
      <c r="H10634" t="s">
        <v>27</v>
      </c>
    </row>
    <row r="10635" spans="2:8" x14ac:dyDescent="0.2">
      <c r="B10635" s="3">
        <v>45427</v>
      </c>
      <c r="D10635" s="6"/>
      <c r="E10635" s="2"/>
      <c r="F10635" s="2">
        <v>20000</v>
      </c>
      <c r="G10635" s="2">
        <f t="shared" si="166"/>
        <v>-20000</v>
      </c>
      <c r="H10635" t="s">
        <v>13</v>
      </c>
    </row>
    <row r="10636" spans="2:8" x14ac:dyDescent="0.2">
      <c r="B10636" s="3">
        <v>45427</v>
      </c>
      <c r="D10636" s="6"/>
      <c r="E10636" s="2"/>
      <c r="F10636" s="2"/>
      <c r="G10636" s="2">
        <f t="shared" si="166"/>
        <v>0</v>
      </c>
      <c r="H10636" t="s">
        <v>26</v>
      </c>
    </row>
    <row r="10637" spans="2:8" x14ac:dyDescent="0.2">
      <c r="B10637" s="3">
        <v>45427</v>
      </c>
      <c r="D10637" s="2"/>
      <c r="E10637" s="2"/>
      <c r="F10637" s="2"/>
      <c r="G10637" s="2">
        <f t="shared" si="166"/>
        <v>0</v>
      </c>
      <c r="H10637" t="s">
        <v>9</v>
      </c>
    </row>
    <row r="10638" spans="2:8" x14ac:dyDescent="0.2">
      <c r="B10638" s="3">
        <v>45427</v>
      </c>
      <c r="D10638" s="2"/>
      <c r="E10638" s="2"/>
      <c r="F10638" s="2"/>
      <c r="G10638" s="2">
        <f t="shared" si="166"/>
        <v>0</v>
      </c>
      <c r="H10638" t="s">
        <v>8</v>
      </c>
    </row>
    <row r="10639" spans="2:8" x14ac:dyDescent="0.2">
      <c r="B10639" s="3">
        <v>45427</v>
      </c>
      <c r="D10639" s="2"/>
      <c r="E10639" s="2"/>
      <c r="F10639" s="2"/>
      <c r="G10639" s="2">
        <f t="shared" si="166"/>
        <v>0</v>
      </c>
      <c r="H10639" t="s">
        <v>5</v>
      </c>
    </row>
    <row r="10640" spans="2:8" x14ac:dyDescent="0.2">
      <c r="B10640" s="3">
        <v>45427</v>
      </c>
      <c r="D10640" s="2"/>
      <c r="E10640" s="2"/>
      <c r="F10640" s="2"/>
      <c r="G10640" s="2">
        <f t="shared" si="166"/>
        <v>0</v>
      </c>
      <c r="H10640" s="1"/>
    </row>
    <row r="10641" spans="2:8" x14ac:dyDescent="0.2">
      <c r="B10641" s="3">
        <v>45427</v>
      </c>
      <c r="D10641" s="2"/>
      <c r="E10641" s="2"/>
      <c r="F10641" s="2"/>
      <c r="G10641" s="2">
        <f t="shared" si="166"/>
        <v>0</v>
      </c>
      <c r="H10641" t="s">
        <v>0</v>
      </c>
    </row>
    <row r="10642" spans="2:8" x14ac:dyDescent="0.2">
      <c r="B10642" s="3">
        <v>45428</v>
      </c>
      <c r="D10642" s="2"/>
      <c r="E10642" s="2"/>
      <c r="F10642" s="2"/>
      <c r="G10642" s="2">
        <f t="shared" si="166"/>
        <v>0</v>
      </c>
      <c r="H10642" t="s">
        <v>14</v>
      </c>
    </row>
    <row r="10643" spans="2:8" x14ac:dyDescent="0.2">
      <c r="B10643" s="3">
        <v>45428</v>
      </c>
      <c r="D10643" s="2"/>
      <c r="E10643" s="2"/>
      <c r="F10643" s="2"/>
      <c r="G10643" s="2">
        <f t="shared" si="166"/>
        <v>0</v>
      </c>
      <c r="H10643" t="s">
        <v>27</v>
      </c>
    </row>
    <row r="10644" spans="2:8" x14ac:dyDescent="0.2">
      <c r="B10644" s="3">
        <v>45428</v>
      </c>
      <c r="D10644" s="6"/>
      <c r="E10644" s="2"/>
      <c r="F10644" s="2"/>
      <c r="G10644" s="2">
        <f t="shared" si="166"/>
        <v>0</v>
      </c>
      <c r="H10644" t="s">
        <v>13</v>
      </c>
    </row>
    <row r="10645" spans="2:8" x14ac:dyDescent="0.2">
      <c r="B10645" s="3">
        <v>45428</v>
      </c>
      <c r="D10645" s="6"/>
      <c r="E10645" s="2"/>
      <c r="F10645" s="2"/>
      <c r="G10645" s="2">
        <f t="shared" si="166"/>
        <v>0</v>
      </c>
      <c r="H10645" t="s">
        <v>26</v>
      </c>
    </row>
    <row r="10646" spans="2:8" x14ac:dyDescent="0.2">
      <c r="B10646" s="3">
        <v>45428</v>
      </c>
      <c r="D10646" s="2"/>
      <c r="E10646" s="2"/>
      <c r="F10646" s="2"/>
      <c r="G10646" s="2">
        <f t="shared" si="166"/>
        <v>0</v>
      </c>
      <c r="H10646" t="s">
        <v>9</v>
      </c>
    </row>
    <row r="10647" spans="2:8" x14ac:dyDescent="0.2">
      <c r="B10647" s="3">
        <v>45428</v>
      </c>
      <c r="D10647" s="2"/>
      <c r="E10647" s="2"/>
      <c r="F10647" s="2"/>
      <c r="G10647" s="2">
        <f t="shared" si="166"/>
        <v>0</v>
      </c>
      <c r="H10647" t="s">
        <v>8</v>
      </c>
    </row>
    <row r="10648" spans="2:8" x14ac:dyDescent="0.2">
      <c r="B10648" s="3">
        <v>45428</v>
      </c>
      <c r="D10648" s="2"/>
      <c r="E10648" s="2"/>
      <c r="F10648" s="2"/>
      <c r="G10648" s="2">
        <f t="shared" si="166"/>
        <v>0</v>
      </c>
      <c r="H10648" t="s">
        <v>5</v>
      </c>
    </row>
    <row r="10649" spans="2:8" x14ac:dyDescent="0.2">
      <c r="B10649" s="3">
        <v>45428</v>
      </c>
      <c r="D10649" s="2"/>
      <c r="E10649" s="2"/>
      <c r="F10649" s="2"/>
      <c r="G10649" s="2">
        <f t="shared" si="166"/>
        <v>0</v>
      </c>
      <c r="H10649" s="1"/>
    </row>
    <row r="10650" spans="2:8" x14ac:dyDescent="0.2">
      <c r="B10650" s="3">
        <v>45428</v>
      </c>
      <c r="D10650" s="2"/>
      <c r="E10650" s="2"/>
      <c r="F10650" s="2"/>
      <c r="G10650" s="2">
        <f t="shared" si="166"/>
        <v>0</v>
      </c>
      <c r="H10650" t="s">
        <v>0</v>
      </c>
    </row>
    <row r="10651" spans="2:8" x14ac:dyDescent="0.2">
      <c r="B10651" s="3">
        <v>45429</v>
      </c>
      <c r="D10651" s="2">
        <v>6500</v>
      </c>
      <c r="E10651" s="2">
        <v>7700</v>
      </c>
      <c r="F10651" s="2"/>
      <c r="G10651" s="2">
        <f t="shared" si="166"/>
        <v>7700</v>
      </c>
      <c r="H10651" t="s">
        <v>14</v>
      </c>
    </row>
    <row r="10652" spans="2:8" x14ac:dyDescent="0.2">
      <c r="B10652" s="3">
        <v>45429</v>
      </c>
      <c r="D10652" s="2"/>
      <c r="E10652" s="2"/>
      <c r="F10652" s="2"/>
      <c r="G10652" s="2">
        <f t="shared" si="166"/>
        <v>0</v>
      </c>
      <c r="H10652" t="s">
        <v>27</v>
      </c>
    </row>
    <row r="10653" spans="2:8" x14ac:dyDescent="0.2">
      <c r="B10653" s="3">
        <v>45429</v>
      </c>
      <c r="D10653" s="6">
        <f>2440+2340+1064+2800+1200+2820+3750+987+1740</f>
        <v>19141</v>
      </c>
      <c r="E10653" s="2">
        <v>20298.5</v>
      </c>
      <c r="F10653" s="2">
        <v>20300</v>
      </c>
      <c r="G10653" s="2">
        <f t="shared" si="166"/>
        <v>-1.5</v>
      </c>
      <c r="H10653" t="s">
        <v>13</v>
      </c>
    </row>
    <row r="10654" spans="2:8" x14ac:dyDescent="0.2">
      <c r="B10654" s="3">
        <v>45429</v>
      </c>
      <c r="D10654" s="6"/>
      <c r="E10654" s="2"/>
      <c r="F10654" s="2"/>
      <c r="G10654" s="2">
        <f t="shared" si="166"/>
        <v>0</v>
      </c>
      <c r="H10654" t="s">
        <v>26</v>
      </c>
    </row>
    <row r="10655" spans="2:8" x14ac:dyDescent="0.2">
      <c r="B10655" s="3">
        <v>45429</v>
      </c>
      <c r="D10655" s="2"/>
      <c r="E10655" s="2"/>
      <c r="F10655" s="2"/>
      <c r="G10655" s="2">
        <f t="shared" si="166"/>
        <v>0</v>
      </c>
      <c r="H10655" t="s">
        <v>9</v>
      </c>
    </row>
    <row r="10656" spans="2:8" x14ac:dyDescent="0.2">
      <c r="B10656" s="3">
        <v>45429</v>
      </c>
      <c r="D10656" s="2">
        <v>8825</v>
      </c>
      <c r="E10656" s="2">
        <v>9875</v>
      </c>
      <c r="F10656" s="2"/>
      <c r="G10656" s="2">
        <f t="shared" si="166"/>
        <v>9875</v>
      </c>
      <c r="H10656" t="s">
        <v>8</v>
      </c>
    </row>
    <row r="10657" spans="2:8" x14ac:dyDescent="0.2">
      <c r="B10657" s="3">
        <v>45429</v>
      </c>
      <c r="G10657" s="2">
        <f t="shared" si="166"/>
        <v>0</v>
      </c>
      <c r="H10657" t="s">
        <v>5</v>
      </c>
    </row>
    <row r="10658" spans="2:8" x14ac:dyDescent="0.2">
      <c r="B10658" s="3">
        <v>45429</v>
      </c>
      <c r="G10658" s="2">
        <f t="shared" si="166"/>
        <v>0</v>
      </c>
      <c r="H10658" s="1"/>
    </row>
    <row r="10659" spans="2:8" x14ac:dyDescent="0.2">
      <c r="B10659" s="3">
        <v>45429</v>
      </c>
      <c r="G10659" s="2">
        <f t="shared" si="166"/>
        <v>0</v>
      </c>
      <c r="H10659" t="s">
        <v>0</v>
      </c>
    </row>
    <row r="10660" spans="2:8" x14ac:dyDescent="0.2">
      <c r="B10660" s="3">
        <v>45430</v>
      </c>
      <c r="D10660" s="1">
        <v>7180</v>
      </c>
      <c r="E10660" s="1">
        <v>9880</v>
      </c>
      <c r="G10660" s="2">
        <f t="shared" si="166"/>
        <v>9880</v>
      </c>
      <c r="H10660" t="s">
        <v>14</v>
      </c>
    </row>
    <row r="10661" spans="2:8" x14ac:dyDescent="0.2">
      <c r="B10661" s="3">
        <v>45430</v>
      </c>
      <c r="G10661" s="2">
        <f t="shared" si="166"/>
        <v>0</v>
      </c>
      <c r="H10661" t="s">
        <v>27</v>
      </c>
    </row>
    <row r="10662" spans="2:8" x14ac:dyDescent="0.2">
      <c r="B10662" s="3">
        <v>45430</v>
      </c>
      <c r="D10662" s="28">
        <f>8400+1260+3000+12180+9870+1700+1600+980+4700+3750+185+2970</f>
        <v>50595</v>
      </c>
      <c r="E10662" s="1">
        <v>53900</v>
      </c>
      <c r="F10662" s="1">
        <v>53900</v>
      </c>
      <c r="G10662" s="2">
        <f t="shared" si="166"/>
        <v>0</v>
      </c>
      <c r="H10662" t="s">
        <v>13</v>
      </c>
    </row>
    <row r="10663" spans="2:8" x14ac:dyDescent="0.2">
      <c r="B10663" s="3">
        <v>45430</v>
      </c>
      <c r="D10663" s="28"/>
      <c r="G10663" s="2">
        <f t="shared" si="166"/>
        <v>0</v>
      </c>
      <c r="H10663" t="s">
        <v>26</v>
      </c>
    </row>
    <row r="10664" spans="2:8" x14ac:dyDescent="0.2">
      <c r="B10664" s="3">
        <v>45430</v>
      </c>
      <c r="G10664" s="2">
        <f t="shared" si="166"/>
        <v>0</v>
      </c>
      <c r="H10664" t="s">
        <v>9</v>
      </c>
    </row>
    <row r="10665" spans="2:8" x14ac:dyDescent="0.2">
      <c r="B10665" s="3">
        <v>45430</v>
      </c>
      <c r="G10665" s="2">
        <f t="shared" si="166"/>
        <v>0</v>
      </c>
      <c r="H10665" t="s">
        <v>8</v>
      </c>
    </row>
    <row r="10666" spans="2:8" x14ac:dyDescent="0.2">
      <c r="B10666" s="3">
        <v>45430</v>
      </c>
      <c r="G10666" s="2">
        <f t="shared" si="166"/>
        <v>0</v>
      </c>
      <c r="H10666" t="s">
        <v>5</v>
      </c>
    </row>
    <row r="10667" spans="2:8" x14ac:dyDescent="0.2">
      <c r="B10667" s="3">
        <v>45430</v>
      </c>
      <c r="G10667" s="2">
        <f t="shared" si="166"/>
        <v>0</v>
      </c>
      <c r="H10667" s="1"/>
    </row>
    <row r="10668" spans="2:8" x14ac:dyDescent="0.2">
      <c r="B10668" s="3">
        <v>45430</v>
      </c>
      <c r="G10668" s="2">
        <f t="shared" si="166"/>
        <v>0</v>
      </c>
      <c r="H10668" t="s">
        <v>0</v>
      </c>
    </row>
    <row r="10669" spans="2:8" x14ac:dyDescent="0.2">
      <c r="B10669" s="3">
        <v>45431</v>
      </c>
      <c r="G10669" s="2">
        <f t="shared" si="166"/>
        <v>0</v>
      </c>
      <c r="H10669" t="s">
        <v>14</v>
      </c>
    </row>
    <row r="10670" spans="2:8" x14ac:dyDescent="0.2">
      <c r="B10670" s="3">
        <v>45431</v>
      </c>
      <c r="G10670" s="2">
        <f t="shared" si="166"/>
        <v>0</v>
      </c>
      <c r="H10670" t="s">
        <v>27</v>
      </c>
    </row>
    <row r="10671" spans="2:8" x14ac:dyDescent="0.2">
      <c r="B10671" s="3">
        <v>45431</v>
      </c>
      <c r="D10671" s="28">
        <v>4600</v>
      </c>
      <c r="E10671" s="1">
        <v>5200</v>
      </c>
      <c r="F10671" s="1">
        <v>5200</v>
      </c>
      <c r="G10671" s="2">
        <f t="shared" si="166"/>
        <v>0</v>
      </c>
      <c r="H10671" t="s">
        <v>13</v>
      </c>
    </row>
    <row r="10672" spans="2:8" x14ac:dyDescent="0.2">
      <c r="B10672" s="3">
        <v>45431</v>
      </c>
      <c r="D10672" s="28"/>
      <c r="G10672" s="2">
        <f t="shared" si="166"/>
        <v>0</v>
      </c>
      <c r="H10672" t="s">
        <v>26</v>
      </c>
    </row>
    <row r="10673" spans="2:8" x14ac:dyDescent="0.2">
      <c r="B10673" s="3">
        <v>45431</v>
      </c>
      <c r="G10673" s="2">
        <f t="shared" si="166"/>
        <v>0</v>
      </c>
      <c r="H10673" t="s">
        <v>9</v>
      </c>
    </row>
    <row r="10674" spans="2:8" x14ac:dyDescent="0.2">
      <c r="B10674" s="3">
        <v>45431</v>
      </c>
      <c r="G10674" s="2">
        <f t="shared" si="166"/>
        <v>0</v>
      </c>
      <c r="H10674" t="s">
        <v>8</v>
      </c>
    </row>
    <row r="10675" spans="2:8" x14ac:dyDescent="0.2">
      <c r="B10675" s="3">
        <v>45431</v>
      </c>
      <c r="G10675" s="2">
        <f t="shared" si="166"/>
        <v>0</v>
      </c>
      <c r="H10675" t="s">
        <v>5</v>
      </c>
    </row>
    <row r="10676" spans="2:8" x14ac:dyDescent="0.2">
      <c r="B10676" s="3">
        <v>45431</v>
      </c>
      <c r="D10676" s="1">
        <v>450</v>
      </c>
      <c r="E10676" s="1">
        <v>450</v>
      </c>
      <c r="F10676" s="1">
        <v>450</v>
      </c>
      <c r="G10676" s="2">
        <f t="shared" si="166"/>
        <v>0</v>
      </c>
      <c r="H10676" t="s">
        <v>39</v>
      </c>
    </row>
    <row r="10677" spans="2:8" x14ac:dyDescent="0.2">
      <c r="B10677" s="3">
        <v>45431</v>
      </c>
      <c r="D10677" s="1">
        <v>6774.88</v>
      </c>
      <c r="E10677" s="1">
        <v>7012.72</v>
      </c>
      <c r="G10677" s="2">
        <f t="shared" si="166"/>
        <v>7012.72</v>
      </c>
      <c r="H10677" t="s">
        <v>0</v>
      </c>
    </row>
    <row r="10678" spans="2:8" x14ac:dyDescent="0.2">
      <c r="B10678" s="3">
        <v>45432</v>
      </c>
      <c r="G10678" s="2">
        <f t="shared" si="166"/>
        <v>0</v>
      </c>
      <c r="H10678" t="s">
        <v>14</v>
      </c>
    </row>
    <row r="10679" spans="2:8" x14ac:dyDescent="0.2">
      <c r="B10679" s="3">
        <v>45432</v>
      </c>
      <c r="G10679" s="2">
        <f t="shared" si="166"/>
        <v>0</v>
      </c>
      <c r="H10679" t="s">
        <v>27</v>
      </c>
    </row>
    <row r="10680" spans="2:8" x14ac:dyDescent="0.2">
      <c r="B10680" s="3">
        <v>45432</v>
      </c>
      <c r="D10680" s="28"/>
      <c r="G10680" s="2">
        <f t="shared" si="166"/>
        <v>0</v>
      </c>
      <c r="H10680" t="s">
        <v>13</v>
      </c>
    </row>
    <row r="10681" spans="2:8" x14ac:dyDescent="0.2">
      <c r="B10681" s="3">
        <v>45432</v>
      </c>
      <c r="D10681" s="28"/>
      <c r="G10681" s="2">
        <f t="shared" si="166"/>
        <v>0</v>
      </c>
      <c r="H10681" t="s">
        <v>26</v>
      </c>
    </row>
    <row r="10682" spans="2:8" x14ac:dyDescent="0.2">
      <c r="B10682" s="3">
        <v>45432</v>
      </c>
      <c r="G10682" s="2">
        <f t="shared" si="166"/>
        <v>0</v>
      </c>
      <c r="H10682" t="s">
        <v>9</v>
      </c>
    </row>
    <row r="10683" spans="2:8" x14ac:dyDescent="0.2">
      <c r="B10683" s="3">
        <v>45432</v>
      </c>
      <c r="G10683" s="2">
        <f t="shared" si="166"/>
        <v>0</v>
      </c>
      <c r="H10683" t="s">
        <v>8</v>
      </c>
    </row>
    <row r="10684" spans="2:8" x14ac:dyDescent="0.2">
      <c r="B10684" s="3">
        <v>45432</v>
      </c>
      <c r="G10684" s="2">
        <f t="shared" si="166"/>
        <v>0</v>
      </c>
      <c r="H10684" t="s">
        <v>5</v>
      </c>
    </row>
    <row r="10685" spans="2:8" x14ac:dyDescent="0.2">
      <c r="B10685" s="3">
        <v>45432</v>
      </c>
      <c r="D10685" s="1">
        <v>11533.75</v>
      </c>
      <c r="E10685" s="1">
        <v>12352</v>
      </c>
      <c r="F10685" s="1">
        <v>12350</v>
      </c>
      <c r="G10685" s="2">
        <f t="shared" si="166"/>
        <v>2</v>
      </c>
      <c r="H10685" s="1" t="s">
        <v>83</v>
      </c>
    </row>
    <row r="10686" spans="2:8" x14ac:dyDescent="0.2">
      <c r="B10686" s="3">
        <v>45432</v>
      </c>
      <c r="D10686" s="1">
        <v>44646.36</v>
      </c>
      <c r="E10686" s="1">
        <v>46333.240000000005</v>
      </c>
      <c r="G10686" s="2">
        <f t="shared" si="166"/>
        <v>46333.240000000005</v>
      </c>
      <c r="H10686" t="s">
        <v>0</v>
      </c>
    </row>
    <row r="10687" spans="2:8" x14ac:dyDescent="0.2">
      <c r="B10687" s="3">
        <v>45433</v>
      </c>
      <c r="F10687" s="1">
        <v>10000</v>
      </c>
      <c r="G10687" s="2">
        <f t="shared" si="166"/>
        <v>-10000</v>
      </c>
      <c r="H10687" t="s">
        <v>14</v>
      </c>
    </row>
    <row r="10688" spans="2:8" x14ac:dyDescent="0.2">
      <c r="B10688" s="3">
        <v>45433</v>
      </c>
      <c r="F10688" s="1">
        <v>2500</v>
      </c>
      <c r="G10688" s="2">
        <f t="shared" si="166"/>
        <v>-2500</v>
      </c>
      <c r="H10688" t="s">
        <v>27</v>
      </c>
    </row>
    <row r="10689" spans="2:8" x14ac:dyDescent="0.2">
      <c r="B10689" s="3">
        <v>45433</v>
      </c>
      <c r="D10689" s="28"/>
      <c r="E10689" s="33"/>
      <c r="G10689" s="2">
        <f t="shared" si="166"/>
        <v>0</v>
      </c>
      <c r="H10689" t="s">
        <v>13</v>
      </c>
    </row>
    <row r="10690" spans="2:8" x14ac:dyDescent="0.2">
      <c r="B10690" s="3">
        <v>45433</v>
      </c>
      <c r="D10690" s="28"/>
      <c r="G10690" s="2">
        <f t="shared" si="166"/>
        <v>0</v>
      </c>
      <c r="H10690" t="s">
        <v>26</v>
      </c>
    </row>
    <row r="10691" spans="2:8" x14ac:dyDescent="0.2">
      <c r="B10691" s="3">
        <v>45433</v>
      </c>
      <c r="G10691" s="2">
        <f t="shared" ref="G10691:G10754" si="167">E10691-F10691</f>
        <v>0</v>
      </c>
      <c r="H10691" t="s">
        <v>9</v>
      </c>
    </row>
    <row r="10692" spans="2:8" x14ac:dyDescent="0.2">
      <c r="B10692" s="3">
        <v>45433</v>
      </c>
      <c r="G10692" s="2">
        <f t="shared" si="167"/>
        <v>0</v>
      </c>
      <c r="H10692" t="s">
        <v>8</v>
      </c>
    </row>
    <row r="10693" spans="2:8" x14ac:dyDescent="0.2">
      <c r="B10693" s="3">
        <v>45433</v>
      </c>
      <c r="G10693" s="2">
        <f t="shared" si="167"/>
        <v>0</v>
      </c>
      <c r="H10693" t="s">
        <v>5</v>
      </c>
    </row>
    <row r="10694" spans="2:8" x14ac:dyDescent="0.2">
      <c r="B10694" s="3">
        <v>45433</v>
      </c>
      <c r="D10694" s="1">
        <v>300</v>
      </c>
      <c r="E10694" s="1">
        <v>300</v>
      </c>
      <c r="F10694" s="1">
        <v>300</v>
      </c>
      <c r="G10694" s="2">
        <f t="shared" si="167"/>
        <v>0</v>
      </c>
      <c r="H10694" t="s">
        <v>39</v>
      </c>
    </row>
    <row r="10695" spans="2:8" x14ac:dyDescent="0.2">
      <c r="B10695" s="3">
        <v>45433</v>
      </c>
      <c r="G10695" s="2">
        <f t="shared" si="167"/>
        <v>0</v>
      </c>
      <c r="H10695" t="s">
        <v>0</v>
      </c>
    </row>
    <row r="10696" spans="2:8" x14ac:dyDescent="0.2">
      <c r="B10696" s="3">
        <v>45434</v>
      </c>
      <c r="G10696" s="2">
        <f t="shared" si="167"/>
        <v>0</v>
      </c>
      <c r="H10696" t="s">
        <v>14</v>
      </c>
    </row>
    <row r="10697" spans="2:8" x14ac:dyDescent="0.2">
      <c r="B10697" s="3">
        <v>45434</v>
      </c>
      <c r="G10697" s="2">
        <f t="shared" si="167"/>
        <v>0</v>
      </c>
      <c r="H10697" t="s">
        <v>27</v>
      </c>
    </row>
    <row r="10698" spans="2:8" x14ac:dyDescent="0.2">
      <c r="B10698" s="3">
        <v>45434</v>
      </c>
      <c r="D10698" s="28"/>
      <c r="G10698" s="2">
        <f t="shared" si="167"/>
        <v>0</v>
      </c>
      <c r="H10698" t="s">
        <v>13</v>
      </c>
    </row>
    <row r="10699" spans="2:8" x14ac:dyDescent="0.2">
      <c r="B10699" s="3">
        <v>45434</v>
      </c>
      <c r="D10699" s="28"/>
      <c r="G10699" s="2">
        <f t="shared" si="167"/>
        <v>0</v>
      </c>
      <c r="H10699" t="s">
        <v>26</v>
      </c>
    </row>
    <row r="10700" spans="2:8" x14ac:dyDescent="0.2">
      <c r="B10700" s="3">
        <v>45434</v>
      </c>
      <c r="G10700" s="2">
        <f t="shared" si="167"/>
        <v>0</v>
      </c>
      <c r="H10700" t="s">
        <v>9</v>
      </c>
    </row>
    <row r="10701" spans="2:8" x14ac:dyDescent="0.2">
      <c r="B10701" s="3">
        <v>45434</v>
      </c>
      <c r="G10701" s="2">
        <f t="shared" si="167"/>
        <v>0</v>
      </c>
      <c r="H10701" t="s">
        <v>8</v>
      </c>
    </row>
    <row r="10702" spans="2:8" x14ac:dyDescent="0.2">
      <c r="B10702" s="3">
        <v>45434</v>
      </c>
      <c r="G10702" s="2">
        <f t="shared" si="167"/>
        <v>0</v>
      </c>
      <c r="H10702" t="s">
        <v>5</v>
      </c>
    </row>
    <row r="10703" spans="2:8" x14ac:dyDescent="0.2">
      <c r="B10703" s="3">
        <v>45434</v>
      </c>
      <c r="G10703" s="2">
        <f t="shared" si="167"/>
        <v>0</v>
      </c>
      <c r="H10703" s="1"/>
    </row>
    <row r="10704" spans="2:8" x14ac:dyDescent="0.2">
      <c r="B10704" s="3">
        <v>45434</v>
      </c>
      <c r="G10704" s="2">
        <f t="shared" si="167"/>
        <v>0</v>
      </c>
      <c r="H10704" t="s">
        <v>0</v>
      </c>
    </row>
    <row r="10705" spans="2:8" x14ac:dyDescent="0.2">
      <c r="B10705" s="3">
        <v>45435</v>
      </c>
      <c r="G10705" s="2">
        <f t="shared" si="167"/>
        <v>0</v>
      </c>
      <c r="H10705" t="s">
        <v>14</v>
      </c>
    </row>
    <row r="10706" spans="2:8" x14ac:dyDescent="0.2">
      <c r="B10706" s="3">
        <v>45435</v>
      </c>
      <c r="G10706" s="2">
        <f t="shared" si="167"/>
        <v>0</v>
      </c>
      <c r="H10706" t="s">
        <v>27</v>
      </c>
    </row>
    <row r="10707" spans="2:8" x14ac:dyDescent="0.2">
      <c r="B10707" s="3">
        <v>45435</v>
      </c>
      <c r="D10707" s="28"/>
      <c r="G10707" s="2">
        <f t="shared" si="167"/>
        <v>0</v>
      </c>
      <c r="H10707" t="s">
        <v>13</v>
      </c>
    </row>
    <row r="10708" spans="2:8" x14ac:dyDescent="0.2">
      <c r="B10708" s="3">
        <v>45435</v>
      </c>
      <c r="D10708" s="28"/>
      <c r="G10708" s="2">
        <f t="shared" si="167"/>
        <v>0</v>
      </c>
      <c r="H10708" t="s">
        <v>26</v>
      </c>
    </row>
    <row r="10709" spans="2:8" x14ac:dyDescent="0.2">
      <c r="B10709" s="3">
        <v>45435</v>
      </c>
      <c r="G10709" s="2">
        <f t="shared" si="167"/>
        <v>0</v>
      </c>
      <c r="H10709" t="s">
        <v>9</v>
      </c>
    </row>
    <row r="10710" spans="2:8" x14ac:dyDescent="0.2">
      <c r="B10710" s="3">
        <v>45435</v>
      </c>
      <c r="G10710" s="2">
        <f t="shared" si="167"/>
        <v>0</v>
      </c>
      <c r="H10710" t="s">
        <v>8</v>
      </c>
    </row>
    <row r="10711" spans="2:8" x14ac:dyDescent="0.2">
      <c r="B10711" s="3">
        <v>45435</v>
      </c>
      <c r="G10711" s="2">
        <f t="shared" si="167"/>
        <v>0</v>
      </c>
      <c r="H10711" t="s">
        <v>5</v>
      </c>
    </row>
    <row r="10712" spans="2:8" x14ac:dyDescent="0.2">
      <c r="B10712" s="3">
        <v>45435</v>
      </c>
      <c r="G10712" s="2">
        <f t="shared" si="167"/>
        <v>0</v>
      </c>
      <c r="H10712" s="1"/>
    </row>
    <row r="10713" spans="2:8" x14ac:dyDescent="0.2">
      <c r="B10713" s="3">
        <v>45435</v>
      </c>
      <c r="G10713" s="2">
        <f t="shared" si="167"/>
        <v>0</v>
      </c>
      <c r="H10713" t="s">
        <v>0</v>
      </c>
    </row>
    <row r="10714" spans="2:8" x14ac:dyDescent="0.2">
      <c r="B10714" s="3">
        <v>45436</v>
      </c>
      <c r="D10714" s="1">
        <v>1540</v>
      </c>
      <c r="E10714" s="1">
        <v>1800</v>
      </c>
      <c r="G10714" s="2">
        <f t="shared" si="167"/>
        <v>1800</v>
      </c>
      <c r="H10714" t="s">
        <v>14</v>
      </c>
    </row>
    <row r="10715" spans="2:8" x14ac:dyDescent="0.2">
      <c r="B10715" s="3">
        <v>45436</v>
      </c>
      <c r="G10715" s="2">
        <f t="shared" si="167"/>
        <v>0</v>
      </c>
      <c r="H10715" t="s">
        <v>27</v>
      </c>
    </row>
    <row r="10716" spans="2:8" x14ac:dyDescent="0.2">
      <c r="B10716" s="3">
        <v>45436</v>
      </c>
      <c r="D10716" s="28"/>
      <c r="G10716" s="2">
        <f t="shared" si="167"/>
        <v>0</v>
      </c>
      <c r="H10716" t="s">
        <v>13</v>
      </c>
    </row>
    <row r="10717" spans="2:8" x14ac:dyDescent="0.2">
      <c r="B10717" s="3">
        <v>45436</v>
      </c>
      <c r="D10717" s="28"/>
      <c r="G10717" s="2">
        <f t="shared" si="167"/>
        <v>0</v>
      </c>
      <c r="H10717" t="s">
        <v>26</v>
      </c>
    </row>
    <row r="10718" spans="2:8" x14ac:dyDescent="0.2">
      <c r="B10718" s="3">
        <v>45436</v>
      </c>
      <c r="G10718" s="2">
        <f t="shared" si="167"/>
        <v>0</v>
      </c>
      <c r="H10718" t="s">
        <v>9</v>
      </c>
    </row>
    <row r="10719" spans="2:8" x14ac:dyDescent="0.2">
      <c r="B10719" s="3">
        <v>45436</v>
      </c>
      <c r="G10719" s="2">
        <f t="shared" si="167"/>
        <v>0</v>
      </c>
      <c r="H10719" t="s">
        <v>8</v>
      </c>
    </row>
    <row r="10720" spans="2:8" x14ac:dyDescent="0.2">
      <c r="B10720" s="3">
        <v>45436</v>
      </c>
      <c r="G10720" s="2">
        <f t="shared" si="167"/>
        <v>0</v>
      </c>
      <c r="H10720" t="s">
        <v>5</v>
      </c>
    </row>
    <row r="10721" spans="2:8" x14ac:dyDescent="0.2">
      <c r="B10721" s="3">
        <v>45436</v>
      </c>
      <c r="D10721" s="1">
        <v>5415</v>
      </c>
      <c r="E10721" s="1">
        <v>5890</v>
      </c>
      <c r="F10721" s="1">
        <v>5890</v>
      </c>
      <c r="G10721" s="2">
        <f t="shared" si="167"/>
        <v>0</v>
      </c>
      <c r="H10721" s="1" t="s">
        <v>83</v>
      </c>
    </row>
    <row r="10722" spans="2:8" x14ac:dyDescent="0.2">
      <c r="B10722" s="3">
        <v>45436</v>
      </c>
      <c r="G10722" s="2">
        <f t="shared" si="167"/>
        <v>0</v>
      </c>
      <c r="H10722" t="s">
        <v>0</v>
      </c>
    </row>
    <row r="10723" spans="2:8" x14ac:dyDescent="0.2">
      <c r="B10723" s="3">
        <v>45437</v>
      </c>
      <c r="G10723" s="2">
        <f t="shared" si="167"/>
        <v>0</v>
      </c>
      <c r="H10723" t="s">
        <v>14</v>
      </c>
    </row>
    <row r="10724" spans="2:8" x14ac:dyDescent="0.2">
      <c r="B10724" s="3">
        <v>45437</v>
      </c>
      <c r="G10724" s="2">
        <f t="shared" si="167"/>
        <v>0</v>
      </c>
      <c r="H10724" t="s">
        <v>27</v>
      </c>
    </row>
    <row r="10725" spans="2:8" x14ac:dyDescent="0.2">
      <c r="B10725" s="3">
        <v>45437</v>
      </c>
      <c r="D10725" s="28"/>
      <c r="G10725" s="2">
        <f t="shared" si="167"/>
        <v>0</v>
      </c>
      <c r="H10725" t="s">
        <v>13</v>
      </c>
    </row>
    <row r="10726" spans="2:8" x14ac:dyDescent="0.2">
      <c r="B10726" s="3">
        <v>45437</v>
      </c>
      <c r="D10726" s="28"/>
      <c r="E10726" s="34"/>
      <c r="G10726" s="2">
        <f t="shared" si="167"/>
        <v>0</v>
      </c>
      <c r="H10726" t="s">
        <v>26</v>
      </c>
    </row>
    <row r="10727" spans="2:8" x14ac:dyDescent="0.2">
      <c r="B10727" s="3">
        <v>45437</v>
      </c>
      <c r="G10727" s="2">
        <f t="shared" si="167"/>
        <v>0</v>
      </c>
      <c r="H10727" t="s">
        <v>9</v>
      </c>
    </row>
    <row r="10728" spans="2:8" x14ac:dyDescent="0.2">
      <c r="B10728" s="3">
        <v>45437</v>
      </c>
      <c r="D10728" s="1">
        <v>29500</v>
      </c>
      <c r="E10728" s="1">
        <v>32000</v>
      </c>
      <c r="F10728" s="1">
        <v>15000</v>
      </c>
      <c r="G10728" s="2">
        <f t="shared" si="167"/>
        <v>17000</v>
      </c>
      <c r="H10728" t="s">
        <v>8</v>
      </c>
    </row>
    <row r="10729" spans="2:8" x14ac:dyDescent="0.2">
      <c r="B10729" s="3">
        <v>45437</v>
      </c>
      <c r="G10729" s="2">
        <f t="shared" si="167"/>
        <v>0</v>
      </c>
      <c r="H10729" t="s">
        <v>5</v>
      </c>
    </row>
    <row r="10730" spans="2:8" x14ac:dyDescent="0.2">
      <c r="B10730" s="3">
        <v>45437</v>
      </c>
      <c r="D10730" s="1">
        <v>1370</v>
      </c>
      <c r="E10730" s="1">
        <v>1470</v>
      </c>
      <c r="F10730" s="1">
        <v>1470</v>
      </c>
      <c r="G10730" s="2">
        <f t="shared" si="167"/>
        <v>0</v>
      </c>
      <c r="H10730" t="s">
        <v>39</v>
      </c>
    </row>
    <row r="10731" spans="2:8" x14ac:dyDescent="0.2">
      <c r="B10731" s="3">
        <v>45437</v>
      </c>
      <c r="G10731" s="2">
        <f t="shared" si="167"/>
        <v>0</v>
      </c>
      <c r="H10731" t="s">
        <v>0</v>
      </c>
    </row>
    <row r="10732" spans="2:8" x14ac:dyDescent="0.2">
      <c r="B10732" s="3">
        <v>45438</v>
      </c>
      <c r="D10732" s="1">
        <v>11960</v>
      </c>
      <c r="E10732" s="1">
        <v>13440</v>
      </c>
      <c r="G10732" s="2">
        <f t="shared" si="167"/>
        <v>13440</v>
      </c>
      <c r="H10732" t="s">
        <v>14</v>
      </c>
    </row>
    <row r="10733" spans="2:8" x14ac:dyDescent="0.2">
      <c r="B10733" s="3">
        <v>45438</v>
      </c>
      <c r="G10733" s="2">
        <f t="shared" si="167"/>
        <v>0</v>
      </c>
      <c r="H10733" t="s">
        <v>27</v>
      </c>
    </row>
    <row r="10734" spans="2:8" x14ac:dyDescent="0.2">
      <c r="B10734" s="3">
        <v>45438</v>
      </c>
      <c r="D10734" s="28"/>
      <c r="G10734" s="2">
        <f t="shared" si="167"/>
        <v>0</v>
      </c>
      <c r="H10734" t="s">
        <v>13</v>
      </c>
    </row>
    <row r="10735" spans="2:8" x14ac:dyDescent="0.2">
      <c r="B10735" s="3">
        <v>45438</v>
      </c>
      <c r="D10735" s="28"/>
      <c r="G10735" s="2">
        <f t="shared" si="167"/>
        <v>0</v>
      </c>
      <c r="H10735" t="s">
        <v>26</v>
      </c>
    </row>
    <row r="10736" spans="2:8" x14ac:dyDescent="0.2">
      <c r="B10736" s="3">
        <v>45438</v>
      </c>
      <c r="G10736" s="2">
        <f t="shared" si="167"/>
        <v>0</v>
      </c>
      <c r="H10736" t="s">
        <v>9</v>
      </c>
    </row>
    <row r="10737" spans="2:8" x14ac:dyDescent="0.2">
      <c r="B10737" s="3">
        <v>45438</v>
      </c>
      <c r="G10737" s="2">
        <f t="shared" si="167"/>
        <v>0</v>
      </c>
      <c r="H10737" t="s">
        <v>8</v>
      </c>
    </row>
    <row r="10738" spans="2:8" x14ac:dyDescent="0.2">
      <c r="B10738" s="3">
        <v>45438</v>
      </c>
      <c r="G10738" s="2">
        <f t="shared" si="167"/>
        <v>0</v>
      </c>
      <c r="H10738" t="s">
        <v>5</v>
      </c>
    </row>
    <row r="10739" spans="2:8" x14ac:dyDescent="0.2">
      <c r="B10739" s="3">
        <v>45438</v>
      </c>
      <c r="G10739" s="2">
        <f t="shared" si="167"/>
        <v>0</v>
      </c>
      <c r="H10739" s="1"/>
    </row>
    <row r="10740" spans="2:8" x14ac:dyDescent="0.2">
      <c r="B10740" s="3">
        <v>45438</v>
      </c>
      <c r="G10740" s="2">
        <f t="shared" si="167"/>
        <v>0</v>
      </c>
      <c r="H10740" t="s">
        <v>0</v>
      </c>
    </row>
    <row r="10741" spans="2:8" x14ac:dyDescent="0.2">
      <c r="B10741" s="3">
        <v>45439</v>
      </c>
      <c r="G10741" s="2">
        <f t="shared" si="167"/>
        <v>0</v>
      </c>
      <c r="H10741" t="s">
        <v>14</v>
      </c>
    </row>
    <row r="10742" spans="2:8" x14ac:dyDescent="0.2">
      <c r="B10742" s="3">
        <v>45439</v>
      </c>
      <c r="G10742" s="2">
        <f t="shared" si="167"/>
        <v>0</v>
      </c>
      <c r="H10742" t="s">
        <v>27</v>
      </c>
    </row>
    <row r="10743" spans="2:8" x14ac:dyDescent="0.2">
      <c r="B10743" s="3">
        <v>45439</v>
      </c>
      <c r="D10743" s="28"/>
      <c r="G10743" s="2">
        <f t="shared" si="167"/>
        <v>0</v>
      </c>
      <c r="H10743" t="s">
        <v>13</v>
      </c>
    </row>
    <row r="10744" spans="2:8" x14ac:dyDescent="0.2">
      <c r="B10744" s="3">
        <v>45439</v>
      </c>
      <c r="D10744" s="28"/>
      <c r="G10744" s="2">
        <f t="shared" si="167"/>
        <v>0</v>
      </c>
      <c r="H10744" t="s">
        <v>26</v>
      </c>
    </row>
    <row r="10745" spans="2:8" x14ac:dyDescent="0.2">
      <c r="B10745" s="3">
        <v>45439</v>
      </c>
      <c r="G10745" s="2">
        <f t="shared" si="167"/>
        <v>0</v>
      </c>
      <c r="H10745" t="s">
        <v>9</v>
      </c>
    </row>
    <row r="10746" spans="2:8" x14ac:dyDescent="0.2">
      <c r="B10746" s="3">
        <v>45439</v>
      </c>
      <c r="G10746" s="2">
        <f t="shared" si="167"/>
        <v>0</v>
      </c>
      <c r="H10746" t="s">
        <v>8</v>
      </c>
    </row>
    <row r="10747" spans="2:8" x14ac:dyDescent="0.2">
      <c r="B10747" s="3">
        <v>45439</v>
      </c>
      <c r="G10747" s="2">
        <f t="shared" si="167"/>
        <v>0</v>
      </c>
      <c r="H10747" t="s">
        <v>5</v>
      </c>
    </row>
    <row r="10748" spans="2:8" x14ac:dyDescent="0.2">
      <c r="B10748" s="3">
        <v>45439</v>
      </c>
      <c r="G10748" s="2">
        <f t="shared" si="167"/>
        <v>0</v>
      </c>
      <c r="H10748" s="1"/>
    </row>
    <row r="10749" spans="2:8" x14ac:dyDescent="0.2">
      <c r="B10749" s="3">
        <v>45439</v>
      </c>
      <c r="G10749" s="2">
        <f t="shared" si="167"/>
        <v>0</v>
      </c>
      <c r="H10749" t="s">
        <v>0</v>
      </c>
    </row>
    <row r="10750" spans="2:8" x14ac:dyDescent="0.2">
      <c r="B10750" s="3">
        <v>45440</v>
      </c>
      <c r="G10750" s="2">
        <f t="shared" si="167"/>
        <v>0</v>
      </c>
      <c r="H10750" t="s">
        <v>14</v>
      </c>
    </row>
    <row r="10751" spans="2:8" x14ac:dyDescent="0.2">
      <c r="B10751" s="3">
        <v>45440</v>
      </c>
      <c r="G10751" s="2">
        <f t="shared" si="167"/>
        <v>0</v>
      </c>
      <c r="H10751" t="s">
        <v>27</v>
      </c>
    </row>
    <row r="10752" spans="2:8" x14ac:dyDescent="0.2">
      <c r="B10752" s="3">
        <v>45440</v>
      </c>
      <c r="D10752" s="28"/>
      <c r="G10752" s="2">
        <f t="shared" si="167"/>
        <v>0</v>
      </c>
      <c r="H10752" t="s">
        <v>13</v>
      </c>
    </row>
    <row r="10753" spans="2:8" x14ac:dyDescent="0.2">
      <c r="B10753" s="3">
        <v>45440</v>
      </c>
      <c r="D10753" s="28"/>
      <c r="G10753" s="2">
        <f t="shared" si="167"/>
        <v>0</v>
      </c>
      <c r="H10753" t="s">
        <v>26</v>
      </c>
    </row>
    <row r="10754" spans="2:8" x14ac:dyDescent="0.2">
      <c r="B10754" s="3">
        <v>45440</v>
      </c>
      <c r="G10754" s="2">
        <f t="shared" si="167"/>
        <v>0</v>
      </c>
      <c r="H10754" t="s">
        <v>9</v>
      </c>
    </row>
    <row r="10755" spans="2:8" x14ac:dyDescent="0.2">
      <c r="B10755" s="3">
        <v>45440</v>
      </c>
      <c r="G10755" s="2">
        <f t="shared" ref="G10755:G10818" si="168">E10755-F10755</f>
        <v>0</v>
      </c>
      <c r="H10755" t="s">
        <v>8</v>
      </c>
    </row>
    <row r="10756" spans="2:8" x14ac:dyDescent="0.2">
      <c r="B10756" s="3">
        <v>45440</v>
      </c>
      <c r="G10756" s="2">
        <f t="shared" si="168"/>
        <v>0</v>
      </c>
      <c r="H10756" t="s">
        <v>5</v>
      </c>
    </row>
    <row r="10757" spans="2:8" x14ac:dyDescent="0.2">
      <c r="B10757" s="3">
        <v>45440</v>
      </c>
      <c r="G10757" s="2">
        <f t="shared" si="168"/>
        <v>0</v>
      </c>
      <c r="H10757" s="1"/>
    </row>
    <row r="10758" spans="2:8" x14ac:dyDescent="0.2">
      <c r="B10758" s="3">
        <v>45440</v>
      </c>
      <c r="D10758" s="1">
        <v>38708.9</v>
      </c>
      <c r="E10758" s="1">
        <v>39883.410000000003</v>
      </c>
      <c r="G10758" s="2">
        <f t="shared" si="168"/>
        <v>39883.410000000003</v>
      </c>
      <c r="H10758" t="s">
        <v>0</v>
      </c>
    </row>
    <row r="10759" spans="2:8" x14ac:dyDescent="0.2">
      <c r="B10759" s="3">
        <v>45441</v>
      </c>
      <c r="G10759" s="2">
        <f t="shared" si="168"/>
        <v>0</v>
      </c>
      <c r="H10759" t="s">
        <v>14</v>
      </c>
    </row>
    <row r="10760" spans="2:8" x14ac:dyDescent="0.2">
      <c r="B10760" s="3">
        <v>45441</v>
      </c>
      <c r="G10760" s="2">
        <f t="shared" si="168"/>
        <v>0</v>
      </c>
      <c r="H10760" t="s">
        <v>27</v>
      </c>
    </row>
    <row r="10761" spans="2:8" x14ac:dyDescent="0.2">
      <c r="B10761" s="3">
        <v>45441</v>
      </c>
      <c r="D10761" s="28"/>
      <c r="E10761" s="33"/>
      <c r="G10761" s="2">
        <f t="shared" si="168"/>
        <v>0</v>
      </c>
      <c r="H10761" t="s">
        <v>13</v>
      </c>
    </row>
    <row r="10762" spans="2:8" x14ac:dyDescent="0.2">
      <c r="B10762" s="3">
        <v>45441</v>
      </c>
      <c r="D10762" s="28"/>
      <c r="G10762" s="2">
        <f t="shared" si="168"/>
        <v>0</v>
      </c>
      <c r="H10762" t="s">
        <v>26</v>
      </c>
    </row>
    <row r="10763" spans="2:8" x14ac:dyDescent="0.2">
      <c r="B10763" s="3">
        <v>45441</v>
      </c>
      <c r="D10763" s="1">
        <v>22500</v>
      </c>
      <c r="E10763" s="1">
        <v>24375</v>
      </c>
      <c r="F10763" s="1">
        <v>10000</v>
      </c>
      <c r="G10763" s="2">
        <f t="shared" si="168"/>
        <v>14375</v>
      </c>
      <c r="H10763" t="s">
        <v>9</v>
      </c>
    </row>
    <row r="10764" spans="2:8" x14ac:dyDescent="0.2">
      <c r="B10764" s="3">
        <v>45441</v>
      </c>
      <c r="G10764" s="2">
        <f t="shared" si="168"/>
        <v>0</v>
      </c>
      <c r="H10764" t="s">
        <v>8</v>
      </c>
    </row>
    <row r="10765" spans="2:8" x14ac:dyDescent="0.2">
      <c r="B10765" s="3">
        <v>45441</v>
      </c>
      <c r="G10765" s="2">
        <f t="shared" si="168"/>
        <v>0</v>
      </c>
      <c r="H10765" t="s">
        <v>5</v>
      </c>
    </row>
    <row r="10766" spans="2:8" x14ac:dyDescent="0.2">
      <c r="B10766" s="3">
        <v>45441</v>
      </c>
      <c r="D10766" s="1">
        <v>2865.5</v>
      </c>
      <c r="E10766" s="1">
        <v>4310</v>
      </c>
      <c r="F10766" s="1">
        <v>4310</v>
      </c>
      <c r="G10766" s="2">
        <f t="shared" si="168"/>
        <v>0</v>
      </c>
      <c r="H10766" s="1" t="s">
        <v>83</v>
      </c>
    </row>
    <row r="10767" spans="2:8" x14ac:dyDescent="0.2">
      <c r="B10767" s="3">
        <v>45441</v>
      </c>
      <c r="G10767" s="2">
        <f t="shared" si="168"/>
        <v>0</v>
      </c>
      <c r="H10767" t="s">
        <v>0</v>
      </c>
    </row>
    <row r="10768" spans="2:8" x14ac:dyDescent="0.2">
      <c r="B10768" s="3">
        <v>45442</v>
      </c>
      <c r="G10768" s="2">
        <f t="shared" si="168"/>
        <v>0</v>
      </c>
      <c r="H10768" t="s">
        <v>14</v>
      </c>
    </row>
    <row r="10769" spans="2:8" x14ac:dyDescent="0.2">
      <c r="B10769" s="3">
        <v>45442</v>
      </c>
      <c r="G10769" s="2">
        <f t="shared" si="168"/>
        <v>0</v>
      </c>
      <c r="H10769" t="s">
        <v>27</v>
      </c>
    </row>
    <row r="10770" spans="2:8" x14ac:dyDescent="0.2">
      <c r="B10770" s="3">
        <v>45442</v>
      </c>
      <c r="D10770" s="28"/>
      <c r="G10770" s="2">
        <f t="shared" si="168"/>
        <v>0</v>
      </c>
      <c r="H10770" t="s">
        <v>13</v>
      </c>
    </row>
    <row r="10771" spans="2:8" x14ac:dyDescent="0.2">
      <c r="B10771" s="3">
        <v>45442</v>
      </c>
      <c r="D10771" s="28"/>
      <c r="G10771" s="2">
        <f t="shared" si="168"/>
        <v>0</v>
      </c>
      <c r="H10771" t="s">
        <v>26</v>
      </c>
    </row>
    <row r="10772" spans="2:8" x14ac:dyDescent="0.2">
      <c r="B10772" s="3">
        <v>45442</v>
      </c>
      <c r="G10772" s="2">
        <f t="shared" si="168"/>
        <v>0</v>
      </c>
      <c r="H10772" t="s">
        <v>9</v>
      </c>
    </row>
    <row r="10773" spans="2:8" x14ac:dyDescent="0.2">
      <c r="B10773" s="3">
        <v>45442</v>
      </c>
      <c r="G10773" s="2">
        <f t="shared" si="168"/>
        <v>0</v>
      </c>
      <c r="H10773" t="s">
        <v>8</v>
      </c>
    </row>
    <row r="10774" spans="2:8" x14ac:dyDescent="0.2">
      <c r="B10774" s="3">
        <v>45442</v>
      </c>
      <c r="G10774" s="2">
        <f t="shared" si="168"/>
        <v>0</v>
      </c>
      <c r="H10774" t="s">
        <v>5</v>
      </c>
    </row>
    <row r="10775" spans="2:8" x14ac:dyDescent="0.2">
      <c r="B10775" s="3">
        <v>45442</v>
      </c>
      <c r="G10775" s="2">
        <f t="shared" si="168"/>
        <v>0</v>
      </c>
      <c r="H10775" s="1"/>
    </row>
    <row r="10776" spans="2:8" x14ac:dyDescent="0.2">
      <c r="B10776" s="3">
        <v>45442</v>
      </c>
      <c r="G10776" s="2">
        <f t="shared" si="168"/>
        <v>0</v>
      </c>
      <c r="H10776" t="s">
        <v>0</v>
      </c>
    </row>
    <row r="10777" spans="2:8" x14ac:dyDescent="0.2">
      <c r="B10777" s="3">
        <v>45443</v>
      </c>
      <c r="F10777" s="1">
        <v>10000</v>
      </c>
      <c r="G10777" s="2">
        <f t="shared" si="168"/>
        <v>-10000</v>
      </c>
      <c r="H10777" t="s">
        <v>14</v>
      </c>
    </row>
    <row r="10778" spans="2:8" x14ac:dyDescent="0.2">
      <c r="B10778" s="3">
        <v>45443</v>
      </c>
      <c r="G10778" s="2">
        <f t="shared" si="168"/>
        <v>0</v>
      </c>
      <c r="H10778" t="s">
        <v>27</v>
      </c>
    </row>
    <row r="10779" spans="2:8" x14ac:dyDescent="0.2">
      <c r="B10779" s="3">
        <v>45443</v>
      </c>
      <c r="D10779" s="28"/>
      <c r="G10779" s="2">
        <f t="shared" si="168"/>
        <v>0</v>
      </c>
      <c r="H10779" t="s">
        <v>13</v>
      </c>
    </row>
    <row r="10780" spans="2:8" x14ac:dyDescent="0.2">
      <c r="B10780" s="3">
        <v>45443</v>
      </c>
      <c r="D10780" s="28"/>
      <c r="G10780" s="2">
        <f t="shared" si="168"/>
        <v>0</v>
      </c>
      <c r="H10780" t="s">
        <v>26</v>
      </c>
    </row>
    <row r="10781" spans="2:8" x14ac:dyDescent="0.2">
      <c r="B10781" s="3">
        <v>45443</v>
      </c>
      <c r="G10781" s="2">
        <f t="shared" si="168"/>
        <v>0</v>
      </c>
      <c r="H10781" t="s">
        <v>9</v>
      </c>
    </row>
    <row r="10782" spans="2:8" x14ac:dyDescent="0.2">
      <c r="B10782" s="3">
        <v>45443</v>
      </c>
      <c r="G10782" s="2">
        <f t="shared" si="168"/>
        <v>0</v>
      </c>
      <c r="H10782" t="s">
        <v>8</v>
      </c>
    </row>
    <row r="10783" spans="2:8" x14ac:dyDescent="0.2">
      <c r="B10783" s="3">
        <v>45443</v>
      </c>
      <c r="G10783" s="2">
        <f t="shared" si="168"/>
        <v>0</v>
      </c>
      <c r="H10783" t="s">
        <v>5</v>
      </c>
    </row>
    <row r="10784" spans="2:8" x14ac:dyDescent="0.2">
      <c r="B10784" s="3">
        <v>45443</v>
      </c>
      <c r="G10784" s="2">
        <f t="shared" si="168"/>
        <v>0</v>
      </c>
      <c r="H10784" s="1"/>
    </row>
    <row r="10785" spans="2:8" x14ac:dyDescent="0.2">
      <c r="B10785" s="3">
        <v>45443</v>
      </c>
      <c r="F10785" s="1">
        <v>93225</v>
      </c>
      <c r="G10785" s="2">
        <f t="shared" si="168"/>
        <v>-93225</v>
      </c>
      <c r="H10785" t="s">
        <v>0</v>
      </c>
    </row>
    <row r="10786" spans="2:8" x14ac:dyDescent="0.2">
      <c r="B10786" s="3">
        <v>45444</v>
      </c>
      <c r="G10786" s="2">
        <f t="shared" si="168"/>
        <v>0</v>
      </c>
      <c r="H10786" t="s">
        <v>14</v>
      </c>
    </row>
    <row r="10787" spans="2:8" x14ac:dyDescent="0.2">
      <c r="B10787" s="3">
        <v>45444</v>
      </c>
      <c r="G10787" s="2">
        <f t="shared" si="168"/>
        <v>0</v>
      </c>
      <c r="H10787" t="s">
        <v>27</v>
      </c>
    </row>
    <row r="10788" spans="2:8" x14ac:dyDescent="0.2">
      <c r="B10788" s="3">
        <v>45444</v>
      </c>
      <c r="D10788" s="28"/>
      <c r="G10788" s="2">
        <f t="shared" si="168"/>
        <v>0</v>
      </c>
      <c r="H10788" t="s">
        <v>13</v>
      </c>
    </row>
    <row r="10789" spans="2:8" x14ac:dyDescent="0.2">
      <c r="B10789" s="3">
        <v>45444</v>
      </c>
      <c r="D10789" s="28"/>
      <c r="G10789" s="2">
        <f t="shared" si="168"/>
        <v>0</v>
      </c>
      <c r="H10789" t="s">
        <v>26</v>
      </c>
    </row>
    <row r="10790" spans="2:8" x14ac:dyDescent="0.2">
      <c r="B10790" s="3">
        <v>45444</v>
      </c>
      <c r="G10790" s="2">
        <f t="shared" si="168"/>
        <v>0</v>
      </c>
      <c r="H10790" t="s">
        <v>9</v>
      </c>
    </row>
    <row r="10791" spans="2:8" x14ac:dyDescent="0.2">
      <c r="B10791" s="3">
        <v>45444</v>
      </c>
      <c r="D10791" s="1">
        <v>29740</v>
      </c>
      <c r="E10791" s="1">
        <v>33100</v>
      </c>
      <c r="F10791" s="1">
        <v>20000</v>
      </c>
      <c r="G10791" s="2">
        <f t="shared" si="168"/>
        <v>13100</v>
      </c>
      <c r="H10791" t="s">
        <v>8</v>
      </c>
    </row>
    <row r="10792" spans="2:8" x14ac:dyDescent="0.2">
      <c r="B10792" s="3">
        <v>45444</v>
      </c>
      <c r="G10792" s="2">
        <f t="shared" si="168"/>
        <v>0</v>
      </c>
      <c r="H10792" t="s">
        <v>5</v>
      </c>
    </row>
    <row r="10793" spans="2:8" x14ac:dyDescent="0.2">
      <c r="B10793" s="3">
        <v>45444</v>
      </c>
      <c r="D10793" s="1">
        <v>5325</v>
      </c>
      <c r="E10793" s="1">
        <v>5544</v>
      </c>
      <c r="F10793" s="1">
        <v>5614</v>
      </c>
      <c r="G10793" s="2">
        <f t="shared" si="168"/>
        <v>-70</v>
      </c>
      <c r="H10793" t="s">
        <v>29</v>
      </c>
    </row>
    <row r="10794" spans="2:8" x14ac:dyDescent="0.2">
      <c r="B10794" s="3">
        <v>45444</v>
      </c>
      <c r="G10794" s="2">
        <f t="shared" si="168"/>
        <v>0</v>
      </c>
      <c r="H10794" t="s">
        <v>0</v>
      </c>
    </row>
    <row r="10795" spans="2:8" x14ac:dyDescent="0.2">
      <c r="B10795" s="3">
        <v>45445</v>
      </c>
      <c r="G10795" s="2">
        <f t="shared" si="168"/>
        <v>0</v>
      </c>
      <c r="H10795" t="s">
        <v>14</v>
      </c>
    </row>
    <row r="10796" spans="2:8" x14ac:dyDescent="0.2">
      <c r="B10796" s="3">
        <v>45445</v>
      </c>
      <c r="G10796" s="2">
        <f t="shared" si="168"/>
        <v>0</v>
      </c>
      <c r="H10796" t="s">
        <v>27</v>
      </c>
    </row>
    <row r="10797" spans="2:8" x14ac:dyDescent="0.2">
      <c r="B10797" s="3">
        <v>45445</v>
      </c>
      <c r="D10797" s="28"/>
      <c r="G10797" s="2">
        <f t="shared" si="168"/>
        <v>0</v>
      </c>
      <c r="H10797" t="s">
        <v>13</v>
      </c>
    </row>
    <row r="10798" spans="2:8" x14ac:dyDescent="0.2">
      <c r="B10798" s="3">
        <v>45445</v>
      </c>
      <c r="D10798" s="28"/>
      <c r="G10798" s="2">
        <f t="shared" si="168"/>
        <v>0</v>
      </c>
      <c r="H10798" t="s">
        <v>26</v>
      </c>
    </row>
    <row r="10799" spans="2:8" x14ac:dyDescent="0.2">
      <c r="B10799" s="3">
        <v>45445</v>
      </c>
      <c r="D10799" s="1">
        <v>3850</v>
      </c>
      <c r="E10799" s="1">
        <v>4750</v>
      </c>
      <c r="G10799" s="2">
        <f t="shared" si="168"/>
        <v>4750</v>
      </c>
      <c r="H10799" t="s">
        <v>9</v>
      </c>
    </row>
    <row r="10800" spans="2:8" x14ac:dyDescent="0.2">
      <c r="B10800" s="3">
        <v>45445</v>
      </c>
      <c r="G10800" s="2">
        <f t="shared" si="168"/>
        <v>0</v>
      </c>
      <c r="H10800" t="s">
        <v>8</v>
      </c>
    </row>
    <row r="10801" spans="2:8" x14ac:dyDescent="0.2">
      <c r="B10801" s="3">
        <v>45445</v>
      </c>
      <c r="G10801" s="2">
        <f t="shared" si="168"/>
        <v>0</v>
      </c>
      <c r="H10801" t="s">
        <v>5</v>
      </c>
    </row>
    <row r="10802" spans="2:8" x14ac:dyDescent="0.2">
      <c r="B10802" s="3">
        <v>45445</v>
      </c>
      <c r="G10802" s="2">
        <f t="shared" si="168"/>
        <v>0</v>
      </c>
      <c r="H10802" s="1"/>
    </row>
    <row r="10803" spans="2:8" x14ac:dyDescent="0.2">
      <c r="B10803" s="3">
        <v>45445</v>
      </c>
      <c r="D10803" s="1">
        <v>188733.53999999998</v>
      </c>
      <c r="E10803" s="1">
        <v>197628.64499999999</v>
      </c>
      <c r="G10803" s="2">
        <f t="shared" si="168"/>
        <v>197628.64499999999</v>
      </c>
      <c r="H10803" t="s">
        <v>0</v>
      </c>
    </row>
    <row r="10804" spans="2:8" x14ac:dyDescent="0.2">
      <c r="B10804" s="3">
        <v>45446</v>
      </c>
      <c r="G10804" s="2">
        <f t="shared" si="168"/>
        <v>0</v>
      </c>
      <c r="H10804" t="s">
        <v>14</v>
      </c>
    </row>
    <row r="10805" spans="2:8" x14ac:dyDescent="0.2">
      <c r="B10805" s="3">
        <v>45446</v>
      </c>
      <c r="G10805" s="2">
        <f t="shared" si="168"/>
        <v>0</v>
      </c>
      <c r="H10805" t="s">
        <v>27</v>
      </c>
    </row>
    <row r="10806" spans="2:8" x14ac:dyDescent="0.2">
      <c r="B10806" s="3">
        <v>45446</v>
      </c>
      <c r="D10806" s="28"/>
      <c r="G10806" s="2">
        <f t="shared" si="168"/>
        <v>0</v>
      </c>
      <c r="H10806" t="s">
        <v>13</v>
      </c>
    </row>
    <row r="10807" spans="2:8" x14ac:dyDescent="0.2">
      <c r="B10807" s="3">
        <v>45446</v>
      </c>
      <c r="D10807" s="28"/>
      <c r="G10807" s="2">
        <f t="shared" si="168"/>
        <v>0</v>
      </c>
      <c r="H10807" t="s">
        <v>26</v>
      </c>
    </row>
    <row r="10808" spans="2:8" x14ac:dyDescent="0.2">
      <c r="B10808" s="3">
        <v>45446</v>
      </c>
      <c r="G10808" s="2">
        <f t="shared" si="168"/>
        <v>0</v>
      </c>
      <c r="H10808" t="s">
        <v>9</v>
      </c>
    </row>
    <row r="10809" spans="2:8" x14ac:dyDescent="0.2">
      <c r="B10809" s="3">
        <v>45446</v>
      </c>
      <c r="G10809" s="2">
        <f t="shared" si="168"/>
        <v>0</v>
      </c>
      <c r="H10809" t="s">
        <v>8</v>
      </c>
    </row>
    <row r="10810" spans="2:8" x14ac:dyDescent="0.2">
      <c r="B10810" s="3">
        <v>45446</v>
      </c>
      <c r="G10810" s="2">
        <f t="shared" si="168"/>
        <v>0</v>
      </c>
      <c r="H10810" t="s">
        <v>5</v>
      </c>
    </row>
    <row r="10811" spans="2:8" x14ac:dyDescent="0.2">
      <c r="B10811" s="3">
        <v>45446</v>
      </c>
      <c r="G10811" s="2">
        <f t="shared" si="168"/>
        <v>0</v>
      </c>
      <c r="H10811" s="1"/>
    </row>
    <row r="10812" spans="2:8" x14ac:dyDescent="0.2">
      <c r="B10812" s="3">
        <v>45446</v>
      </c>
      <c r="G10812" s="2">
        <f t="shared" si="168"/>
        <v>0</v>
      </c>
      <c r="H10812" t="s">
        <v>0</v>
      </c>
    </row>
    <row r="10813" spans="2:8" x14ac:dyDescent="0.2">
      <c r="B10813" s="3">
        <v>45447</v>
      </c>
      <c r="G10813" s="2">
        <f t="shared" si="168"/>
        <v>0</v>
      </c>
      <c r="H10813" t="s">
        <v>14</v>
      </c>
    </row>
    <row r="10814" spans="2:8" x14ac:dyDescent="0.2">
      <c r="B10814" s="3">
        <v>45447</v>
      </c>
      <c r="F10814" s="1">
        <v>318</v>
      </c>
      <c r="G10814" s="2">
        <f t="shared" si="168"/>
        <v>-318</v>
      </c>
      <c r="H10814" t="s">
        <v>27</v>
      </c>
    </row>
    <row r="10815" spans="2:8" x14ac:dyDescent="0.2">
      <c r="B10815" s="3">
        <v>45447</v>
      </c>
      <c r="D10815" s="28"/>
      <c r="G10815" s="2">
        <f t="shared" si="168"/>
        <v>0</v>
      </c>
      <c r="H10815" t="s">
        <v>13</v>
      </c>
    </row>
    <row r="10816" spans="2:8" x14ac:dyDescent="0.2">
      <c r="B10816" s="3">
        <v>45447</v>
      </c>
      <c r="D10816" s="28"/>
      <c r="G10816" s="2">
        <f t="shared" si="168"/>
        <v>0</v>
      </c>
      <c r="H10816" t="s">
        <v>26</v>
      </c>
    </row>
    <row r="10817" spans="2:8" x14ac:dyDescent="0.2">
      <c r="B10817" s="3">
        <v>45447</v>
      </c>
      <c r="G10817" s="2">
        <f t="shared" si="168"/>
        <v>0</v>
      </c>
      <c r="H10817" t="s">
        <v>9</v>
      </c>
    </row>
    <row r="10818" spans="2:8" x14ac:dyDescent="0.2">
      <c r="B10818" s="3">
        <v>45447</v>
      </c>
      <c r="G10818" s="2">
        <f t="shared" si="168"/>
        <v>0</v>
      </c>
      <c r="H10818" t="s">
        <v>8</v>
      </c>
    </row>
    <row r="10819" spans="2:8" x14ac:dyDescent="0.2">
      <c r="B10819" s="3">
        <v>45447</v>
      </c>
      <c r="G10819" s="2">
        <f t="shared" ref="G10819:G10882" si="169">E10819-F10819</f>
        <v>0</v>
      </c>
      <c r="H10819" t="s">
        <v>5</v>
      </c>
    </row>
    <row r="10820" spans="2:8" x14ac:dyDescent="0.2">
      <c r="B10820" s="3">
        <v>45447</v>
      </c>
      <c r="G10820" s="2">
        <f t="shared" si="169"/>
        <v>0</v>
      </c>
      <c r="H10820" s="1"/>
    </row>
    <row r="10821" spans="2:8" x14ac:dyDescent="0.2">
      <c r="B10821" s="3">
        <v>45447</v>
      </c>
      <c r="G10821" s="2">
        <f t="shared" si="169"/>
        <v>0</v>
      </c>
      <c r="H10821" t="s">
        <v>0</v>
      </c>
    </row>
    <row r="10822" spans="2:8" x14ac:dyDescent="0.2">
      <c r="B10822" s="3">
        <v>45448</v>
      </c>
      <c r="D10822" s="1">
        <v>2000</v>
      </c>
      <c r="E10822" s="1">
        <v>2375</v>
      </c>
      <c r="G10822" s="2">
        <f t="shared" si="169"/>
        <v>2375</v>
      </c>
      <c r="H10822" t="s">
        <v>14</v>
      </c>
    </row>
    <row r="10823" spans="2:8" x14ac:dyDescent="0.2">
      <c r="B10823" s="3">
        <v>45448</v>
      </c>
      <c r="D10823" s="28"/>
      <c r="G10823" s="2">
        <f t="shared" si="169"/>
        <v>0</v>
      </c>
      <c r="H10823" t="s">
        <v>13</v>
      </c>
    </row>
    <row r="10824" spans="2:8" x14ac:dyDescent="0.2">
      <c r="B10824" s="3">
        <v>45448</v>
      </c>
      <c r="D10824" s="28"/>
      <c r="G10824" s="2">
        <f t="shared" si="169"/>
        <v>0</v>
      </c>
      <c r="H10824" t="s">
        <v>26</v>
      </c>
    </row>
    <row r="10825" spans="2:8" x14ac:dyDescent="0.2">
      <c r="B10825" s="3">
        <v>45448</v>
      </c>
      <c r="G10825" s="2">
        <f t="shared" si="169"/>
        <v>0</v>
      </c>
      <c r="H10825" t="s">
        <v>9</v>
      </c>
    </row>
    <row r="10826" spans="2:8" x14ac:dyDescent="0.2">
      <c r="B10826" s="3">
        <v>45448</v>
      </c>
      <c r="G10826" s="2">
        <f t="shared" si="169"/>
        <v>0</v>
      </c>
      <c r="H10826" t="s">
        <v>8</v>
      </c>
    </row>
    <row r="10827" spans="2:8" x14ac:dyDescent="0.2">
      <c r="B10827" s="3">
        <v>45448</v>
      </c>
      <c r="G10827" s="2">
        <f t="shared" si="169"/>
        <v>0</v>
      </c>
      <c r="H10827" t="s">
        <v>5</v>
      </c>
    </row>
    <row r="10828" spans="2:8" x14ac:dyDescent="0.2">
      <c r="B10828" s="3">
        <v>45448</v>
      </c>
      <c r="G10828" s="2">
        <f t="shared" si="169"/>
        <v>0</v>
      </c>
      <c r="H10828" s="1"/>
    </row>
    <row r="10829" spans="2:8" x14ac:dyDescent="0.2">
      <c r="B10829" s="3">
        <v>45448</v>
      </c>
      <c r="G10829" s="2">
        <f t="shared" si="169"/>
        <v>0</v>
      </c>
      <c r="H10829" t="s">
        <v>0</v>
      </c>
    </row>
    <row r="10830" spans="2:8" x14ac:dyDescent="0.2">
      <c r="B10830" s="3">
        <v>45449</v>
      </c>
      <c r="G10830" s="2">
        <f t="shared" si="169"/>
        <v>0</v>
      </c>
      <c r="H10830" t="s">
        <v>14</v>
      </c>
    </row>
    <row r="10831" spans="2:8" x14ac:dyDescent="0.2">
      <c r="B10831" s="3">
        <v>45449</v>
      </c>
      <c r="D10831" s="28"/>
      <c r="G10831" s="2">
        <f t="shared" si="169"/>
        <v>0</v>
      </c>
      <c r="H10831" t="s">
        <v>13</v>
      </c>
    </row>
    <row r="10832" spans="2:8" x14ac:dyDescent="0.2">
      <c r="B10832" s="3">
        <v>45449</v>
      </c>
      <c r="D10832" s="28"/>
      <c r="G10832" s="2">
        <f t="shared" si="169"/>
        <v>0</v>
      </c>
      <c r="H10832" t="s">
        <v>26</v>
      </c>
    </row>
    <row r="10833" spans="2:8" x14ac:dyDescent="0.2">
      <c r="B10833" s="3">
        <v>45449</v>
      </c>
      <c r="G10833" s="2">
        <f t="shared" si="169"/>
        <v>0</v>
      </c>
      <c r="H10833" t="s">
        <v>9</v>
      </c>
    </row>
    <row r="10834" spans="2:8" x14ac:dyDescent="0.2">
      <c r="B10834" s="3">
        <v>45449</v>
      </c>
      <c r="C10834" s="2"/>
      <c r="D10834" s="2"/>
      <c r="F10834" s="2"/>
      <c r="G10834" s="2">
        <f t="shared" si="169"/>
        <v>0</v>
      </c>
      <c r="H10834" t="s">
        <v>8</v>
      </c>
    </row>
    <row r="10835" spans="2:8" x14ac:dyDescent="0.2">
      <c r="B10835" s="3">
        <v>45449</v>
      </c>
      <c r="G10835" s="2">
        <f t="shared" si="169"/>
        <v>0</v>
      </c>
      <c r="H10835" t="s">
        <v>5</v>
      </c>
    </row>
    <row r="10836" spans="2:8" x14ac:dyDescent="0.2">
      <c r="B10836" s="3">
        <v>45449</v>
      </c>
      <c r="G10836" s="2">
        <f t="shared" si="169"/>
        <v>0</v>
      </c>
      <c r="H10836" s="1"/>
    </row>
    <row r="10837" spans="2:8" x14ac:dyDescent="0.2">
      <c r="B10837" s="3">
        <v>45449</v>
      </c>
      <c r="G10837" s="2">
        <f t="shared" si="169"/>
        <v>0</v>
      </c>
      <c r="H10837" t="s">
        <v>0</v>
      </c>
    </row>
    <row r="10838" spans="2:8" x14ac:dyDescent="0.2">
      <c r="B10838" s="3">
        <v>45450</v>
      </c>
      <c r="G10838" s="2">
        <f t="shared" si="169"/>
        <v>0</v>
      </c>
      <c r="H10838" t="s">
        <v>14</v>
      </c>
    </row>
    <row r="10839" spans="2:8" x14ac:dyDescent="0.2">
      <c r="B10839" s="3">
        <v>45450</v>
      </c>
      <c r="D10839" s="28"/>
      <c r="G10839" s="2">
        <f t="shared" si="169"/>
        <v>0</v>
      </c>
      <c r="H10839" t="s">
        <v>13</v>
      </c>
    </row>
    <row r="10840" spans="2:8" x14ac:dyDescent="0.2">
      <c r="B10840" s="3">
        <v>45450</v>
      </c>
      <c r="D10840" s="28"/>
      <c r="G10840" s="2">
        <f t="shared" si="169"/>
        <v>0</v>
      </c>
      <c r="H10840" t="s">
        <v>26</v>
      </c>
    </row>
    <row r="10841" spans="2:8" x14ac:dyDescent="0.2">
      <c r="B10841" s="3">
        <v>45450</v>
      </c>
      <c r="G10841" s="2">
        <f t="shared" si="169"/>
        <v>0</v>
      </c>
      <c r="H10841" t="s">
        <v>9</v>
      </c>
    </row>
    <row r="10842" spans="2:8" x14ac:dyDescent="0.2">
      <c r="B10842" s="3">
        <v>45450</v>
      </c>
      <c r="G10842" s="2">
        <f t="shared" si="169"/>
        <v>0</v>
      </c>
      <c r="H10842" t="s">
        <v>8</v>
      </c>
    </row>
    <row r="10843" spans="2:8" x14ac:dyDescent="0.2">
      <c r="B10843" s="3">
        <v>45450</v>
      </c>
      <c r="G10843" s="2">
        <f t="shared" si="169"/>
        <v>0</v>
      </c>
      <c r="H10843" t="s">
        <v>5</v>
      </c>
    </row>
    <row r="10844" spans="2:8" x14ac:dyDescent="0.2">
      <c r="B10844" s="3">
        <v>45450</v>
      </c>
      <c r="G10844" s="2">
        <f t="shared" si="169"/>
        <v>0</v>
      </c>
      <c r="H10844" s="1"/>
    </row>
    <row r="10845" spans="2:8" x14ac:dyDescent="0.2">
      <c r="B10845" s="3">
        <v>45450</v>
      </c>
      <c r="F10845" s="1">
        <v>150630</v>
      </c>
      <c r="G10845" s="2">
        <f t="shared" si="169"/>
        <v>-150630</v>
      </c>
      <c r="H10845" t="s">
        <v>0</v>
      </c>
    </row>
    <row r="10846" spans="2:8" x14ac:dyDescent="0.2">
      <c r="B10846" s="3">
        <v>45451</v>
      </c>
      <c r="F10846" s="1">
        <v>15000</v>
      </c>
      <c r="G10846" s="2">
        <f t="shared" si="169"/>
        <v>-15000</v>
      </c>
      <c r="H10846" t="s">
        <v>14</v>
      </c>
    </row>
    <row r="10847" spans="2:8" x14ac:dyDescent="0.2">
      <c r="B10847" s="3">
        <v>45451</v>
      </c>
      <c r="D10847" s="28"/>
      <c r="G10847" s="2">
        <f t="shared" si="169"/>
        <v>0</v>
      </c>
      <c r="H10847" t="s">
        <v>13</v>
      </c>
    </row>
    <row r="10848" spans="2:8" x14ac:dyDescent="0.2">
      <c r="B10848" s="3">
        <v>45451</v>
      </c>
      <c r="D10848" s="28"/>
      <c r="G10848" s="2">
        <f t="shared" si="169"/>
        <v>0</v>
      </c>
      <c r="H10848" t="s">
        <v>26</v>
      </c>
    </row>
    <row r="10849" spans="2:8" x14ac:dyDescent="0.2">
      <c r="B10849" s="3">
        <v>45451</v>
      </c>
      <c r="F10849" s="1">
        <v>15000</v>
      </c>
      <c r="G10849" s="2">
        <f t="shared" si="169"/>
        <v>-15000</v>
      </c>
      <c r="H10849" t="s">
        <v>9</v>
      </c>
    </row>
    <row r="10850" spans="2:8" x14ac:dyDescent="0.2">
      <c r="B10850" s="3">
        <v>45451</v>
      </c>
      <c r="G10850" s="2">
        <f t="shared" si="169"/>
        <v>0</v>
      </c>
      <c r="H10850" t="s">
        <v>8</v>
      </c>
    </row>
    <row r="10851" spans="2:8" x14ac:dyDescent="0.2">
      <c r="B10851" s="3">
        <v>45451</v>
      </c>
      <c r="G10851" s="2">
        <f t="shared" si="169"/>
        <v>0</v>
      </c>
      <c r="H10851" t="s">
        <v>5</v>
      </c>
    </row>
    <row r="10852" spans="2:8" x14ac:dyDescent="0.2">
      <c r="B10852" s="3">
        <v>45451</v>
      </c>
      <c r="G10852" s="2">
        <f t="shared" si="169"/>
        <v>0</v>
      </c>
      <c r="H10852" s="1"/>
    </row>
    <row r="10853" spans="2:8" x14ac:dyDescent="0.2">
      <c r="B10853" s="3">
        <v>45451</v>
      </c>
      <c r="G10853" s="2">
        <f t="shared" si="169"/>
        <v>0</v>
      </c>
      <c r="H10853" t="s">
        <v>0</v>
      </c>
    </row>
    <row r="10854" spans="2:8" x14ac:dyDescent="0.2">
      <c r="B10854" s="3">
        <v>45452</v>
      </c>
      <c r="G10854" s="2">
        <f t="shared" si="169"/>
        <v>0</v>
      </c>
      <c r="H10854" t="s">
        <v>14</v>
      </c>
    </row>
    <row r="10855" spans="2:8" x14ac:dyDescent="0.2">
      <c r="B10855" s="3">
        <v>45452</v>
      </c>
      <c r="D10855" s="28"/>
      <c r="G10855" s="2">
        <f t="shared" si="169"/>
        <v>0</v>
      </c>
      <c r="H10855" t="s">
        <v>13</v>
      </c>
    </row>
    <row r="10856" spans="2:8" x14ac:dyDescent="0.2">
      <c r="B10856" s="3">
        <v>45452</v>
      </c>
      <c r="D10856" s="28"/>
      <c r="G10856" s="2">
        <f t="shared" si="169"/>
        <v>0</v>
      </c>
      <c r="H10856" t="s">
        <v>26</v>
      </c>
    </row>
    <row r="10857" spans="2:8" x14ac:dyDescent="0.2">
      <c r="B10857" s="3">
        <v>45452</v>
      </c>
      <c r="G10857" s="2">
        <f t="shared" si="169"/>
        <v>0</v>
      </c>
      <c r="H10857" t="s">
        <v>9</v>
      </c>
    </row>
    <row r="10858" spans="2:8" x14ac:dyDescent="0.2">
      <c r="B10858" s="3">
        <v>45452</v>
      </c>
      <c r="F10858" s="1">
        <v>20000</v>
      </c>
      <c r="G10858" s="2">
        <f t="shared" si="169"/>
        <v>-20000</v>
      </c>
      <c r="H10858" t="s">
        <v>8</v>
      </c>
    </row>
    <row r="10859" spans="2:8" x14ac:dyDescent="0.2">
      <c r="B10859" s="3">
        <v>45452</v>
      </c>
      <c r="G10859" s="2">
        <f t="shared" si="169"/>
        <v>0</v>
      </c>
      <c r="H10859" t="s">
        <v>5</v>
      </c>
    </row>
    <row r="10860" spans="2:8" x14ac:dyDescent="0.2">
      <c r="B10860" s="3">
        <v>45452</v>
      </c>
      <c r="G10860" s="2">
        <f t="shared" si="169"/>
        <v>0</v>
      </c>
      <c r="H10860" s="1"/>
    </row>
    <row r="10861" spans="2:8" x14ac:dyDescent="0.2">
      <c r="B10861" s="3">
        <v>45452</v>
      </c>
      <c r="G10861" s="2">
        <f t="shared" si="169"/>
        <v>0</v>
      </c>
      <c r="H10861" t="s">
        <v>0</v>
      </c>
    </row>
    <row r="10862" spans="2:8" x14ac:dyDescent="0.2">
      <c r="B10862" s="3">
        <v>45453</v>
      </c>
      <c r="G10862" s="2">
        <f t="shared" si="169"/>
        <v>0</v>
      </c>
      <c r="H10862" t="s">
        <v>14</v>
      </c>
    </row>
    <row r="10863" spans="2:8" x14ac:dyDescent="0.2">
      <c r="B10863" s="3">
        <v>45453</v>
      </c>
      <c r="D10863" s="28"/>
      <c r="G10863" s="2">
        <f t="shared" si="169"/>
        <v>0</v>
      </c>
      <c r="H10863" t="s">
        <v>13</v>
      </c>
    </row>
    <row r="10864" spans="2:8" x14ac:dyDescent="0.2">
      <c r="B10864" s="3">
        <v>45453</v>
      </c>
      <c r="D10864" s="28"/>
      <c r="G10864" s="2">
        <f t="shared" si="169"/>
        <v>0</v>
      </c>
      <c r="H10864" t="s">
        <v>26</v>
      </c>
    </row>
    <row r="10865" spans="2:8" x14ac:dyDescent="0.2">
      <c r="B10865" s="3">
        <v>45453</v>
      </c>
      <c r="G10865" s="2">
        <f t="shared" si="169"/>
        <v>0</v>
      </c>
      <c r="H10865" t="s">
        <v>9</v>
      </c>
    </row>
    <row r="10866" spans="2:8" x14ac:dyDescent="0.2">
      <c r="B10866" s="3">
        <v>45453</v>
      </c>
      <c r="D10866" s="1">
        <v>21165</v>
      </c>
      <c r="E10866" s="1">
        <v>23130</v>
      </c>
      <c r="F10866" s="1">
        <v>5000</v>
      </c>
      <c r="G10866" s="2">
        <f t="shared" si="169"/>
        <v>18130</v>
      </c>
      <c r="H10866" t="s">
        <v>8</v>
      </c>
    </row>
    <row r="10867" spans="2:8" x14ac:dyDescent="0.2">
      <c r="B10867" s="3">
        <v>45453</v>
      </c>
      <c r="G10867" s="2">
        <f t="shared" si="169"/>
        <v>0</v>
      </c>
      <c r="H10867" t="s">
        <v>5</v>
      </c>
    </row>
    <row r="10868" spans="2:8" x14ac:dyDescent="0.2">
      <c r="B10868" s="3">
        <v>45453</v>
      </c>
      <c r="G10868" s="2">
        <f t="shared" si="169"/>
        <v>0</v>
      </c>
      <c r="H10868" s="1"/>
    </row>
    <row r="10869" spans="2:8" x14ac:dyDescent="0.2">
      <c r="B10869" s="3">
        <v>45453</v>
      </c>
      <c r="G10869" s="2">
        <f t="shared" si="169"/>
        <v>0</v>
      </c>
      <c r="H10869" t="s">
        <v>0</v>
      </c>
    </row>
    <row r="10870" spans="2:8" x14ac:dyDescent="0.2">
      <c r="B10870" s="3">
        <v>45454</v>
      </c>
      <c r="D10870" s="1">
        <v>24825</v>
      </c>
      <c r="E10870" s="1">
        <v>31000</v>
      </c>
      <c r="G10870" s="2">
        <f t="shared" si="169"/>
        <v>31000</v>
      </c>
      <c r="H10870" t="s">
        <v>14</v>
      </c>
    </row>
    <row r="10871" spans="2:8" x14ac:dyDescent="0.2">
      <c r="B10871" s="3">
        <v>45454</v>
      </c>
      <c r="D10871" s="28">
        <f>3510+4400+14647.5+912.5+1140+1237.5+2240+490+1850+16800+543.75+480+410+900+290+300+9800-300</f>
        <v>59651.25</v>
      </c>
      <c r="E10871" s="1">
        <f>66543.75-340</f>
        <v>66203.75</v>
      </c>
      <c r="F10871" s="1">
        <v>36200</v>
      </c>
      <c r="G10871" s="2">
        <f t="shared" si="169"/>
        <v>30003.75</v>
      </c>
      <c r="H10871" t="s">
        <v>13</v>
      </c>
    </row>
    <row r="10872" spans="2:8" x14ac:dyDescent="0.2">
      <c r="B10872" s="3">
        <v>45454</v>
      </c>
      <c r="D10872" s="28"/>
      <c r="G10872" s="2">
        <f t="shared" si="169"/>
        <v>0</v>
      </c>
      <c r="H10872" t="s">
        <v>26</v>
      </c>
    </row>
    <row r="10873" spans="2:8" x14ac:dyDescent="0.2">
      <c r="B10873" s="3">
        <v>45454</v>
      </c>
      <c r="G10873" s="2">
        <f t="shared" si="169"/>
        <v>0</v>
      </c>
      <c r="H10873" t="s">
        <v>9</v>
      </c>
    </row>
    <row r="10874" spans="2:8" x14ac:dyDescent="0.2">
      <c r="B10874" s="3">
        <v>45454</v>
      </c>
      <c r="G10874" s="2">
        <f t="shared" si="169"/>
        <v>0</v>
      </c>
      <c r="H10874" t="s">
        <v>8</v>
      </c>
    </row>
    <row r="10875" spans="2:8" x14ac:dyDescent="0.2">
      <c r="B10875" s="3">
        <v>45454</v>
      </c>
      <c r="G10875" s="2">
        <f t="shared" si="169"/>
        <v>0</v>
      </c>
      <c r="H10875" t="s">
        <v>5</v>
      </c>
    </row>
    <row r="10876" spans="2:8" x14ac:dyDescent="0.2">
      <c r="B10876" s="3">
        <v>45454</v>
      </c>
      <c r="G10876" s="2">
        <f t="shared" si="169"/>
        <v>0</v>
      </c>
      <c r="H10876" s="1"/>
    </row>
    <row r="10877" spans="2:8" x14ac:dyDescent="0.2">
      <c r="B10877" s="3">
        <v>45454</v>
      </c>
      <c r="G10877" s="2">
        <f t="shared" si="169"/>
        <v>0</v>
      </c>
      <c r="H10877" t="s">
        <v>0</v>
      </c>
    </row>
    <row r="10878" spans="2:8" x14ac:dyDescent="0.2">
      <c r="B10878" s="3">
        <v>45455</v>
      </c>
      <c r="G10878" s="2">
        <f t="shared" si="169"/>
        <v>0</v>
      </c>
      <c r="H10878" t="s">
        <v>14</v>
      </c>
    </row>
    <row r="10879" spans="2:8" x14ac:dyDescent="0.2">
      <c r="B10879" s="3">
        <v>45455</v>
      </c>
      <c r="D10879" s="28"/>
      <c r="G10879" s="2">
        <f t="shared" si="169"/>
        <v>0</v>
      </c>
      <c r="H10879" t="s">
        <v>13</v>
      </c>
    </row>
    <row r="10880" spans="2:8" x14ac:dyDescent="0.2">
      <c r="B10880" s="3">
        <v>45455</v>
      </c>
      <c r="D10880" s="28"/>
      <c r="E10880" s="34"/>
      <c r="G10880" s="2">
        <f t="shared" si="169"/>
        <v>0</v>
      </c>
      <c r="H10880" t="s">
        <v>26</v>
      </c>
    </row>
    <row r="10881" spans="2:8" x14ac:dyDescent="0.2">
      <c r="B10881" s="3">
        <v>45455</v>
      </c>
      <c r="G10881" s="2">
        <f t="shared" si="169"/>
        <v>0</v>
      </c>
      <c r="H10881" t="s">
        <v>9</v>
      </c>
    </row>
    <row r="10882" spans="2:8" x14ac:dyDescent="0.2">
      <c r="B10882" s="3">
        <v>45455</v>
      </c>
      <c r="G10882" s="2">
        <f t="shared" si="169"/>
        <v>0</v>
      </c>
      <c r="H10882" t="s">
        <v>8</v>
      </c>
    </row>
    <row r="10883" spans="2:8" x14ac:dyDescent="0.2">
      <c r="B10883" s="3">
        <v>45455</v>
      </c>
      <c r="G10883" s="2">
        <f t="shared" ref="G10883:G10946" si="170">E10883-F10883</f>
        <v>0</v>
      </c>
      <c r="H10883" t="s">
        <v>5</v>
      </c>
    </row>
    <row r="10884" spans="2:8" x14ac:dyDescent="0.2">
      <c r="B10884" s="3">
        <v>45455</v>
      </c>
      <c r="D10884" s="1">
        <v>5680</v>
      </c>
      <c r="E10884" s="1">
        <v>6190</v>
      </c>
      <c r="F10884" s="1">
        <v>6190</v>
      </c>
      <c r="G10884" s="2">
        <f t="shared" si="170"/>
        <v>0</v>
      </c>
      <c r="H10884" s="1" t="s">
        <v>83</v>
      </c>
    </row>
    <row r="10885" spans="2:8" x14ac:dyDescent="0.2">
      <c r="B10885" s="3">
        <v>45455</v>
      </c>
      <c r="D10885" s="1">
        <v>173268.83</v>
      </c>
      <c r="E10885" s="1">
        <v>179038.13</v>
      </c>
      <c r="F10885" s="1">
        <v>47000</v>
      </c>
      <c r="G10885" s="2">
        <f t="shared" si="170"/>
        <v>132038.13</v>
      </c>
      <c r="H10885" t="s">
        <v>0</v>
      </c>
    </row>
    <row r="10886" spans="2:8" x14ac:dyDescent="0.2">
      <c r="B10886" s="3">
        <v>45456</v>
      </c>
      <c r="G10886" s="2">
        <f t="shared" si="170"/>
        <v>0</v>
      </c>
      <c r="H10886" t="s">
        <v>14</v>
      </c>
    </row>
    <row r="10887" spans="2:8" x14ac:dyDescent="0.2">
      <c r="B10887" s="3">
        <v>45456</v>
      </c>
      <c r="D10887" s="28"/>
      <c r="E10887" s="33"/>
      <c r="F10887" s="1">
        <v>30000</v>
      </c>
      <c r="G10887" s="2">
        <f t="shared" si="170"/>
        <v>-30000</v>
      </c>
      <c r="H10887" t="s">
        <v>13</v>
      </c>
    </row>
    <row r="10888" spans="2:8" x14ac:dyDescent="0.2">
      <c r="B10888" s="3">
        <v>45456</v>
      </c>
      <c r="D10888" s="28"/>
      <c r="G10888" s="2">
        <f t="shared" si="170"/>
        <v>0</v>
      </c>
      <c r="H10888" t="s">
        <v>26</v>
      </c>
    </row>
    <row r="10889" spans="2:8" x14ac:dyDescent="0.2">
      <c r="B10889" s="3">
        <v>45456</v>
      </c>
      <c r="G10889" s="2">
        <f t="shared" si="170"/>
        <v>0</v>
      </c>
      <c r="H10889" t="s">
        <v>9</v>
      </c>
    </row>
    <row r="10890" spans="2:8" x14ac:dyDescent="0.2">
      <c r="B10890" s="3">
        <v>45456</v>
      </c>
      <c r="G10890" s="2">
        <f t="shared" si="170"/>
        <v>0</v>
      </c>
      <c r="H10890" t="s">
        <v>8</v>
      </c>
    </row>
    <row r="10891" spans="2:8" x14ac:dyDescent="0.2">
      <c r="B10891" s="3">
        <v>45456</v>
      </c>
      <c r="G10891" s="2">
        <f t="shared" si="170"/>
        <v>0</v>
      </c>
      <c r="H10891" t="s">
        <v>5</v>
      </c>
    </row>
    <row r="10892" spans="2:8" x14ac:dyDescent="0.2">
      <c r="B10892" s="3">
        <v>45456</v>
      </c>
      <c r="F10892" s="1">
        <v>63.5</v>
      </c>
      <c r="G10892" s="2">
        <f t="shared" si="170"/>
        <v>-63.5</v>
      </c>
      <c r="H10892" s="1"/>
    </row>
    <row r="10893" spans="2:8" x14ac:dyDescent="0.2">
      <c r="B10893" s="3">
        <v>45456</v>
      </c>
      <c r="G10893" s="2">
        <f t="shared" si="170"/>
        <v>0</v>
      </c>
      <c r="H10893" t="s">
        <v>0</v>
      </c>
    </row>
    <row r="10894" spans="2:8" x14ac:dyDescent="0.2">
      <c r="B10894" s="3">
        <v>45457</v>
      </c>
      <c r="G10894" s="2">
        <f t="shared" si="170"/>
        <v>0</v>
      </c>
      <c r="H10894" t="s">
        <v>14</v>
      </c>
    </row>
    <row r="10895" spans="2:8" x14ac:dyDescent="0.2">
      <c r="B10895" s="3">
        <v>45457</v>
      </c>
      <c r="D10895" s="28"/>
      <c r="G10895" s="2">
        <f t="shared" si="170"/>
        <v>0</v>
      </c>
      <c r="H10895" t="s">
        <v>13</v>
      </c>
    </row>
    <row r="10896" spans="2:8" x14ac:dyDescent="0.2">
      <c r="B10896" s="3">
        <v>45457</v>
      </c>
      <c r="D10896" s="28"/>
      <c r="G10896" s="2">
        <f t="shared" si="170"/>
        <v>0</v>
      </c>
      <c r="H10896" t="s">
        <v>26</v>
      </c>
    </row>
    <row r="10897" spans="2:8" x14ac:dyDescent="0.2">
      <c r="B10897" s="3">
        <v>45457</v>
      </c>
      <c r="G10897" s="2">
        <f t="shared" si="170"/>
        <v>0</v>
      </c>
      <c r="H10897" t="s">
        <v>9</v>
      </c>
    </row>
    <row r="10898" spans="2:8" x14ac:dyDescent="0.2">
      <c r="B10898" s="3">
        <v>45457</v>
      </c>
      <c r="G10898" s="2">
        <f t="shared" si="170"/>
        <v>0</v>
      </c>
      <c r="H10898" t="s">
        <v>8</v>
      </c>
    </row>
    <row r="10899" spans="2:8" x14ac:dyDescent="0.2">
      <c r="B10899" s="3">
        <v>45457</v>
      </c>
      <c r="G10899" s="2">
        <f t="shared" si="170"/>
        <v>0</v>
      </c>
      <c r="H10899" t="s">
        <v>5</v>
      </c>
    </row>
    <row r="10900" spans="2:8" x14ac:dyDescent="0.2">
      <c r="B10900" s="3">
        <v>45457</v>
      </c>
      <c r="G10900" s="2">
        <f t="shared" si="170"/>
        <v>0</v>
      </c>
      <c r="H10900" s="1"/>
    </row>
    <row r="10901" spans="2:8" x14ac:dyDescent="0.2">
      <c r="B10901" s="3">
        <v>45457</v>
      </c>
      <c r="G10901" s="2">
        <f t="shared" si="170"/>
        <v>0</v>
      </c>
      <c r="H10901" t="s">
        <v>0</v>
      </c>
    </row>
    <row r="10902" spans="2:8" x14ac:dyDescent="0.2">
      <c r="B10902" s="3">
        <v>45458</v>
      </c>
      <c r="G10902" s="2">
        <f t="shared" si="170"/>
        <v>0</v>
      </c>
      <c r="H10902" t="s">
        <v>14</v>
      </c>
    </row>
    <row r="10903" spans="2:8" x14ac:dyDescent="0.2">
      <c r="B10903" s="3">
        <v>45458</v>
      </c>
      <c r="D10903" s="28"/>
      <c r="G10903" s="2">
        <f t="shared" si="170"/>
        <v>0</v>
      </c>
      <c r="H10903" t="s">
        <v>13</v>
      </c>
    </row>
    <row r="10904" spans="2:8" x14ac:dyDescent="0.2">
      <c r="B10904" s="3">
        <v>45458</v>
      </c>
      <c r="D10904" s="28"/>
      <c r="G10904" s="2">
        <f t="shared" si="170"/>
        <v>0</v>
      </c>
      <c r="H10904" t="s">
        <v>26</v>
      </c>
    </row>
    <row r="10905" spans="2:8" x14ac:dyDescent="0.2">
      <c r="B10905" s="3">
        <v>45458</v>
      </c>
      <c r="G10905" s="2">
        <f t="shared" si="170"/>
        <v>0</v>
      </c>
      <c r="H10905" t="s">
        <v>9</v>
      </c>
    </row>
    <row r="10906" spans="2:8" x14ac:dyDescent="0.2">
      <c r="B10906" s="3">
        <v>45458</v>
      </c>
      <c r="G10906" s="2">
        <f t="shared" si="170"/>
        <v>0</v>
      </c>
      <c r="H10906" t="s">
        <v>8</v>
      </c>
    </row>
    <row r="10907" spans="2:8" x14ac:dyDescent="0.2">
      <c r="B10907" s="3">
        <v>45458</v>
      </c>
      <c r="G10907" s="2">
        <f t="shared" si="170"/>
        <v>0</v>
      </c>
      <c r="H10907" t="s">
        <v>5</v>
      </c>
    </row>
    <row r="10908" spans="2:8" x14ac:dyDescent="0.2">
      <c r="B10908" s="3">
        <v>45458</v>
      </c>
      <c r="G10908" s="2">
        <f t="shared" si="170"/>
        <v>0</v>
      </c>
      <c r="H10908" s="1"/>
    </row>
    <row r="10909" spans="2:8" x14ac:dyDescent="0.2">
      <c r="B10909" s="3">
        <v>45458</v>
      </c>
      <c r="G10909" s="2">
        <f t="shared" si="170"/>
        <v>0</v>
      </c>
      <c r="H10909" t="s">
        <v>0</v>
      </c>
    </row>
    <row r="10910" spans="2:8" x14ac:dyDescent="0.2">
      <c r="B10910" s="3">
        <v>45459</v>
      </c>
      <c r="G10910" s="2">
        <f t="shared" si="170"/>
        <v>0</v>
      </c>
      <c r="H10910" t="s">
        <v>14</v>
      </c>
    </row>
    <row r="10911" spans="2:8" x14ac:dyDescent="0.2">
      <c r="B10911" s="3">
        <v>45459</v>
      </c>
      <c r="D10911" s="28"/>
      <c r="G10911" s="2">
        <f t="shared" si="170"/>
        <v>0</v>
      </c>
      <c r="H10911" t="s">
        <v>13</v>
      </c>
    </row>
    <row r="10912" spans="2:8" x14ac:dyDescent="0.2">
      <c r="B10912" s="3">
        <v>45459</v>
      </c>
      <c r="D10912" s="28"/>
      <c r="G10912" s="2">
        <f t="shared" si="170"/>
        <v>0</v>
      </c>
      <c r="H10912" t="s">
        <v>26</v>
      </c>
    </row>
    <row r="10913" spans="2:8" x14ac:dyDescent="0.2">
      <c r="B10913" s="3">
        <v>45459</v>
      </c>
      <c r="G10913" s="2">
        <f t="shared" si="170"/>
        <v>0</v>
      </c>
      <c r="H10913" t="s">
        <v>9</v>
      </c>
    </row>
    <row r="10914" spans="2:8" x14ac:dyDescent="0.2">
      <c r="B10914" s="3">
        <v>45459</v>
      </c>
      <c r="G10914" s="2">
        <f t="shared" si="170"/>
        <v>0</v>
      </c>
      <c r="H10914" t="s">
        <v>8</v>
      </c>
    </row>
    <row r="10915" spans="2:8" x14ac:dyDescent="0.2">
      <c r="B10915" s="3">
        <v>45459</v>
      </c>
      <c r="G10915" s="2">
        <f t="shared" si="170"/>
        <v>0</v>
      </c>
      <c r="H10915" t="s">
        <v>5</v>
      </c>
    </row>
    <row r="10916" spans="2:8" x14ac:dyDescent="0.2">
      <c r="B10916" s="3">
        <v>45459</v>
      </c>
      <c r="G10916" s="2">
        <f t="shared" si="170"/>
        <v>0</v>
      </c>
      <c r="H10916" s="1"/>
    </row>
    <row r="10917" spans="2:8" x14ac:dyDescent="0.2">
      <c r="B10917" s="3">
        <v>45459</v>
      </c>
      <c r="G10917" s="2">
        <f t="shared" si="170"/>
        <v>0</v>
      </c>
      <c r="H10917" t="s">
        <v>0</v>
      </c>
    </row>
    <row r="10918" spans="2:8" x14ac:dyDescent="0.2">
      <c r="B10918" s="3">
        <v>45460</v>
      </c>
      <c r="G10918" s="2">
        <f t="shared" si="170"/>
        <v>0</v>
      </c>
      <c r="H10918" t="s">
        <v>14</v>
      </c>
    </row>
    <row r="10919" spans="2:8" x14ac:dyDescent="0.2">
      <c r="B10919" s="3">
        <v>45460</v>
      </c>
      <c r="D10919" s="28"/>
      <c r="G10919" s="2">
        <f t="shared" si="170"/>
        <v>0</v>
      </c>
      <c r="H10919" t="s">
        <v>13</v>
      </c>
    </row>
    <row r="10920" spans="2:8" x14ac:dyDescent="0.2">
      <c r="B10920" s="3">
        <v>45460</v>
      </c>
      <c r="D10920" s="28"/>
      <c r="E10920" s="34"/>
      <c r="G10920" s="2">
        <f t="shared" si="170"/>
        <v>0</v>
      </c>
      <c r="H10920" t="s">
        <v>26</v>
      </c>
    </row>
    <row r="10921" spans="2:8" x14ac:dyDescent="0.2">
      <c r="B10921" s="3">
        <v>45460</v>
      </c>
      <c r="G10921" s="2">
        <f t="shared" si="170"/>
        <v>0</v>
      </c>
      <c r="H10921" t="s">
        <v>9</v>
      </c>
    </row>
    <row r="10922" spans="2:8" x14ac:dyDescent="0.2">
      <c r="B10922" s="3">
        <v>45460</v>
      </c>
      <c r="G10922" s="2">
        <f t="shared" si="170"/>
        <v>0</v>
      </c>
      <c r="H10922" t="s">
        <v>8</v>
      </c>
    </row>
    <row r="10923" spans="2:8" x14ac:dyDescent="0.2">
      <c r="B10923" s="3">
        <v>45460</v>
      </c>
      <c r="G10923" s="2">
        <f t="shared" si="170"/>
        <v>0</v>
      </c>
      <c r="H10923" t="s">
        <v>5</v>
      </c>
    </row>
    <row r="10924" spans="2:8" x14ac:dyDescent="0.2">
      <c r="B10924" s="3">
        <v>45460</v>
      </c>
      <c r="G10924" s="2">
        <f t="shared" si="170"/>
        <v>0</v>
      </c>
      <c r="H10924" s="1"/>
    </row>
    <row r="10925" spans="2:8" x14ac:dyDescent="0.2">
      <c r="B10925" s="3">
        <v>45460</v>
      </c>
      <c r="G10925" s="2">
        <f t="shared" si="170"/>
        <v>0</v>
      </c>
      <c r="H10925" t="s">
        <v>0</v>
      </c>
    </row>
    <row r="10926" spans="2:8" x14ac:dyDescent="0.2">
      <c r="B10926" s="3">
        <v>45461</v>
      </c>
      <c r="G10926" s="2">
        <f t="shared" si="170"/>
        <v>0</v>
      </c>
      <c r="H10926" t="s">
        <v>14</v>
      </c>
    </row>
    <row r="10927" spans="2:8" x14ac:dyDescent="0.2">
      <c r="B10927" s="3">
        <v>45461</v>
      </c>
      <c r="D10927" s="28"/>
      <c r="G10927" s="2">
        <f t="shared" si="170"/>
        <v>0</v>
      </c>
      <c r="H10927" t="s">
        <v>13</v>
      </c>
    </row>
    <row r="10928" spans="2:8" x14ac:dyDescent="0.2">
      <c r="B10928" s="3">
        <v>45461</v>
      </c>
      <c r="D10928" s="28"/>
      <c r="G10928" s="2">
        <f t="shared" si="170"/>
        <v>0</v>
      </c>
      <c r="H10928" t="s">
        <v>26</v>
      </c>
    </row>
    <row r="10929" spans="2:8" x14ac:dyDescent="0.2">
      <c r="B10929" s="3">
        <v>45461</v>
      </c>
      <c r="G10929" s="2">
        <f t="shared" si="170"/>
        <v>0</v>
      </c>
      <c r="H10929" t="s">
        <v>9</v>
      </c>
    </row>
    <row r="10930" spans="2:8" x14ac:dyDescent="0.2">
      <c r="B10930" s="3">
        <v>45461</v>
      </c>
      <c r="G10930" s="2">
        <f t="shared" si="170"/>
        <v>0</v>
      </c>
      <c r="H10930" t="s">
        <v>8</v>
      </c>
    </row>
    <row r="10931" spans="2:8" x14ac:dyDescent="0.2">
      <c r="B10931" s="3">
        <v>45461</v>
      </c>
      <c r="G10931" s="2">
        <f t="shared" si="170"/>
        <v>0</v>
      </c>
      <c r="H10931" t="s">
        <v>5</v>
      </c>
    </row>
    <row r="10932" spans="2:8" x14ac:dyDescent="0.2">
      <c r="B10932" s="3">
        <v>45461</v>
      </c>
      <c r="G10932" s="2">
        <f t="shared" si="170"/>
        <v>0</v>
      </c>
      <c r="H10932" s="1"/>
    </row>
    <row r="10933" spans="2:8" x14ac:dyDescent="0.2">
      <c r="B10933" s="3">
        <v>45461</v>
      </c>
      <c r="G10933" s="2">
        <f t="shared" si="170"/>
        <v>0</v>
      </c>
      <c r="H10933" t="s">
        <v>0</v>
      </c>
    </row>
    <row r="10934" spans="2:8" x14ac:dyDescent="0.2">
      <c r="B10934" s="3">
        <v>45462</v>
      </c>
      <c r="G10934" s="2">
        <f t="shared" si="170"/>
        <v>0</v>
      </c>
      <c r="H10934" t="s">
        <v>14</v>
      </c>
    </row>
    <row r="10935" spans="2:8" x14ac:dyDescent="0.2">
      <c r="B10935" s="3">
        <v>45462</v>
      </c>
      <c r="D10935" s="28"/>
      <c r="G10935" s="2">
        <f t="shared" si="170"/>
        <v>0</v>
      </c>
      <c r="H10935" t="s">
        <v>13</v>
      </c>
    </row>
    <row r="10936" spans="2:8" x14ac:dyDescent="0.2">
      <c r="B10936" s="3">
        <v>45462</v>
      </c>
      <c r="D10936" s="28"/>
      <c r="G10936" s="2">
        <f t="shared" si="170"/>
        <v>0</v>
      </c>
      <c r="H10936" t="s">
        <v>26</v>
      </c>
    </row>
    <row r="10937" spans="2:8" x14ac:dyDescent="0.2">
      <c r="B10937" s="3">
        <v>45462</v>
      </c>
      <c r="G10937" s="2">
        <f t="shared" si="170"/>
        <v>0</v>
      </c>
      <c r="H10937" t="s">
        <v>9</v>
      </c>
    </row>
    <row r="10938" spans="2:8" x14ac:dyDescent="0.2">
      <c r="B10938" s="3">
        <v>45462</v>
      </c>
      <c r="G10938" s="2">
        <f t="shared" si="170"/>
        <v>0</v>
      </c>
      <c r="H10938" t="s">
        <v>8</v>
      </c>
    </row>
    <row r="10939" spans="2:8" x14ac:dyDescent="0.2">
      <c r="B10939" s="3">
        <v>45462</v>
      </c>
      <c r="G10939" s="2">
        <f t="shared" si="170"/>
        <v>0</v>
      </c>
      <c r="H10939" t="s">
        <v>5</v>
      </c>
    </row>
    <row r="10940" spans="2:8" x14ac:dyDescent="0.2">
      <c r="B10940" s="3">
        <v>45462</v>
      </c>
      <c r="G10940" s="2">
        <f t="shared" si="170"/>
        <v>0</v>
      </c>
      <c r="H10940" s="1"/>
    </row>
    <row r="10941" spans="2:8" x14ac:dyDescent="0.2">
      <c r="B10941" s="3">
        <v>45462</v>
      </c>
      <c r="G10941" s="2">
        <f t="shared" si="170"/>
        <v>0</v>
      </c>
      <c r="H10941" t="s">
        <v>0</v>
      </c>
    </row>
    <row r="10942" spans="2:8" x14ac:dyDescent="0.2">
      <c r="B10942" s="3">
        <v>45463</v>
      </c>
      <c r="G10942" s="2">
        <f t="shared" si="170"/>
        <v>0</v>
      </c>
      <c r="H10942" t="s">
        <v>14</v>
      </c>
    </row>
    <row r="10943" spans="2:8" x14ac:dyDescent="0.2">
      <c r="B10943" s="3">
        <v>45463</v>
      </c>
      <c r="D10943" s="28"/>
      <c r="G10943" s="2">
        <f t="shared" si="170"/>
        <v>0</v>
      </c>
      <c r="H10943" t="s">
        <v>13</v>
      </c>
    </row>
    <row r="10944" spans="2:8" x14ac:dyDescent="0.2">
      <c r="B10944" s="3">
        <v>45463</v>
      </c>
      <c r="D10944" s="28"/>
      <c r="G10944" s="2">
        <f t="shared" si="170"/>
        <v>0</v>
      </c>
      <c r="H10944" t="s">
        <v>26</v>
      </c>
    </row>
    <row r="10945" spans="2:8" x14ac:dyDescent="0.2">
      <c r="B10945" s="3">
        <v>45463</v>
      </c>
      <c r="G10945" s="2">
        <f t="shared" si="170"/>
        <v>0</v>
      </c>
      <c r="H10945" t="s">
        <v>9</v>
      </c>
    </row>
    <row r="10946" spans="2:8" x14ac:dyDescent="0.2">
      <c r="B10946" s="3">
        <v>45463</v>
      </c>
      <c r="G10946" s="2">
        <f t="shared" si="170"/>
        <v>0</v>
      </c>
      <c r="H10946" t="s">
        <v>8</v>
      </c>
    </row>
    <row r="10947" spans="2:8" x14ac:dyDescent="0.2">
      <c r="B10947" s="3">
        <v>45463</v>
      </c>
      <c r="G10947" s="2">
        <f t="shared" ref="G10947:G11010" si="171">E10947-F10947</f>
        <v>0</v>
      </c>
      <c r="H10947" t="s">
        <v>5</v>
      </c>
    </row>
    <row r="10948" spans="2:8" x14ac:dyDescent="0.2">
      <c r="B10948" s="3">
        <v>45463</v>
      </c>
      <c r="G10948" s="2">
        <f t="shared" si="171"/>
        <v>0</v>
      </c>
      <c r="H10948" s="1"/>
    </row>
    <row r="10949" spans="2:8" x14ac:dyDescent="0.2">
      <c r="B10949" s="3">
        <v>45463</v>
      </c>
      <c r="G10949" s="2">
        <f t="shared" si="171"/>
        <v>0</v>
      </c>
      <c r="H10949" t="s">
        <v>0</v>
      </c>
    </row>
    <row r="10950" spans="2:8" x14ac:dyDescent="0.2">
      <c r="B10950" s="3">
        <v>45464</v>
      </c>
      <c r="G10950" s="2">
        <f t="shared" si="171"/>
        <v>0</v>
      </c>
      <c r="H10950" t="s">
        <v>14</v>
      </c>
    </row>
    <row r="10951" spans="2:8" x14ac:dyDescent="0.2">
      <c r="B10951" s="3">
        <v>45464</v>
      </c>
      <c r="D10951" s="28"/>
      <c r="G10951" s="2">
        <f t="shared" si="171"/>
        <v>0</v>
      </c>
      <c r="H10951" t="s">
        <v>13</v>
      </c>
    </row>
    <row r="10952" spans="2:8" x14ac:dyDescent="0.2">
      <c r="B10952" s="3">
        <v>45464</v>
      </c>
      <c r="D10952" s="28"/>
      <c r="G10952" s="2">
        <f t="shared" si="171"/>
        <v>0</v>
      </c>
      <c r="H10952" t="s">
        <v>26</v>
      </c>
    </row>
    <row r="10953" spans="2:8" x14ac:dyDescent="0.2">
      <c r="B10953" s="3">
        <v>45464</v>
      </c>
      <c r="F10953" s="1">
        <v>4125</v>
      </c>
      <c r="G10953" s="2">
        <f t="shared" si="171"/>
        <v>-4125</v>
      </c>
      <c r="H10953" t="s">
        <v>9</v>
      </c>
    </row>
    <row r="10954" spans="2:8" x14ac:dyDescent="0.2">
      <c r="B10954" s="3">
        <v>45464</v>
      </c>
      <c r="G10954" s="2">
        <f t="shared" si="171"/>
        <v>0</v>
      </c>
      <c r="H10954" t="s">
        <v>8</v>
      </c>
    </row>
    <row r="10955" spans="2:8" x14ac:dyDescent="0.2">
      <c r="B10955" s="3">
        <v>45464</v>
      </c>
      <c r="G10955" s="2">
        <f t="shared" si="171"/>
        <v>0</v>
      </c>
      <c r="H10955" t="s">
        <v>5</v>
      </c>
    </row>
    <row r="10956" spans="2:8" x14ac:dyDescent="0.2">
      <c r="B10956" s="3">
        <v>45464</v>
      </c>
      <c r="G10956" s="2">
        <f t="shared" si="171"/>
        <v>0</v>
      </c>
      <c r="H10956" s="1"/>
    </row>
    <row r="10957" spans="2:8" x14ac:dyDescent="0.2">
      <c r="B10957" s="3">
        <v>45464</v>
      </c>
      <c r="G10957" s="2">
        <f t="shared" si="171"/>
        <v>0</v>
      </c>
      <c r="H10957" t="s">
        <v>0</v>
      </c>
    </row>
    <row r="10958" spans="2:8" x14ac:dyDescent="0.2">
      <c r="B10958" s="3">
        <v>45465</v>
      </c>
      <c r="D10958" s="1">
        <v>15450</v>
      </c>
      <c r="E10958" s="1">
        <v>17850</v>
      </c>
      <c r="F10958" s="1">
        <v>10000</v>
      </c>
      <c r="G10958" s="2">
        <f t="shared" si="171"/>
        <v>7850</v>
      </c>
      <c r="H10958" t="s">
        <v>14</v>
      </c>
    </row>
    <row r="10959" spans="2:8" x14ac:dyDescent="0.2">
      <c r="B10959" s="3">
        <v>45465</v>
      </c>
      <c r="D10959" s="28"/>
      <c r="G10959" s="2">
        <f t="shared" si="171"/>
        <v>0</v>
      </c>
      <c r="H10959" t="s">
        <v>13</v>
      </c>
    </row>
    <row r="10960" spans="2:8" x14ac:dyDescent="0.2">
      <c r="B10960" s="3">
        <v>45465</v>
      </c>
      <c r="D10960" s="28"/>
      <c r="G10960" s="2">
        <f t="shared" si="171"/>
        <v>0</v>
      </c>
      <c r="H10960" t="s">
        <v>26</v>
      </c>
    </row>
    <row r="10961" spans="2:8" x14ac:dyDescent="0.2">
      <c r="B10961" s="3">
        <v>45465</v>
      </c>
      <c r="G10961" s="2">
        <f t="shared" si="171"/>
        <v>0</v>
      </c>
      <c r="H10961" t="s">
        <v>9</v>
      </c>
    </row>
    <row r="10962" spans="2:8" x14ac:dyDescent="0.2">
      <c r="B10962" s="3">
        <v>45465</v>
      </c>
      <c r="F10962" s="1">
        <v>20000</v>
      </c>
      <c r="G10962" s="2">
        <f t="shared" si="171"/>
        <v>-20000</v>
      </c>
      <c r="H10962" t="s">
        <v>8</v>
      </c>
    </row>
    <row r="10963" spans="2:8" x14ac:dyDescent="0.2">
      <c r="B10963" s="3">
        <v>45465</v>
      </c>
      <c r="G10963" s="2">
        <f t="shared" si="171"/>
        <v>0</v>
      </c>
      <c r="H10963" t="s">
        <v>5</v>
      </c>
    </row>
    <row r="10964" spans="2:8" x14ac:dyDescent="0.2">
      <c r="B10964" s="3">
        <v>45465</v>
      </c>
      <c r="G10964" s="2">
        <f t="shared" si="171"/>
        <v>0</v>
      </c>
      <c r="H10964" s="1"/>
    </row>
    <row r="10965" spans="2:8" x14ac:dyDescent="0.2">
      <c r="B10965" s="3">
        <v>45465</v>
      </c>
      <c r="G10965" s="2">
        <f t="shared" si="171"/>
        <v>0</v>
      </c>
      <c r="H10965" t="s">
        <v>0</v>
      </c>
    </row>
    <row r="10966" spans="2:8" x14ac:dyDescent="0.2">
      <c r="B10966" s="3">
        <v>45466</v>
      </c>
      <c r="G10966" s="2">
        <f t="shared" si="171"/>
        <v>0</v>
      </c>
      <c r="H10966" t="s">
        <v>14</v>
      </c>
    </row>
    <row r="10967" spans="2:8" x14ac:dyDescent="0.2">
      <c r="B10967" s="3">
        <v>45466</v>
      </c>
      <c r="D10967" s="28"/>
      <c r="G10967" s="2">
        <f t="shared" si="171"/>
        <v>0</v>
      </c>
      <c r="H10967" t="s">
        <v>13</v>
      </c>
    </row>
    <row r="10968" spans="2:8" x14ac:dyDescent="0.2">
      <c r="B10968" s="3">
        <v>45466</v>
      </c>
      <c r="D10968" s="28"/>
      <c r="G10968" s="2">
        <f t="shared" si="171"/>
        <v>0</v>
      </c>
      <c r="H10968" t="s">
        <v>26</v>
      </c>
    </row>
    <row r="10969" spans="2:8" x14ac:dyDescent="0.2">
      <c r="B10969" s="3">
        <v>45466</v>
      </c>
      <c r="G10969" s="2">
        <f t="shared" si="171"/>
        <v>0</v>
      </c>
      <c r="H10969" t="s">
        <v>9</v>
      </c>
    </row>
    <row r="10970" spans="2:8" x14ac:dyDescent="0.2">
      <c r="B10970" s="3">
        <v>45466</v>
      </c>
      <c r="G10970" s="2">
        <f t="shared" si="171"/>
        <v>0</v>
      </c>
      <c r="H10970" t="s">
        <v>8</v>
      </c>
    </row>
    <row r="10971" spans="2:8" x14ac:dyDescent="0.2">
      <c r="B10971" s="3">
        <v>45466</v>
      </c>
      <c r="G10971" s="2">
        <f t="shared" si="171"/>
        <v>0</v>
      </c>
      <c r="H10971" t="s">
        <v>5</v>
      </c>
    </row>
    <row r="10972" spans="2:8" x14ac:dyDescent="0.2">
      <c r="B10972" s="3">
        <v>45466</v>
      </c>
      <c r="G10972" s="2">
        <f t="shared" si="171"/>
        <v>0</v>
      </c>
      <c r="H10972" s="1"/>
    </row>
    <row r="10973" spans="2:8" x14ac:dyDescent="0.2">
      <c r="B10973" s="3">
        <v>45466</v>
      </c>
      <c r="D10973" s="1">
        <v>76268.55</v>
      </c>
      <c r="E10973" s="1">
        <v>77946.459999999992</v>
      </c>
      <c r="G10973" s="2">
        <f t="shared" si="171"/>
        <v>77946.459999999992</v>
      </c>
      <c r="H10973" t="s">
        <v>0</v>
      </c>
    </row>
    <row r="10974" spans="2:8" x14ac:dyDescent="0.2">
      <c r="B10974" s="3">
        <v>45467</v>
      </c>
      <c r="G10974" s="2">
        <f t="shared" si="171"/>
        <v>0</v>
      </c>
      <c r="H10974" t="s">
        <v>14</v>
      </c>
    </row>
    <row r="10975" spans="2:8" x14ac:dyDescent="0.2">
      <c r="B10975" s="3">
        <v>45467</v>
      </c>
      <c r="D10975" s="28"/>
      <c r="G10975" s="2">
        <f t="shared" si="171"/>
        <v>0</v>
      </c>
      <c r="H10975" t="s">
        <v>13</v>
      </c>
    </row>
    <row r="10976" spans="2:8" x14ac:dyDescent="0.2">
      <c r="B10976" s="3">
        <v>45467</v>
      </c>
      <c r="D10976" s="28"/>
      <c r="G10976" s="2">
        <f t="shared" si="171"/>
        <v>0</v>
      </c>
      <c r="H10976" t="s">
        <v>26</v>
      </c>
    </row>
    <row r="10977" spans="2:8" x14ac:dyDescent="0.2">
      <c r="B10977" s="3">
        <v>45467</v>
      </c>
      <c r="G10977" s="2">
        <f t="shared" si="171"/>
        <v>0</v>
      </c>
      <c r="H10977" t="s">
        <v>9</v>
      </c>
    </row>
    <row r="10978" spans="2:8" x14ac:dyDescent="0.2">
      <c r="B10978" s="3">
        <v>45467</v>
      </c>
      <c r="G10978" s="2">
        <f t="shared" si="171"/>
        <v>0</v>
      </c>
      <c r="H10978" t="s">
        <v>8</v>
      </c>
    </row>
    <row r="10979" spans="2:8" x14ac:dyDescent="0.2">
      <c r="B10979" s="3">
        <v>45467</v>
      </c>
      <c r="G10979" s="2">
        <f t="shared" si="171"/>
        <v>0</v>
      </c>
      <c r="H10979" t="s">
        <v>5</v>
      </c>
    </row>
    <row r="10980" spans="2:8" x14ac:dyDescent="0.2">
      <c r="B10980" s="3">
        <v>45467</v>
      </c>
      <c r="G10980" s="2">
        <f t="shared" si="171"/>
        <v>0</v>
      </c>
      <c r="H10980" s="1"/>
    </row>
    <row r="10981" spans="2:8" x14ac:dyDescent="0.2">
      <c r="B10981" s="3">
        <v>45467</v>
      </c>
      <c r="F10981" s="1">
        <v>150000</v>
      </c>
      <c r="G10981" s="2">
        <f t="shared" si="171"/>
        <v>-150000</v>
      </c>
      <c r="H10981" t="s">
        <v>0</v>
      </c>
    </row>
    <row r="10982" spans="2:8" x14ac:dyDescent="0.2">
      <c r="B10982" s="3">
        <v>45468</v>
      </c>
      <c r="G10982" s="2">
        <f t="shared" si="171"/>
        <v>0</v>
      </c>
      <c r="H10982" t="s">
        <v>14</v>
      </c>
    </row>
    <row r="10983" spans="2:8" x14ac:dyDescent="0.2">
      <c r="B10983" s="3">
        <v>45468</v>
      </c>
      <c r="D10983" s="28"/>
      <c r="G10983" s="2">
        <f t="shared" si="171"/>
        <v>0</v>
      </c>
      <c r="H10983" t="s">
        <v>13</v>
      </c>
    </row>
    <row r="10984" spans="2:8" x14ac:dyDescent="0.2">
      <c r="B10984" s="3">
        <v>45468</v>
      </c>
      <c r="D10984" s="28"/>
      <c r="G10984" s="2">
        <f t="shared" si="171"/>
        <v>0</v>
      </c>
      <c r="H10984" t="s">
        <v>26</v>
      </c>
    </row>
    <row r="10985" spans="2:8" x14ac:dyDescent="0.2">
      <c r="B10985" s="3">
        <v>45468</v>
      </c>
      <c r="G10985" s="2">
        <f t="shared" si="171"/>
        <v>0</v>
      </c>
      <c r="H10985" t="s">
        <v>9</v>
      </c>
    </row>
    <row r="10986" spans="2:8" x14ac:dyDescent="0.2">
      <c r="B10986" s="3">
        <v>45468</v>
      </c>
      <c r="G10986" s="2">
        <f t="shared" si="171"/>
        <v>0</v>
      </c>
      <c r="H10986" t="s">
        <v>8</v>
      </c>
    </row>
    <row r="10987" spans="2:8" x14ac:dyDescent="0.2">
      <c r="B10987" s="3">
        <v>45468</v>
      </c>
      <c r="G10987" s="2">
        <f t="shared" si="171"/>
        <v>0</v>
      </c>
      <c r="H10987" t="s">
        <v>5</v>
      </c>
    </row>
    <row r="10988" spans="2:8" x14ac:dyDescent="0.2">
      <c r="B10988" s="3">
        <v>45468</v>
      </c>
      <c r="G10988" s="2">
        <f t="shared" si="171"/>
        <v>0</v>
      </c>
      <c r="H10988" s="1"/>
    </row>
    <row r="10989" spans="2:8" x14ac:dyDescent="0.2">
      <c r="B10989" s="3">
        <v>45468</v>
      </c>
      <c r="G10989" s="2">
        <f t="shared" si="171"/>
        <v>0</v>
      </c>
      <c r="H10989" t="s">
        <v>0</v>
      </c>
    </row>
    <row r="10990" spans="2:8" x14ac:dyDescent="0.2">
      <c r="B10990" s="3">
        <v>45469</v>
      </c>
      <c r="D10990" s="1">
        <v>10000</v>
      </c>
      <c r="E10990" s="1">
        <v>11850</v>
      </c>
      <c r="G10990" s="2">
        <f t="shared" si="171"/>
        <v>11850</v>
      </c>
      <c r="H10990" t="s">
        <v>14</v>
      </c>
    </row>
    <row r="10991" spans="2:8" x14ac:dyDescent="0.2">
      <c r="B10991" s="3">
        <v>45469</v>
      </c>
      <c r="D10991" s="28">
        <v>7920</v>
      </c>
      <c r="E10991" s="1">
        <f>40*205</f>
        <v>8200</v>
      </c>
      <c r="F10991" s="1">
        <v>4800</v>
      </c>
      <c r="G10991" s="2">
        <f t="shared" si="171"/>
        <v>3400</v>
      </c>
      <c r="H10991" t="s">
        <v>13</v>
      </c>
    </row>
    <row r="10992" spans="2:8" x14ac:dyDescent="0.2">
      <c r="B10992" s="3">
        <v>45469</v>
      </c>
      <c r="D10992" s="28"/>
      <c r="G10992" s="2">
        <f t="shared" si="171"/>
        <v>0</v>
      </c>
      <c r="H10992" t="s">
        <v>26</v>
      </c>
    </row>
    <row r="10993" spans="2:8" x14ac:dyDescent="0.2">
      <c r="B10993" s="3">
        <v>45469</v>
      </c>
      <c r="G10993" s="2">
        <f t="shared" si="171"/>
        <v>0</v>
      </c>
      <c r="H10993" t="s">
        <v>9</v>
      </c>
    </row>
    <row r="10994" spans="2:8" x14ac:dyDescent="0.2">
      <c r="B10994" s="3">
        <v>45469</v>
      </c>
      <c r="G10994" s="2">
        <f t="shared" si="171"/>
        <v>0</v>
      </c>
      <c r="H10994" t="s">
        <v>8</v>
      </c>
    </row>
    <row r="10995" spans="2:8" x14ac:dyDescent="0.2">
      <c r="B10995" s="3">
        <v>45469</v>
      </c>
      <c r="G10995" s="2">
        <f t="shared" si="171"/>
        <v>0</v>
      </c>
      <c r="H10995" t="s">
        <v>5</v>
      </c>
    </row>
    <row r="10996" spans="2:8" x14ac:dyDescent="0.2">
      <c r="B10996" s="3">
        <v>45469</v>
      </c>
      <c r="D10996" s="1">
        <v>14880</v>
      </c>
      <c r="E10996" s="1">
        <v>16160</v>
      </c>
      <c r="F10996" s="1">
        <v>8160</v>
      </c>
      <c r="G10996" s="2">
        <f t="shared" si="171"/>
        <v>8000</v>
      </c>
      <c r="H10996" s="1" t="s">
        <v>83</v>
      </c>
    </row>
    <row r="10997" spans="2:8" x14ac:dyDescent="0.2">
      <c r="B10997" s="3">
        <v>45469</v>
      </c>
      <c r="G10997" s="2">
        <f t="shared" si="171"/>
        <v>0</v>
      </c>
      <c r="H10997" t="s">
        <v>0</v>
      </c>
    </row>
    <row r="10998" spans="2:8" x14ac:dyDescent="0.2">
      <c r="B10998" s="3">
        <v>45470</v>
      </c>
      <c r="G10998" s="2">
        <f t="shared" si="171"/>
        <v>0</v>
      </c>
      <c r="H10998" t="s">
        <v>14</v>
      </c>
    </row>
    <row r="10999" spans="2:8" x14ac:dyDescent="0.2">
      <c r="B10999" s="3">
        <v>45470</v>
      </c>
      <c r="D10999" s="28"/>
      <c r="G10999" s="2">
        <f t="shared" si="171"/>
        <v>0</v>
      </c>
      <c r="H10999" t="s">
        <v>13</v>
      </c>
    </row>
    <row r="11000" spans="2:8" x14ac:dyDescent="0.2">
      <c r="B11000" s="3">
        <v>45470</v>
      </c>
      <c r="D11000" s="28"/>
      <c r="G11000" s="2">
        <f t="shared" si="171"/>
        <v>0</v>
      </c>
      <c r="H11000" t="s">
        <v>26</v>
      </c>
    </row>
    <row r="11001" spans="2:8" x14ac:dyDescent="0.2">
      <c r="B11001" s="3">
        <v>45470</v>
      </c>
      <c r="G11001" s="2">
        <f t="shared" si="171"/>
        <v>0</v>
      </c>
      <c r="H11001" t="s">
        <v>9</v>
      </c>
    </row>
    <row r="11002" spans="2:8" x14ac:dyDescent="0.2">
      <c r="B11002" s="3">
        <v>45470</v>
      </c>
      <c r="G11002" s="2">
        <f t="shared" si="171"/>
        <v>0</v>
      </c>
      <c r="H11002" t="s">
        <v>8</v>
      </c>
    </row>
    <row r="11003" spans="2:8" x14ac:dyDescent="0.2">
      <c r="B11003" s="3">
        <v>45470</v>
      </c>
      <c r="G11003" s="2">
        <f t="shared" si="171"/>
        <v>0</v>
      </c>
      <c r="H11003" t="s">
        <v>5</v>
      </c>
    </row>
    <row r="11004" spans="2:8" x14ac:dyDescent="0.2">
      <c r="B11004" s="3">
        <v>45470</v>
      </c>
      <c r="D11004" s="1">
        <v>1980</v>
      </c>
      <c r="E11004" s="1">
        <v>2070</v>
      </c>
      <c r="F11004" s="1">
        <v>2070</v>
      </c>
      <c r="G11004" s="2">
        <f t="shared" si="171"/>
        <v>0</v>
      </c>
      <c r="H11004" s="1" t="s">
        <v>2</v>
      </c>
    </row>
    <row r="11005" spans="2:8" x14ac:dyDescent="0.2">
      <c r="B11005" s="3">
        <v>45470</v>
      </c>
      <c r="G11005" s="2">
        <f t="shared" si="171"/>
        <v>0</v>
      </c>
      <c r="H11005" t="s">
        <v>0</v>
      </c>
    </row>
    <row r="11006" spans="2:8" x14ac:dyDescent="0.2">
      <c r="B11006" s="3">
        <v>45471</v>
      </c>
      <c r="F11006" s="1">
        <v>10000</v>
      </c>
      <c r="G11006" s="2">
        <f t="shared" si="171"/>
        <v>-10000</v>
      </c>
      <c r="H11006" t="s">
        <v>14</v>
      </c>
    </row>
    <row r="11007" spans="2:8" x14ac:dyDescent="0.2">
      <c r="B11007" s="3">
        <v>45471</v>
      </c>
      <c r="D11007" s="28"/>
      <c r="G11007" s="2">
        <f t="shared" si="171"/>
        <v>0</v>
      </c>
      <c r="H11007" t="s">
        <v>13</v>
      </c>
    </row>
    <row r="11008" spans="2:8" x14ac:dyDescent="0.2">
      <c r="B11008" s="3">
        <v>45471</v>
      </c>
      <c r="D11008" s="28"/>
      <c r="G11008" s="2">
        <f t="shared" si="171"/>
        <v>0</v>
      </c>
      <c r="H11008" t="s">
        <v>26</v>
      </c>
    </row>
    <row r="11009" spans="2:8" x14ac:dyDescent="0.2">
      <c r="B11009" s="3">
        <v>45471</v>
      </c>
      <c r="G11009" s="2">
        <f t="shared" si="171"/>
        <v>0</v>
      </c>
      <c r="H11009" t="s">
        <v>9</v>
      </c>
    </row>
    <row r="11010" spans="2:8" x14ac:dyDescent="0.2">
      <c r="B11010" s="3">
        <v>45471</v>
      </c>
      <c r="G11010" s="2">
        <f t="shared" si="171"/>
        <v>0</v>
      </c>
      <c r="H11010" t="s">
        <v>8</v>
      </c>
    </row>
    <row r="11011" spans="2:8" x14ac:dyDescent="0.2">
      <c r="B11011" s="3">
        <v>45471</v>
      </c>
      <c r="G11011" s="2">
        <f t="shared" ref="G11011:G11074" si="172">E11011-F11011</f>
        <v>0</v>
      </c>
      <c r="H11011" t="s">
        <v>5</v>
      </c>
    </row>
    <row r="11012" spans="2:8" x14ac:dyDescent="0.2">
      <c r="B11012" s="3">
        <v>45471</v>
      </c>
      <c r="G11012" s="2">
        <f t="shared" si="172"/>
        <v>0</v>
      </c>
      <c r="H11012" s="1"/>
    </row>
    <row r="11013" spans="2:8" x14ac:dyDescent="0.2">
      <c r="B11013" s="3">
        <v>45471</v>
      </c>
      <c r="F11013" s="1">
        <v>100000</v>
      </c>
      <c r="G11013" s="2">
        <f t="shared" si="172"/>
        <v>-100000</v>
      </c>
      <c r="H11013" t="s">
        <v>0</v>
      </c>
    </row>
    <row r="11014" spans="2:8" x14ac:dyDescent="0.2">
      <c r="B11014" s="3">
        <v>45472</v>
      </c>
      <c r="G11014" s="2">
        <f t="shared" si="172"/>
        <v>0</v>
      </c>
      <c r="H11014" t="s">
        <v>14</v>
      </c>
    </row>
    <row r="11015" spans="2:8" x14ac:dyDescent="0.2">
      <c r="B11015" s="3">
        <v>45472</v>
      </c>
      <c r="D11015" s="28"/>
      <c r="F11015" s="1">
        <v>3400</v>
      </c>
      <c r="G11015" s="2">
        <f t="shared" si="172"/>
        <v>-3400</v>
      </c>
      <c r="H11015" t="s">
        <v>13</v>
      </c>
    </row>
    <row r="11016" spans="2:8" x14ac:dyDescent="0.2">
      <c r="B11016" s="3">
        <v>45472</v>
      </c>
      <c r="D11016" s="28"/>
      <c r="G11016" s="2">
        <f t="shared" si="172"/>
        <v>0</v>
      </c>
      <c r="H11016" t="s">
        <v>26</v>
      </c>
    </row>
    <row r="11017" spans="2:8" x14ac:dyDescent="0.2">
      <c r="B11017" s="3">
        <v>45472</v>
      </c>
      <c r="G11017" s="2">
        <f t="shared" si="172"/>
        <v>0</v>
      </c>
      <c r="H11017" t="s">
        <v>9</v>
      </c>
    </row>
    <row r="11018" spans="2:8" x14ac:dyDescent="0.2">
      <c r="B11018" s="3">
        <v>45472</v>
      </c>
      <c r="D11018" s="1">
        <v>5250</v>
      </c>
      <c r="E11018" s="1">
        <v>6000</v>
      </c>
      <c r="F11018" s="1">
        <v>20000</v>
      </c>
      <c r="G11018" s="2">
        <f t="shared" si="172"/>
        <v>-14000</v>
      </c>
      <c r="H11018" t="s">
        <v>8</v>
      </c>
    </row>
    <row r="11019" spans="2:8" x14ac:dyDescent="0.2">
      <c r="B11019" s="3">
        <v>45472</v>
      </c>
      <c r="G11019" s="2">
        <f t="shared" si="172"/>
        <v>0</v>
      </c>
      <c r="H11019" t="s">
        <v>5</v>
      </c>
    </row>
    <row r="11020" spans="2:8" x14ac:dyDescent="0.2">
      <c r="B11020" s="3">
        <v>45472</v>
      </c>
      <c r="G11020" s="2">
        <f t="shared" si="172"/>
        <v>0</v>
      </c>
      <c r="H11020" s="1"/>
    </row>
    <row r="11021" spans="2:8" x14ac:dyDescent="0.2">
      <c r="B11021" s="3">
        <v>45472</v>
      </c>
      <c r="G11021" s="2">
        <f t="shared" si="172"/>
        <v>0</v>
      </c>
      <c r="H11021" t="s">
        <v>0</v>
      </c>
    </row>
    <row r="11022" spans="2:8" x14ac:dyDescent="0.2">
      <c r="B11022" s="3">
        <v>45473</v>
      </c>
      <c r="D11022" s="1">
        <v>9000</v>
      </c>
      <c r="E11022" s="1">
        <v>12100</v>
      </c>
      <c r="G11022" s="2">
        <f t="shared" si="172"/>
        <v>12100</v>
      </c>
      <c r="H11022" t="s">
        <v>14</v>
      </c>
    </row>
    <row r="11023" spans="2:8" x14ac:dyDescent="0.2">
      <c r="B11023" s="3">
        <v>45473</v>
      </c>
      <c r="D11023" s="28"/>
      <c r="G11023" s="2">
        <f t="shared" si="172"/>
        <v>0</v>
      </c>
      <c r="H11023" t="s">
        <v>13</v>
      </c>
    </row>
    <row r="11024" spans="2:8" x14ac:dyDescent="0.2">
      <c r="B11024" s="3">
        <v>45473</v>
      </c>
      <c r="D11024" s="28"/>
      <c r="G11024" s="2">
        <f t="shared" si="172"/>
        <v>0</v>
      </c>
      <c r="H11024" t="s">
        <v>26</v>
      </c>
    </row>
    <row r="11025" spans="2:8" x14ac:dyDescent="0.2">
      <c r="B11025" s="3">
        <v>45473</v>
      </c>
      <c r="G11025" s="2">
        <f t="shared" si="172"/>
        <v>0</v>
      </c>
      <c r="H11025" t="s">
        <v>9</v>
      </c>
    </row>
    <row r="11026" spans="2:8" x14ac:dyDescent="0.2">
      <c r="B11026" s="3">
        <v>45473</v>
      </c>
      <c r="G11026" s="2">
        <f t="shared" si="172"/>
        <v>0</v>
      </c>
      <c r="H11026" t="s">
        <v>8</v>
      </c>
    </row>
    <row r="11027" spans="2:8" x14ac:dyDescent="0.2">
      <c r="B11027" s="3">
        <v>45473</v>
      </c>
      <c r="G11027" s="2">
        <f t="shared" si="172"/>
        <v>0</v>
      </c>
      <c r="H11027" t="s">
        <v>5</v>
      </c>
    </row>
    <row r="11028" spans="2:8" x14ac:dyDescent="0.2">
      <c r="B11028" s="3">
        <v>45473</v>
      </c>
      <c r="G11028" s="2">
        <f t="shared" si="172"/>
        <v>0</v>
      </c>
      <c r="H11028" s="1"/>
    </row>
    <row r="11029" spans="2:8" x14ac:dyDescent="0.2">
      <c r="B11029" s="3">
        <v>45473</v>
      </c>
      <c r="G11029" s="2">
        <f t="shared" si="172"/>
        <v>0</v>
      </c>
      <c r="H11029" t="s">
        <v>0</v>
      </c>
    </row>
    <row r="11030" spans="2:8" x14ac:dyDescent="0.2">
      <c r="B11030" s="3">
        <v>45474</v>
      </c>
      <c r="G11030" s="2">
        <f t="shared" si="172"/>
        <v>0</v>
      </c>
      <c r="H11030" t="s">
        <v>14</v>
      </c>
    </row>
    <row r="11031" spans="2:8" x14ac:dyDescent="0.2">
      <c r="B11031" s="3">
        <v>45474</v>
      </c>
      <c r="D11031" s="28"/>
      <c r="G11031" s="2">
        <f t="shared" si="172"/>
        <v>0</v>
      </c>
      <c r="H11031" t="s">
        <v>13</v>
      </c>
    </row>
    <row r="11032" spans="2:8" x14ac:dyDescent="0.2">
      <c r="B11032" s="3">
        <v>45474</v>
      </c>
      <c r="D11032" s="28"/>
      <c r="G11032" s="2">
        <f t="shared" si="172"/>
        <v>0</v>
      </c>
      <c r="H11032" t="s">
        <v>26</v>
      </c>
    </row>
    <row r="11033" spans="2:8" x14ac:dyDescent="0.2">
      <c r="B11033" s="3">
        <v>45474</v>
      </c>
      <c r="G11033" s="2">
        <f t="shared" si="172"/>
        <v>0</v>
      </c>
      <c r="H11033" t="s">
        <v>9</v>
      </c>
    </row>
    <row r="11034" spans="2:8" x14ac:dyDescent="0.2">
      <c r="B11034" s="3">
        <v>45474</v>
      </c>
      <c r="G11034" s="2">
        <f t="shared" si="172"/>
        <v>0</v>
      </c>
      <c r="H11034" t="s">
        <v>8</v>
      </c>
    </row>
    <row r="11035" spans="2:8" x14ac:dyDescent="0.2">
      <c r="B11035" s="3">
        <v>45474</v>
      </c>
      <c r="G11035" s="2">
        <f t="shared" si="172"/>
        <v>0</v>
      </c>
      <c r="H11035" t="s">
        <v>5</v>
      </c>
    </row>
    <row r="11036" spans="2:8" x14ac:dyDescent="0.2">
      <c r="B11036" s="3">
        <v>45474</v>
      </c>
      <c r="G11036" s="2">
        <f t="shared" si="172"/>
        <v>0</v>
      </c>
      <c r="H11036" s="1"/>
    </row>
    <row r="11037" spans="2:8" x14ac:dyDescent="0.2">
      <c r="B11037" s="3">
        <v>45474</v>
      </c>
      <c r="G11037" s="2">
        <f t="shared" si="172"/>
        <v>0</v>
      </c>
      <c r="H11037" t="s">
        <v>0</v>
      </c>
    </row>
    <row r="11038" spans="2:8" x14ac:dyDescent="0.2">
      <c r="B11038" s="3">
        <v>45475</v>
      </c>
      <c r="G11038" s="2">
        <f t="shared" si="172"/>
        <v>0</v>
      </c>
      <c r="H11038" t="s">
        <v>14</v>
      </c>
    </row>
    <row r="11039" spans="2:8" x14ac:dyDescent="0.2">
      <c r="B11039" s="3">
        <v>45475</v>
      </c>
      <c r="D11039" s="28"/>
      <c r="G11039" s="2">
        <f t="shared" si="172"/>
        <v>0</v>
      </c>
      <c r="H11039" t="s">
        <v>13</v>
      </c>
    </row>
    <row r="11040" spans="2:8" x14ac:dyDescent="0.2">
      <c r="B11040" s="3">
        <v>45475</v>
      </c>
      <c r="D11040" s="28"/>
      <c r="G11040" s="2">
        <f t="shared" si="172"/>
        <v>0</v>
      </c>
      <c r="H11040" t="s">
        <v>26</v>
      </c>
    </row>
    <row r="11041" spans="2:8" x14ac:dyDescent="0.2">
      <c r="B11041" s="3">
        <v>45475</v>
      </c>
      <c r="G11041" s="2">
        <f t="shared" si="172"/>
        <v>0</v>
      </c>
      <c r="H11041" t="s">
        <v>9</v>
      </c>
    </row>
    <row r="11042" spans="2:8" x14ac:dyDescent="0.2">
      <c r="B11042" s="3">
        <v>45475</v>
      </c>
      <c r="G11042" s="2">
        <f t="shared" si="172"/>
        <v>0</v>
      </c>
      <c r="H11042" t="s">
        <v>8</v>
      </c>
    </row>
    <row r="11043" spans="2:8" x14ac:dyDescent="0.2">
      <c r="B11043" s="3">
        <v>45475</v>
      </c>
      <c r="G11043" s="2">
        <f t="shared" si="172"/>
        <v>0</v>
      </c>
      <c r="H11043" t="s">
        <v>5</v>
      </c>
    </row>
    <row r="11044" spans="2:8" x14ac:dyDescent="0.2">
      <c r="B11044" s="3">
        <v>45475</v>
      </c>
      <c r="G11044" s="2">
        <f t="shared" si="172"/>
        <v>0</v>
      </c>
      <c r="H11044" s="1"/>
    </row>
    <row r="11045" spans="2:8" x14ac:dyDescent="0.2">
      <c r="B11045" s="3">
        <v>45475</v>
      </c>
      <c r="D11045" s="1">
        <v>92715.24</v>
      </c>
      <c r="E11045" s="1">
        <v>96117.28</v>
      </c>
      <c r="G11045" s="2">
        <f t="shared" si="172"/>
        <v>96117.28</v>
      </c>
      <c r="H11045" t="s">
        <v>0</v>
      </c>
    </row>
    <row r="11046" spans="2:8" x14ac:dyDescent="0.2">
      <c r="B11046" s="3">
        <v>45476</v>
      </c>
      <c r="D11046" s="1">
        <v>19760</v>
      </c>
      <c r="E11046" s="1">
        <v>23890</v>
      </c>
      <c r="F11046" s="1">
        <v>15000</v>
      </c>
      <c r="G11046" s="2">
        <f t="shared" si="172"/>
        <v>8890</v>
      </c>
      <c r="H11046" t="s">
        <v>14</v>
      </c>
    </row>
    <row r="11047" spans="2:8" x14ac:dyDescent="0.2">
      <c r="B11047" s="3">
        <v>45476</v>
      </c>
      <c r="D11047" s="28"/>
      <c r="G11047" s="2">
        <f t="shared" si="172"/>
        <v>0</v>
      </c>
      <c r="H11047" t="s">
        <v>13</v>
      </c>
    </row>
    <row r="11048" spans="2:8" x14ac:dyDescent="0.2">
      <c r="B11048" s="3">
        <v>45476</v>
      </c>
      <c r="D11048" s="28"/>
      <c r="G11048" s="2">
        <f t="shared" si="172"/>
        <v>0</v>
      </c>
      <c r="H11048" t="s">
        <v>26</v>
      </c>
    </row>
    <row r="11049" spans="2:8" x14ac:dyDescent="0.2">
      <c r="B11049" s="3">
        <v>45476</v>
      </c>
      <c r="G11049" s="2">
        <f t="shared" si="172"/>
        <v>0</v>
      </c>
      <c r="H11049" t="s">
        <v>9</v>
      </c>
    </row>
    <row r="11050" spans="2:8" x14ac:dyDescent="0.2">
      <c r="B11050" s="3">
        <v>45476</v>
      </c>
      <c r="G11050" s="2">
        <f t="shared" si="172"/>
        <v>0</v>
      </c>
      <c r="H11050" t="s">
        <v>8</v>
      </c>
    </row>
    <row r="11051" spans="2:8" x14ac:dyDescent="0.2">
      <c r="B11051" s="3">
        <v>45476</v>
      </c>
      <c r="G11051" s="2">
        <f t="shared" si="172"/>
        <v>0</v>
      </c>
      <c r="H11051" t="s">
        <v>5</v>
      </c>
    </row>
    <row r="11052" spans="2:8" x14ac:dyDescent="0.2">
      <c r="B11052" s="3">
        <v>45476</v>
      </c>
      <c r="D11052" s="1">
        <v>4812.5</v>
      </c>
      <c r="E11052" s="1">
        <v>5156</v>
      </c>
      <c r="F11052" s="1">
        <v>13150</v>
      </c>
      <c r="G11052" s="2">
        <f t="shared" si="172"/>
        <v>-7994</v>
      </c>
      <c r="H11052" s="1" t="s">
        <v>83</v>
      </c>
    </row>
    <row r="11053" spans="2:8" x14ac:dyDescent="0.2">
      <c r="B11053" s="3">
        <v>45476</v>
      </c>
      <c r="G11053" s="2">
        <f t="shared" si="172"/>
        <v>0</v>
      </c>
      <c r="H11053" t="s">
        <v>0</v>
      </c>
    </row>
    <row r="11054" spans="2:8" x14ac:dyDescent="0.2">
      <c r="B11054" s="3">
        <v>45477</v>
      </c>
      <c r="G11054" s="2">
        <f t="shared" si="172"/>
        <v>0</v>
      </c>
      <c r="H11054" t="s">
        <v>14</v>
      </c>
    </row>
    <row r="11055" spans="2:8" x14ac:dyDescent="0.2">
      <c r="B11055" s="3">
        <v>45477</v>
      </c>
      <c r="D11055" s="28"/>
      <c r="G11055" s="2">
        <f t="shared" si="172"/>
        <v>0</v>
      </c>
      <c r="H11055" t="s">
        <v>13</v>
      </c>
    </row>
    <row r="11056" spans="2:8" x14ac:dyDescent="0.2">
      <c r="B11056" s="3">
        <v>45477</v>
      </c>
      <c r="D11056" s="28"/>
      <c r="G11056" s="2">
        <f t="shared" si="172"/>
        <v>0</v>
      </c>
      <c r="H11056" t="s">
        <v>26</v>
      </c>
    </row>
    <row r="11057" spans="2:8" x14ac:dyDescent="0.2">
      <c r="B11057" s="3">
        <v>45477</v>
      </c>
      <c r="G11057" s="2">
        <f t="shared" si="172"/>
        <v>0</v>
      </c>
      <c r="H11057" t="s">
        <v>9</v>
      </c>
    </row>
    <row r="11058" spans="2:8" x14ac:dyDescent="0.2">
      <c r="B11058" s="3">
        <v>45477</v>
      </c>
      <c r="G11058" s="2">
        <f t="shared" si="172"/>
        <v>0</v>
      </c>
      <c r="H11058" t="s">
        <v>8</v>
      </c>
    </row>
    <row r="11059" spans="2:8" x14ac:dyDescent="0.2">
      <c r="B11059" s="3">
        <v>45477</v>
      </c>
      <c r="G11059" s="2">
        <f t="shared" si="172"/>
        <v>0</v>
      </c>
      <c r="H11059" t="s">
        <v>5</v>
      </c>
    </row>
    <row r="11060" spans="2:8" x14ac:dyDescent="0.2">
      <c r="B11060" s="3">
        <v>45477</v>
      </c>
      <c r="G11060" s="2">
        <f t="shared" si="172"/>
        <v>0</v>
      </c>
      <c r="H11060" s="1"/>
    </row>
    <row r="11061" spans="2:8" x14ac:dyDescent="0.2">
      <c r="B11061" s="3">
        <v>45477</v>
      </c>
      <c r="G11061" s="2">
        <f t="shared" si="172"/>
        <v>0</v>
      </c>
      <c r="H11061" t="s">
        <v>0</v>
      </c>
    </row>
    <row r="11062" spans="2:8" x14ac:dyDescent="0.2">
      <c r="B11062" s="3">
        <v>45478</v>
      </c>
      <c r="G11062" s="2">
        <f t="shared" si="172"/>
        <v>0</v>
      </c>
      <c r="H11062" t="s">
        <v>14</v>
      </c>
    </row>
    <row r="11063" spans="2:8" x14ac:dyDescent="0.2">
      <c r="B11063" s="3">
        <v>45478</v>
      </c>
      <c r="D11063" s="28"/>
      <c r="G11063" s="2">
        <f t="shared" si="172"/>
        <v>0</v>
      </c>
      <c r="H11063" t="s">
        <v>13</v>
      </c>
    </row>
    <row r="11064" spans="2:8" x14ac:dyDescent="0.2">
      <c r="B11064" s="3">
        <v>45478</v>
      </c>
      <c r="D11064" s="28"/>
      <c r="G11064" s="2">
        <f t="shared" si="172"/>
        <v>0</v>
      </c>
      <c r="H11064" t="s">
        <v>26</v>
      </c>
    </row>
    <row r="11065" spans="2:8" x14ac:dyDescent="0.2">
      <c r="B11065" s="3">
        <v>45478</v>
      </c>
      <c r="G11065" s="2">
        <f t="shared" si="172"/>
        <v>0</v>
      </c>
      <c r="H11065" t="s">
        <v>9</v>
      </c>
    </row>
    <row r="11066" spans="2:8" x14ac:dyDescent="0.2">
      <c r="B11066" s="3">
        <v>45478</v>
      </c>
      <c r="G11066" s="2">
        <f t="shared" si="172"/>
        <v>0</v>
      </c>
      <c r="H11066" t="s">
        <v>8</v>
      </c>
    </row>
    <row r="11067" spans="2:8" x14ac:dyDescent="0.2">
      <c r="B11067" s="3">
        <v>45478</v>
      </c>
      <c r="G11067" s="2">
        <f t="shared" si="172"/>
        <v>0</v>
      </c>
      <c r="H11067" t="s">
        <v>5</v>
      </c>
    </row>
    <row r="11068" spans="2:8" x14ac:dyDescent="0.2">
      <c r="B11068" s="3">
        <v>45478</v>
      </c>
      <c r="G11068" s="2">
        <f t="shared" si="172"/>
        <v>0</v>
      </c>
      <c r="H11068" s="1"/>
    </row>
    <row r="11069" spans="2:8" x14ac:dyDescent="0.2">
      <c r="B11069" s="3">
        <v>45478</v>
      </c>
      <c r="F11069" s="1">
        <v>103100</v>
      </c>
      <c r="G11069" s="2">
        <f t="shared" si="172"/>
        <v>-103100</v>
      </c>
      <c r="H11069" t="s">
        <v>0</v>
      </c>
    </row>
    <row r="11070" spans="2:8" x14ac:dyDescent="0.2">
      <c r="B11070" s="3">
        <v>45479</v>
      </c>
      <c r="G11070" s="2">
        <f t="shared" si="172"/>
        <v>0</v>
      </c>
      <c r="H11070" t="s">
        <v>14</v>
      </c>
    </row>
    <row r="11071" spans="2:8" x14ac:dyDescent="0.2">
      <c r="B11071" s="3">
        <v>45479</v>
      </c>
      <c r="D11071" s="28"/>
      <c r="G11071" s="2">
        <f t="shared" si="172"/>
        <v>0</v>
      </c>
      <c r="H11071" t="s">
        <v>13</v>
      </c>
    </row>
    <row r="11072" spans="2:8" x14ac:dyDescent="0.2">
      <c r="B11072" s="3">
        <v>45479</v>
      </c>
      <c r="D11072" s="28"/>
      <c r="G11072" s="2">
        <f t="shared" si="172"/>
        <v>0</v>
      </c>
      <c r="H11072" t="s">
        <v>26</v>
      </c>
    </row>
    <row r="11073" spans="2:8" x14ac:dyDescent="0.2">
      <c r="B11073" s="3">
        <v>45479</v>
      </c>
      <c r="G11073" s="2">
        <f t="shared" si="172"/>
        <v>0</v>
      </c>
      <c r="H11073" t="s">
        <v>9</v>
      </c>
    </row>
    <row r="11074" spans="2:8" x14ac:dyDescent="0.2">
      <c r="B11074" s="3">
        <v>45479</v>
      </c>
      <c r="G11074" s="2">
        <f t="shared" si="172"/>
        <v>0</v>
      </c>
      <c r="H11074" t="s">
        <v>8</v>
      </c>
    </row>
    <row r="11075" spans="2:8" x14ac:dyDescent="0.2">
      <c r="B11075" s="3">
        <v>45479</v>
      </c>
      <c r="G11075" s="2">
        <f t="shared" ref="G11075:G11138" si="173">E11075-F11075</f>
        <v>0</v>
      </c>
      <c r="H11075" t="s">
        <v>5</v>
      </c>
    </row>
    <row r="11076" spans="2:8" x14ac:dyDescent="0.2">
      <c r="B11076" s="3">
        <v>45479</v>
      </c>
      <c r="G11076" s="2">
        <f t="shared" si="173"/>
        <v>0</v>
      </c>
      <c r="H11076" s="1"/>
    </row>
    <row r="11077" spans="2:8" x14ac:dyDescent="0.2">
      <c r="B11077" s="3">
        <v>45479</v>
      </c>
      <c r="G11077" s="2">
        <f t="shared" si="173"/>
        <v>0</v>
      </c>
      <c r="H11077" t="s">
        <v>0</v>
      </c>
    </row>
    <row r="11078" spans="2:8" x14ac:dyDescent="0.2">
      <c r="B11078" s="3">
        <v>45480</v>
      </c>
      <c r="G11078" s="2">
        <f t="shared" si="173"/>
        <v>0</v>
      </c>
      <c r="H11078" t="s">
        <v>14</v>
      </c>
    </row>
    <row r="11079" spans="2:8" x14ac:dyDescent="0.2">
      <c r="B11079" s="3">
        <v>45480</v>
      </c>
      <c r="D11079" s="28"/>
      <c r="G11079" s="2">
        <f t="shared" si="173"/>
        <v>0</v>
      </c>
      <c r="H11079" t="s">
        <v>13</v>
      </c>
    </row>
    <row r="11080" spans="2:8" x14ac:dyDescent="0.2">
      <c r="B11080" s="3">
        <v>45480</v>
      </c>
      <c r="D11080" s="28"/>
      <c r="G11080" s="2">
        <f t="shared" si="173"/>
        <v>0</v>
      </c>
      <c r="H11080" t="s">
        <v>26</v>
      </c>
    </row>
    <row r="11081" spans="2:8" x14ac:dyDescent="0.2">
      <c r="B11081" s="3">
        <v>45480</v>
      </c>
      <c r="G11081" s="2">
        <f t="shared" si="173"/>
        <v>0</v>
      </c>
      <c r="H11081" t="s">
        <v>25</v>
      </c>
    </row>
    <row r="11082" spans="2:8" x14ac:dyDescent="0.2">
      <c r="B11082" s="3">
        <v>45480</v>
      </c>
      <c r="G11082" s="2">
        <f t="shared" si="173"/>
        <v>0</v>
      </c>
      <c r="H11082" t="s">
        <v>9</v>
      </c>
    </row>
    <row r="11083" spans="2:8" x14ac:dyDescent="0.2">
      <c r="B11083" s="3">
        <v>45480</v>
      </c>
      <c r="G11083" s="2">
        <f t="shared" si="173"/>
        <v>0</v>
      </c>
      <c r="H11083" t="s">
        <v>8</v>
      </c>
    </row>
    <row r="11084" spans="2:8" x14ac:dyDescent="0.2">
      <c r="B11084" s="3">
        <v>45480</v>
      </c>
      <c r="G11084" s="2">
        <f t="shared" si="173"/>
        <v>0</v>
      </c>
      <c r="H11084" t="s">
        <v>5</v>
      </c>
    </row>
    <row r="11085" spans="2:8" x14ac:dyDescent="0.2">
      <c r="B11085" s="3">
        <v>45480</v>
      </c>
      <c r="G11085" s="2">
        <f t="shared" si="173"/>
        <v>0</v>
      </c>
      <c r="H11085" s="1"/>
    </row>
    <row r="11086" spans="2:8" x14ac:dyDescent="0.2">
      <c r="B11086" s="3">
        <v>45480</v>
      </c>
      <c r="G11086" s="2">
        <f t="shared" si="173"/>
        <v>0</v>
      </c>
      <c r="H11086" t="s">
        <v>0</v>
      </c>
    </row>
    <row r="11087" spans="2:8" x14ac:dyDescent="0.2">
      <c r="B11087" s="3">
        <v>45481</v>
      </c>
      <c r="G11087" s="2">
        <f t="shared" si="173"/>
        <v>0</v>
      </c>
      <c r="H11087" t="s">
        <v>14</v>
      </c>
    </row>
    <row r="11088" spans="2:8" x14ac:dyDescent="0.2">
      <c r="B11088" s="3">
        <v>45481</v>
      </c>
      <c r="D11088" s="28"/>
      <c r="G11088" s="2">
        <f t="shared" si="173"/>
        <v>0</v>
      </c>
      <c r="H11088" t="s">
        <v>13</v>
      </c>
    </row>
    <row r="11089" spans="2:8" x14ac:dyDescent="0.2">
      <c r="B11089" s="3">
        <v>45481</v>
      </c>
      <c r="D11089" s="28">
        <v>880</v>
      </c>
      <c r="E11089" s="1">
        <v>1100</v>
      </c>
      <c r="F11089" s="1">
        <v>1100</v>
      </c>
      <c r="G11089" s="2">
        <f t="shared" si="173"/>
        <v>0</v>
      </c>
      <c r="H11089" t="s">
        <v>26</v>
      </c>
    </row>
    <row r="11090" spans="2:8" x14ac:dyDescent="0.2">
      <c r="B11090" s="3">
        <v>45481</v>
      </c>
      <c r="D11090" s="1">
        <v>880</v>
      </c>
      <c r="E11090" s="1">
        <v>1100</v>
      </c>
      <c r="F11090" s="1">
        <v>1100</v>
      </c>
      <c r="G11090" s="2">
        <f t="shared" si="173"/>
        <v>0</v>
      </c>
      <c r="H11090" t="s">
        <v>25</v>
      </c>
    </row>
    <row r="11091" spans="2:8" x14ac:dyDescent="0.2">
      <c r="B11091" s="3">
        <v>45481</v>
      </c>
      <c r="G11091" s="2">
        <f t="shared" si="173"/>
        <v>0</v>
      </c>
      <c r="H11091" t="s">
        <v>9</v>
      </c>
    </row>
    <row r="11092" spans="2:8" x14ac:dyDescent="0.2">
      <c r="B11092" s="3">
        <v>45481</v>
      </c>
      <c r="D11092" s="1">
        <v>23023</v>
      </c>
      <c r="E11092" s="1">
        <v>27095</v>
      </c>
      <c r="F11092" s="1">
        <v>25000</v>
      </c>
      <c r="G11092" s="2">
        <f t="shared" si="173"/>
        <v>2095</v>
      </c>
      <c r="H11092" t="s">
        <v>8</v>
      </c>
    </row>
    <row r="11093" spans="2:8" x14ac:dyDescent="0.2">
      <c r="B11093" s="3">
        <v>45481</v>
      </c>
      <c r="G11093" s="2">
        <f t="shared" si="173"/>
        <v>0</v>
      </c>
      <c r="H11093" t="s">
        <v>5</v>
      </c>
    </row>
    <row r="11094" spans="2:8" x14ac:dyDescent="0.2">
      <c r="B11094" s="3">
        <v>45481</v>
      </c>
      <c r="D11094" s="1">
        <v>2845</v>
      </c>
      <c r="E11094" s="1">
        <v>3130</v>
      </c>
      <c r="F11094" s="1">
        <v>3130</v>
      </c>
      <c r="G11094" s="2">
        <f t="shared" si="173"/>
        <v>0</v>
      </c>
      <c r="H11094" s="1" t="s">
        <v>83</v>
      </c>
    </row>
    <row r="11095" spans="2:8" x14ac:dyDescent="0.2">
      <c r="B11095" s="3">
        <v>45481</v>
      </c>
      <c r="G11095" s="2">
        <f t="shared" si="173"/>
        <v>0</v>
      </c>
      <c r="H11095" t="s">
        <v>0</v>
      </c>
    </row>
    <row r="11096" spans="2:8" x14ac:dyDescent="0.2">
      <c r="B11096" s="3">
        <v>45482</v>
      </c>
      <c r="G11096" s="2">
        <f t="shared" si="173"/>
        <v>0</v>
      </c>
      <c r="H11096" t="s">
        <v>14</v>
      </c>
    </row>
    <row r="11097" spans="2:8" x14ac:dyDescent="0.2">
      <c r="B11097" s="3">
        <v>45482</v>
      </c>
      <c r="D11097" s="28"/>
      <c r="G11097" s="2">
        <f t="shared" si="173"/>
        <v>0</v>
      </c>
      <c r="H11097" t="s">
        <v>13</v>
      </c>
    </row>
    <row r="11098" spans="2:8" x14ac:dyDescent="0.2">
      <c r="B11098" s="3">
        <v>45482</v>
      </c>
      <c r="D11098" s="28"/>
      <c r="G11098" s="2">
        <f t="shared" si="173"/>
        <v>0</v>
      </c>
      <c r="H11098" t="s">
        <v>26</v>
      </c>
    </row>
    <row r="11099" spans="2:8" x14ac:dyDescent="0.2">
      <c r="B11099" s="3">
        <v>45482</v>
      </c>
      <c r="G11099" s="2">
        <f t="shared" si="173"/>
        <v>0</v>
      </c>
      <c r="H11099" t="s">
        <v>25</v>
      </c>
    </row>
    <row r="11100" spans="2:8" x14ac:dyDescent="0.2">
      <c r="B11100" s="3">
        <v>45482</v>
      </c>
      <c r="G11100" s="2">
        <f t="shared" si="173"/>
        <v>0</v>
      </c>
      <c r="H11100" t="s">
        <v>9</v>
      </c>
    </row>
    <row r="11101" spans="2:8" x14ac:dyDescent="0.2">
      <c r="B11101" s="3">
        <v>45482</v>
      </c>
      <c r="D11101" s="1">
        <v>89240</v>
      </c>
      <c r="E11101" s="1">
        <v>99045</v>
      </c>
      <c r="F11101" s="1">
        <v>50000</v>
      </c>
      <c r="G11101" s="2">
        <f t="shared" si="173"/>
        <v>49045</v>
      </c>
      <c r="H11101" t="s">
        <v>8</v>
      </c>
    </row>
    <row r="11102" spans="2:8" x14ac:dyDescent="0.2">
      <c r="B11102" s="3">
        <v>45482</v>
      </c>
      <c r="G11102" s="2">
        <f t="shared" si="173"/>
        <v>0</v>
      </c>
      <c r="H11102" t="s">
        <v>5</v>
      </c>
    </row>
    <row r="11103" spans="2:8" x14ac:dyDescent="0.2">
      <c r="B11103" s="3">
        <v>45482</v>
      </c>
      <c r="G11103" s="2">
        <f t="shared" si="173"/>
        <v>0</v>
      </c>
      <c r="H11103" s="1"/>
    </row>
    <row r="11104" spans="2:8" x14ac:dyDescent="0.2">
      <c r="B11104" s="3">
        <v>45482</v>
      </c>
      <c r="G11104" s="2">
        <f t="shared" si="173"/>
        <v>0</v>
      </c>
      <c r="H11104" t="s">
        <v>0</v>
      </c>
    </row>
    <row r="11105" spans="2:8" x14ac:dyDescent="0.2">
      <c r="B11105" s="3">
        <v>45483</v>
      </c>
      <c r="G11105" s="2">
        <f t="shared" si="173"/>
        <v>0</v>
      </c>
      <c r="H11105" t="s">
        <v>14</v>
      </c>
    </row>
    <row r="11106" spans="2:8" x14ac:dyDescent="0.2">
      <c r="B11106" s="3">
        <v>45483</v>
      </c>
      <c r="D11106" s="28"/>
      <c r="G11106" s="2">
        <f t="shared" si="173"/>
        <v>0</v>
      </c>
      <c r="H11106" t="s">
        <v>13</v>
      </c>
    </row>
    <row r="11107" spans="2:8" x14ac:dyDescent="0.2">
      <c r="B11107" s="3">
        <v>45483</v>
      </c>
      <c r="D11107" s="28"/>
      <c r="G11107" s="2">
        <f t="shared" si="173"/>
        <v>0</v>
      </c>
      <c r="H11107" t="s">
        <v>26</v>
      </c>
    </row>
    <row r="11108" spans="2:8" x14ac:dyDescent="0.2">
      <c r="B11108" s="3">
        <v>45483</v>
      </c>
      <c r="G11108" s="2">
        <f t="shared" si="173"/>
        <v>0</v>
      </c>
      <c r="H11108" t="s">
        <v>25</v>
      </c>
    </row>
    <row r="11109" spans="2:8" x14ac:dyDescent="0.2">
      <c r="B11109" s="3">
        <v>45483</v>
      </c>
      <c r="G11109" s="2">
        <f t="shared" si="173"/>
        <v>0</v>
      </c>
      <c r="H11109" t="s">
        <v>9</v>
      </c>
    </row>
    <row r="11110" spans="2:8" x14ac:dyDescent="0.2">
      <c r="B11110" s="3">
        <v>45483</v>
      </c>
      <c r="D11110" s="1">
        <v>10550</v>
      </c>
      <c r="E11110" s="1">
        <v>11880</v>
      </c>
      <c r="G11110" s="2">
        <f t="shared" si="173"/>
        <v>11880</v>
      </c>
      <c r="H11110" t="s">
        <v>8</v>
      </c>
    </row>
    <row r="11111" spans="2:8" x14ac:dyDescent="0.2">
      <c r="B11111" s="3">
        <v>45483</v>
      </c>
      <c r="G11111" s="2">
        <f t="shared" si="173"/>
        <v>0</v>
      </c>
      <c r="H11111" t="s">
        <v>5</v>
      </c>
    </row>
    <row r="11112" spans="2:8" x14ac:dyDescent="0.2">
      <c r="B11112" s="3">
        <v>45483</v>
      </c>
      <c r="G11112" s="2">
        <f t="shared" si="173"/>
        <v>0</v>
      </c>
      <c r="H11112" s="1"/>
    </row>
    <row r="11113" spans="2:8" x14ac:dyDescent="0.2">
      <c r="B11113" s="3">
        <v>45483</v>
      </c>
      <c r="G11113" s="2">
        <f t="shared" si="173"/>
        <v>0</v>
      </c>
      <c r="H11113" t="s">
        <v>0</v>
      </c>
    </row>
    <row r="11114" spans="2:8" x14ac:dyDescent="0.2">
      <c r="B11114" s="3">
        <v>45484</v>
      </c>
      <c r="G11114" s="2">
        <f t="shared" si="173"/>
        <v>0</v>
      </c>
      <c r="H11114" t="s">
        <v>14</v>
      </c>
    </row>
    <row r="11115" spans="2:8" x14ac:dyDescent="0.2">
      <c r="B11115" s="3">
        <v>45484</v>
      </c>
      <c r="D11115" s="28"/>
      <c r="G11115" s="2">
        <f t="shared" si="173"/>
        <v>0</v>
      </c>
      <c r="H11115" t="s">
        <v>13</v>
      </c>
    </row>
    <row r="11116" spans="2:8" x14ac:dyDescent="0.2">
      <c r="B11116" s="3">
        <v>45484</v>
      </c>
      <c r="D11116" s="28"/>
      <c r="G11116" s="2">
        <f t="shared" si="173"/>
        <v>0</v>
      </c>
      <c r="H11116" t="s">
        <v>26</v>
      </c>
    </row>
    <row r="11117" spans="2:8" x14ac:dyDescent="0.2">
      <c r="B11117" s="3">
        <v>45484</v>
      </c>
      <c r="G11117" s="2">
        <f t="shared" si="173"/>
        <v>0</v>
      </c>
      <c r="H11117" t="s">
        <v>25</v>
      </c>
    </row>
    <row r="11118" spans="2:8" x14ac:dyDescent="0.2">
      <c r="B11118" s="3">
        <v>45484</v>
      </c>
      <c r="G11118" s="2">
        <f t="shared" si="173"/>
        <v>0</v>
      </c>
      <c r="H11118" t="s">
        <v>9</v>
      </c>
    </row>
    <row r="11119" spans="2:8" x14ac:dyDescent="0.2">
      <c r="B11119" s="3">
        <v>45484</v>
      </c>
      <c r="G11119" s="2">
        <f t="shared" si="173"/>
        <v>0</v>
      </c>
      <c r="H11119" t="s">
        <v>8</v>
      </c>
    </row>
    <row r="11120" spans="2:8" x14ac:dyDescent="0.2">
      <c r="B11120" s="3">
        <v>45484</v>
      </c>
      <c r="G11120" s="2">
        <f t="shared" si="173"/>
        <v>0</v>
      </c>
      <c r="H11120" t="s">
        <v>5</v>
      </c>
    </row>
    <row r="11121" spans="2:8" x14ac:dyDescent="0.2">
      <c r="B11121" s="3">
        <v>45484</v>
      </c>
      <c r="G11121" s="2">
        <f t="shared" si="173"/>
        <v>0</v>
      </c>
      <c r="H11121" s="1"/>
    </row>
    <row r="11122" spans="2:8" x14ac:dyDescent="0.2">
      <c r="B11122" s="3">
        <v>45484</v>
      </c>
      <c r="G11122" s="2">
        <f t="shared" si="173"/>
        <v>0</v>
      </c>
      <c r="H11122" t="s">
        <v>0</v>
      </c>
    </row>
    <row r="11123" spans="2:8" x14ac:dyDescent="0.2">
      <c r="B11123" s="3">
        <v>45485</v>
      </c>
      <c r="F11123" s="1">
        <v>10000</v>
      </c>
      <c r="G11123" s="2">
        <f t="shared" si="173"/>
        <v>-10000</v>
      </c>
      <c r="H11123" t="s">
        <v>14</v>
      </c>
    </row>
    <row r="11124" spans="2:8" x14ac:dyDescent="0.2">
      <c r="B11124" s="3">
        <v>45485</v>
      </c>
      <c r="D11124" s="28"/>
      <c r="G11124" s="2">
        <f t="shared" si="173"/>
        <v>0</v>
      </c>
      <c r="H11124" t="s">
        <v>13</v>
      </c>
    </row>
    <row r="11125" spans="2:8" x14ac:dyDescent="0.2">
      <c r="B11125" s="3">
        <v>45485</v>
      </c>
      <c r="D11125" s="28"/>
      <c r="G11125" s="2">
        <f t="shared" si="173"/>
        <v>0</v>
      </c>
      <c r="H11125" t="s">
        <v>26</v>
      </c>
    </row>
    <row r="11126" spans="2:8" x14ac:dyDescent="0.2">
      <c r="B11126" s="3">
        <v>45485</v>
      </c>
      <c r="G11126" s="2">
        <f t="shared" si="173"/>
        <v>0</v>
      </c>
      <c r="H11126" t="s">
        <v>25</v>
      </c>
    </row>
    <row r="11127" spans="2:8" x14ac:dyDescent="0.2">
      <c r="B11127" s="3">
        <v>45485</v>
      </c>
      <c r="G11127" s="2">
        <f t="shared" si="173"/>
        <v>0</v>
      </c>
      <c r="H11127" t="s">
        <v>9</v>
      </c>
    </row>
    <row r="11128" spans="2:8" x14ac:dyDescent="0.2">
      <c r="B11128" s="3">
        <v>45485</v>
      </c>
      <c r="G11128" s="2">
        <f t="shared" si="173"/>
        <v>0</v>
      </c>
      <c r="H11128" t="s">
        <v>8</v>
      </c>
    </row>
    <row r="11129" spans="2:8" x14ac:dyDescent="0.2">
      <c r="B11129" s="3">
        <v>45485</v>
      </c>
      <c r="G11129" s="2">
        <f t="shared" si="173"/>
        <v>0</v>
      </c>
      <c r="H11129" t="s">
        <v>5</v>
      </c>
    </row>
    <row r="11130" spans="2:8" x14ac:dyDescent="0.2">
      <c r="B11130" s="3">
        <v>45485</v>
      </c>
      <c r="G11130" s="2">
        <f t="shared" si="173"/>
        <v>0</v>
      </c>
      <c r="H11130" s="1"/>
    </row>
    <row r="11131" spans="2:8" x14ac:dyDescent="0.2">
      <c r="B11131" s="3">
        <v>45485</v>
      </c>
      <c r="G11131" s="2">
        <f t="shared" si="173"/>
        <v>0</v>
      </c>
      <c r="H11131" t="s">
        <v>0</v>
      </c>
    </row>
    <row r="11132" spans="2:8" x14ac:dyDescent="0.2">
      <c r="B11132" s="3">
        <v>45486</v>
      </c>
      <c r="G11132" s="2">
        <f t="shared" si="173"/>
        <v>0</v>
      </c>
      <c r="H11132" t="s">
        <v>14</v>
      </c>
    </row>
    <row r="11133" spans="2:8" x14ac:dyDescent="0.2">
      <c r="B11133" s="3">
        <v>45486</v>
      </c>
      <c r="D11133" s="28"/>
      <c r="G11133" s="2">
        <f t="shared" si="173"/>
        <v>0</v>
      </c>
      <c r="H11133" t="s">
        <v>13</v>
      </c>
    </row>
    <row r="11134" spans="2:8" x14ac:dyDescent="0.2">
      <c r="B11134" s="3">
        <v>45486</v>
      </c>
      <c r="D11134" s="28"/>
      <c r="G11134" s="2">
        <f t="shared" si="173"/>
        <v>0</v>
      </c>
      <c r="H11134" t="s">
        <v>26</v>
      </c>
    </row>
    <row r="11135" spans="2:8" x14ac:dyDescent="0.2">
      <c r="B11135" s="3">
        <v>45486</v>
      </c>
      <c r="G11135" s="2">
        <f t="shared" si="173"/>
        <v>0</v>
      </c>
      <c r="H11135" t="s">
        <v>25</v>
      </c>
    </row>
    <row r="11136" spans="2:8" x14ac:dyDescent="0.2">
      <c r="B11136" s="3">
        <v>45486</v>
      </c>
      <c r="G11136" s="2">
        <f t="shared" si="173"/>
        <v>0</v>
      </c>
      <c r="H11136" t="s">
        <v>9</v>
      </c>
    </row>
    <row r="11137" spans="2:8" x14ac:dyDescent="0.2">
      <c r="B11137" s="3">
        <v>45486</v>
      </c>
      <c r="G11137" s="2">
        <f t="shared" si="173"/>
        <v>0</v>
      </c>
      <c r="H11137" t="s">
        <v>8</v>
      </c>
    </row>
    <row r="11138" spans="2:8" x14ac:dyDescent="0.2">
      <c r="B11138" s="3">
        <v>45486</v>
      </c>
      <c r="G11138" s="2">
        <f t="shared" si="173"/>
        <v>0</v>
      </c>
      <c r="H11138" t="s">
        <v>5</v>
      </c>
    </row>
    <row r="11139" spans="2:8" x14ac:dyDescent="0.2">
      <c r="B11139" s="3">
        <v>45486</v>
      </c>
      <c r="G11139" s="2">
        <f t="shared" ref="G11139:G11202" si="174">E11139-F11139</f>
        <v>0</v>
      </c>
      <c r="H11139" s="1"/>
    </row>
    <row r="11140" spans="2:8" x14ac:dyDescent="0.2">
      <c r="B11140" s="3">
        <v>45486</v>
      </c>
      <c r="G11140" s="2">
        <f t="shared" si="174"/>
        <v>0</v>
      </c>
      <c r="H11140" t="s">
        <v>0</v>
      </c>
    </row>
    <row r="11141" spans="2:8" x14ac:dyDescent="0.2">
      <c r="B11141" s="3">
        <v>45487</v>
      </c>
      <c r="G11141" s="2">
        <f t="shared" si="174"/>
        <v>0</v>
      </c>
      <c r="H11141" t="s">
        <v>14</v>
      </c>
    </row>
    <row r="11142" spans="2:8" x14ac:dyDescent="0.2">
      <c r="B11142" s="3">
        <v>45487</v>
      </c>
      <c r="D11142" s="28"/>
      <c r="G11142" s="2">
        <f t="shared" si="174"/>
        <v>0</v>
      </c>
      <c r="H11142" t="s">
        <v>13</v>
      </c>
    </row>
    <row r="11143" spans="2:8" x14ac:dyDescent="0.2">
      <c r="B11143" s="3">
        <v>45487</v>
      </c>
      <c r="D11143" s="28"/>
      <c r="G11143" s="2">
        <f t="shared" si="174"/>
        <v>0</v>
      </c>
      <c r="H11143" t="s">
        <v>26</v>
      </c>
    </row>
    <row r="11144" spans="2:8" x14ac:dyDescent="0.2">
      <c r="B11144" s="3">
        <v>45487</v>
      </c>
      <c r="G11144" s="2">
        <f t="shared" si="174"/>
        <v>0</v>
      </c>
      <c r="H11144" t="s">
        <v>25</v>
      </c>
    </row>
    <row r="11145" spans="2:8" x14ac:dyDescent="0.2">
      <c r="B11145" s="3">
        <v>45487</v>
      </c>
      <c r="G11145" s="2">
        <f t="shared" si="174"/>
        <v>0</v>
      </c>
      <c r="H11145" t="s">
        <v>9</v>
      </c>
    </row>
    <row r="11146" spans="2:8" x14ac:dyDescent="0.2">
      <c r="B11146" s="3">
        <v>45487</v>
      </c>
      <c r="G11146" s="2">
        <f t="shared" si="174"/>
        <v>0</v>
      </c>
      <c r="H11146" t="s">
        <v>8</v>
      </c>
    </row>
    <row r="11147" spans="2:8" x14ac:dyDescent="0.2">
      <c r="B11147" s="3">
        <v>45487</v>
      </c>
      <c r="G11147" s="2">
        <f t="shared" si="174"/>
        <v>0</v>
      </c>
      <c r="H11147" t="s">
        <v>5</v>
      </c>
    </row>
    <row r="11148" spans="2:8" x14ac:dyDescent="0.2">
      <c r="B11148" s="3">
        <v>45487</v>
      </c>
      <c r="G11148" s="2">
        <f t="shared" si="174"/>
        <v>0</v>
      </c>
      <c r="H11148" s="1"/>
    </row>
    <row r="11149" spans="2:8" x14ac:dyDescent="0.2">
      <c r="B11149" s="3">
        <v>45487</v>
      </c>
      <c r="G11149" s="2">
        <f t="shared" si="174"/>
        <v>0</v>
      </c>
      <c r="H11149" t="s">
        <v>0</v>
      </c>
    </row>
    <row r="11150" spans="2:8" x14ac:dyDescent="0.2">
      <c r="B11150" s="3">
        <v>45488</v>
      </c>
      <c r="D11150" s="1">
        <v>10550</v>
      </c>
      <c r="E11150" s="1">
        <v>12300</v>
      </c>
      <c r="F11150" s="1">
        <v>10000</v>
      </c>
      <c r="G11150" s="2">
        <f t="shared" si="174"/>
        <v>2300</v>
      </c>
      <c r="H11150" t="s">
        <v>14</v>
      </c>
    </row>
    <row r="11151" spans="2:8" x14ac:dyDescent="0.2">
      <c r="B11151" s="3">
        <v>45488</v>
      </c>
      <c r="D11151" s="28">
        <f>18800+4471.25+2400+4350+1080+1980+1850+7500+110+3867.5+600+892.5+900+192+675+704+15412.5</f>
        <v>65784.75</v>
      </c>
      <c r="E11151" s="1">
        <v>70085</v>
      </c>
      <c r="F11151" s="1">
        <v>70000</v>
      </c>
      <c r="G11151" s="2">
        <f t="shared" si="174"/>
        <v>85</v>
      </c>
      <c r="H11151" t="s">
        <v>13</v>
      </c>
    </row>
    <row r="11152" spans="2:8" x14ac:dyDescent="0.2">
      <c r="B11152" s="3">
        <v>45488</v>
      </c>
      <c r="D11152" s="28">
        <v>5940</v>
      </c>
      <c r="E11152" s="1">
        <v>6750</v>
      </c>
      <c r="F11152" s="1">
        <v>6750</v>
      </c>
      <c r="G11152" s="2">
        <f t="shared" si="174"/>
        <v>0</v>
      </c>
      <c r="H11152" t="s">
        <v>26</v>
      </c>
    </row>
    <row r="11153" spans="2:8" x14ac:dyDescent="0.2">
      <c r="B11153" s="3">
        <v>45488</v>
      </c>
      <c r="D11153" s="1">
        <v>5940</v>
      </c>
      <c r="E11153" s="1">
        <v>6750</v>
      </c>
      <c r="F11153" s="1">
        <v>6750</v>
      </c>
      <c r="G11153" s="2">
        <f t="shared" si="174"/>
        <v>0</v>
      </c>
      <c r="H11153" t="s">
        <v>25</v>
      </c>
    </row>
    <row r="11154" spans="2:8" x14ac:dyDescent="0.2">
      <c r="B11154" s="3">
        <v>45488</v>
      </c>
      <c r="G11154" s="2">
        <f t="shared" si="174"/>
        <v>0</v>
      </c>
      <c r="H11154" t="s">
        <v>9</v>
      </c>
    </row>
    <row r="11155" spans="2:8" x14ac:dyDescent="0.2">
      <c r="B11155" s="3">
        <v>45488</v>
      </c>
      <c r="F11155" s="1">
        <v>30000</v>
      </c>
      <c r="G11155" s="2">
        <f t="shared" si="174"/>
        <v>-30000</v>
      </c>
      <c r="H11155" t="s">
        <v>8</v>
      </c>
    </row>
    <row r="11156" spans="2:8" x14ac:dyDescent="0.2">
      <c r="B11156" s="3">
        <v>45488</v>
      </c>
      <c r="G11156" s="2">
        <f t="shared" si="174"/>
        <v>0</v>
      </c>
      <c r="H11156" t="s">
        <v>5</v>
      </c>
    </row>
    <row r="11157" spans="2:8" x14ac:dyDescent="0.2">
      <c r="B11157" s="3">
        <v>45488</v>
      </c>
      <c r="G11157" s="2">
        <f t="shared" si="174"/>
        <v>0</v>
      </c>
      <c r="H11157" s="1"/>
    </row>
    <row r="11158" spans="2:8" x14ac:dyDescent="0.2">
      <c r="B11158" s="3">
        <v>45488</v>
      </c>
      <c r="G11158" s="2">
        <f t="shared" si="174"/>
        <v>0</v>
      </c>
      <c r="H11158" t="s">
        <v>0</v>
      </c>
    </row>
    <row r="11159" spans="2:8" x14ac:dyDescent="0.2">
      <c r="B11159" s="3">
        <v>45489</v>
      </c>
      <c r="G11159" s="2">
        <f t="shared" si="174"/>
        <v>0</v>
      </c>
      <c r="H11159" t="s">
        <v>14</v>
      </c>
    </row>
    <row r="11160" spans="2:8" x14ac:dyDescent="0.2">
      <c r="B11160" s="3">
        <v>45489</v>
      </c>
      <c r="D11160" s="28"/>
      <c r="G11160" s="2">
        <f t="shared" si="174"/>
        <v>0</v>
      </c>
      <c r="H11160" t="s">
        <v>13</v>
      </c>
    </row>
    <row r="11161" spans="2:8" x14ac:dyDescent="0.2">
      <c r="B11161" s="3">
        <v>45489</v>
      </c>
      <c r="D11161" s="28"/>
      <c r="G11161" s="2">
        <f t="shared" si="174"/>
        <v>0</v>
      </c>
      <c r="H11161" t="s">
        <v>26</v>
      </c>
    </row>
    <row r="11162" spans="2:8" x14ac:dyDescent="0.2">
      <c r="B11162" s="3">
        <v>45489</v>
      </c>
      <c r="G11162" s="2">
        <f t="shared" si="174"/>
        <v>0</v>
      </c>
      <c r="H11162" t="s">
        <v>25</v>
      </c>
    </row>
    <row r="11163" spans="2:8" x14ac:dyDescent="0.2">
      <c r="B11163" s="3">
        <v>45489</v>
      </c>
      <c r="G11163" s="2">
        <f t="shared" si="174"/>
        <v>0</v>
      </c>
      <c r="H11163" t="s">
        <v>9</v>
      </c>
    </row>
    <row r="11164" spans="2:8" x14ac:dyDescent="0.2">
      <c r="B11164" s="3">
        <v>45489</v>
      </c>
      <c r="G11164" s="2">
        <f t="shared" si="174"/>
        <v>0</v>
      </c>
      <c r="H11164" t="s">
        <v>8</v>
      </c>
    </row>
    <row r="11165" spans="2:8" x14ac:dyDescent="0.2">
      <c r="B11165" s="3">
        <v>45489</v>
      </c>
      <c r="G11165" s="2">
        <f t="shared" si="174"/>
        <v>0</v>
      </c>
      <c r="H11165" t="s">
        <v>5</v>
      </c>
    </row>
    <row r="11166" spans="2:8" x14ac:dyDescent="0.2">
      <c r="B11166" s="3">
        <v>45489</v>
      </c>
      <c r="G11166" s="2">
        <f t="shared" si="174"/>
        <v>0</v>
      </c>
      <c r="H11166" s="1"/>
    </row>
    <row r="11167" spans="2:8" x14ac:dyDescent="0.2">
      <c r="B11167" s="3">
        <v>45489</v>
      </c>
      <c r="G11167" s="2">
        <f t="shared" si="174"/>
        <v>0</v>
      </c>
      <c r="H11167" t="s">
        <v>0</v>
      </c>
    </row>
    <row r="11168" spans="2:8" x14ac:dyDescent="0.2">
      <c r="B11168" s="3">
        <v>45490</v>
      </c>
      <c r="G11168" s="2">
        <f t="shared" si="174"/>
        <v>0</v>
      </c>
      <c r="H11168" t="s">
        <v>14</v>
      </c>
    </row>
    <row r="11169" spans="2:8" x14ac:dyDescent="0.2">
      <c r="B11169" s="3">
        <v>45490</v>
      </c>
      <c r="D11169" s="28">
        <f>810+1500</f>
        <v>2310</v>
      </c>
      <c r="E11169" s="1">
        <v>2700</v>
      </c>
      <c r="F11169" s="1">
        <v>2700</v>
      </c>
      <c r="G11169" s="2">
        <f t="shared" si="174"/>
        <v>0</v>
      </c>
      <c r="H11169" t="s">
        <v>13</v>
      </c>
    </row>
    <row r="11170" spans="2:8" x14ac:dyDescent="0.2">
      <c r="B11170" s="3">
        <v>45490</v>
      </c>
      <c r="D11170" s="28"/>
      <c r="G11170" s="2">
        <f t="shared" si="174"/>
        <v>0</v>
      </c>
      <c r="H11170" t="s">
        <v>26</v>
      </c>
    </row>
    <row r="11171" spans="2:8" x14ac:dyDescent="0.2">
      <c r="B11171" s="3">
        <v>45490</v>
      </c>
      <c r="G11171" s="2">
        <f t="shared" si="174"/>
        <v>0</v>
      </c>
      <c r="H11171" t="s">
        <v>25</v>
      </c>
    </row>
    <row r="11172" spans="2:8" x14ac:dyDescent="0.2">
      <c r="B11172" s="3">
        <v>45490</v>
      </c>
      <c r="G11172" s="2">
        <f t="shared" si="174"/>
        <v>0</v>
      </c>
      <c r="H11172" t="s">
        <v>9</v>
      </c>
    </row>
    <row r="11173" spans="2:8" x14ac:dyDescent="0.2">
      <c r="B11173" s="3">
        <v>45490</v>
      </c>
      <c r="D11173" s="1">
        <v>34800</v>
      </c>
      <c r="E11173" s="1">
        <v>38740</v>
      </c>
      <c r="G11173" s="2">
        <f t="shared" si="174"/>
        <v>38740</v>
      </c>
      <c r="H11173" t="s">
        <v>8</v>
      </c>
    </row>
    <row r="11174" spans="2:8" x14ac:dyDescent="0.2">
      <c r="B11174" s="3">
        <v>45490</v>
      </c>
      <c r="G11174" s="2">
        <f t="shared" si="174"/>
        <v>0</v>
      </c>
      <c r="H11174" t="s">
        <v>5</v>
      </c>
    </row>
    <row r="11175" spans="2:8" x14ac:dyDescent="0.2">
      <c r="B11175" s="3">
        <v>45490</v>
      </c>
      <c r="G11175" s="2">
        <f t="shared" si="174"/>
        <v>0</v>
      </c>
      <c r="H11175" s="1"/>
    </row>
    <row r="11176" spans="2:8" x14ac:dyDescent="0.2">
      <c r="B11176" s="3">
        <v>45490</v>
      </c>
      <c r="G11176" s="2">
        <f t="shared" si="174"/>
        <v>0</v>
      </c>
      <c r="H11176" t="s">
        <v>0</v>
      </c>
    </row>
    <row r="11177" spans="2:8" x14ac:dyDescent="0.2">
      <c r="B11177" s="3">
        <v>45491</v>
      </c>
      <c r="G11177" s="2">
        <f t="shared" si="174"/>
        <v>0</v>
      </c>
      <c r="H11177" t="s">
        <v>14</v>
      </c>
    </row>
    <row r="11178" spans="2:8" x14ac:dyDescent="0.2">
      <c r="B11178" s="3">
        <v>45491</v>
      </c>
      <c r="D11178" s="28"/>
      <c r="G11178" s="2">
        <f t="shared" si="174"/>
        <v>0</v>
      </c>
      <c r="H11178" t="s">
        <v>13</v>
      </c>
    </row>
    <row r="11179" spans="2:8" x14ac:dyDescent="0.2">
      <c r="B11179" s="3">
        <v>45491</v>
      </c>
      <c r="D11179" s="28"/>
      <c r="G11179" s="2">
        <f t="shared" si="174"/>
        <v>0</v>
      </c>
      <c r="H11179" t="s">
        <v>26</v>
      </c>
    </row>
    <row r="11180" spans="2:8" x14ac:dyDescent="0.2">
      <c r="B11180" s="3">
        <v>45491</v>
      </c>
      <c r="G11180" s="2">
        <f t="shared" si="174"/>
        <v>0</v>
      </c>
      <c r="H11180" t="s">
        <v>25</v>
      </c>
    </row>
    <row r="11181" spans="2:8" x14ac:dyDescent="0.2">
      <c r="B11181" s="3">
        <v>45491</v>
      </c>
      <c r="G11181" s="2">
        <f t="shared" si="174"/>
        <v>0</v>
      </c>
      <c r="H11181" t="s">
        <v>9</v>
      </c>
    </row>
    <row r="11182" spans="2:8" x14ac:dyDescent="0.2">
      <c r="B11182" s="3">
        <v>45491</v>
      </c>
      <c r="G11182" s="2">
        <f t="shared" si="174"/>
        <v>0</v>
      </c>
      <c r="H11182" t="s">
        <v>8</v>
      </c>
    </row>
    <row r="11183" spans="2:8" x14ac:dyDescent="0.2">
      <c r="B11183" s="3">
        <v>45491</v>
      </c>
      <c r="G11183" s="2">
        <f t="shared" si="174"/>
        <v>0</v>
      </c>
      <c r="H11183" t="s">
        <v>5</v>
      </c>
    </row>
    <row r="11184" spans="2:8" x14ac:dyDescent="0.2">
      <c r="B11184" s="3">
        <v>45491</v>
      </c>
      <c r="G11184" s="2">
        <f t="shared" si="174"/>
        <v>0</v>
      </c>
      <c r="H11184" s="1"/>
    </row>
    <row r="11185" spans="2:8" x14ac:dyDescent="0.2">
      <c r="B11185" s="3">
        <v>45491</v>
      </c>
      <c r="G11185" s="2">
        <f t="shared" si="174"/>
        <v>0</v>
      </c>
      <c r="H11185" t="s">
        <v>0</v>
      </c>
    </row>
    <row r="11186" spans="2:8" x14ac:dyDescent="0.2">
      <c r="B11186" s="3">
        <v>45492</v>
      </c>
      <c r="G11186" s="2">
        <f t="shared" si="174"/>
        <v>0</v>
      </c>
      <c r="H11186" t="s">
        <v>14</v>
      </c>
    </row>
    <row r="11187" spans="2:8" x14ac:dyDescent="0.2">
      <c r="B11187" s="3">
        <v>45492</v>
      </c>
      <c r="D11187" s="28"/>
      <c r="G11187" s="2">
        <f t="shared" si="174"/>
        <v>0</v>
      </c>
      <c r="H11187" t="s">
        <v>13</v>
      </c>
    </row>
    <row r="11188" spans="2:8" x14ac:dyDescent="0.2">
      <c r="B11188" s="3">
        <v>45492</v>
      </c>
      <c r="D11188" s="28"/>
      <c r="G11188" s="2">
        <f t="shared" si="174"/>
        <v>0</v>
      </c>
      <c r="H11188" t="s">
        <v>26</v>
      </c>
    </row>
    <row r="11189" spans="2:8" x14ac:dyDescent="0.2">
      <c r="B11189" s="3">
        <v>45492</v>
      </c>
      <c r="G11189" s="2">
        <f t="shared" si="174"/>
        <v>0</v>
      </c>
      <c r="H11189" t="s">
        <v>25</v>
      </c>
    </row>
    <row r="11190" spans="2:8" x14ac:dyDescent="0.2">
      <c r="B11190" s="3">
        <v>45492</v>
      </c>
      <c r="G11190" s="2">
        <f t="shared" si="174"/>
        <v>0</v>
      </c>
      <c r="H11190" t="s">
        <v>9</v>
      </c>
    </row>
    <row r="11191" spans="2:8" x14ac:dyDescent="0.2">
      <c r="B11191" s="3">
        <v>45492</v>
      </c>
      <c r="G11191" s="2">
        <f t="shared" si="174"/>
        <v>0</v>
      </c>
      <c r="H11191" t="s">
        <v>8</v>
      </c>
    </row>
    <row r="11192" spans="2:8" x14ac:dyDescent="0.2">
      <c r="B11192" s="3">
        <v>45492</v>
      </c>
      <c r="G11192" s="2">
        <f t="shared" si="174"/>
        <v>0</v>
      </c>
      <c r="H11192" t="s">
        <v>5</v>
      </c>
    </row>
    <row r="11193" spans="2:8" x14ac:dyDescent="0.2">
      <c r="B11193" s="3">
        <v>45492</v>
      </c>
      <c r="G11193" s="2">
        <f t="shared" si="174"/>
        <v>0</v>
      </c>
      <c r="H11193" s="1"/>
    </row>
    <row r="11194" spans="2:8" x14ac:dyDescent="0.2">
      <c r="B11194" s="3">
        <v>45492</v>
      </c>
      <c r="G11194" s="2">
        <f t="shared" si="174"/>
        <v>0</v>
      </c>
      <c r="H11194" t="s">
        <v>0</v>
      </c>
    </row>
    <row r="11195" spans="2:8" x14ac:dyDescent="0.2">
      <c r="B11195" s="3">
        <v>45493</v>
      </c>
      <c r="G11195" s="2">
        <f t="shared" si="174"/>
        <v>0</v>
      </c>
      <c r="H11195" t="s">
        <v>14</v>
      </c>
    </row>
    <row r="11196" spans="2:8" x14ac:dyDescent="0.2">
      <c r="B11196" s="3">
        <v>45493</v>
      </c>
      <c r="D11196" s="28"/>
      <c r="G11196" s="2">
        <f t="shared" si="174"/>
        <v>0</v>
      </c>
      <c r="H11196" t="s">
        <v>13</v>
      </c>
    </row>
    <row r="11197" spans="2:8" x14ac:dyDescent="0.2">
      <c r="B11197" s="3">
        <v>45493</v>
      </c>
      <c r="D11197" s="28"/>
      <c r="G11197" s="2">
        <f t="shared" si="174"/>
        <v>0</v>
      </c>
      <c r="H11197" t="s">
        <v>26</v>
      </c>
    </row>
    <row r="11198" spans="2:8" x14ac:dyDescent="0.2">
      <c r="B11198" s="3">
        <v>45493</v>
      </c>
      <c r="G11198" s="2">
        <f t="shared" si="174"/>
        <v>0</v>
      </c>
      <c r="H11198" t="s">
        <v>25</v>
      </c>
    </row>
    <row r="11199" spans="2:8" x14ac:dyDescent="0.2">
      <c r="B11199" s="3">
        <v>45493</v>
      </c>
      <c r="G11199" s="2">
        <f t="shared" si="174"/>
        <v>0</v>
      </c>
      <c r="H11199" t="s">
        <v>9</v>
      </c>
    </row>
    <row r="11200" spans="2:8" x14ac:dyDescent="0.2">
      <c r="B11200" s="3">
        <v>45493</v>
      </c>
      <c r="G11200" s="2">
        <f t="shared" si="174"/>
        <v>0</v>
      </c>
      <c r="H11200" t="s">
        <v>8</v>
      </c>
    </row>
    <row r="11201" spans="2:8" x14ac:dyDescent="0.2">
      <c r="B11201" s="3">
        <v>45493</v>
      </c>
      <c r="G11201" s="2">
        <f t="shared" si="174"/>
        <v>0</v>
      </c>
      <c r="H11201" t="s">
        <v>5</v>
      </c>
    </row>
    <row r="11202" spans="2:8" x14ac:dyDescent="0.2">
      <c r="B11202" s="3">
        <v>45493</v>
      </c>
      <c r="G11202" s="2">
        <f t="shared" si="174"/>
        <v>0</v>
      </c>
      <c r="H11202" s="1"/>
    </row>
    <row r="11203" spans="2:8" x14ac:dyDescent="0.2">
      <c r="B11203" s="3">
        <v>45493</v>
      </c>
      <c r="D11203" s="1">
        <v>44067.4</v>
      </c>
      <c r="E11203" s="1">
        <v>45216.6</v>
      </c>
      <c r="G11203" s="2">
        <f t="shared" ref="G11203:G11266" si="175">E11203-F11203</f>
        <v>45216.6</v>
      </c>
      <c r="H11203" t="s">
        <v>0</v>
      </c>
    </row>
    <row r="11204" spans="2:8" x14ac:dyDescent="0.2">
      <c r="B11204" s="3">
        <v>45494</v>
      </c>
      <c r="G11204" s="2">
        <f t="shared" si="175"/>
        <v>0</v>
      </c>
      <c r="H11204" t="s">
        <v>14</v>
      </c>
    </row>
    <row r="11205" spans="2:8" x14ac:dyDescent="0.2">
      <c r="B11205" s="3">
        <v>45494</v>
      </c>
      <c r="D11205" s="28">
        <f>9400+3000</f>
        <v>12400</v>
      </c>
      <c r="E11205" s="1">
        <f>9700+3600</f>
        <v>13300</v>
      </c>
      <c r="F11205" s="1">
        <v>13300</v>
      </c>
      <c r="G11205" s="2">
        <f t="shared" si="175"/>
        <v>0</v>
      </c>
      <c r="H11205" t="s">
        <v>13</v>
      </c>
    </row>
    <row r="11206" spans="2:8" x14ac:dyDescent="0.2">
      <c r="B11206" s="3">
        <v>45494</v>
      </c>
      <c r="D11206" s="28">
        <f>2760+560</f>
        <v>3320</v>
      </c>
      <c r="E11206" s="1">
        <v>3820</v>
      </c>
      <c r="G11206" s="2">
        <f t="shared" si="175"/>
        <v>3820</v>
      </c>
      <c r="H11206" t="s">
        <v>26</v>
      </c>
    </row>
    <row r="11207" spans="2:8" x14ac:dyDescent="0.2">
      <c r="B11207" s="3">
        <v>45494</v>
      </c>
      <c r="D11207" s="1">
        <v>3320</v>
      </c>
      <c r="E11207" s="1">
        <v>3820</v>
      </c>
      <c r="G11207" s="2">
        <f t="shared" si="175"/>
        <v>3820</v>
      </c>
      <c r="H11207" t="s">
        <v>25</v>
      </c>
    </row>
    <row r="11208" spans="2:8" x14ac:dyDescent="0.2">
      <c r="B11208" s="3">
        <v>45494</v>
      </c>
      <c r="G11208" s="2">
        <f t="shared" si="175"/>
        <v>0</v>
      </c>
      <c r="H11208" t="s">
        <v>9</v>
      </c>
    </row>
    <row r="11209" spans="2:8" x14ac:dyDescent="0.2">
      <c r="B11209" s="3">
        <v>45494</v>
      </c>
      <c r="G11209" s="2">
        <f t="shared" si="175"/>
        <v>0</v>
      </c>
      <c r="H11209" t="s">
        <v>8</v>
      </c>
    </row>
    <row r="11210" spans="2:8" x14ac:dyDescent="0.2">
      <c r="B11210" s="3">
        <v>45494</v>
      </c>
      <c r="G11210" s="2">
        <f t="shared" si="175"/>
        <v>0</v>
      </c>
      <c r="H11210" t="s">
        <v>5</v>
      </c>
    </row>
    <row r="11211" spans="2:8" x14ac:dyDescent="0.2">
      <c r="B11211" s="3">
        <v>45494</v>
      </c>
      <c r="G11211" s="2">
        <f t="shared" si="175"/>
        <v>0</v>
      </c>
      <c r="H11211" s="1"/>
    </row>
    <row r="11212" spans="2:8" x14ac:dyDescent="0.2">
      <c r="B11212" s="3">
        <v>45494</v>
      </c>
      <c r="D11212" s="1">
        <v>4396.3</v>
      </c>
      <c r="E11212" s="1">
        <v>4582.7</v>
      </c>
      <c r="G11212" s="2">
        <f t="shared" si="175"/>
        <v>4582.7</v>
      </c>
      <c r="H11212" t="s">
        <v>0</v>
      </c>
    </row>
    <row r="11213" spans="2:8" x14ac:dyDescent="0.2">
      <c r="B11213" s="3">
        <v>45495</v>
      </c>
      <c r="F11213" s="1">
        <v>20000</v>
      </c>
      <c r="G11213" s="2">
        <f t="shared" si="175"/>
        <v>-20000</v>
      </c>
      <c r="H11213" t="s">
        <v>14</v>
      </c>
    </row>
    <row r="11214" spans="2:8" x14ac:dyDescent="0.2">
      <c r="B11214" s="3">
        <v>45495</v>
      </c>
      <c r="D11214" s="28"/>
      <c r="G11214" s="2">
        <f t="shared" si="175"/>
        <v>0</v>
      </c>
      <c r="H11214" t="s">
        <v>13</v>
      </c>
    </row>
    <row r="11215" spans="2:8" x14ac:dyDescent="0.2">
      <c r="B11215" s="3">
        <v>45495</v>
      </c>
      <c r="D11215" s="28"/>
      <c r="G11215" s="2">
        <f t="shared" si="175"/>
        <v>0</v>
      </c>
      <c r="H11215" t="s">
        <v>26</v>
      </c>
    </row>
    <row r="11216" spans="2:8" x14ac:dyDescent="0.2">
      <c r="B11216" s="3">
        <v>45495</v>
      </c>
      <c r="G11216" s="2">
        <f t="shared" si="175"/>
        <v>0</v>
      </c>
      <c r="H11216" t="s">
        <v>25</v>
      </c>
    </row>
    <row r="11217" spans="2:8" x14ac:dyDescent="0.2">
      <c r="B11217" s="3">
        <v>45495</v>
      </c>
      <c r="G11217" s="2">
        <f t="shared" si="175"/>
        <v>0</v>
      </c>
      <c r="H11217" t="s">
        <v>9</v>
      </c>
    </row>
    <row r="11218" spans="2:8" x14ac:dyDescent="0.2">
      <c r="B11218" s="3">
        <v>45495</v>
      </c>
      <c r="G11218" s="2">
        <f t="shared" si="175"/>
        <v>0</v>
      </c>
      <c r="H11218" t="s">
        <v>8</v>
      </c>
    </row>
    <row r="11219" spans="2:8" x14ac:dyDescent="0.2">
      <c r="B11219" s="3">
        <v>45495</v>
      </c>
      <c r="G11219" s="2">
        <f t="shared" si="175"/>
        <v>0</v>
      </c>
      <c r="H11219" t="s">
        <v>5</v>
      </c>
    </row>
    <row r="11220" spans="2:8" x14ac:dyDescent="0.2">
      <c r="B11220" s="3">
        <v>45495</v>
      </c>
      <c r="G11220" s="2">
        <f t="shared" si="175"/>
        <v>0</v>
      </c>
      <c r="H11220" s="1"/>
    </row>
    <row r="11221" spans="2:8" x14ac:dyDescent="0.2">
      <c r="B11221" s="3">
        <v>45495</v>
      </c>
      <c r="D11221" s="1">
        <v>5900</v>
      </c>
      <c r="E11221" s="1">
        <v>7500</v>
      </c>
      <c r="G11221" s="2">
        <f t="shared" si="175"/>
        <v>7500</v>
      </c>
      <c r="H11221" t="s">
        <v>0</v>
      </c>
    </row>
    <row r="11222" spans="2:8" x14ac:dyDescent="0.2">
      <c r="B11222" s="3">
        <v>45496</v>
      </c>
      <c r="G11222" s="2">
        <f t="shared" si="175"/>
        <v>0</v>
      </c>
      <c r="H11222" t="s">
        <v>14</v>
      </c>
    </row>
    <row r="11223" spans="2:8" x14ac:dyDescent="0.2">
      <c r="B11223" s="3">
        <v>45496</v>
      </c>
      <c r="D11223" s="28"/>
      <c r="G11223" s="2">
        <f t="shared" si="175"/>
        <v>0</v>
      </c>
      <c r="H11223" t="s">
        <v>13</v>
      </c>
    </row>
    <row r="11224" spans="2:8" x14ac:dyDescent="0.2">
      <c r="B11224" s="3">
        <v>45496</v>
      </c>
      <c r="D11224" s="28"/>
      <c r="G11224" s="2">
        <f t="shared" si="175"/>
        <v>0</v>
      </c>
      <c r="H11224" t="s">
        <v>26</v>
      </c>
    </row>
    <row r="11225" spans="2:8" x14ac:dyDescent="0.2">
      <c r="B11225" s="3">
        <v>45496</v>
      </c>
      <c r="G11225" s="2">
        <f t="shared" si="175"/>
        <v>0</v>
      </c>
      <c r="H11225" t="s">
        <v>25</v>
      </c>
    </row>
    <row r="11226" spans="2:8" x14ac:dyDescent="0.2">
      <c r="B11226" s="3">
        <v>45496</v>
      </c>
      <c r="G11226" s="2">
        <f t="shared" si="175"/>
        <v>0</v>
      </c>
      <c r="H11226" t="s">
        <v>9</v>
      </c>
    </row>
    <row r="11227" spans="2:8" x14ac:dyDescent="0.2">
      <c r="B11227" s="3">
        <v>45496</v>
      </c>
      <c r="G11227" s="2">
        <f t="shared" si="175"/>
        <v>0</v>
      </c>
      <c r="H11227" t="s">
        <v>8</v>
      </c>
    </row>
    <row r="11228" spans="2:8" x14ac:dyDescent="0.2">
      <c r="B11228" s="3">
        <v>45496</v>
      </c>
      <c r="G11228" s="2">
        <f t="shared" si="175"/>
        <v>0</v>
      </c>
      <c r="H11228" t="s">
        <v>5</v>
      </c>
    </row>
    <row r="11229" spans="2:8" x14ac:dyDescent="0.2">
      <c r="B11229" s="3">
        <v>45496</v>
      </c>
      <c r="G11229" s="2">
        <f t="shared" si="175"/>
        <v>0</v>
      </c>
      <c r="H11229" s="1"/>
    </row>
    <row r="11230" spans="2:8" x14ac:dyDescent="0.2">
      <c r="B11230" s="3">
        <v>45496</v>
      </c>
      <c r="G11230" s="2">
        <f t="shared" si="175"/>
        <v>0</v>
      </c>
      <c r="H11230" t="s">
        <v>0</v>
      </c>
    </row>
    <row r="11231" spans="2:8" x14ac:dyDescent="0.2">
      <c r="B11231" s="3">
        <v>45497</v>
      </c>
      <c r="G11231" s="2">
        <f t="shared" si="175"/>
        <v>0</v>
      </c>
      <c r="H11231" t="s">
        <v>14</v>
      </c>
    </row>
    <row r="11232" spans="2:8" x14ac:dyDescent="0.2">
      <c r="B11232" s="3">
        <v>45497</v>
      </c>
      <c r="D11232" s="28"/>
      <c r="G11232" s="2">
        <f t="shared" si="175"/>
        <v>0</v>
      </c>
      <c r="H11232" t="s">
        <v>13</v>
      </c>
    </row>
    <row r="11233" spans="2:8" x14ac:dyDescent="0.2">
      <c r="B11233" s="3">
        <v>45497</v>
      </c>
      <c r="D11233" s="28"/>
      <c r="G11233" s="2">
        <f t="shared" si="175"/>
        <v>0</v>
      </c>
      <c r="H11233" t="s">
        <v>26</v>
      </c>
    </row>
    <row r="11234" spans="2:8" x14ac:dyDescent="0.2">
      <c r="B11234" s="3">
        <v>45497</v>
      </c>
      <c r="G11234" s="2">
        <f t="shared" si="175"/>
        <v>0</v>
      </c>
      <c r="H11234" t="s">
        <v>25</v>
      </c>
    </row>
    <row r="11235" spans="2:8" x14ac:dyDescent="0.2">
      <c r="B11235" s="3">
        <v>45497</v>
      </c>
      <c r="G11235" s="2">
        <f t="shared" si="175"/>
        <v>0</v>
      </c>
      <c r="H11235" t="s">
        <v>9</v>
      </c>
    </row>
    <row r="11236" spans="2:8" x14ac:dyDescent="0.2">
      <c r="B11236" s="3">
        <v>45497</v>
      </c>
      <c r="G11236" s="2">
        <f t="shared" si="175"/>
        <v>0</v>
      </c>
      <c r="H11236" t="s">
        <v>8</v>
      </c>
    </row>
    <row r="11237" spans="2:8" x14ac:dyDescent="0.2">
      <c r="B11237" s="3">
        <v>45497</v>
      </c>
      <c r="G11237" s="2">
        <f t="shared" si="175"/>
        <v>0</v>
      </c>
      <c r="H11237" t="s">
        <v>5</v>
      </c>
    </row>
    <row r="11238" spans="2:8" x14ac:dyDescent="0.2">
      <c r="B11238" s="3">
        <v>45497</v>
      </c>
      <c r="G11238" s="2">
        <f t="shared" si="175"/>
        <v>0</v>
      </c>
      <c r="H11238" s="1"/>
    </row>
    <row r="11239" spans="2:8" x14ac:dyDescent="0.2">
      <c r="B11239" s="3">
        <v>45497</v>
      </c>
      <c r="G11239" s="2">
        <f t="shared" si="175"/>
        <v>0</v>
      </c>
      <c r="H11239" t="s">
        <v>0</v>
      </c>
    </row>
    <row r="11240" spans="2:8" x14ac:dyDescent="0.2">
      <c r="B11240" s="3">
        <v>45498</v>
      </c>
      <c r="G11240" s="2">
        <f t="shared" si="175"/>
        <v>0</v>
      </c>
      <c r="H11240" t="s">
        <v>14</v>
      </c>
    </row>
    <row r="11241" spans="2:8" x14ac:dyDescent="0.2">
      <c r="B11241" s="3">
        <v>45498</v>
      </c>
      <c r="D11241" s="28"/>
      <c r="G11241" s="2">
        <f t="shared" si="175"/>
        <v>0</v>
      </c>
      <c r="H11241" t="s">
        <v>13</v>
      </c>
    </row>
    <row r="11242" spans="2:8" x14ac:dyDescent="0.2">
      <c r="B11242" s="3">
        <v>45498</v>
      </c>
      <c r="D11242" s="28"/>
      <c r="G11242" s="2">
        <f t="shared" si="175"/>
        <v>0</v>
      </c>
      <c r="H11242" t="s">
        <v>26</v>
      </c>
    </row>
    <row r="11243" spans="2:8" x14ac:dyDescent="0.2">
      <c r="B11243" s="3">
        <v>45498</v>
      </c>
      <c r="G11243" s="2">
        <f t="shared" si="175"/>
        <v>0</v>
      </c>
      <c r="H11243" t="s">
        <v>25</v>
      </c>
    </row>
    <row r="11244" spans="2:8" x14ac:dyDescent="0.2">
      <c r="B11244" s="3">
        <v>45498</v>
      </c>
      <c r="G11244" s="2">
        <f t="shared" si="175"/>
        <v>0</v>
      </c>
      <c r="H11244" t="s">
        <v>9</v>
      </c>
    </row>
    <row r="11245" spans="2:8" x14ac:dyDescent="0.2">
      <c r="B11245" s="3">
        <v>45498</v>
      </c>
      <c r="G11245" s="2">
        <f t="shared" si="175"/>
        <v>0</v>
      </c>
      <c r="H11245" t="s">
        <v>8</v>
      </c>
    </row>
    <row r="11246" spans="2:8" x14ac:dyDescent="0.2">
      <c r="B11246" s="3">
        <v>45498</v>
      </c>
      <c r="G11246" s="2">
        <f t="shared" si="175"/>
        <v>0</v>
      </c>
      <c r="H11246" t="s">
        <v>5</v>
      </c>
    </row>
    <row r="11247" spans="2:8" x14ac:dyDescent="0.2">
      <c r="B11247" s="3">
        <v>45498</v>
      </c>
      <c r="G11247" s="2">
        <f t="shared" si="175"/>
        <v>0</v>
      </c>
      <c r="H11247" s="1"/>
    </row>
    <row r="11248" spans="2:8" x14ac:dyDescent="0.2">
      <c r="B11248" s="3">
        <v>45498</v>
      </c>
      <c r="G11248" s="2">
        <f t="shared" si="175"/>
        <v>0</v>
      </c>
      <c r="H11248" t="s">
        <v>0</v>
      </c>
    </row>
    <row r="11249" spans="2:8" x14ac:dyDescent="0.2">
      <c r="B11249" s="3">
        <v>45499</v>
      </c>
      <c r="G11249" s="2">
        <f t="shared" si="175"/>
        <v>0</v>
      </c>
      <c r="H11249" t="s">
        <v>14</v>
      </c>
    </row>
    <row r="11250" spans="2:8" x14ac:dyDescent="0.2">
      <c r="B11250" s="3">
        <v>45499</v>
      </c>
      <c r="D11250" s="28"/>
      <c r="G11250" s="2">
        <f t="shared" si="175"/>
        <v>0</v>
      </c>
      <c r="H11250" t="s">
        <v>13</v>
      </c>
    </row>
    <row r="11251" spans="2:8" x14ac:dyDescent="0.2">
      <c r="B11251" s="3">
        <v>45499</v>
      </c>
      <c r="D11251" s="28"/>
      <c r="G11251" s="2">
        <f t="shared" si="175"/>
        <v>0</v>
      </c>
      <c r="H11251" t="s">
        <v>26</v>
      </c>
    </row>
    <row r="11252" spans="2:8" x14ac:dyDescent="0.2">
      <c r="B11252" s="3">
        <v>45499</v>
      </c>
      <c r="G11252" s="2">
        <f t="shared" si="175"/>
        <v>0</v>
      </c>
      <c r="H11252" t="s">
        <v>25</v>
      </c>
    </row>
    <row r="11253" spans="2:8" x14ac:dyDescent="0.2">
      <c r="B11253" s="3">
        <v>45499</v>
      </c>
      <c r="G11253" s="2">
        <f t="shared" si="175"/>
        <v>0</v>
      </c>
      <c r="H11253" t="s">
        <v>9</v>
      </c>
    </row>
    <row r="11254" spans="2:8" x14ac:dyDescent="0.2">
      <c r="B11254" s="3">
        <v>45499</v>
      </c>
      <c r="F11254" s="1">
        <v>24000</v>
      </c>
      <c r="G11254" s="2">
        <f t="shared" si="175"/>
        <v>-24000</v>
      </c>
      <c r="H11254" t="s">
        <v>8</v>
      </c>
    </row>
    <row r="11255" spans="2:8" x14ac:dyDescent="0.2">
      <c r="B11255" s="3">
        <v>45499</v>
      </c>
      <c r="G11255" s="2">
        <f t="shared" si="175"/>
        <v>0</v>
      </c>
      <c r="H11255" t="s">
        <v>5</v>
      </c>
    </row>
    <row r="11256" spans="2:8" x14ac:dyDescent="0.2">
      <c r="B11256" s="3">
        <v>45499</v>
      </c>
      <c r="G11256" s="2">
        <f t="shared" si="175"/>
        <v>0</v>
      </c>
      <c r="H11256" s="1"/>
    </row>
    <row r="11257" spans="2:8" x14ac:dyDescent="0.2">
      <c r="B11257" s="3">
        <v>45499</v>
      </c>
      <c r="F11257" s="1">
        <v>49590</v>
      </c>
      <c r="G11257" s="2">
        <f t="shared" si="175"/>
        <v>-49590</v>
      </c>
      <c r="H11257" t="s">
        <v>0</v>
      </c>
    </row>
    <row r="11258" spans="2:8" x14ac:dyDescent="0.2">
      <c r="B11258" s="3">
        <v>45500</v>
      </c>
      <c r="D11258" s="1">
        <v>21900</v>
      </c>
      <c r="E11258" s="1">
        <v>25010</v>
      </c>
      <c r="F11258" s="1">
        <v>15000</v>
      </c>
      <c r="G11258" s="2">
        <f t="shared" si="175"/>
        <v>10010</v>
      </c>
      <c r="H11258" t="s">
        <v>14</v>
      </c>
    </row>
    <row r="11259" spans="2:8" x14ac:dyDescent="0.2">
      <c r="B11259" s="3">
        <v>45500</v>
      </c>
      <c r="D11259" s="28"/>
      <c r="G11259" s="2">
        <f t="shared" si="175"/>
        <v>0</v>
      </c>
      <c r="H11259" t="s">
        <v>13</v>
      </c>
    </row>
    <row r="11260" spans="2:8" x14ac:dyDescent="0.2">
      <c r="B11260" s="3">
        <v>45500</v>
      </c>
      <c r="D11260" s="28"/>
      <c r="G11260" s="2">
        <f t="shared" si="175"/>
        <v>0</v>
      </c>
      <c r="H11260" t="s">
        <v>26</v>
      </c>
    </row>
    <row r="11261" spans="2:8" x14ac:dyDescent="0.2">
      <c r="B11261" s="3">
        <v>45500</v>
      </c>
      <c r="G11261" s="2">
        <f t="shared" si="175"/>
        <v>0</v>
      </c>
      <c r="H11261" t="s">
        <v>25</v>
      </c>
    </row>
    <row r="11262" spans="2:8" x14ac:dyDescent="0.2">
      <c r="B11262" s="3">
        <v>45500</v>
      </c>
      <c r="G11262" s="2">
        <f t="shared" si="175"/>
        <v>0</v>
      </c>
      <c r="H11262" t="s">
        <v>9</v>
      </c>
    </row>
    <row r="11263" spans="2:8" x14ac:dyDescent="0.2">
      <c r="B11263" s="3">
        <v>45500</v>
      </c>
      <c r="G11263" s="2">
        <f t="shared" si="175"/>
        <v>0</v>
      </c>
      <c r="H11263" t="s">
        <v>8</v>
      </c>
    </row>
    <row r="11264" spans="2:8" x14ac:dyDescent="0.2">
      <c r="B11264" s="3">
        <v>45500</v>
      </c>
      <c r="G11264" s="2">
        <f t="shared" si="175"/>
        <v>0</v>
      </c>
      <c r="H11264" t="s">
        <v>5</v>
      </c>
    </row>
    <row r="11265" spans="2:8" x14ac:dyDescent="0.2">
      <c r="B11265" s="3">
        <v>45500</v>
      </c>
      <c r="G11265" s="2">
        <f t="shared" si="175"/>
        <v>0</v>
      </c>
      <c r="H11265" s="1"/>
    </row>
    <row r="11266" spans="2:8" x14ac:dyDescent="0.2">
      <c r="B11266" s="3">
        <v>45500</v>
      </c>
      <c r="G11266" s="2">
        <f t="shared" si="175"/>
        <v>0</v>
      </c>
      <c r="H11266" t="s">
        <v>0</v>
      </c>
    </row>
    <row r="11267" spans="2:8" x14ac:dyDescent="0.2">
      <c r="B11267" s="3">
        <v>45501</v>
      </c>
      <c r="G11267" s="2">
        <f t="shared" ref="G11267:G11330" si="176">E11267-F11267</f>
        <v>0</v>
      </c>
      <c r="H11267" t="s">
        <v>14</v>
      </c>
    </row>
    <row r="11268" spans="2:8" x14ac:dyDescent="0.2">
      <c r="B11268" s="3">
        <v>45501</v>
      </c>
      <c r="D11268" s="28"/>
      <c r="G11268" s="2">
        <f t="shared" si="176"/>
        <v>0</v>
      </c>
      <c r="H11268" t="s">
        <v>13</v>
      </c>
    </row>
    <row r="11269" spans="2:8" x14ac:dyDescent="0.2">
      <c r="B11269" s="3">
        <v>45501</v>
      </c>
      <c r="D11269" s="28"/>
      <c r="F11269" s="1">
        <v>3820</v>
      </c>
      <c r="G11269" s="2">
        <f t="shared" si="176"/>
        <v>-3820</v>
      </c>
      <c r="H11269" t="s">
        <v>26</v>
      </c>
    </row>
    <row r="11270" spans="2:8" x14ac:dyDescent="0.2">
      <c r="B11270" s="3">
        <v>45501</v>
      </c>
      <c r="F11270" s="1">
        <v>3820</v>
      </c>
      <c r="G11270" s="2">
        <f t="shared" si="176"/>
        <v>-3820</v>
      </c>
      <c r="H11270" t="s">
        <v>25</v>
      </c>
    </row>
    <row r="11271" spans="2:8" x14ac:dyDescent="0.2">
      <c r="B11271" s="3">
        <v>45501</v>
      </c>
      <c r="G11271" s="2">
        <f t="shared" si="176"/>
        <v>0</v>
      </c>
      <c r="H11271" t="s">
        <v>9</v>
      </c>
    </row>
    <row r="11272" spans="2:8" x14ac:dyDescent="0.2">
      <c r="B11272" s="3">
        <v>45501</v>
      </c>
      <c r="G11272" s="2">
        <f t="shared" si="176"/>
        <v>0</v>
      </c>
      <c r="H11272" t="s">
        <v>8</v>
      </c>
    </row>
    <row r="11273" spans="2:8" x14ac:dyDescent="0.2">
      <c r="B11273" s="3">
        <v>45501</v>
      </c>
      <c r="G11273" s="2">
        <f t="shared" si="176"/>
        <v>0</v>
      </c>
      <c r="H11273" t="s">
        <v>5</v>
      </c>
    </row>
    <row r="11274" spans="2:8" x14ac:dyDescent="0.2">
      <c r="B11274" s="3">
        <v>45501</v>
      </c>
      <c r="G11274" s="2">
        <f t="shared" si="176"/>
        <v>0</v>
      </c>
      <c r="H11274" s="1"/>
    </row>
    <row r="11275" spans="2:8" x14ac:dyDescent="0.2">
      <c r="B11275" s="3">
        <v>45501</v>
      </c>
      <c r="G11275" s="2">
        <f t="shared" si="176"/>
        <v>0</v>
      </c>
      <c r="H11275" t="s">
        <v>0</v>
      </c>
    </row>
    <row r="11276" spans="2:8" x14ac:dyDescent="0.2">
      <c r="B11276" s="3">
        <v>45502</v>
      </c>
      <c r="G11276" s="2">
        <f t="shared" si="176"/>
        <v>0</v>
      </c>
      <c r="H11276" t="s">
        <v>14</v>
      </c>
    </row>
    <row r="11277" spans="2:8" x14ac:dyDescent="0.2">
      <c r="B11277" s="3">
        <v>45502</v>
      </c>
      <c r="D11277" s="28"/>
      <c r="G11277" s="2">
        <f t="shared" si="176"/>
        <v>0</v>
      </c>
      <c r="H11277" t="s">
        <v>13</v>
      </c>
    </row>
    <row r="11278" spans="2:8" x14ac:dyDescent="0.2">
      <c r="B11278" s="3">
        <v>45502</v>
      </c>
      <c r="D11278" s="28"/>
      <c r="G11278" s="2">
        <f t="shared" si="176"/>
        <v>0</v>
      </c>
      <c r="H11278" t="s">
        <v>26</v>
      </c>
    </row>
    <row r="11279" spans="2:8" x14ac:dyDescent="0.2">
      <c r="B11279" s="3">
        <v>45502</v>
      </c>
      <c r="G11279" s="2">
        <f t="shared" si="176"/>
        <v>0</v>
      </c>
      <c r="H11279" t="s">
        <v>25</v>
      </c>
    </row>
    <row r="11280" spans="2:8" x14ac:dyDescent="0.2">
      <c r="B11280" s="3">
        <v>45502</v>
      </c>
      <c r="G11280" s="2">
        <f t="shared" si="176"/>
        <v>0</v>
      </c>
      <c r="H11280" t="s">
        <v>9</v>
      </c>
    </row>
    <row r="11281" spans="2:8" x14ac:dyDescent="0.2">
      <c r="B11281" s="3">
        <v>45502</v>
      </c>
      <c r="G11281" s="2">
        <f t="shared" si="176"/>
        <v>0</v>
      </c>
      <c r="H11281" t="s">
        <v>8</v>
      </c>
    </row>
    <row r="11282" spans="2:8" x14ac:dyDescent="0.2">
      <c r="B11282" s="3">
        <v>45502</v>
      </c>
      <c r="G11282" s="2">
        <f t="shared" si="176"/>
        <v>0</v>
      </c>
      <c r="H11282" t="s">
        <v>5</v>
      </c>
    </row>
    <row r="11283" spans="2:8" x14ac:dyDescent="0.2">
      <c r="B11283" s="3">
        <v>45502</v>
      </c>
      <c r="G11283" s="2">
        <f t="shared" si="176"/>
        <v>0</v>
      </c>
      <c r="H11283" s="1"/>
    </row>
    <row r="11284" spans="2:8" x14ac:dyDescent="0.2">
      <c r="B11284" s="3">
        <v>45502</v>
      </c>
      <c r="G11284" s="2">
        <f t="shared" si="176"/>
        <v>0</v>
      </c>
      <c r="H11284" t="s">
        <v>0</v>
      </c>
    </row>
    <row r="11285" spans="2:8" x14ac:dyDescent="0.2">
      <c r="B11285" s="3">
        <v>45503</v>
      </c>
      <c r="F11285" s="1">
        <v>10000</v>
      </c>
      <c r="G11285" s="2">
        <f t="shared" si="176"/>
        <v>-10000</v>
      </c>
      <c r="H11285" t="s">
        <v>14</v>
      </c>
    </row>
    <row r="11286" spans="2:8" x14ac:dyDescent="0.2">
      <c r="B11286" s="3">
        <v>45503</v>
      </c>
      <c r="D11286" s="28"/>
      <c r="G11286" s="2">
        <f t="shared" si="176"/>
        <v>0</v>
      </c>
      <c r="H11286" t="s">
        <v>13</v>
      </c>
    </row>
    <row r="11287" spans="2:8" x14ac:dyDescent="0.2">
      <c r="B11287" s="3">
        <v>45503</v>
      </c>
      <c r="D11287" s="28"/>
      <c r="G11287" s="2">
        <f t="shared" si="176"/>
        <v>0</v>
      </c>
      <c r="H11287" t="s">
        <v>26</v>
      </c>
    </row>
    <row r="11288" spans="2:8" x14ac:dyDescent="0.2">
      <c r="B11288" s="3">
        <v>45503</v>
      </c>
      <c r="G11288" s="2">
        <f t="shared" si="176"/>
        <v>0</v>
      </c>
      <c r="H11288" t="s">
        <v>25</v>
      </c>
    </row>
    <row r="11289" spans="2:8" x14ac:dyDescent="0.2">
      <c r="B11289" s="3">
        <v>45503</v>
      </c>
      <c r="G11289" s="2">
        <f t="shared" si="176"/>
        <v>0</v>
      </c>
      <c r="H11289" t="s">
        <v>9</v>
      </c>
    </row>
    <row r="11290" spans="2:8" x14ac:dyDescent="0.2">
      <c r="B11290" s="3">
        <v>45503</v>
      </c>
      <c r="D11290" s="1">
        <v>32150</v>
      </c>
      <c r="E11290" s="1">
        <v>36200</v>
      </c>
      <c r="F11290" s="1">
        <v>31000</v>
      </c>
      <c r="G11290" s="2">
        <f t="shared" si="176"/>
        <v>5200</v>
      </c>
      <c r="H11290" t="s">
        <v>8</v>
      </c>
    </row>
    <row r="11291" spans="2:8" x14ac:dyDescent="0.2">
      <c r="B11291" s="3">
        <v>45503</v>
      </c>
      <c r="G11291" s="2">
        <f t="shared" si="176"/>
        <v>0</v>
      </c>
      <c r="H11291" t="s">
        <v>5</v>
      </c>
    </row>
    <row r="11292" spans="2:8" x14ac:dyDescent="0.2">
      <c r="B11292" s="3">
        <v>45503</v>
      </c>
      <c r="D11292" s="1">
        <v>21360</v>
      </c>
      <c r="E11292" s="1">
        <v>22410</v>
      </c>
      <c r="F11292" s="1">
        <v>22410</v>
      </c>
      <c r="G11292" s="2">
        <f t="shared" si="176"/>
        <v>0</v>
      </c>
      <c r="H11292" s="1" t="s">
        <v>83</v>
      </c>
    </row>
    <row r="11293" spans="2:8" x14ac:dyDescent="0.2">
      <c r="B11293" s="3">
        <v>45503</v>
      </c>
      <c r="G11293" s="2">
        <f t="shared" si="176"/>
        <v>0</v>
      </c>
      <c r="H11293" t="s">
        <v>0</v>
      </c>
    </row>
    <row r="11294" spans="2:8" x14ac:dyDescent="0.2">
      <c r="B11294" s="3">
        <v>45504</v>
      </c>
      <c r="D11294" s="1">
        <v>6480</v>
      </c>
      <c r="E11294" s="1">
        <v>8160</v>
      </c>
      <c r="G11294" s="2">
        <f t="shared" si="176"/>
        <v>8160</v>
      </c>
      <c r="H11294" t="s">
        <v>14</v>
      </c>
    </row>
    <row r="11295" spans="2:8" x14ac:dyDescent="0.2">
      <c r="B11295" s="3">
        <v>45504</v>
      </c>
      <c r="D11295" s="28"/>
      <c r="G11295" s="2">
        <f t="shared" si="176"/>
        <v>0</v>
      </c>
      <c r="H11295" t="s">
        <v>13</v>
      </c>
    </row>
    <row r="11296" spans="2:8" x14ac:dyDescent="0.2">
      <c r="B11296" s="3">
        <v>45504</v>
      </c>
      <c r="D11296" s="28"/>
      <c r="G11296" s="2">
        <f t="shared" si="176"/>
        <v>0</v>
      </c>
      <c r="H11296" t="s">
        <v>26</v>
      </c>
    </row>
    <row r="11297" spans="2:8" x14ac:dyDescent="0.2">
      <c r="B11297" s="3">
        <v>45504</v>
      </c>
      <c r="G11297" s="2">
        <f t="shared" si="176"/>
        <v>0</v>
      </c>
      <c r="H11297" t="s">
        <v>25</v>
      </c>
    </row>
    <row r="11298" spans="2:8" x14ac:dyDescent="0.2">
      <c r="B11298" s="3">
        <v>45504</v>
      </c>
      <c r="D11298" s="1">
        <v>63100</v>
      </c>
      <c r="E11298" s="1">
        <v>69400</v>
      </c>
      <c r="G11298" s="2">
        <f t="shared" si="176"/>
        <v>69400</v>
      </c>
      <c r="H11298" t="s">
        <v>9</v>
      </c>
    </row>
    <row r="11299" spans="2:8" x14ac:dyDescent="0.2">
      <c r="B11299" s="3">
        <v>45504</v>
      </c>
      <c r="G11299" s="2">
        <f t="shared" si="176"/>
        <v>0</v>
      </c>
      <c r="H11299" t="s">
        <v>8</v>
      </c>
    </row>
    <row r="11300" spans="2:8" x14ac:dyDescent="0.2">
      <c r="B11300" s="3">
        <v>45504</v>
      </c>
      <c r="G11300" s="2">
        <f t="shared" si="176"/>
        <v>0</v>
      </c>
      <c r="H11300" t="s">
        <v>5</v>
      </c>
    </row>
    <row r="11301" spans="2:8" x14ac:dyDescent="0.2">
      <c r="B11301" s="3">
        <v>45504</v>
      </c>
      <c r="G11301" s="2">
        <f t="shared" si="176"/>
        <v>0</v>
      </c>
      <c r="H11301" s="1"/>
    </row>
    <row r="11302" spans="2:8" x14ac:dyDescent="0.2">
      <c r="B11302" s="3">
        <v>45504</v>
      </c>
      <c r="G11302" s="2">
        <f t="shared" si="176"/>
        <v>0</v>
      </c>
      <c r="H11302" t="s">
        <v>0</v>
      </c>
    </row>
    <row r="11303" spans="2:8" x14ac:dyDescent="0.2">
      <c r="B11303" s="3">
        <v>45505</v>
      </c>
      <c r="G11303" s="2">
        <f t="shared" si="176"/>
        <v>0</v>
      </c>
      <c r="H11303" t="s">
        <v>14</v>
      </c>
    </row>
    <row r="11304" spans="2:8" x14ac:dyDescent="0.2">
      <c r="B11304" s="3">
        <v>45505</v>
      </c>
      <c r="D11304" s="28"/>
      <c r="G11304" s="2">
        <f t="shared" si="176"/>
        <v>0</v>
      </c>
      <c r="H11304" t="s">
        <v>13</v>
      </c>
    </row>
    <row r="11305" spans="2:8" x14ac:dyDescent="0.2">
      <c r="B11305" s="3">
        <v>45505</v>
      </c>
      <c r="D11305" s="28"/>
      <c r="G11305" s="2">
        <f t="shared" si="176"/>
        <v>0</v>
      </c>
      <c r="H11305" t="s">
        <v>26</v>
      </c>
    </row>
    <row r="11306" spans="2:8" x14ac:dyDescent="0.2">
      <c r="B11306" s="3">
        <v>45505</v>
      </c>
      <c r="G11306" s="2">
        <f t="shared" si="176"/>
        <v>0</v>
      </c>
      <c r="H11306" t="s">
        <v>25</v>
      </c>
    </row>
    <row r="11307" spans="2:8" x14ac:dyDescent="0.2">
      <c r="B11307" s="3">
        <v>45505</v>
      </c>
      <c r="G11307" s="2">
        <f t="shared" si="176"/>
        <v>0</v>
      </c>
      <c r="H11307" t="s">
        <v>9</v>
      </c>
    </row>
    <row r="11308" spans="2:8" x14ac:dyDescent="0.2">
      <c r="B11308" s="3">
        <v>45505</v>
      </c>
      <c r="G11308" s="2">
        <f t="shared" si="176"/>
        <v>0</v>
      </c>
      <c r="H11308" t="s">
        <v>8</v>
      </c>
    </row>
    <row r="11309" spans="2:8" x14ac:dyDescent="0.2">
      <c r="B11309" s="3">
        <v>45505</v>
      </c>
      <c r="G11309" s="2">
        <f t="shared" si="176"/>
        <v>0</v>
      </c>
      <c r="H11309" t="s">
        <v>5</v>
      </c>
    </row>
    <row r="11310" spans="2:8" x14ac:dyDescent="0.2">
      <c r="B11310" s="3">
        <v>45505</v>
      </c>
      <c r="G11310" s="2">
        <f t="shared" si="176"/>
        <v>0</v>
      </c>
      <c r="H11310" s="1"/>
    </row>
    <row r="11311" spans="2:8" x14ac:dyDescent="0.2">
      <c r="B11311" s="3">
        <v>45505</v>
      </c>
      <c r="G11311" s="2">
        <f t="shared" si="176"/>
        <v>0</v>
      </c>
      <c r="H11311" t="s">
        <v>0</v>
      </c>
    </row>
    <row r="11312" spans="2:8" x14ac:dyDescent="0.2">
      <c r="B11312" s="3">
        <v>45506</v>
      </c>
      <c r="F11312" s="1">
        <v>20000</v>
      </c>
      <c r="G11312" s="2">
        <f t="shared" si="176"/>
        <v>-20000</v>
      </c>
      <c r="H11312" t="s">
        <v>14</v>
      </c>
    </row>
    <row r="11313" spans="2:8" x14ac:dyDescent="0.2">
      <c r="B11313" s="3">
        <v>45506</v>
      </c>
      <c r="D11313" s="28"/>
      <c r="G11313" s="2">
        <f t="shared" si="176"/>
        <v>0</v>
      </c>
      <c r="H11313" t="s">
        <v>13</v>
      </c>
    </row>
    <row r="11314" spans="2:8" x14ac:dyDescent="0.2">
      <c r="B11314" s="3">
        <v>45506</v>
      </c>
      <c r="D11314" s="28">
        <v>2415</v>
      </c>
      <c r="E11314" s="1">
        <v>2850</v>
      </c>
      <c r="F11314" s="1">
        <v>2850</v>
      </c>
      <c r="G11314" s="2">
        <f t="shared" si="176"/>
        <v>0</v>
      </c>
      <c r="H11314" t="s">
        <v>26</v>
      </c>
    </row>
    <row r="11315" spans="2:8" x14ac:dyDescent="0.2">
      <c r="B11315" s="3">
        <v>45506</v>
      </c>
      <c r="D11315" s="1">
        <v>2415</v>
      </c>
      <c r="E11315" s="1">
        <v>2850</v>
      </c>
      <c r="F11315" s="1">
        <v>2850</v>
      </c>
      <c r="G11315" s="2">
        <f t="shared" si="176"/>
        <v>0</v>
      </c>
      <c r="H11315" t="s">
        <v>25</v>
      </c>
    </row>
    <row r="11316" spans="2:8" x14ac:dyDescent="0.2">
      <c r="B11316" s="3">
        <v>45506</v>
      </c>
      <c r="F11316" s="1">
        <v>30000</v>
      </c>
      <c r="G11316" s="2">
        <f t="shared" si="176"/>
        <v>-30000</v>
      </c>
      <c r="H11316" t="s">
        <v>9</v>
      </c>
    </row>
    <row r="11317" spans="2:8" x14ac:dyDescent="0.2">
      <c r="B11317" s="3">
        <v>45506</v>
      </c>
      <c r="G11317" s="2">
        <f t="shared" si="176"/>
        <v>0</v>
      </c>
      <c r="H11317" t="s">
        <v>8</v>
      </c>
    </row>
    <row r="11318" spans="2:8" x14ac:dyDescent="0.2">
      <c r="B11318" s="3">
        <v>45506</v>
      </c>
      <c r="G11318" s="2">
        <f t="shared" si="176"/>
        <v>0</v>
      </c>
      <c r="H11318" t="s">
        <v>5</v>
      </c>
    </row>
    <row r="11319" spans="2:8" x14ac:dyDescent="0.2">
      <c r="B11319" s="3">
        <v>45506</v>
      </c>
      <c r="G11319" s="2">
        <f t="shared" si="176"/>
        <v>0</v>
      </c>
      <c r="H11319" s="1"/>
    </row>
    <row r="11320" spans="2:8" x14ac:dyDescent="0.2">
      <c r="B11320" s="3">
        <v>45506</v>
      </c>
      <c r="G11320" s="2">
        <f t="shared" si="176"/>
        <v>0</v>
      </c>
      <c r="H11320" t="s">
        <v>0</v>
      </c>
    </row>
    <row r="11321" spans="2:8" x14ac:dyDescent="0.2">
      <c r="B11321" s="3">
        <v>45507</v>
      </c>
      <c r="D11321" s="1">
        <v>79050</v>
      </c>
      <c r="E11321" s="1">
        <v>92260</v>
      </c>
      <c r="G11321" s="2">
        <f t="shared" si="176"/>
        <v>92260</v>
      </c>
      <c r="H11321" t="s">
        <v>14</v>
      </c>
    </row>
    <row r="11322" spans="2:8" x14ac:dyDescent="0.2">
      <c r="B11322" s="3">
        <v>45507</v>
      </c>
      <c r="D11322" s="28"/>
      <c r="G11322" s="2">
        <f t="shared" si="176"/>
        <v>0</v>
      </c>
      <c r="H11322" t="s">
        <v>13</v>
      </c>
    </row>
    <row r="11323" spans="2:8" x14ac:dyDescent="0.2">
      <c r="B11323" s="3">
        <v>45507</v>
      </c>
      <c r="D11323" s="28"/>
      <c r="G11323" s="2">
        <f t="shared" si="176"/>
        <v>0</v>
      </c>
      <c r="H11323" t="s">
        <v>26</v>
      </c>
    </row>
    <row r="11324" spans="2:8" x14ac:dyDescent="0.2">
      <c r="B11324" s="3">
        <v>45507</v>
      </c>
      <c r="G11324" s="2">
        <f t="shared" si="176"/>
        <v>0</v>
      </c>
      <c r="H11324" t="s">
        <v>25</v>
      </c>
    </row>
    <row r="11325" spans="2:8" x14ac:dyDescent="0.2">
      <c r="B11325" s="3">
        <v>45507</v>
      </c>
      <c r="G11325" s="2">
        <f t="shared" si="176"/>
        <v>0</v>
      </c>
      <c r="H11325" t="s">
        <v>9</v>
      </c>
    </row>
    <row r="11326" spans="2:8" x14ac:dyDescent="0.2">
      <c r="B11326" s="3">
        <v>45507</v>
      </c>
      <c r="D11326" s="1">
        <v>1050</v>
      </c>
      <c r="E11326" s="1">
        <v>1190</v>
      </c>
      <c r="G11326" s="2">
        <f t="shared" si="176"/>
        <v>1190</v>
      </c>
      <c r="H11326" t="s">
        <v>8</v>
      </c>
    </row>
    <row r="11327" spans="2:8" x14ac:dyDescent="0.2">
      <c r="B11327" s="3">
        <v>45507</v>
      </c>
      <c r="G11327" s="2">
        <f t="shared" si="176"/>
        <v>0</v>
      </c>
      <c r="H11327" t="s">
        <v>5</v>
      </c>
    </row>
    <row r="11328" spans="2:8" x14ac:dyDescent="0.2">
      <c r="B11328" s="3">
        <v>45507</v>
      </c>
      <c r="D11328" s="1">
        <v>7500</v>
      </c>
      <c r="E11328" s="1">
        <v>7800</v>
      </c>
      <c r="F11328" s="1">
        <v>7800</v>
      </c>
      <c r="G11328" s="2">
        <f t="shared" si="176"/>
        <v>0</v>
      </c>
      <c r="H11328" t="s">
        <v>39</v>
      </c>
    </row>
    <row r="11329" spans="2:8" x14ac:dyDescent="0.2">
      <c r="B11329" s="3">
        <v>45507</v>
      </c>
      <c r="G11329" s="2">
        <f t="shared" si="176"/>
        <v>0</v>
      </c>
      <c r="H11329" t="s">
        <v>0</v>
      </c>
    </row>
    <row r="11330" spans="2:8" x14ac:dyDescent="0.2">
      <c r="B11330" s="3">
        <v>45508</v>
      </c>
      <c r="G11330" s="2">
        <f t="shared" si="176"/>
        <v>0</v>
      </c>
      <c r="H11330" t="s">
        <v>14</v>
      </c>
    </row>
    <row r="11331" spans="2:8" x14ac:dyDescent="0.2">
      <c r="B11331" s="3">
        <v>45508</v>
      </c>
      <c r="D11331" s="28"/>
      <c r="G11331" s="2">
        <f t="shared" ref="G11331:G11394" si="177">E11331-F11331</f>
        <v>0</v>
      </c>
      <c r="H11331" t="s">
        <v>13</v>
      </c>
    </row>
    <row r="11332" spans="2:8" x14ac:dyDescent="0.2">
      <c r="B11332" s="3">
        <v>45508</v>
      </c>
      <c r="D11332" s="28"/>
      <c r="G11332" s="2">
        <f t="shared" si="177"/>
        <v>0</v>
      </c>
      <c r="H11332" t="s">
        <v>26</v>
      </c>
    </row>
    <row r="11333" spans="2:8" x14ac:dyDescent="0.2">
      <c r="B11333" s="3">
        <v>45508</v>
      </c>
      <c r="G11333" s="2">
        <f t="shared" si="177"/>
        <v>0</v>
      </c>
      <c r="H11333" t="s">
        <v>25</v>
      </c>
    </row>
    <row r="11334" spans="2:8" x14ac:dyDescent="0.2">
      <c r="B11334" s="3">
        <v>45508</v>
      </c>
      <c r="G11334" s="2">
        <f t="shared" si="177"/>
        <v>0</v>
      </c>
      <c r="H11334" t="s">
        <v>9</v>
      </c>
    </row>
    <row r="11335" spans="2:8" x14ac:dyDescent="0.2">
      <c r="B11335" s="3">
        <v>45508</v>
      </c>
      <c r="G11335" s="2">
        <f t="shared" si="177"/>
        <v>0</v>
      </c>
      <c r="H11335" t="s">
        <v>8</v>
      </c>
    </row>
    <row r="11336" spans="2:8" x14ac:dyDescent="0.2">
      <c r="B11336" s="3">
        <v>45508</v>
      </c>
      <c r="G11336" s="2">
        <f t="shared" si="177"/>
        <v>0</v>
      </c>
      <c r="H11336" t="s">
        <v>5</v>
      </c>
    </row>
    <row r="11337" spans="2:8" x14ac:dyDescent="0.2">
      <c r="B11337" s="3">
        <v>45508</v>
      </c>
      <c r="G11337" s="2">
        <f t="shared" si="177"/>
        <v>0</v>
      </c>
      <c r="H11337" s="1"/>
    </row>
    <row r="11338" spans="2:8" x14ac:dyDescent="0.2">
      <c r="B11338" s="3">
        <v>45508</v>
      </c>
      <c r="G11338" s="2">
        <f t="shared" si="177"/>
        <v>0</v>
      </c>
      <c r="H11338" t="s">
        <v>0</v>
      </c>
    </row>
    <row r="11339" spans="2:8" x14ac:dyDescent="0.2">
      <c r="B11339" s="3">
        <v>45509</v>
      </c>
      <c r="F11339" s="1">
        <v>8160</v>
      </c>
      <c r="G11339" s="2">
        <f t="shared" si="177"/>
        <v>-8160</v>
      </c>
      <c r="H11339" t="s">
        <v>14</v>
      </c>
    </row>
    <row r="11340" spans="2:8" x14ac:dyDescent="0.2">
      <c r="B11340" s="3">
        <v>45509</v>
      </c>
      <c r="D11340" s="28"/>
      <c r="G11340" s="2">
        <f t="shared" si="177"/>
        <v>0</v>
      </c>
      <c r="H11340" t="s">
        <v>13</v>
      </c>
    </row>
    <row r="11341" spans="2:8" x14ac:dyDescent="0.2">
      <c r="B11341" s="3">
        <v>45509</v>
      </c>
      <c r="D11341" s="28"/>
      <c r="G11341" s="2">
        <f t="shared" si="177"/>
        <v>0</v>
      </c>
      <c r="H11341" t="s">
        <v>26</v>
      </c>
    </row>
    <row r="11342" spans="2:8" x14ac:dyDescent="0.2">
      <c r="B11342" s="3">
        <v>45509</v>
      </c>
      <c r="G11342" s="2">
        <f t="shared" si="177"/>
        <v>0</v>
      </c>
      <c r="H11342" t="s">
        <v>25</v>
      </c>
    </row>
    <row r="11343" spans="2:8" x14ac:dyDescent="0.2">
      <c r="B11343" s="3">
        <v>45509</v>
      </c>
      <c r="G11343" s="2">
        <f t="shared" si="177"/>
        <v>0</v>
      </c>
      <c r="H11343" t="s">
        <v>9</v>
      </c>
    </row>
    <row r="11344" spans="2:8" x14ac:dyDescent="0.2">
      <c r="B11344" s="3">
        <v>45509</v>
      </c>
      <c r="G11344" s="2">
        <f t="shared" si="177"/>
        <v>0</v>
      </c>
      <c r="H11344" t="s">
        <v>8</v>
      </c>
    </row>
    <row r="11345" spans="2:8" x14ac:dyDescent="0.2">
      <c r="B11345" s="3">
        <v>45509</v>
      </c>
      <c r="G11345" s="2">
        <f t="shared" si="177"/>
        <v>0</v>
      </c>
      <c r="H11345" t="s">
        <v>5</v>
      </c>
    </row>
    <row r="11346" spans="2:8" x14ac:dyDescent="0.2">
      <c r="B11346" s="3">
        <v>45509</v>
      </c>
      <c r="G11346" s="2">
        <f t="shared" si="177"/>
        <v>0</v>
      </c>
      <c r="H11346" s="1"/>
    </row>
    <row r="11347" spans="2:8" x14ac:dyDescent="0.2">
      <c r="B11347" s="3">
        <v>45509</v>
      </c>
      <c r="G11347" s="2">
        <f t="shared" si="177"/>
        <v>0</v>
      </c>
      <c r="H11347" t="s">
        <v>0</v>
      </c>
    </row>
    <row r="11348" spans="2:8" x14ac:dyDescent="0.2">
      <c r="B11348" s="3">
        <v>45510</v>
      </c>
      <c r="G11348" s="2">
        <f t="shared" si="177"/>
        <v>0</v>
      </c>
      <c r="H11348" t="s">
        <v>14</v>
      </c>
    </row>
    <row r="11349" spans="2:8" x14ac:dyDescent="0.2">
      <c r="B11349" s="3">
        <v>45510</v>
      </c>
      <c r="D11349" s="28"/>
      <c r="G11349" s="2">
        <f t="shared" si="177"/>
        <v>0</v>
      </c>
      <c r="H11349" t="s">
        <v>13</v>
      </c>
    </row>
    <row r="11350" spans="2:8" x14ac:dyDescent="0.2">
      <c r="B11350" s="3">
        <v>45510</v>
      </c>
      <c r="D11350" s="28"/>
      <c r="G11350" s="2">
        <f t="shared" si="177"/>
        <v>0</v>
      </c>
      <c r="H11350" t="s">
        <v>26</v>
      </c>
    </row>
    <row r="11351" spans="2:8" x14ac:dyDescent="0.2">
      <c r="B11351" s="3">
        <v>45510</v>
      </c>
      <c r="G11351" s="2">
        <f t="shared" si="177"/>
        <v>0</v>
      </c>
      <c r="H11351" t="s">
        <v>25</v>
      </c>
    </row>
    <row r="11352" spans="2:8" x14ac:dyDescent="0.2">
      <c r="B11352" s="3">
        <v>45510</v>
      </c>
      <c r="G11352" s="2">
        <f t="shared" si="177"/>
        <v>0</v>
      </c>
      <c r="H11352" t="s">
        <v>9</v>
      </c>
    </row>
    <row r="11353" spans="2:8" x14ac:dyDescent="0.2">
      <c r="B11353" s="3">
        <v>45510</v>
      </c>
      <c r="G11353" s="2">
        <f t="shared" si="177"/>
        <v>0</v>
      </c>
      <c r="H11353" t="s">
        <v>8</v>
      </c>
    </row>
    <row r="11354" spans="2:8" x14ac:dyDescent="0.2">
      <c r="B11354" s="3">
        <v>45510</v>
      </c>
      <c r="G11354" s="2">
        <f t="shared" si="177"/>
        <v>0</v>
      </c>
      <c r="H11354" t="s">
        <v>5</v>
      </c>
    </row>
    <row r="11355" spans="2:8" x14ac:dyDescent="0.2">
      <c r="B11355" s="3">
        <v>45510</v>
      </c>
      <c r="G11355" s="2">
        <f t="shared" si="177"/>
        <v>0</v>
      </c>
      <c r="H11355" s="1"/>
    </row>
    <row r="11356" spans="2:8" x14ac:dyDescent="0.2">
      <c r="B11356" s="3">
        <v>45510</v>
      </c>
      <c r="G11356" s="2">
        <f t="shared" si="177"/>
        <v>0</v>
      </c>
      <c r="H11356" t="s">
        <v>0</v>
      </c>
    </row>
    <row r="11357" spans="2:8" x14ac:dyDescent="0.2">
      <c r="B11357" s="3">
        <v>45511</v>
      </c>
      <c r="F11357" s="1">
        <v>25000</v>
      </c>
      <c r="G11357" s="2">
        <f t="shared" si="177"/>
        <v>-25000</v>
      </c>
      <c r="H11357" t="s">
        <v>14</v>
      </c>
    </row>
    <row r="11358" spans="2:8" x14ac:dyDescent="0.2">
      <c r="B11358" s="3">
        <v>45511</v>
      </c>
      <c r="D11358" s="28"/>
      <c r="G11358" s="2">
        <f t="shared" si="177"/>
        <v>0</v>
      </c>
      <c r="H11358" t="s">
        <v>13</v>
      </c>
    </row>
    <row r="11359" spans="2:8" x14ac:dyDescent="0.2">
      <c r="B11359" s="3">
        <v>45511</v>
      </c>
      <c r="D11359" s="28"/>
      <c r="G11359" s="2">
        <f t="shared" si="177"/>
        <v>0</v>
      </c>
      <c r="H11359" t="s">
        <v>26</v>
      </c>
    </row>
    <row r="11360" spans="2:8" x14ac:dyDescent="0.2">
      <c r="B11360" s="3">
        <v>45511</v>
      </c>
      <c r="G11360" s="2">
        <f t="shared" si="177"/>
        <v>0</v>
      </c>
      <c r="H11360" t="s">
        <v>25</v>
      </c>
    </row>
    <row r="11361" spans="2:8" x14ac:dyDescent="0.2">
      <c r="B11361" s="3">
        <v>45511</v>
      </c>
      <c r="G11361" s="2">
        <f t="shared" si="177"/>
        <v>0</v>
      </c>
      <c r="H11361" t="s">
        <v>9</v>
      </c>
    </row>
    <row r="11362" spans="2:8" x14ac:dyDescent="0.2">
      <c r="B11362" s="3">
        <v>45511</v>
      </c>
      <c r="G11362" s="2">
        <f t="shared" si="177"/>
        <v>0</v>
      </c>
      <c r="H11362" t="s">
        <v>8</v>
      </c>
    </row>
    <row r="11363" spans="2:8" x14ac:dyDescent="0.2">
      <c r="B11363" s="3">
        <v>45511</v>
      </c>
      <c r="G11363" s="2">
        <f t="shared" si="177"/>
        <v>0</v>
      </c>
      <c r="H11363" t="s">
        <v>5</v>
      </c>
    </row>
    <row r="11364" spans="2:8" x14ac:dyDescent="0.2">
      <c r="B11364" s="3">
        <v>45511</v>
      </c>
      <c r="G11364" s="2">
        <f t="shared" si="177"/>
        <v>0</v>
      </c>
      <c r="H11364" s="1"/>
    </row>
    <row r="11365" spans="2:8" x14ac:dyDescent="0.2">
      <c r="B11365" s="3">
        <v>45511</v>
      </c>
      <c r="G11365" s="2">
        <f t="shared" si="177"/>
        <v>0</v>
      </c>
      <c r="H11365" t="s">
        <v>0</v>
      </c>
    </row>
    <row r="11366" spans="2:8" x14ac:dyDescent="0.2">
      <c r="B11366" s="3">
        <v>45512</v>
      </c>
      <c r="G11366" s="2">
        <f t="shared" si="177"/>
        <v>0</v>
      </c>
      <c r="H11366" t="s">
        <v>14</v>
      </c>
    </row>
    <row r="11367" spans="2:8" x14ac:dyDescent="0.2">
      <c r="B11367" s="3">
        <v>45512</v>
      </c>
      <c r="D11367" s="28"/>
      <c r="G11367" s="2">
        <f t="shared" si="177"/>
        <v>0</v>
      </c>
      <c r="H11367" t="s">
        <v>13</v>
      </c>
    </row>
    <row r="11368" spans="2:8" x14ac:dyDescent="0.2">
      <c r="B11368" s="3">
        <v>45512</v>
      </c>
      <c r="D11368" s="28"/>
      <c r="G11368" s="2">
        <f t="shared" si="177"/>
        <v>0</v>
      </c>
      <c r="H11368" t="s">
        <v>26</v>
      </c>
    </row>
    <row r="11369" spans="2:8" x14ac:dyDescent="0.2">
      <c r="B11369" s="3">
        <v>45512</v>
      </c>
      <c r="G11369" s="2">
        <f t="shared" si="177"/>
        <v>0</v>
      </c>
      <c r="H11369" t="s">
        <v>25</v>
      </c>
    </row>
    <row r="11370" spans="2:8" x14ac:dyDescent="0.2">
      <c r="B11370" s="3">
        <v>45512</v>
      </c>
      <c r="G11370" s="2">
        <f t="shared" si="177"/>
        <v>0</v>
      </c>
      <c r="H11370" t="s">
        <v>9</v>
      </c>
    </row>
    <row r="11371" spans="2:8" x14ac:dyDescent="0.2">
      <c r="B11371" s="3">
        <v>45512</v>
      </c>
      <c r="G11371" s="2">
        <f t="shared" si="177"/>
        <v>0</v>
      </c>
      <c r="H11371" t="s">
        <v>8</v>
      </c>
    </row>
    <row r="11372" spans="2:8" x14ac:dyDescent="0.2">
      <c r="B11372" s="3">
        <v>45512</v>
      </c>
      <c r="G11372" s="2">
        <f t="shared" si="177"/>
        <v>0</v>
      </c>
      <c r="H11372" t="s">
        <v>5</v>
      </c>
    </row>
    <row r="11373" spans="2:8" x14ac:dyDescent="0.2">
      <c r="B11373" s="3">
        <v>45512</v>
      </c>
      <c r="G11373" s="2">
        <f t="shared" si="177"/>
        <v>0</v>
      </c>
      <c r="H11373" s="1"/>
    </row>
    <row r="11374" spans="2:8" x14ac:dyDescent="0.2">
      <c r="B11374" s="3">
        <v>45512</v>
      </c>
      <c r="G11374" s="2">
        <f t="shared" si="177"/>
        <v>0</v>
      </c>
      <c r="H11374" t="s">
        <v>0</v>
      </c>
    </row>
    <row r="11375" spans="2:8" x14ac:dyDescent="0.2">
      <c r="B11375" s="3">
        <v>45513</v>
      </c>
      <c r="D11375" s="1">
        <v>4000</v>
      </c>
      <c r="E11375" s="1">
        <v>5000</v>
      </c>
      <c r="G11375" s="2">
        <f t="shared" si="177"/>
        <v>5000</v>
      </c>
      <c r="H11375" t="s">
        <v>14</v>
      </c>
    </row>
    <row r="11376" spans="2:8" x14ac:dyDescent="0.2">
      <c r="B11376" s="3">
        <v>45513</v>
      </c>
      <c r="D11376" s="28"/>
      <c r="G11376" s="2">
        <f t="shared" si="177"/>
        <v>0</v>
      </c>
      <c r="H11376" t="s">
        <v>13</v>
      </c>
    </row>
    <row r="11377" spans="2:8" x14ac:dyDescent="0.2">
      <c r="B11377" s="3">
        <v>45513</v>
      </c>
      <c r="D11377" s="28"/>
      <c r="G11377" s="2">
        <f t="shared" si="177"/>
        <v>0</v>
      </c>
      <c r="H11377" t="s">
        <v>26</v>
      </c>
    </row>
    <row r="11378" spans="2:8" x14ac:dyDescent="0.2">
      <c r="B11378" s="3">
        <v>45513</v>
      </c>
      <c r="G11378" s="2">
        <f t="shared" si="177"/>
        <v>0</v>
      </c>
      <c r="H11378" t="s">
        <v>25</v>
      </c>
    </row>
    <row r="11379" spans="2:8" x14ac:dyDescent="0.2">
      <c r="B11379" s="3">
        <v>45513</v>
      </c>
      <c r="F11379" s="1">
        <v>15000</v>
      </c>
      <c r="G11379" s="2">
        <f t="shared" si="177"/>
        <v>-15000</v>
      </c>
      <c r="H11379" t="s">
        <v>9</v>
      </c>
    </row>
    <row r="11380" spans="2:8" x14ac:dyDescent="0.2">
      <c r="B11380" s="3">
        <v>45513</v>
      </c>
      <c r="G11380" s="2">
        <f t="shared" si="177"/>
        <v>0</v>
      </c>
      <c r="H11380" t="s">
        <v>8</v>
      </c>
    </row>
    <row r="11381" spans="2:8" x14ac:dyDescent="0.2">
      <c r="B11381" s="3">
        <v>45513</v>
      </c>
      <c r="G11381" s="2">
        <f t="shared" si="177"/>
        <v>0</v>
      </c>
      <c r="H11381" t="s">
        <v>5</v>
      </c>
    </row>
    <row r="11382" spans="2:8" x14ac:dyDescent="0.2">
      <c r="B11382" s="3">
        <v>45513</v>
      </c>
      <c r="G11382" s="2">
        <f t="shared" si="177"/>
        <v>0</v>
      </c>
      <c r="H11382" s="1"/>
    </row>
    <row r="11383" spans="2:8" x14ac:dyDescent="0.2">
      <c r="B11383" s="3">
        <v>45513</v>
      </c>
      <c r="G11383" s="2">
        <f t="shared" si="177"/>
        <v>0</v>
      </c>
      <c r="H11383" t="s">
        <v>0</v>
      </c>
    </row>
    <row r="11384" spans="2:8" x14ac:dyDescent="0.2">
      <c r="B11384" s="3">
        <v>45514</v>
      </c>
      <c r="F11384" s="1">
        <v>10000</v>
      </c>
      <c r="G11384" s="2">
        <f t="shared" si="177"/>
        <v>-10000</v>
      </c>
      <c r="H11384" t="s">
        <v>14</v>
      </c>
    </row>
    <row r="11385" spans="2:8" x14ac:dyDescent="0.2">
      <c r="B11385" s="3">
        <v>45514</v>
      </c>
      <c r="D11385" s="28"/>
      <c r="G11385" s="2">
        <f t="shared" si="177"/>
        <v>0</v>
      </c>
      <c r="H11385" t="s">
        <v>13</v>
      </c>
    </row>
    <row r="11386" spans="2:8" x14ac:dyDescent="0.2">
      <c r="B11386" s="3">
        <v>45514</v>
      </c>
      <c r="D11386" s="28"/>
      <c r="G11386" s="2">
        <f t="shared" si="177"/>
        <v>0</v>
      </c>
      <c r="H11386" t="s">
        <v>26</v>
      </c>
    </row>
    <row r="11387" spans="2:8" x14ac:dyDescent="0.2">
      <c r="B11387" s="3">
        <v>45514</v>
      </c>
      <c r="G11387" s="2">
        <f t="shared" si="177"/>
        <v>0</v>
      </c>
      <c r="H11387" t="s">
        <v>25</v>
      </c>
    </row>
    <row r="11388" spans="2:8" x14ac:dyDescent="0.2">
      <c r="B11388" s="3">
        <v>45514</v>
      </c>
      <c r="G11388" s="2">
        <f t="shared" si="177"/>
        <v>0</v>
      </c>
      <c r="H11388" t="s">
        <v>9</v>
      </c>
    </row>
    <row r="11389" spans="2:8" x14ac:dyDescent="0.2">
      <c r="B11389" s="3">
        <v>45514</v>
      </c>
      <c r="D11389" s="1">
        <v>20230.400000000001</v>
      </c>
      <c r="E11389" s="1">
        <v>22734</v>
      </c>
      <c r="F11389" s="1">
        <v>25000</v>
      </c>
      <c r="G11389" s="2">
        <f t="shared" si="177"/>
        <v>-2266</v>
      </c>
      <c r="H11389" t="s">
        <v>8</v>
      </c>
    </row>
    <row r="11390" spans="2:8" x14ac:dyDescent="0.2">
      <c r="B11390" s="3">
        <v>45514</v>
      </c>
      <c r="G11390" s="2">
        <f t="shared" si="177"/>
        <v>0</v>
      </c>
      <c r="H11390" t="s">
        <v>5</v>
      </c>
    </row>
    <row r="11391" spans="2:8" x14ac:dyDescent="0.2">
      <c r="B11391" s="3">
        <v>45514</v>
      </c>
      <c r="G11391" s="2">
        <f t="shared" si="177"/>
        <v>0</v>
      </c>
      <c r="H11391" s="1"/>
    </row>
    <row r="11392" spans="2:8" x14ac:dyDescent="0.2">
      <c r="B11392" s="3">
        <v>45514</v>
      </c>
      <c r="G11392" s="2">
        <f t="shared" si="177"/>
        <v>0</v>
      </c>
      <c r="H11392" t="s">
        <v>0</v>
      </c>
    </row>
    <row r="11393" spans="2:8" x14ac:dyDescent="0.2">
      <c r="B11393" s="3">
        <v>45515</v>
      </c>
      <c r="G11393" s="2">
        <f t="shared" si="177"/>
        <v>0</v>
      </c>
      <c r="H11393" t="s">
        <v>14</v>
      </c>
    </row>
    <row r="11394" spans="2:8" x14ac:dyDescent="0.2">
      <c r="B11394" s="3">
        <v>45515</v>
      </c>
      <c r="D11394" s="28"/>
      <c r="G11394" s="2">
        <f t="shared" si="177"/>
        <v>0</v>
      </c>
      <c r="H11394" t="s">
        <v>13</v>
      </c>
    </row>
    <row r="11395" spans="2:8" x14ac:dyDescent="0.2">
      <c r="B11395" s="3">
        <v>45515</v>
      </c>
      <c r="D11395" s="28"/>
      <c r="G11395" s="2">
        <f t="shared" ref="G11395:G11458" si="178">E11395-F11395</f>
        <v>0</v>
      </c>
      <c r="H11395" t="s">
        <v>26</v>
      </c>
    </row>
    <row r="11396" spans="2:8" x14ac:dyDescent="0.2">
      <c r="B11396" s="3">
        <v>45515</v>
      </c>
      <c r="G11396" s="2">
        <f t="shared" si="178"/>
        <v>0</v>
      </c>
      <c r="H11396" t="s">
        <v>25</v>
      </c>
    </row>
    <row r="11397" spans="2:8" x14ac:dyDescent="0.2">
      <c r="B11397" s="3">
        <v>45515</v>
      </c>
      <c r="G11397" s="2">
        <f t="shared" si="178"/>
        <v>0</v>
      </c>
      <c r="H11397" t="s">
        <v>9</v>
      </c>
    </row>
    <row r="11398" spans="2:8" x14ac:dyDescent="0.2">
      <c r="B11398" s="3">
        <v>45515</v>
      </c>
      <c r="G11398" s="2">
        <f t="shared" si="178"/>
        <v>0</v>
      </c>
      <c r="H11398" t="s">
        <v>8</v>
      </c>
    </row>
    <row r="11399" spans="2:8" x14ac:dyDescent="0.2">
      <c r="B11399" s="3">
        <v>45515</v>
      </c>
      <c r="G11399" s="2">
        <f t="shared" si="178"/>
        <v>0</v>
      </c>
      <c r="H11399" t="s">
        <v>5</v>
      </c>
    </row>
    <row r="11400" spans="2:8" x14ac:dyDescent="0.2">
      <c r="B11400" s="3">
        <v>45515</v>
      </c>
      <c r="G11400" s="2">
        <f t="shared" si="178"/>
        <v>0</v>
      </c>
      <c r="H11400" s="1"/>
    </row>
    <row r="11401" spans="2:8" x14ac:dyDescent="0.2">
      <c r="B11401" s="3">
        <v>45515</v>
      </c>
      <c r="G11401" s="2">
        <f t="shared" si="178"/>
        <v>0</v>
      </c>
      <c r="H11401" t="s">
        <v>0</v>
      </c>
    </row>
    <row r="11402" spans="2:8" x14ac:dyDescent="0.2">
      <c r="B11402" s="3">
        <v>45516</v>
      </c>
      <c r="F11402" s="1">
        <v>10000</v>
      </c>
      <c r="G11402" s="2">
        <f t="shared" si="178"/>
        <v>-10000</v>
      </c>
      <c r="H11402" t="s">
        <v>14</v>
      </c>
    </row>
    <row r="11403" spans="2:8" x14ac:dyDescent="0.2">
      <c r="B11403" s="3">
        <v>45516</v>
      </c>
      <c r="D11403" s="28"/>
      <c r="G11403" s="2">
        <f t="shared" si="178"/>
        <v>0</v>
      </c>
      <c r="H11403" t="s">
        <v>13</v>
      </c>
    </row>
    <row r="11404" spans="2:8" x14ac:dyDescent="0.2">
      <c r="B11404" s="3">
        <v>45516</v>
      </c>
      <c r="D11404" s="28"/>
      <c r="G11404" s="2">
        <f t="shared" si="178"/>
        <v>0</v>
      </c>
      <c r="H11404" t="s">
        <v>26</v>
      </c>
    </row>
    <row r="11405" spans="2:8" x14ac:dyDescent="0.2">
      <c r="B11405" s="3">
        <v>45516</v>
      </c>
      <c r="G11405" s="2">
        <f t="shared" si="178"/>
        <v>0</v>
      </c>
      <c r="H11405" t="s">
        <v>25</v>
      </c>
    </row>
    <row r="11406" spans="2:8" x14ac:dyDescent="0.2">
      <c r="B11406" s="3">
        <v>45516</v>
      </c>
      <c r="G11406" s="2">
        <f t="shared" si="178"/>
        <v>0</v>
      </c>
      <c r="H11406" t="s">
        <v>9</v>
      </c>
    </row>
    <row r="11407" spans="2:8" x14ac:dyDescent="0.2">
      <c r="B11407" s="3">
        <v>45516</v>
      </c>
      <c r="G11407" s="2">
        <f t="shared" si="178"/>
        <v>0</v>
      </c>
      <c r="H11407" t="s">
        <v>8</v>
      </c>
    </row>
    <row r="11408" spans="2:8" x14ac:dyDescent="0.2">
      <c r="B11408" s="3">
        <v>45516</v>
      </c>
      <c r="G11408" s="2">
        <f t="shared" si="178"/>
        <v>0</v>
      </c>
      <c r="H11408" t="s">
        <v>5</v>
      </c>
    </row>
    <row r="11409" spans="2:8" x14ac:dyDescent="0.2">
      <c r="B11409" s="3">
        <v>45516</v>
      </c>
      <c r="D11409" s="1">
        <v>3025</v>
      </c>
      <c r="E11409" s="1">
        <v>3355</v>
      </c>
      <c r="F11409" s="1">
        <v>3355</v>
      </c>
      <c r="G11409" s="2">
        <f t="shared" si="178"/>
        <v>0</v>
      </c>
      <c r="H11409" s="1" t="s">
        <v>83</v>
      </c>
    </row>
    <row r="11410" spans="2:8" x14ac:dyDescent="0.2">
      <c r="B11410" s="3">
        <v>45516</v>
      </c>
      <c r="D11410" s="1">
        <v>198776.8</v>
      </c>
      <c r="E11410" s="1">
        <v>203931.89</v>
      </c>
      <c r="G11410" s="2">
        <f t="shared" si="178"/>
        <v>203931.89</v>
      </c>
      <c r="H11410" t="s">
        <v>0</v>
      </c>
    </row>
    <row r="11411" spans="2:8" x14ac:dyDescent="0.2">
      <c r="B11411" s="3">
        <v>45517</v>
      </c>
      <c r="G11411" s="2">
        <f t="shared" si="178"/>
        <v>0</v>
      </c>
      <c r="H11411" t="s">
        <v>14</v>
      </c>
    </row>
    <row r="11412" spans="2:8" x14ac:dyDescent="0.2">
      <c r="B11412" s="3">
        <v>45517</v>
      </c>
      <c r="D11412" s="28">
        <f>1050+3100+321.6+47+1380+3000+3760+4025+3120+3960</f>
        <v>23763.599999999999</v>
      </c>
      <c r="E11412" s="1">
        <f>1110+1590+1590+340.8+51+1464+800+2400+1000+2000+1000+4375+3360+350+350+1050+2800</f>
        <v>25630.799999999999</v>
      </c>
      <c r="F11412" s="1">
        <v>25630</v>
      </c>
      <c r="G11412" s="2">
        <f t="shared" si="178"/>
        <v>0.7999999999992724</v>
      </c>
      <c r="H11412" t="s">
        <v>13</v>
      </c>
    </row>
    <row r="11413" spans="2:8" x14ac:dyDescent="0.2">
      <c r="B11413" s="3">
        <v>45517</v>
      </c>
      <c r="D11413" s="28"/>
      <c r="G11413" s="2">
        <f t="shared" si="178"/>
        <v>0</v>
      </c>
      <c r="H11413" t="s">
        <v>26</v>
      </c>
    </row>
    <row r="11414" spans="2:8" x14ac:dyDescent="0.2">
      <c r="B11414" s="3">
        <v>45517</v>
      </c>
      <c r="G11414" s="2">
        <f t="shared" si="178"/>
        <v>0</v>
      </c>
      <c r="H11414" t="s">
        <v>25</v>
      </c>
    </row>
    <row r="11415" spans="2:8" x14ac:dyDescent="0.2">
      <c r="B11415" s="3">
        <v>45517</v>
      </c>
      <c r="F11415" s="1">
        <v>9800</v>
      </c>
      <c r="G11415" s="2">
        <f t="shared" si="178"/>
        <v>-9800</v>
      </c>
      <c r="H11415" t="s">
        <v>9</v>
      </c>
    </row>
    <row r="11416" spans="2:8" x14ac:dyDescent="0.2">
      <c r="B11416" s="3">
        <v>45517</v>
      </c>
      <c r="G11416" s="2">
        <f t="shared" si="178"/>
        <v>0</v>
      </c>
      <c r="H11416" t="s">
        <v>8</v>
      </c>
    </row>
    <row r="11417" spans="2:8" x14ac:dyDescent="0.2">
      <c r="B11417" s="3">
        <v>45517</v>
      </c>
      <c r="G11417" s="2">
        <f t="shared" si="178"/>
        <v>0</v>
      </c>
      <c r="H11417" t="s">
        <v>5</v>
      </c>
    </row>
    <row r="11418" spans="2:8" x14ac:dyDescent="0.2">
      <c r="B11418" s="3">
        <v>45517</v>
      </c>
      <c r="G11418" s="2">
        <f t="shared" si="178"/>
        <v>0</v>
      </c>
      <c r="H11418" s="1"/>
    </row>
    <row r="11419" spans="2:8" x14ac:dyDescent="0.2">
      <c r="B11419" s="3">
        <v>45517</v>
      </c>
      <c r="G11419" s="2">
        <f t="shared" si="178"/>
        <v>0</v>
      </c>
      <c r="H11419" t="s">
        <v>0</v>
      </c>
    </row>
    <row r="11420" spans="2:8" x14ac:dyDescent="0.2">
      <c r="B11420" s="3">
        <v>45518</v>
      </c>
      <c r="G11420" s="2">
        <f t="shared" si="178"/>
        <v>0</v>
      </c>
      <c r="H11420" t="s">
        <v>14</v>
      </c>
    </row>
    <row r="11421" spans="2:8" x14ac:dyDescent="0.2">
      <c r="B11421" s="3">
        <v>45518</v>
      </c>
      <c r="D11421" s="28"/>
      <c r="G11421" s="2">
        <f t="shared" si="178"/>
        <v>0</v>
      </c>
      <c r="H11421" t="s">
        <v>13</v>
      </c>
    </row>
    <row r="11422" spans="2:8" x14ac:dyDescent="0.2">
      <c r="B11422" s="3">
        <v>45518</v>
      </c>
      <c r="D11422" s="28"/>
      <c r="G11422" s="2">
        <f t="shared" si="178"/>
        <v>0</v>
      </c>
      <c r="H11422" t="s">
        <v>26</v>
      </c>
    </row>
    <row r="11423" spans="2:8" x14ac:dyDescent="0.2">
      <c r="B11423" s="3">
        <v>45518</v>
      </c>
      <c r="G11423" s="2">
        <f t="shared" si="178"/>
        <v>0</v>
      </c>
      <c r="H11423" t="s">
        <v>25</v>
      </c>
    </row>
    <row r="11424" spans="2:8" x14ac:dyDescent="0.2">
      <c r="B11424" s="3">
        <v>45518</v>
      </c>
      <c r="G11424" s="2">
        <f t="shared" si="178"/>
        <v>0</v>
      </c>
      <c r="H11424" t="s">
        <v>9</v>
      </c>
    </row>
    <row r="11425" spans="2:8" x14ac:dyDescent="0.2">
      <c r="B11425" s="3">
        <v>45518</v>
      </c>
      <c r="G11425" s="2">
        <f t="shared" si="178"/>
        <v>0</v>
      </c>
      <c r="H11425" t="s">
        <v>8</v>
      </c>
    </row>
    <row r="11426" spans="2:8" x14ac:dyDescent="0.2">
      <c r="B11426" s="3">
        <v>45518</v>
      </c>
      <c r="G11426" s="2">
        <f t="shared" si="178"/>
        <v>0</v>
      </c>
      <c r="H11426" t="s">
        <v>5</v>
      </c>
    </row>
    <row r="11427" spans="2:8" x14ac:dyDescent="0.2">
      <c r="B11427" s="3">
        <v>45518</v>
      </c>
      <c r="G11427" s="2">
        <f t="shared" si="178"/>
        <v>0</v>
      </c>
      <c r="H11427" s="1"/>
    </row>
    <row r="11428" spans="2:8" x14ac:dyDescent="0.2">
      <c r="B11428" s="3">
        <v>45518</v>
      </c>
      <c r="G11428" s="2">
        <f t="shared" si="178"/>
        <v>0</v>
      </c>
      <c r="H11428" t="s">
        <v>0</v>
      </c>
    </row>
    <row r="11429" spans="2:8" x14ac:dyDescent="0.2">
      <c r="B11429" s="3">
        <v>45519</v>
      </c>
      <c r="G11429" s="2">
        <f t="shared" si="178"/>
        <v>0</v>
      </c>
      <c r="H11429" t="s">
        <v>14</v>
      </c>
    </row>
    <row r="11430" spans="2:8" x14ac:dyDescent="0.2">
      <c r="B11430" s="3">
        <v>45519</v>
      </c>
      <c r="D11430" s="28"/>
      <c r="G11430" s="2">
        <f t="shared" si="178"/>
        <v>0</v>
      </c>
      <c r="H11430" t="s">
        <v>13</v>
      </c>
    </row>
    <row r="11431" spans="2:8" x14ac:dyDescent="0.2">
      <c r="B11431" s="3">
        <v>45519</v>
      </c>
      <c r="D11431" s="28"/>
      <c r="G11431" s="2">
        <f t="shared" si="178"/>
        <v>0</v>
      </c>
      <c r="H11431" t="s">
        <v>26</v>
      </c>
    </row>
    <row r="11432" spans="2:8" x14ac:dyDescent="0.2">
      <c r="B11432" s="3">
        <v>45519</v>
      </c>
      <c r="G11432" s="2">
        <f t="shared" si="178"/>
        <v>0</v>
      </c>
      <c r="H11432" t="s">
        <v>25</v>
      </c>
    </row>
    <row r="11433" spans="2:8" x14ac:dyDescent="0.2">
      <c r="B11433" s="3">
        <v>45519</v>
      </c>
      <c r="G11433" s="2">
        <f t="shared" si="178"/>
        <v>0</v>
      </c>
      <c r="H11433" t="s">
        <v>9</v>
      </c>
    </row>
    <row r="11434" spans="2:8" x14ac:dyDescent="0.2">
      <c r="B11434" s="3">
        <v>45519</v>
      </c>
      <c r="G11434" s="2">
        <f t="shared" si="178"/>
        <v>0</v>
      </c>
      <c r="H11434" t="s">
        <v>8</v>
      </c>
    </row>
    <row r="11435" spans="2:8" x14ac:dyDescent="0.2">
      <c r="B11435" s="3">
        <v>45519</v>
      </c>
      <c r="G11435" s="2">
        <f t="shared" si="178"/>
        <v>0</v>
      </c>
      <c r="H11435" t="s">
        <v>5</v>
      </c>
    </row>
    <row r="11436" spans="2:8" x14ac:dyDescent="0.2">
      <c r="B11436" s="3">
        <v>45519</v>
      </c>
      <c r="G11436" s="2">
        <f t="shared" si="178"/>
        <v>0</v>
      </c>
      <c r="H11436" s="1"/>
    </row>
    <row r="11437" spans="2:8" x14ac:dyDescent="0.2">
      <c r="B11437" s="3">
        <v>45519</v>
      </c>
      <c r="G11437" s="2">
        <f t="shared" si="178"/>
        <v>0</v>
      </c>
      <c r="H11437" t="s">
        <v>0</v>
      </c>
    </row>
    <row r="11438" spans="2:8" x14ac:dyDescent="0.2">
      <c r="B11438" s="3">
        <v>45520</v>
      </c>
      <c r="G11438" s="2">
        <f t="shared" si="178"/>
        <v>0</v>
      </c>
      <c r="H11438" t="s">
        <v>14</v>
      </c>
    </row>
    <row r="11439" spans="2:8" x14ac:dyDescent="0.2">
      <c r="B11439" s="3">
        <v>45520</v>
      </c>
      <c r="D11439" s="28"/>
      <c r="G11439" s="2">
        <f t="shared" si="178"/>
        <v>0</v>
      </c>
      <c r="H11439" t="s">
        <v>13</v>
      </c>
    </row>
    <row r="11440" spans="2:8" x14ac:dyDescent="0.2">
      <c r="B11440" s="3">
        <v>45520</v>
      </c>
      <c r="D11440" s="28"/>
      <c r="G11440" s="2">
        <f t="shared" si="178"/>
        <v>0</v>
      </c>
      <c r="H11440" t="s">
        <v>26</v>
      </c>
    </row>
    <row r="11441" spans="2:8" x14ac:dyDescent="0.2">
      <c r="B11441" s="3">
        <v>45520</v>
      </c>
      <c r="G11441" s="2">
        <f t="shared" si="178"/>
        <v>0</v>
      </c>
      <c r="H11441" t="s">
        <v>25</v>
      </c>
    </row>
    <row r="11442" spans="2:8" x14ac:dyDescent="0.2">
      <c r="B11442" s="3">
        <v>45520</v>
      </c>
      <c r="G11442" s="2">
        <f t="shared" si="178"/>
        <v>0</v>
      </c>
      <c r="H11442" t="s">
        <v>9</v>
      </c>
    </row>
    <row r="11443" spans="2:8" x14ac:dyDescent="0.2">
      <c r="B11443" s="3">
        <v>45520</v>
      </c>
      <c r="G11443" s="2">
        <f t="shared" si="178"/>
        <v>0</v>
      </c>
      <c r="H11443" t="s">
        <v>8</v>
      </c>
    </row>
    <row r="11444" spans="2:8" x14ac:dyDescent="0.2">
      <c r="B11444" s="3">
        <v>45520</v>
      </c>
      <c r="G11444" s="2">
        <f t="shared" si="178"/>
        <v>0</v>
      </c>
      <c r="H11444" t="s">
        <v>5</v>
      </c>
    </row>
    <row r="11445" spans="2:8" x14ac:dyDescent="0.2">
      <c r="B11445" s="3">
        <v>45520</v>
      </c>
      <c r="G11445" s="2">
        <f t="shared" si="178"/>
        <v>0</v>
      </c>
      <c r="H11445" s="1"/>
    </row>
    <row r="11446" spans="2:8" x14ac:dyDescent="0.2">
      <c r="B11446" s="3">
        <v>45520</v>
      </c>
      <c r="F11446" s="1">
        <v>170000</v>
      </c>
      <c r="G11446" s="2">
        <f t="shared" si="178"/>
        <v>-170000</v>
      </c>
      <c r="H11446" t="s">
        <v>0</v>
      </c>
    </row>
    <row r="11447" spans="2:8" x14ac:dyDescent="0.2">
      <c r="B11447" s="3">
        <v>45521</v>
      </c>
      <c r="G11447" s="2">
        <f t="shared" si="178"/>
        <v>0</v>
      </c>
      <c r="H11447" t="s">
        <v>14</v>
      </c>
    </row>
    <row r="11448" spans="2:8" x14ac:dyDescent="0.2">
      <c r="B11448" s="3">
        <v>45521</v>
      </c>
      <c r="D11448" s="28"/>
      <c r="G11448" s="2">
        <f t="shared" si="178"/>
        <v>0</v>
      </c>
      <c r="H11448" t="s">
        <v>13</v>
      </c>
    </row>
    <row r="11449" spans="2:8" x14ac:dyDescent="0.2">
      <c r="B11449" s="3">
        <v>45521</v>
      </c>
      <c r="D11449" s="28"/>
      <c r="G11449" s="2">
        <f t="shared" si="178"/>
        <v>0</v>
      </c>
      <c r="H11449" t="s">
        <v>26</v>
      </c>
    </row>
    <row r="11450" spans="2:8" x14ac:dyDescent="0.2">
      <c r="B11450" s="3">
        <v>45521</v>
      </c>
      <c r="G11450" s="2">
        <f t="shared" si="178"/>
        <v>0</v>
      </c>
      <c r="H11450" t="s">
        <v>25</v>
      </c>
    </row>
    <row r="11451" spans="2:8" x14ac:dyDescent="0.2">
      <c r="B11451" s="3">
        <v>45521</v>
      </c>
      <c r="G11451" s="2">
        <f t="shared" si="178"/>
        <v>0</v>
      </c>
      <c r="H11451" t="s">
        <v>9</v>
      </c>
    </row>
    <row r="11452" spans="2:8" x14ac:dyDescent="0.2">
      <c r="B11452" s="3">
        <v>45521</v>
      </c>
      <c r="G11452" s="2">
        <f t="shared" si="178"/>
        <v>0</v>
      </c>
      <c r="H11452" t="s">
        <v>8</v>
      </c>
    </row>
    <row r="11453" spans="2:8" x14ac:dyDescent="0.2">
      <c r="B11453" s="3">
        <v>45521</v>
      </c>
      <c r="G11453" s="2">
        <f t="shared" si="178"/>
        <v>0</v>
      </c>
      <c r="H11453" t="s">
        <v>5</v>
      </c>
    </row>
    <row r="11454" spans="2:8" x14ac:dyDescent="0.2">
      <c r="B11454" s="3">
        <v>45521</v>
      </c>
      <c r="G11454" s="2">
        <f t="shared" si="178"/>
        <v>0</v>
      </c>
      <c r="H11454" s="1"/>
    </row>
    <row r="11455" spans="2:8" x14ac:dyDescent="0.2">
      <c r="B11455" s="3">
        <v>45521</v>
      </c>
      <c r="G11455" s="2">
        <f t="shared" si="178"/>
        <v>0</v>
      </c>
      <c r="H11455" t="s">
        <v>0</v>
      </c>
    </row>
    <row r="11456" spans="2:8" x14ac:dyDescent="0.2">
      <c r="B11456" s="3">
        <v>45522</v>
      </c>
      <c r="G11456" s="2">
        <f t="shared" si="178"/>
        <v>0</v>
      </c>
      <c r="H11456" t="s">
        <v>14</v>
      </c>
    </row>
    <row r="11457" spans="2:8" x14ac:dyDescent="0.2">
      <c r="B11457" s="3">
        <v>45522</v>
      </c>
      <c r="D11457" s="28"/>
      <c r="G11457" s="2">
        <f t="shared" si="178"/>
        <v>0</v>
      </c>
      <c r="H11457" t="s">
        <v>13</v>
      </c>
    </row>
    <row r="11458" spans="2:8" x14ac:dyDescent="0.2">
      <c r="B11458" s="3">
        <v>45522</v>
      </c>
      <c r="D11458" s="28"/>
      <c r="G11458" s="2">
        <f t="shared" si="178"/>
        <v>0</v>
      </c>
      <c r="H11458" t="s">
        <v>26</v>
      </c>
    </row>
    <row r="11459" spans="2:8" x14ac:dyDescent="0.2">
      <c r="B11459" s="3">
        <v>45522</v>
      </c>
      <c r="G11459" s="2">
        <f t="shared" ref="G11459:G11522" si="179">E11459-F11459</f>
        <v>0</v>
      </c>
      <c r="H11459" t="s">
        <v>25</v>
      </c>
    </row>
    <row r="11460" spans="2:8" x14ac:dyDescent="0.2">
      <c r="B11460" s="3">
        <v>45522</v>
      </c>
      <c r="G11460" s="2">
        <f t="shared" si="179"/>
        <v>0</v>
      </c>
      <c r="H11460" t="s">
        <v>9</v>
      </c>
    </row>
    <row r="11461" spans="2:8" x14ac:dyDescent="0.2">
      <c r="B11461" s="3">
        <v>45522</v>
      </c>
      <c r="D11461" s="1">
        <v>89780</v>
      </c>
      <c r="E11461" s="1">
        <v>99890</v>
      </c>
      <c r="F11461" s="1">
        <v>50000</v>
      </c>
      <c r="G11461" s="2">
        <f t="shared" si="179"/>
        <v>49890</v>
      </c>
      <c r="H11461" t="s">
        <v>8</v>
      </c>
    </row>
    <row r="11462" spans="2:8" x14ac:dyDescent="0.2">
      <c r="B11462" s="3">
        <v>45522</v>
      </c>
      <c r="G11462" s="2">
        <f t="shared" si="179"/>
        <v>0</v>
      </c>
      <c r="H11462" t="s">
        <v>5</v>
      </c>
    </row>
    <row r="11463" spans="2:8" x14ac:dyDescent="0.2">
      <c r="B11463" s="3">
        <v>45522</v>
      </c>
      <c r="G11463" s="2">
        <f t="shared" si="179"/>
        <v>0</v>
      </c>
      <c r="H11463" s="1"/>
    </row>
    <row r="11464" spans="2:8" x14ac:dyDescent="0.2">
      <c r="B11464" s="3">
        <v>45522</v>
      </c>
      <c r="G11464" s="2">
        <f t="shared" si="179"/>
        <v>0</v>
      </c>
      <c r="H11464" t="s">
        <v>0</v>
      </c>
    </row>
    <row r="11465" spans="2:8" x14ac:dyDescent="0.2">
      <c r="B11465" s="3">
        <v>45523</v>
      </c>
      <c r="F11465" s="1">
        <v>10000</v>
      </c>
      <c r="G11465" s="2">
        <f t="shared" si="179"/>
        <v>-10000</v>
      </c>
      <c r="H11465" t="s">
        <v>14</v>
      </c>
    </row>
    <row r="11466" spans="2:8" x14ac:dyDescent="0.2">
      <c r="B11466" s="3">
        <v>45523</v>
      </c>
      <c r="D11466" s="28"/>
      <c r="G11466" s="2">
        <f t="shared" si="179"/>
        <v>0</v>
      </c>
      <c r="H11466" t="s">
        <v>13</v>
      </c>
    </row>
    <row r="11467" spans="2:8" x14ac:dyDescent="0.2">
      <c r="B11467" s="3">
        <v>45523</v>
      </c>
      <c r="D11467" s="28"/>
      <c r="G11467" s="2">
        <f t="shared" si="179"/>
        <v>0</v>
      </c>
      <c r="H11467" t="s">
        <v>26</v>
      </c>
    </row>
    <row r="11468" spans="2:8" x14ac:dyDescent="0.2">
      <c r="B11468" s="3">
        <v>45523</v>
      </c>
      <c r="G11468" s="2">
        <f t="shared" si="179"/>
        <v>0</v>
      </c>
      <c r="H11468" t="s">
        <v>25</v>
      </c>
    </row>
    <row r="11469" spans="2:8" x14ac:dyDescent="0.2">
      <c r="B11469" s="3">
        <v>45523</v>
      </c>
      <c r="G11469" s="2">
        <f t="shared" si="179"/>
        <v>0</v>
      </c>
      <c r="H11469" t="s">
        <v>9</v>
      </c>
    </row>
    <row r="11470" spans="2:8" x14ac:dyDescent="0.2">
      <c r="B11470" s="3">
        <v>45523</v>
      </c>
      <c r="G11470" s="2">
        <f t="shared" si="179"/>
        <v>0</v>
      </c>
      <c r="H11470" t="s">
        <v>8</v>
      </c>
    </row>
    <row r="11471" spans="2:8" x14ac:dyDescent="0.2">
      <c r="B11471" s="3">
        <v>45523</v>
      </c>
      <c r="G11471" s="2">
        <f t="shared" si="179"/>
        <v>0</v>
      </c>
      <c r="H11471" t="s">
        <v>5</v>
      </c>
    </row>
    <row r="11472" spans="2:8" x14ac:dyDescent="0.2">
      <c r="B11472" s="3">
        <v>45523</v>
      </c>
      <c r="G11472" s="2">
        <f t="shared" si="179"/>
        <v>0</v>
      </c>
      <c r="H11472" s="1"/>
    </row>
    <row r="11473" spans="2:8" x14ac:dyDescent="0.2">
      <c r="B11473" s="3">
        <v>45523</v>
      </c>
      <c r="G11473" s="2">
        <f t="shared" si="179"/>
        <v>0</v>
      </c>
      <c r="H11473" t="s">
        <v>0</v>
      </c>
    </row>
    <row r="11474" spans="2:8" x14ac:dyDescent="0.2">
      <c r="B11474" s="3">
        <v>45524</v>
      </c>
      <c r="G11474" s="2">
        <f t="shared" si="179"/>
        <v>0</v>
      </c>
      <c r="H11474" t="s">
        <v>14</v>
      </c>
    </row>
    <row r="11475" spans="2:8" x14ac:dyDescent="0.2">
      <c r="B11475" s="3">
        <v>45524</v>
      </c>
      <c r="D11475" s="28"/>
      <c r="G11475" s="2">
        <f t="shared" si="179"/>
        <v>0</v>
      </c>
      <c r="H11475" t="s">
        <v>13</v>
      </c>
    </row>
    <row r="11476" spans="2:8" x14ac:dyDescent="0.2">
      <c r="B11476" s="3">
        <v>45524</v>
      </c>
      <c r="D11476" s="28"/>
      <c r="G11476" s="2">
        <f t="shared" si="179"/>
        <v>0</v>
      </c>
      <c r="H11476" t="s">
        <v>26</v>
      </c>
    </row>
    <row r="11477" spans="2:8" x14ac:dyDescent="0.2">
      <c r="B11477" s="3">
        <v>45524</v>
      </c>
      <c r="G11477" s="2">
        <f t="shared" si="179"/>
        <v>0</v>
      </c>
      <c r="H11477" t="s">
        <v>25</v>
      </c>
    </row>
    <row r="11478" spans="2:8" x14ac:dyDescent="0.2">
      <c r="B11478" s="3">
        <v>45524</v>
      </c>
      <c r="G11478" s="2">
        <f t="shared" si="179"/>
        <v>0</v>
      </c>
      <c r="H11478" t="s">
        <v>9</v>
      </c>
    </row>
    <row r="11479" spans="2:8" x14ac:dyDescent="0.2">
      <c r="B11479" s="3">
        <v>45524</v>
      </c>
      <c r="G11479" s="2">
        <f t="shared" si="179"/>
        <v>0</v>
      </c>
      <c r="H11479" t="s">
        <v>8</v>
      </c>
    </row>
    <row r="11480" spans="2:8" x14ac:dyDescent="0.2">
      <c r="B11480" s="3">
        <v>45524</v>
      </c>
      <c r="G11480" s="2">
        <f t="shared" si="179"/>
        <v>0</v>
      </c>
      <c r="H11480" t="s">
        <v>5</v>
      </c>
    </row>
    <row r="11481" spans="2:8" x14ac:dyDescent="0.2">
      <c r="B11481" s="3">
        <v>45524</v>
      </c>
      <c r="G11481" s="2">
        <f t="shared" si="179"/>
        <v>0</v>
      </c>
      <c r="H11481" s="1"/>
    </row>
    <row r="11482" spans="2:8" x14ac:dyDescent="0.2">
      <c r="B11482" s="3">
        <v>45524</v>
      </c>
      <c r="D11482" s="1">
        <v>122793.58999999998</v>
      </c>
      <c r="E11482" s="1">
        <v>125099.93999999999</v>
      </c>
      <c r="G11482" s="2">
        <f t="shared" si="179"/>
        <v>125099.93999999999</v>
      </c>
      <c r="H11482" t="s">
        <v>0</v>
      </c>
    </row>
    <row r="11483" spans="2:8" x14ac:dyDescent="0.2">
      <c r="B11483" s="3">
        <v>45525</v>
      </c>
      <c r="G11483" s="2">
        <f t="shared" si="179"/>
        <v>0</v>
      </c>
      <c r="H11483" t="s">
        <v>14</v>
      </c>
    </row>
    <row r="11484" spans="2:8" x14ac:dyDescent="0.2">
      <c r="B11484" s="3">
        <v>45525</v>
      </c>
      <c r="D11484" s="28"/>
      <c r="G11484" s="2">
        <f t="shared" si="179"/>
        <v>0</v>
      </c>
      <c r="H11484" t="s">
        <v>13</v>
      </c>
    </row>
    <row r="11485" spans="2:8" x14ac:dyDescent="0.2">
      <c r="B11485" s="3">
        <v>45525</v>
      </c>
      <c r="D11485" s="28"/>
      <c r="G11485" s="2">
        <f t="shared" si="179"/>
        <v>0</v>
      </c>
      <c r="H11485" t="s">
        <v>26</v>
      </c>
    </row>
    <row r="11486" spans="2:8" x14ac:dyDescent="0.2">
      <c r="B11486" s="3">
        <v>45525</v>
      </c>
      <c r="G11486" s="2">
        <f t="shared" si="179"/>
        <v>0</v>
      </c>
      <c r="H11486" t="s">
        <v>25</v>
      </c>
    </row>
    <row r="11487" spans="2:8" x14ac:dyDescent="0.2">
      <c r="B11487" s="3">
        <v>45525</v>
      </c>
      <c r="G11487" s="2">
        <f t="shared" si="179"/>
        <v>0</v>
      </c>
      <c r="H11487" t="s">
        <v>9</v>
      </c>
    </row>
    <row r="11488" spans="2:8" x14ac:dyDescent="0.2">
      <c r="B11488" s="3">
        <v>45525</v>
      </c>
      <c r="G11488" s="2">
        <f t="shared" si="179"/>
        <v>0</v>
      </c>
      <c r="H11488" t="s">
        <v>8</v>
      </c>
    </row>
    <row r="11489" spans="2:8" x14ac:dyDescent="0.2">
      <c r="B11489" s="3">
        <v>45525</v>
      </c>
      <c r="G11489" s="2">
        <f t="shared" si="179"/>
        <v>0</v>
      </c>
      <c r="H11489" t="s">
        <v>5</v>
      </c>
    </row>
    <row r="11490" spans="2:8" x14ac:dyDescent="0.2">
      <c r="B11490" s="3">
        <v>45525</v>
      </c>
      <c r="G11490" s="2">
        <f t="shared" si="179"/>
        <v>0</v>
      </c>
      <c r="H11490" s="1"/>
    </row>
    <row r="11491" spans="2:8" x14ac:dyDescent="0.2">
      <c r="B11491" s="3">
        <v>45525</v>
      </c>
      <c r="G11491" s="2">
        <f t="shared" si="179"/>
        <v>0</v>
      </c>
      <c r="H11491" t="s">
        <v>0</v>
      </c>
    </row>
    <row r="11492" spans="2:8" x14ac:dyDescent="0.2">
      <c r="B11492" s="3">
        <v>45526</v>
      </c>
      <c r="G11492" s="2">
        <f t="shared" si="179"/>
        <v>0</v>
      </c>
      <c r="H11492" t="s">
        <v>14</v>
      </c>
    </row>
    <row r="11493" spans="2:8" x14ac:dyDescent="0.2">
      <c r="B11493" s="3">
        <v>45526</v>
      </c>
      <c r="D11493" s="28"/>
      <c r="G11493" s="2">
        <f t="shared" si="179"/>
        <v>0</v>
      </c>
      <c r="H11493" t="s">
        <v>13</v>
      </c>
    </row>
    <row r="11494" spans="2:8" x14ac:dyDescent="0.2">
      <c r="B11494" s="3">
        <v>45526</v>
      </c>
      <c r="D11494" s="28"/>
      <c r="G11494" s="2">
        <f t="shared" si="179"/>
        <v>0</v>
      </c>
      <c r="H11494" t="s">
        <v>26</v>
      </c>
    </row>
    <row r="11495" spans="2:8" x14ac:dyDescent="0.2">
      <c r="B11495" s="3">
        <v>45526</v>
      </c>
      <c r="G11495" s="2">
        <f t="shared" si="179"/>
        <v>0</v>
      </c>
      <c r="H11495" t="s">
        <v>25</v>
      </c>
    </row>
    <row r="11496" spans="2:8" x14ac:dyDescent="0.2">
      <c r="B11496" s="3">
        <v>45526</v>
      </c>
      <c r="G11496" s="2">
        <f t="shared" si="179"/>
        <v>0</v>
      </c>
      <c r="H11496" t="s">
        <v>9</v>
      </c>
    </row>
    <row r="11497" spans="2:8" x14ac:dyDescent="0.2">
      <c r="B11497" s="3">
        <v>45526</v>
      </c>
      <c r="G11497" s="2">
        <f t="shared" si="179"/>
        <v>0</v>
      </c>
      <c r="H11497" t="s">
        <v>8</v>
      </c>
    </row>
    <row r="11498" spans="2:8" x14ac:dyDescent="0.2">
      <c r="B11498" s="3">
        <v>45526</v>
      </c>
      <c r="G11498" s="2">
        <f t="shared" si="179"/>
        <v>0</v>
      </c>
      <c r="H11498" t="s">
        <v>5</v>
      </c>
    </row>
    <row r="11499" spans="2:8" x14ac:dyDescent="0.2">
      <c r="B11499" s="3">
        <v>45526</v>
      </c>
      <c r="G11499" s="2">
        <f t="shared" si="179"/>
        <v>0</v>
      </c>
      <c r="H11499" s="1"/>
    </row>
    <row r="11500" spans="2:8" x14ac:dyDescent="0.2">
      <c r="B11500" s="3">
        <v>45526</v>
      </c>
      <c r="G11500" s="2">
        <f t="shared" si="179"/>
        <v>0</v>
      </c>
      <c r="H11500" t="s">
        <v>0</v>
      </c>
    </row>
    <row r="11501" spans="2:8" x14ac:dyDescent="0.2">
      <c r="B11501" s="3">
        <v>45527</v>
      </c>
      <c r="F11501" s="1">
        <v>10000</v>
      </c>
      <c r="G11501" s="2">
        <f t="shared" si="179"/>
        <v>-10000</v>
      </c>
      <c r="H11501" t="s">
        <v>14</v>
      </c>
    </row>
    <row r="11502" spans="2:8" x14ac:dyDescent="0.2">
      <c r="B11502" s="3">
        <v>45527</v>
      </c>
      <c r="D11502" s="28"/>
      <c r="G11502" s="2">
        <f t="shared" si="179"/>
        <v>0</v>
      </c>
      <c r="H11502" t="s">
        <v>13</v>
      </c>
    </row>
    <row r="11503" spans="2:8" x14ac:dyDescent="0.2">
      <c r="B11503" s="3">
        <v>45527</v>
      </c>
      <c r="D11503" s="28"/>
      <c r="G11503" s="2">
        <f t="shared" si="179"/>
        <v>0</v>
      </c>
      <c r="H11503" t="s">
        <v>26</v>
      </c>
    </row>
    <row r="11504" spans="2:8" x14ac:dyDescent="0.2">
      <c r="B11504" s="3">
        <v>45527</v>
      </c>
      <c r="G11504" s="2">
        <f t="shared" si="179"/>
        <v>0</v>
      </c>
      <c r="H11504" t="s">
        <v>25</v>
      </c>
    </row>
    <row r="11505" spans="2:8" x14ac:dyDescent="0.2">
      <c r="B11505" s="3">
        <v>45527</v>
      </c>
      <c r="F11505" s="1">
        <v>14600</v>
      </c>
      <c r="G11505" s="2">
        <f t="shared" si="179"/>
        <v>-14600</v>
      </c>
      <c r="H11505" t="s">
        <v>9</v>
      </c>
    </row>
    <row r="11506" spans="2:8" x14ac:dyDescent="0.2">
      <c r="B11506" s="3">
        <v>45527</v>
      </c>
      <c r="G11506" s="2">
        <f t="shared" si="179"/>
        <v>0</v>
      </c>
      <c r="H11506" t="s">
        <v>8</v>
      </c>
    </row>
    <row r="11507" spans="2:8" x14ac:dyDescent="0.2">
      <c r="B11507" s="3">
        <v>45527</v>
      </c>
      <c r="G11507" s="2">
        <f t="shared" si="179"/>
        <v>0</v>
      </c>
      <c r="H11507" t="s">
        <v>5</v>
      </c>
    </row>
    <row r="11508" spans="2:8" x14ac:dyDescent="0.2">
      <c r="B11508" s="3">
        <v>45527</v>
      </c>
      <c r="G11508" s="2">
        <f t="shared" si="179"/>
        <v>0</v>
      </c>
      <c r="H11508" s="1"/>
    </row>
    <row r="11509" spans="2:8" x14ac:dyDescent="0.2">
      <c r="B11509" s="3">
        <v>45527</v>
      </c>
      <c r="F11509" s="1">
        <v>90000</v>
      </c>
      <c r="G11509" s="2">
        <f t="shared" si="179"/>
        <v>-90000</v>
      </c>
      <c r="H11509" t="s">
        <v>0</v>
      </c>
    </row>
    <row r="11510" spans="2:8" x14ac:dyDescent="0.2">
      <c r="B11510" s="3">
        <v>45528</v>
      </c>
      <c r="G11510" s="2">
        <f t="shared" si="179"/>
        <v>0</v>
      </c>
      <c r="H11510" t="s">
        <v>14</v>
      </c>
    </row>
    <row r="11511" spans="2:8" x14ac:dyDescent="0.2">
      <c r="B11511" s="3">
        <v>45528</v>
      </c>
      <c r="D11511" s="28"/>
      <c r="G11511" s="2">
        <f t="shared" si="179"/>
        <v>0</v>
      </c>
      <c r="H11511" t="s">
        <v>13</v>
      </c>
    </row>
    <row r="11512" spans="2:8" x14ac:dyDescent="0.2">
      <c r="B11512" s="3">
        <v>45528</v>
      </c>
      <c r="D11512" s="28"/>
      <c r="G11512" s="2">
        <f t="shared" si="179"/>
        <v>0</v>
      </c>
      <c r="H11512" t="s">
        <v>26</v>
      </c>
    </row>
    <row r="11513" spans="2:8" x14ac:dyDescent="0.2">
      <c r="B11513" s="3">
        <v>45528</v>
      </c>
      <c r="G11513" s="2">
        <f t="shared" si="179"/>
        <v>0</v>
      </c>
      <c r="H11513" t="s">
        <v>25</v>
      </c>
    </row>
    <row r="11514" spans="2:8" x14ac:dyDescent="0.2">
      <c r="B11514" s="3">
        <v>45528</v>
      </c>
      <c r="G11514" s="2">
        <f t="shared" si="179"/>
        <v>0</v>
      </c>
      <c r="H11514" t="s">
        <v>9</v>
      </c>
    </row>
    <row r="11515" spans="2:8" x14ac:dyDescent="0.2">
      <c r="B11515" s="3">
        <v>45528</v>
      </c>
      <c r="G11515" s="2">
        <f t="shared" si="179"/>
        <v>0</v>
      </c>
      <c r="H11515" t="s">
        <v>8</v>
      </c>
    </row>
    <row r="11516" spans="2:8" x14ac:dyDescent="0.2">
      <c r="B11516" s="3">
        <v>45528</v>
      </c>
      <c r="G11516" s="2">
        <f t="shared" si="179"/>
        <v>0</v>
      </c>
      <c r="H11516" t="s">
        <v>5</v>
      </c>
    </row>
    <row r="11517" spans="2:8" x14ac:dyDescent="0.2">
      <c r="B11517" s="3">
        <v>45528</v>
      </c>
      <c r="D11517" s="1">
        <v>815</v>
      </c>
      <c r="E11517" s="1">
        <v>850</v>
      </c>
      <c r="F11517" s="1">
        <v>850</v>
      </c>
      <c r="G11517" s="2">
        <f t="shared" si="179"/>
        <v>0</v>
      </c>
      <c r="H11517" t="s">
        <v>39</v>
      </c>
    </row>
    <row r="11518" spans="2:8" x14ac:dyDescent="0.2">
      <c r="B11518" s="3">
        <v>45528</v>
      </c>
      <c r="G11518" s="2">
        <f t="shared" si="179"/>
        <v>0</v>
      </c>
      <c r="H11518" t="s">
        <v>0</v>
      </c>
    </row>
    <row r="11519" spans="2:8" x14ac:dyDescent="0.2">
      <c r="B11519" s="3">
        <v>45529</v>
      </c>
      <c r="G11519" s="2">
        <f t="shared" si="179"/>
        <v>0</v>
      </c>
      <c r="H11519" t="s">
        <v>14</v>
      </c>
    </row>
    <row r="11520" spans="2:8" x14ac:dyDescent="0.2">
      <c r="B11520" s="3">
        <v>45529</v>
      </c>
      <c r="D11520" s="28">
        <f>2450+3600+528+3120+3760+456.25+1680+780+2610+350+675+2940+1500+6630+1470+500+233+233+233+233+7335</f>
        <v>41316.25</v>
      </c>
      <c r="E11520" s="1">
        <v>44748</v>
      </c>
      <c r="F11520" s="1">
        <v>44750</v>
      </c>
      <c r="G11520" s="2">
        <f t="shared" si="179"/>
        <v>-2</v>
      </c>
      <c r="H11520" t="s">
        <v>13</v>
      </c>
    </row>
    <row r="11521" spans="2:8" x14ac:dyDescent="0.2">
      <c r="B11521" s="3">
        <v>45529</v>
      </c>
      <c r="D11521" s="28"/>
      <c r="G11521" s="2">
        <f t="shared" si="179"/>
        <v>0</v>
      </c>
      <c r="H11521" t="s">
        <v>26</v>
      </c>
    </row>
    <row r="11522" spans="2:8" x14ac:dyDescent="0.2">
      <c r="B11522" s="3">
        <v>45529</v>
      </c>
      <c r="G11522" s="2">
        <f t="shared" si="179"/>
        <v>0</v>
      </c>
      <c r="H11522" t="s">
        <v>25</v>
      </c>
    </row>
    <row r="11523" spans="2:8" x14ac:dyDescent="0.2">
      <c r="B11523" s="3">
        <v>45529</v>
      </c>
      <c r="G11523" s="2">
        <f t="shared" ref="G11523:G11586" si="180">E11523-F11523</f>
        <v>0</v>
      </c>
      <c r="H11523" t="s">
        <v>9</v>
      </c>
    </row>
    <row r="11524" spans="2:8" x14ac:dyDescent="0.2">
      <c r="B11524" s="3">
        <v>45529</v>
      </c>
      <c r="F11524" s="1">
        <v>30000</v>
      </c>
      <c r="G11524" s="2">
        <f t="shared" si="180"/>
        <v>-30000</v>
      </c>
      <c r="H11524" t="s">
        <v>8</v>
      </c>
    </row>
    <row r="11525" spans="2:8" x14ac:dyDescent="0.2">
      <c r="B11525" s="3">
        <v>45529</v>
      </c>
      <c r="G11525" s="2">
        <f t="shared" si="180"/>
        <v>0</v>
      </c>
      <c r="H11525" t="s">
        <v>5</v>
      </c>
    </row>
    <row r="11526" spans="2:8" x14ac:dyDescent="0.2">
      <c r="B11526" s="3">
        <v>45529</v>
      </c>
      <c r="G11526" s="2">
        <f t="shared" si="180"/>
        <v>0</v>
      </c>
      <c r="H11526" s="1"/>
    </row>
    <row r="11527" spans="2:8" x14ac:dyDescent="0.2">
      <c r="B11527" s="3">
        <v>45529</v>
      </c>
      <c r="D11527" s="1">
        <v>92908.26</v>
      </c>
      <c r="E11527" s="1">
        <v>95379.440000000017</v>
      </c>
      <c r="G11527" s="2">
        <f t="shared" si="180"/>
        <v>95379.440000000017</v>
      </c>
      <c r="H11527" t="s">
        <v>0</v>
      </c>
    </row>
    <row r="11528" spans="2:8" x14ac:dyDescent="0.2">
      <c r="B11528" s="3">
        <v>45530</v>
      </c>
      <c r="G11528" s="2">
        <f t="shared" si="180"/>
        <v>0</v>
      </c>
      <c r="H11528" t="s">
        <v>14</v>
      </c>
    </row>
    <row r="11529" spans="2:8" x14ac:dyDescent="0.2">
      <c r="B11529" s="3">
        <v>45530</v>
      </c>
      <c r="D11529" s="28"/>
      <c r="G11529" s="2">
        <f t="shared" si="180"/>
        <v>0</v>
      </c>
      <c r="H11529" t="s">
        <v>13</v>
      </c>
    </row>
    <row r="11530" spans="2:8" x14ac:dyDescent="0.2">
      <c r="B11530" s="3">
        <v>45530</v>
      </c>
      <c r="D11530" s="28"/>
      <c r="G11530" s="2">
        <f t="shared" si="180"/>
        <v>0</v>
      </c>
      <c r="H11530" t="s">
        <v>26</v>
      </c>
    </row>
    <row r="11531" spans="2:8" x14ac:dyDescent="0.2">
      <c r="B11531" s="3">
        <v>45530</v>
      </c>
      <c r="G11531" s="2">
        <f t="shared" si="180"/>
        <v>0</v>
      </c>
      <c r="H11531" t="s">
        <v>25</v>
      </c>
    </row>
    <row r="11532" spans="2:8" x14ac:dyDescent="0.2">
      <c r="B11532" s="3">
        <v>45530</v>
      </c>
      <c r="G11532" s="2">
        <f t="shared" si="180"/>
        <v>0</v>
      </c>
      <c r="H11532" t="s">
        <v>9</v>
      </c>
    </row>
    <row r="11533" spans="2:8" x14ac:dyDescent="0.2">
      <c r="B11533" s="3">
        <v>45530</v>
      </c>
      <c r="G11533" s="2">
        <f t="shared" si="180"/>
        <v>0</v>
      </c>
      <c r="H11533" t="s">
        <v>8</v>
      </c>
    </row>
    <row r="11534" spans="2:8" x14ac:dyDescent="0.2">
      <c r="B11534" s="3">
        <v>45530</v>
      </c>
      <c r="G11534" s="2">
        <f t="shared" si="180"/>
        <v>0</v>
      </c>
      <c r="H11534" t="s">
        <v>5</v>
      </c>
    </row>
    <row r="11535" spans="2:8" x14ac:dyDescent="0.2">
      <c r="B11535" s="3">
        <v>45530</v>
      </c>
      <c r="G11535" s="2">
        <f t="shared" si="180"/>
        <v>0</v>
      </c>
      <c r="H11535" s="1"/>
    </row>
    <row r="11536" spans="2:8" x14ac:dyDescent="0.2">
      <c r="B11536" s="3">
        <v>45530</v>
      </c>
      <c r="G11536" s="2">
        <f t="shared" si="180"/>
        <v>0</v>
      </c>
      <c r="H11536" t="s">
        <v>0</v>
      </c>
    </row>
    <row r="11537" spans="2:8" x14ac:dyDescent="0.2">
      <c r="B11537" s="3">
        <v>45531</v>
      </c>
      <c r="G11537" s="2">
        <f t="shared" si="180"/>
        <v>0</v>
      </c>
      <c r="H11537" t="s">
        <v>14</v>
      </c>
    </row>
    <row r="11538" spans="2:8" x14ac:dyDescent="0.2">
      <c r="B11538" s="3">
        <v>45531</v>
      </c>
      <c r="D11538" s="28"/>
      <c r="G11538" s="2">
        <f t="shared" si="180"/>
        <v>0</v>
      </c>
      <c r="H11538" t="s">
        <v>13</v>
      </c>
    </row>
    <row r="11539" spans="2:8" x14ac:dyDescent="0.2">
      <c r="B11539" s="3">
        <v>45531</v>
      </c>
      <c r="D11539" s="28"/>
      <c r="G11539" s="2">
        <f t="shared" si="180"/>
        <v>0</v>
      </c>
      <c r="H11539" t="s">
        <v>26</v>
      </c>
    </row>
    <row r="11540" spans="2:8" x14ac:dyDescent="0.2">
      <c r="B11540" s="3">
        <v>45531</v>
      </c>
      <c r="G11540" s="2">
        <f t="shared" si="180"/>
        <v>0</v>
      </c>
      <c r="H11540" t="s">
        <v>25</v>
      </c>
    </row>
    <row r="11541" spans="2:8" x14ac:dyDescent="0.2">
      <c r="B11541" s="3">
        <v>45531</v>
      </c>
      <c r="G11541" s="2">
        <f t="shared" si="180"/>
        <v>0</v>
      </c>
      <c r="H11541" t="s">
        <v>9</v>
      </c>
    </row>
    <row r="11542" spans="2:8" x14ac:dyDescent="0.2">
      <c r="B11542" s="3">
        <v>45531</v>
      </c>
      <c r="G11542" s="2">
        <f t="shared" si="180"/>
        <v>0</v>
      </c>
      <c r="H11542" t="s">
        <v>8</v>
      </c>
    </row>
    <row r="11543" spans="2:8" x14ac:dyDescent="0.2">
      <c r="B11543" s="3">
        <v>45531</v>
      </c>
      <c r="G11543" s="2">
        <f t="shared" si="180"/>
        <v>0</v>
      </c>
      <c r="H11543" t="s">
        <v>5</v>
      </c>
    </row>
    <row r="11544" spans="2:8" x14ac:dyDescent="0.2">
      <c r="B11544" s="3">
        <v>45531</v>
      </c>
      <c r="G11544" s="2">
        <f t="shared" si="180"/>
        <v>0</v>
      </c>
      <c r="H11544" s="1"/>
    </row>
    <row r="11545" spans="2:8" x14ac:dyDescent="0.2">
      <c r="B11545" s="3">
        <v>45531</v>
      </c>
      <c r="G11545" s="2">
        <f t="shared" si="180"/>
        <v>0</v>
      </c>
      <c r="H11545" t="s">
        <v>0</v>
      </c>
    </row>
    <row r="11546" spans="2:8" x14ac:dyDescent="0.2">
      <c r="B11546" s="3">
        <v>45532</v>
      </c>
      <c r="G11546" s="2">
        <f t="shared" si="180"/>
        <v>0</v>
      </c>
      <c r="H11546" t="s">
        <v>14</v>
      </c>
    </row>
    <row r="11547" spans="2:8" x14ac:dyDescent="0.2">
      <c r="B11547" s="3">
        <v>45532</v>
      </c>
      <c r="D11547" s="28"/>
      <c r="G11547" s="2">
        <f t="shared" si="180"/>
        <v>0</v>
      </c>
      <c r="H11547" t="s">
        <v>13</v>
      </c>
    </row>
    <row r="11548" spans="2:8" x14ac:dyDescent="0.2">
      <c r="B11548" s="3">
        <v>45532</v>
      </c>
      <c r="D11548" s="28"/>
      <c r="G11548" s="2">
        <f t="shared" si="180"/>
        <v>0</v>
      </c>
      <c r="H11548" t="s">
        <v>26</v>
      </c>
    </row>
    <row r="11549" spans="2:8" x14ac:dyDescent="0.2">
      <c r="B11549" s="3">
        <v>45532</v>
      </c>
      <c r="G11549" s="2">
        <f t="shared" si="180"/>
        <v>0</v>
      </c>
      <c r="H11549" t="s">
        <v>25</v>
      </c>
    </row>
    <row r="11550" spans="2:8" x14ac:dyDescent="0.2">
      <c r="B11550" s="3">
        <v>45532</v>
      </c>
      <c r="G11550" s="2">
        <f t="shared" si="180"/>
        <v>0</v>
      </c>
      <c r="H11550" t="s">
        <v>9</v>
      </c>
    </row>
    <row r="11551" spans="2:8" x14ac:dyDescent="0.2">
      <c r="B11551" s="3">
        <v>45532</v>
      </c>
      <c r="G11551" s="2">
        <f t="shared" si="180"/>
        <v>0</v>
      </c>
      <c r="H11551" t="s">
        <v>8</v>
      </c>
    </row>
    <row r="11552" spans="2:8" x14ac:dyDescent="0.2">
      <c r="B11552" s="3">
        <v>45532</v>
      </c>
      <c r="G11552" s="2">
        <f t="shared" si="180"/>
        <v>0</v>
      </c>
      <c r="H11552" t="s">
        <v>5</v>
      </c>
    </row>
    <row r="11553" spans="2:8" x14ac:dyDescent="0.2">
      <c r="B11553" s="3">
        <v>45532</v>
      </c>
      <c r="G11553" s="2">
        <f t="shared" si="180"/>
        <v>0</v>
      </c>
      <c r="H11553" s="1"/>
    </row>
    <row r="11554" spans="2:8" x14ac:dyDescent="0.2">
      <c r="B11554" s="3">
        <v>45532</v>
      </c>
      <c r="G11554" s="2">
        <f t="shared" si="180"/>
        <v>0</v>
      </c>
      <c r="H11554" t="s">
        <v>0</v>
      </c>
    </row>
    <row r="11555" spans="2:8" x14ac:dyDescent="0.2">
      <c r="B11555" s="3">
        <v>45533</v>
      </c>
      <c r="G11555" s="2">
        <f t="shared" si="180"/>
        <v>0</v>
      </c>
      <c r="H11555" t="s">
        <v>14</v>
      </c>
    </row>
    <row r="11556" spans="2:8" x14ac:dyDescent="0.2">
      <c r="B11556" s="3">
        <v>45533</v>
      </c>
      <c r="D11556" s="28"/>
      <c r="G11556" s="2">
        <f t="shared" si="180"/>
        <v>0</v>
      </c>
      <c r="H11556" t="s">
        <v>13</v>
      </c>
    </row>
    <row r="11557" spans="2:8" x14ac:dyDescent="0.2">
      <c r="B11557" s="3">
        <v>45533</v>
      </c>
      <c r="D11557" s="28"/>
      <c r="G11557" s="2">
        <f t="shared" si="180"/>
        <v>0</v>
      </c>
      <c r="H11557" t="s">
        <v>26</v>
      </c>
    </row>
    <row r="11558" spans="2:8" x14ac:dyDescent="0.2">
      <c r="B11558" s="3">
        <v>45533</v>
      </c>
      <c r="G11558" s="2">
        <f t="shared" si="180"/>
        <v>0</v>
      </c>
      <c r="H11558" t="s">
        <v>25</v>
      </c>
    </row>
    <row r="11559" spans="2:8" x14ac:dyDescent="0.2">
      <c r="B11559" s="3">
        <v>45533</v>
      </c>
      <c r="G11559" s="2">
        <f t="shared" si="180"/>
        <v>0</v>
      </c>
      <c r="H11559" t="s">
        <v>9</v>
      </c>
    </row>
    <row r="11560" spans="2:8" x14ac:dyDescent="0.2">
      <c r="B11560" s="3">
        <v>45533</v>
      </c>
      <c r="G11560" s="2">
        <f t="shared" si="180"/>
        <v>0</v>
      </c>
      <c r="H11560" t="s">
        <v>8</v>
      </c>
    </row>
    <row r="11561" spans="2:8" x14ac:dyDescent="0.2">
      <c r="B11561" s="3">
        <v>45533</v>
      </c>
      <c r="G11561" s="2">
        <f t="shared" si="180"/>
        <v>0</v>
      </c>
      <c r="H11561" t="s">
        <v>5</v>
      </c>
    </row>
    <row r="11562" spans="2:8" x14ac:dyDescent="0.2">
      <c r="B11562" s="3">
        <v>45533</v>
      </c>
      <c r="G11562" s="2">
        <f t="shared" si="180"/>
        <v>0</v>
      </c>
      <c r="H11562" s="1"/>
    </row>
    <row r="11563" spans="2:8" x14ac:dyDescent="0.2">
      <c r="B11563" s="3">
        <v>45533</v>
      </c>
      <c r="G11563" s="2">
        <f t="shared" si="180"/>
        <v>0</v>
      </c>
      <c r="H11563" t="s">
        <v>0</v>
      </c>
    </row>
    <row r="11564" spans="2:8" x14ac:dyDescent="0.2">
      <c r="B11564" s="3">
        <v>45534</v>
      </c>
      <c r="F11564" s="1">
        <v>10000</v>
      </c>
      <c r="G11564" s="2">
        <f t="shared" si="180"/>
        <v>-10000</v>
      </c>
      <c r="H11564" t="s">
        <v>14</v>
      </c>
    </row>
    <row r="11565" spans="2:8" x14ac:dyDescent="0.2">
      <c r="B11565" s="3">
        <v>45534</v>
      </c>
      <c r="D11565" s="28"/>
      <c r="G11565" s="2">
        <f t="shared" si="180"/>
        <v>0</v>
      </c>
      <c r="H11565" t="s">
        <v>13</v>
      </c>
    </row>
    <row r="11566" spans="2:8" x14ac:dyDescent="0.2">
      <c r="B11566" s="3">
        <v>45534</v>
      </c>
      <c r="D11566" s="28"/>
      <c r="G11566" s="2">
        <f t="shared" si="180"/>
        <v>0</v>
      </c>
      <c r="H11566" t="s">
        <v>26</v>
      </c>
    </row>
    <row r="11567" spans="2:8" x14ac:dyDescent="0.2">
      <c r="B11567" s="3">
        <v>45534</v>
      </c>
      <c r="G11567" s="2">
        <f t="shared" si="180"/>
        <v>0</v>
      </c>
      <c r="H11567" t="s">
        <v>25</v>
      </c>
    </row>
    <row r="11568" spans="2:8" x14ac:dyDescent="0.2">
      <c r="B11568" s="3">
        <v>45534</v>
      </c>
      <c r="G11568" s="2">
        <f t="shared" si="180"/>
        <v>0</v>
      </c>
      <c r="H11568" t="s">
        <v>9</v>
      </c>
    </row>
    <row r="11569" spans="2:8" x14ac:dyDescent="0.2">
      <c r="B11569" s="3">
        <v>45534</v>
      </c>
      <c r="G11569" s="2">
        <f t="shared" si="180"/>
        <v>0</v>
      </c>
      <c r="H11569" t="s">
        <v>8</v>
      </c>
    </row>
    <row r="11570" spans="2:8" x14ac:dyDescent="0.2">
      <c r="B11570" s="3">
        <v>45534</v>
      </c>
      <c r="G11570" s="2">
        <f t="shared" si="180"/>
        <v>0</v>
      </c>
      <c r="H11570" t="s">
        <v>5</v>
      </c>
    </row>
    <row r="11571" spans="2:8" x14ac:dyDescent="0.2">
      <c r="B11571" s="3">
        <v>45534</v>
      </c>
      <c r="G11571" s="2">
        <f t="shared" si="180"/>
        <v>0</v>
      </c>
      <c r="H11571" s="1"/>
    </row>
    <row r="11572" spans="2:8" x14ac:dyDescent="0.2">
      <c r="B11572" s="3">
        <v>45534</v>
      </c>
      <c r="F11572" s="1">
        <v>120425</v>
      </c>
      <c r="G11572" s="2">
        <f t="shared" si="180"/>
        <v>-120425</v>
      </c>
      <c r="H11572" t="s">
        <v>0</v>
      </c>
    </row>
    <row r="11573" spans="2:8" x14ac:dyDescent="0.2">
      <c r="B11573" s="3">
        <v>45535</v>
      </c>
      <c r="G11573" s="2">
        <f t="shared" si="180"/>
        <v>0</v>
      </c>
      <c r="H11573" t="s">
        <v>14</v>
      </c>
    </row>
    <row r="11574" spans="2:8" x14ac:dyDescent="0.2">
      <c r="B11574" s="3">
        <v>45535</v>
      </c>
      <c r="D11574" s="28"/>
      <c r="G11574" s="2">
        <f t="shared" si="180"/>
        <v>0</v>
      </c>
      <c r="H11574" t="s">
        <v>13</v>
      </c>
    </row>
    <row r="11575" spans="2:8" x14ac:dyDescent="0.2">
      <c r="B11575" s="3">
        <v>45535</v>
      </c>
      <c r="D11575" s="28"/>
      <c r="G11575" s="2">
        <f t="shared" si="180"/>
        <v>0</v>
      </c>
      <c r="H11575" t="s">
        <v>26</v>
      </c>
    </row>
    <row r="11576" spans="2:8" x14ac:dyDescent="0.2">
      <c r="B11576" s="3">
        <v>45535</v>
      </c>
      <c r="G11576" s="2">
        <f t="shared" si="180"/>
        <v>0</v>
      </c>
      <c r="H11576" t="s">
        <v>25</v>
      </c>
    </row>
    <row r="11577" spans="2:8" x14ac:dyDescent="0.2">
      <c r="B11577" s="3">
        <v>45535</v>
      </c>
      <c r="G11577" s="2">
        <f t="shared" si="180"/>
        <v>0</v>
      </c>
      <c r="H11577" t="s">
        <v>9</v>
      </c>
    </row>
    <row r="11578" spans="2:8" x14ac:dyDescent="0.2">
      <c r="B11578" s="3">
        <v>45535</v>
      </c>
      <c r="D11578" s="1">
        <v>17786</v>
      </c>
      <c r="E11578" s="1">
        <v>19540</v>
      </c>
      <c r="G11578" s="2">
        <f t="shared" si="180"/>
        <v>19540</v>
      </c>
      <c r="H11578" t="s">
        <v>8</v>
      </c>
    </row>
    <row r="11579" spans="2:8" x14ac:dyDescent="0.2">
      <c r="B11579" s="3">
        <v>45535</v>
      </c>
      <c r="G11579" s="2">
        <f t="shared" si="180"/>
        <v>0</v>
      </c>
      <c r="H11579" t="s">
        <v>5</v>
      </c>
    </row>
    <row r="11580" spans="2:8" x14ac:dyDescent="0.2">
      <c r="B11580" s="3">
        <v>45535</v>
      </c>
      <c r="G11580" s="2">
        <f t="shared" si="180"/>
        <v>0</v>
      </c>
      <c r="H11580" s="1"/>
    </row>
    <row r="11581" spans="2:8" x14ac:dyDescent="0.2">
      <c r="B11581" s="3">
        <v>45535</v>
      </c>
      <c r="G11581" s="2">
        <f t="shared" si="180"/>
        <v>0</v>
      </c>
      <c r="H11581" t="s">
        <v>0</v>
      </c>
    </row>
    <row r="11582" spans="2:8" x14ac:dyDescent="0.2">
      <c r="B11582" s="3">
        <v>45536</v>
      </c>
      <c r="F11582" s="1">
        <v>15000</v>
      </c>
      <c r="G11582" s="2">
        <f t="shared" si="180"/>
        <v>-15000</v>
      </c>
      <c r="H11582" t="s">
        <v>14</v>
      </c>
    </row>
    <row r="11583" spans="2:8" x14ac:dyDescent="0.2">
      <c r="B11583" s="3">
        <v>45536</v>
      </c>
      <c r="D11583" s="28"/>
      <c r="G11583" s="2">
        <f t="shared" si="180"/>
        <v>0</v>
      </c>
      <c r="H11583" t="s">
        <v>13</v>
      </c>
    </row>
    <row r="11584" spans="2:8" x14ac:dyDescent="0.2">
      <c r="B11584" s="3">
        <v>45536</v>
      </c>
      <c r="D11584" s="28"/>
      <c r="G11584" s="2">
        <f t="shared" si="180"/>
        <v>0</v>
      </c>
      <c r="H11584" t="s">
        <v>26</v>
      </c>
    </row>
    <row r="11585" spans="2:8" x14ac:dyDescent="0.2">
      <c r="B11585" s="3">
        <v>45536</v>
      </c>
      <c r="G11585" s="2">
        <f t="shared" si="180"/>
        <v>0</v>
      </c>
      <c r="H11585" t="s">
        <v>25</v>
      </c>
    </row>
    <row r="11586" spans="2:8" x14ac:dyDescent="0.2">
      <c r="B11586" s="3">
        <v>45536</v>
      </c>
      <c r="G11586" s="2">
        <f t="shared" si="180"/>
        <v>0</v>
      </c>
      <c r="H11586" t="s">
        <v>9</v>
      </c>
    </row>
    <row r="11587" spans="2:8" x14ac:dyDescent="0.2">
      <c r="B11587" s="3">
        <v>45536</v>
      </c>
      <c r="G11587" s="2">
        <f t="shared" ref="G11587:G11650" si="181">E11587-F11587</f>
        <v>0</v>
      </c>
      <c r="H11587" t="s">
        <v>8</v>
      </c>
    </row>
    <row r="11588" spans="2:8" x14ac:dyDescent="0.2">
      <c r="B11588" s="3">
        <v>45536</v>
      </c>
      <c r="G11588" s="2">
        <f t="shared" si="181"/>
        <v>0</v>
      </c>
      <c r="H11588" t="s">
        <v>5</v>
      </c>
    </row>
    <row r="11589" spans="2:8" x14ac:dyDescent="0.2">
      <c r="B11589" s="3">
        <v>45536</v>
      </c>
      <c r="G11589" s="2">
        <f t="shared" si="181"/>
        <v>0</v>
      </c>
      <c r="H11589" s="1"/>
    </row>
    <row r="11590" spans="2:8" x14ac:dyDescent="0.2">
      <c r="B11590" s="3">
        <v>45536</v>
      </c>
      <c r="G11590" s="2">
        <f t="shared" si="181"/>
        <v>0</v>
      </c>
      <c r="H11590" t="s">
        <v>0</v>
      </c>
    </row>
    <row r="11591" spans="2:8" x14ac:dyDescent="0.2">
      <c r="B11591" s="3">
        <v>45537</v>
      </c>
      <c r="G11591" s="2">
        <f t="shared" si="181"/>
        <v>0</v>
      </c>
      <c r="H11591" t="s">
        <v>14</v>
      </c>
    </row>
    <row r="11592" spans="2:8" x14ac:dyDescent="0.2">
      <c r="B11592" s="3">
        <v>45537</v>
      </c>
      <c r="D11592" s="28"/>
      <c r="G11592" s="2">
        <f t="shared" si="181"/>
        <v>0</v>
      </c>
      <c r="H11592" t="s">
        <v>13</v>
      </c>
    </row>
    <row r="11593" spans="2:8" x14ac:dyDescent="0.2">
      <c r="B11593" s="3">
        <v>45537</v>
      </c>
      <c r="D11593" s="28"/>
      <c r="G11593" s="2">
        <f t="shared" si="181"/>
        <v>0</v>
      </c>
      <c r="H11593" t="s">
        <v>26</v>
      </c>
    </row>
    <row r="11594" spans="2:8" x14ac:dyDescent="0.2">
      <c r="B11594" s="3">
        <v>45537</v>
      </c>
      <c r="G11594" s="2">
        <f t="shared" si="181"/>
        <v>0</v>
      </c>
      <c r="H11594" t="s">
        <v>25</v>
      </c>
    </row>
    <row r="11595" spans="2:8" x14ac:dyDescent="0.2">
      <c r="B11595" s="3">
        <v>45537</v>
      </c>
      <c r="G11595" s="2">
        <f t="shared" si="181"/>
        <v>0</v>
      </c>
      <c r="H11595" t="s">
        <v>9</v>
      </c>
    </row>
    <row r="11596" spans="2:8" x14ac:dyDescent="0.2">
      <c r="B11596" s="3">
        <v>45537</v>
      </c>
      <c r="G11596" s="2">
        <f t="shared" si="181"/>
        <v>0</v>
      </c>
      <c r="H11596" t="s">
        <v>8</v>
      </c>
    </row>
    <row r="11597" spans="2:8" x14ac:dyDescent="0.2">
      <c r="B11597" s="3">
        <v>45537</v>
      </c>
      <c r="G11597" s="2">
        <f t="shared" si="181"/>
        <v>0</v>
      </c>
      <c r="H11597" t="s">
        <v>5</v>
      </c>
    </row>
    <row r="11598" spans="2:8" x14ac:dyDescent="0.2">
      <c r="B11598" s="3">
        <v>45537</v>
      </c>
      <c r="G11598" s="2">
        <f t="shared" si="181"/>
        <v>0</v>
      </c>
      <c r="H11598" s="1"/>
    </row>
    <row r="11599" spans="2:8" x14ac:dyDescent="0.2">
      <c r="B11599" s="3">
        <v>45537</v>
      </c>
      <c r="D11599" s="1">
        <v>106052.86</v>
      </c>
      <c r="E11599" s="1">
        <v>109461.04999999999</v>
      </c>
      <c r="F11599" s="1">
        <v>44000</v>
      </c>
      <c r="G11599" s="2">
        <f t="shared" si="181"/>
        <v>65461.049999999988</v>
      </c>
      <c r="H11599" t="s">
        <v>0</v>
      </c>
    </row>
    <row r="11600" spans="2:8" x14ac:dyDescent="0.2">
      <c r="B11600" s="3">
        <v>45538</v>
      </c>
      <c r="G11600" s="2">
        <f t="shared" si="181"/>
        <v>0</v>
      </c>
      <c r="H11600" t="s">
        <v>14</v>
      </c>
    </row>
    <row r="11601" spans="2:8" x14ac:dyDescent="0.2">
      <c r="B11601" s="3">
        <v>45538</v>
      </c>
      <c r="D11601" s="28"/>
      <c r="G11601" s="2">
        <f t="shared" si="181"/>
        <v>0</v>
      </c>
      <c r="H11601" t="s">
        <v>13</v>
      </c>
    </row>
    <row r="11602" spans="2:8" x14ac:dyDescent="0.2">
      <c r="B11602" s="3">
        <v>45538</v>
      </c>
      <c r="D11602" s="28"/>
      <c r="G11602" s="2">
        <f t="shared" si="181"/>
        <v>0</v>
      </c>
      <c r="H11602" t="s">
        <v>26</v>
      </c>
    </row>
    <row r="11603" spans="2:8" x14ac:dyDescent="0.2">
      <c r="B11603" s="3">
        <v>45538</v>
      </c>
      <c r="G11603" s="2">
        <f t="shared" si="181"/>
        <v>0</v>
      </c>
      <c r="H11603" t="s">
        <v>25</v>
      </c>
    </row>
    <row r="11604" spans="2:8" x14ac:dyDescent="0.2">
      <c r="B11604" s="3">
        <v>45538</v>
      </c>
      <c r="G11604" s="2">
        <f t="shared" si="181"/>
        <v>0</v>
      </c>
      <c r="H11604" t="s">
        <v>9</v>
      </c>
    </row>
    <row r="11605" spans="2:8" x14ac:dyDescent="0.2">
      <c r="B11605" s="3">
        <v>45538</v>
      </c>
      <c r="G11605" s="2">
        <f t="shared" si="181"/>
        <v>0</v>
      </c>
      <c r="H11605" t="s">
        <v>8</v>
      </c>
    </row>
    <row r="11606" spans="2:8" x14ac:dyDescent="0.2">
      <c r="B11606" s="3">
        <v>45538</v>
      </c>
      <c r="G11606" s="2">
        <f t="shared" si="181"/>
        <v>0</v>
      </c>
      <c r="H11606" t="s">
        <v>5</v>
      </c>
    </row>
    <row r="11607" spans="2:8" x14ac:dyDescent="0.2">
      <c r="B11607" s="3">
        <v>45538</v>
      </c>
      <c r="G11607" s="2">
        <f t="shared" si="181"/>
        <v>0</v>
      </c>
      <c r="H11607" s="1"/>
    </row>
    <row r="11608" spans="2:8" x14ac:dyDescent="0.2">
      <c r="B11608" s="3">
        <v>45538</v>
      </c>
      <c r="G11608" s="2">
        <f t="shared" si="181"/>
        <v>0</v>
      </c>
      <c r="H11608" t="s">
        <v>0</v>
      </c>
    </row>
    <row r="11609" spans="2:8" x14ac:dyDescent="0.2">
      <c r="B11609" s="3">
        <v>45539</v>
      </c>
      <c r="G11609" s="2">
        <f t="shared" si="181"/>
        <v>0</v>
      </c>
      <c r="H11609" t="s">
        <v>14</v>
      </c>
    </row>
    <row r="11610" spans="2:8" x14ac:dyDescent="0.2">
      <c r="B11610" s="3">
        <v>45539</v>
      </c>
      <c r="D11610" s="28"/>
      <c r="G11610" s="2">
        <f t="shared" si="181"/>
        <v>0</v>
      </c>
      <c r="H11610" t="s">
        <v>13</v>
      </c>
    </row>
    <row r="11611" spans="2:8" x14ac:dyDescent="0.2">
      <c r="B11611" s="3">
        <v>45539</v>
      </c>
      <c r="D11611" s="28"/>
      <c r="G11611" s="2">
        <f t="shared" si="181"/>
        <v>0</v>
      </c>
      <c r="H11611" t="s">
        <v>26</v>
      </c>
    </row>
    <row r="11612" spans="2:8" x14ac:dyDescent="0.2">
      <c r="B11612" s="3">
        <v>45539</v>
      </c>
      <c r="G11612" s="2">
        <f t="shared" si="181"/>
        <v>0</v>
      </c>
      <c r="H11612" t="s">
        <v>25</v>
      </c>
    </row>
    <row r="11613" spans="2:8" x14ac:dyDescent="0.2">
      <c r="B11613" s="3">
        <v>45539</v>
      </c>
      <c r="G11613" s="2">
        <f t="shared" si="181"/>
        <v>0</v>
      </c>
      <c r="H11613" t="s">
        <v>9</v>
      </c>
    </row>
    <row r="11614" spans="2:8" x14ac:dyDescent="0.2">
      <c r="B11614" s="3">
        <v>45539</v>
      </c>
      <c r="D11614" s="1">
        <v>13580</v>
      </c>
      <c r="E11614" s="1">
        <v>14740</v>
      </c>
      <c r="F11614" s="1">
        <v>30000</v>
      </c>
      <c r="G11614" s="2">
        <f t="shared" si="181"/>
        <v>-15260</v>
      </c>
      <c r="H11614" t="s">
        <v>8</v>
      </c>
    </row>
    <row r="11615" spans="2:8" x14ac:dyDescent="0.2">
      <c r="B11615" s="3">
        <v>45539</v>
      </c>
      <c r="G11615" s="2">
        <f t="shared" si="181"/>
        <v>0</v>
      </c>
      <c r="H11615" t="s">
        <v>5</v>
      </c>
    </row>
    <row r="11616" spans="2:8" x14ac:dyDescent="0.2">
      <c r="B11616" s="3">
        <v>45539</v>
      </c>
      <c r="G11616" s="2">
        <f t="shared" si="181"/>
        <v>0</v>
      </c>
      <c r="H11616" s="1"/>
    </row>
    <row r="11617" spans="2:8" x14ac:dyDescent="0.2">
      <c r="B11617" s="3">
        <v>45539</v>
      </c>
      <c r="G11617" s="2">
        <f t="shared" si="181"/>
        <v>0</v>
      </c>
      <c r="H11617" t="s">
        <v>0</v>
      </c>
    </row>
    <row r="11618" spans="2:8" x14ac:dyDescent="0.2">
      <c r="B11618" s="3">
        <v>45540</v>
      </c>
      <c r="G11618" s="2">
        <f t="shared" si="181"/>
        <v>0</v>
      </c>
      <c r="H11618" t="s">
        <v>14</v>
      </c>
    </row>
    <row r="11619" spans="2:8" x14ac:dyDescent="0.2">
      <c r="B11619" s="3">
        <v>45540</v>
      </c>
      <c r="D11619" s="28"/>
      <c r="G11619" s="2">
        <f t="shared" si="181"/>
        <v>0</v>
      </c>
      <c r="H11619" t="s">
        <v>13</v>
      </c>
    </row>
    <row r="11620" spans="2:8" x14ac:dyDescent="0.2">
      <c r="B11620" s="3">
        <v>45540</v>
      </c>
      <c r="D11620" s="28"/>
      <c r="G11620" s="2">
        <f t="shared" si="181"/>
        <v>0</v>
      </c>
      <c r="H11620" t="s">
        <v>26</v>
      </c>
    </row>
    <row r="11621" spans="2:8" x14ac:dyDescent="0.2">
      <c r="B11621" s="3">
        <v>45540</v>
      </c>
      <c r="G11621" s="2">
        <f t="shared" si="181"/>
        <v>0</v>
      </c>
      <c r="H11621" t="s">
        <v>25</v>
      </c>
    </row>
    <row r="11622" spans="2:8" x14ac:dyDescent="0.2">
      <c r="B11622" s="3">
        <v>45540</v>
      </c>
      <c r="G11622" s="2">
        <f t="shared" si="181"/>
        <v>0</v>
      </c>
      <c r="H11622" t="s">
        <v>9</v>
      </c>
    </row>
    <row r="11623" spans="2:8" x14ac:dyDescent="0.2">
      <c r="B11623" s="3">
        <v>45540</v>
      </c>
      <c r="G11623" s="2">
        <f t="shared" si="181"/>
        <v>0</v>
      </c>
      <c r="H11623" t="s">
        <v>8</v>
      </c>
    </row>
    <row r="11624" spans="2:8" x14ac:dyDescent="0.2">
      <c r="B11624" s="3">
        <v>45540</v>
      </c>
      <c r="G11624" s="2">
        <f t="shared" si="181"/>
        <v>0</v>
      </c>
      <c r="H11624" t="s">
        <v>5</v>
      </c>
    </row>
    <row r="11625" spans="2:8" x14ac:dyDescent="0.2">
      <c r="B11625" s="3">
        <v>45540</v>
      </c>
      <c r="G11625" s="2">
        <f t="shared" si="181"/>
        <v>0</v>
      </c>
      <c r="H11625" s="1"/>
    </row>
    <row r="11626" spans="2:8" x14ac:dyDescent="0.2">
      <c r="B11626" s="3">
        <v>45540</v>
      </c>
      <c r="G11626" s="2">
        <f t="shared" si="181"/>
        <v>0</v>
      </c>
      <c r="H11626" t="s">
        <v>0</v>
      </c>
    </row>
    <row r="11627" spans="2:8" x14ac:dyDescent="0.2">
      <c r="B11627" s="3">
        <v>45541</v>
      </c>
      <c r="G11627" s="2">
        <f t="shared" si="181"/>
        <v>0</v>
      </c>
      <c r="H11627" t="s">
        <v>14</v>
      </c>
    </row>
    <row r="11628" spans="2:8" x14ac:dyDescent="0.2">
      <c r="B11628" s="3">
        <v>45541</v>
      </c>
      <c r="D11628" s="28"/>
      <c r="G11628" s="2">
        <f t="shared" si="181"/>
        <v>0</v>
      </c>
      <c r="H11628" t="s">
        <v>13</v>
      </c>
    </row>
    <row r="11629" spans="2:8" x14ac:dyDescent="0.2">
      <c r="B11629" s="3">
        <v>45541</v>
      </c>
      <c r="D11629" s="28"/>
      <c r="G11629" s="2">
        <f t="shared" si="181"/>
        <v>0</v>
      </c>
      <c r="H11629" t="s">
        <v>26</v>
      </c>
    </row>
    <row r="11630" spans="2:8" x14ac:dyDescent="0.2">
      <c r="B11630" s="3">
        <v>45541</v>
      </c>
      <c r="G11630" s="2">
        <f t="shared" si="181"/>
        <v>0</v>
      </c>
      <c r="H11630" t="s">
        <v>25</v>
      </c>
    </row>
    <row r="11631" spans="2:8" x14ac:dyDescent="0.2">
      <c r="B11631" s="3">
        <v>45541</v>
      </c>
      <c r="G11631" s="2">
        <f t="shared" si="181"/>
        <v>0</v>
      </c>
      <c r="H11631" t="s">
        <v>9</v>
      </c>
    </row>
    <row r="11632" spans="2:8" x14ac:dyDescent="0.2">
      <c r="B11632" s="3">
        <v>45541</v>
      </c>
      <c r="G11632" s="2">
        <f t="shared" si="181"/>
        <v>0</v>
      </c>
      <c r="H11632" t="s">
        <v>8</v>
      </c>
    </row>
    <row r="11633" spans="2:8" x14ac:dyDescent="0.2">
      <c r="B11633" s="3">
        <v>45541</v>
      </c>
      <c r="G11633" s="2">
        <f t="shared" si="181"/>
        <v>0</v>
      </c>
      <c r="H11633" t="s">
        <v>5</v>
      </c>
    </row>
    <row r="11634" spans="2:8" x14ac:dyDescent="0.2">
      <c r="B11634" s="3">
        <v>45541</v>
      </c>
      <c r="G11634" s="2">
        <f t="shared" si="181"/>
        <v>0</v>
      </c>
      <c r="H11634" s="1"/>
    </row>
    <row r="11635" spans="2:8" x14ac:dyDescent="0.2">
      <c r="B11635" s="3">
        <v>45541</v>
      </c>
      <c r="F11635" s="1">
        <v>100000</v>
      </c>
      <c r="G11635" s="2">
        <f t="shared" si="181"/>
        <v>-100000</v>
      </c>
      <c r="H11635" t="s">
        <v>0</v>
      </c>
    </row>
    <row r="11636" spans="2:8" x14ac:dyDescent="0.2">
      <c r="B11636" s="3">
        <v>45542</v>
      </c>
      <c r="G11636" s="2">
        <f t="shared" si="181"/>
        <v>0</v>
      </c>
      <c r="H11636" t="s">
        <v>14</v>
      </c>
    </row>
    <row r="11637" spans="2:8" x14ac:dyDescent="0.2">
      <c r="B11637" s="3">
        <v>45542</v>
      </c>
      <c r="D11637" s="28">
        <f>5250+1500+1485+720+1320+1650+1500+4700+8200+390</f>
        <v>26715</v>
      </c>
      <c r="E11637" s="1">
        <f>29162.5-200</f>
        <v>28962.5</v>
      </c>
      <c r="F11637" s="1">
        <v>28960</v>
      </c>
      <c r="G11637" s="2">
        <f t="shared" si="181"/>
        <v>2.5</v>
      </c>
      <c r="H11637" t="s">
        <v>13</v>
      </c>
    </row>
    <row r="11638" spans="2:8" x14ac:dyDescent="0.2">
      <c r="B11638" s="3">
        <v>45542</v>
      </c>
      <c r="D11638" s="28"/>
      <c r="G11638" s="2">
        <f t="shared" si="181"/>
        <v>0</v>
      </c>
      <c r="H11638" t="s">
        <v>26</v>
      </c>
    </row>
    <row r="11639" spans="2:8" x14ac:dyDescent="0.2">
      <c r="B11639" s="3">
        <v>45542</v>
      </c>
      <c r="G11639" s="2">
        <f t="shared" si="181"/>
        <v>0</v>
      </c>
      <c r="H11639" t="s">
        <v>25</v>
      </c>
    </row>
    <row r="11640" spans="2:8" x14ac:dyDescent="0.2">
      <c r="B11640" s="3">
        <v>45542</v>
      </c>
      <c r="G11640" s="2">
        <f t="shared" si="181"/>
        <v>0</v>
      </c>
      <c r="H11640" t="s">
        <v>9</v>
      </c>
    </row>
    <row r="11641" spans="2:8" x14ac:dyDescent="0.2">
      <c r="B11641" s="3">
        <v>45542</v>
      </c>
      <c r="G11641" s="2">
        <f t="shared" si="181"/>
        <v>0</v>
      </c>
      <c r="H11641" t="s">
        <v>8</v>
      </c>
    </row>
    <row r="11642" spans="2:8" x14ac:dyDescent="0.2">
      <c r="B11642" s="3">
        <v>45542</v>
      </c>
      <c r="G11642" s="2">
        <f t="shared" si="181"/>
        <v>0</v>
      </c>
      <c r="H11642" t="s">
        <v>5</v>
      </c>
    </row>
    <row r="11643" spans="2:8" x14ac:dyDescent="0.2">
      <c r="B11643" s="3">
        <v>45542</v>
      </c>
      <c r="D11643" s="1">
        <v>2947.5</v>
      </c>
      <c r="E11643" s="1">
        <v>3060</v>
      </c>
      <c r="F11643" s="1">
        <v>3060</v>
      </c>
      <c r="G11643" s="2">
        <f t="shared" si="181"/>
        <v>0</v>
      </c>
      <c r="H11643" s="1" t="s">
        <v>83</v>
      </c>
    </row>
    <row r="11644" spans="2:8" x14ac:dyDescent="0.2">
      <c r="B11644" s="3">
        <v>45542</v>
      </c>
      <c r="G11644" s="2">
        <f t="shared" si="181"/>
        <v>0</v>
      </c>
      <c r="H11644" t="s">
        <v>0</v>
      </c>
    </row>
    <row r="11645" spans="2:8" x14ac:dyDescent="0.2">
      <c r="B11645" s="3">
        <v>45543</v>
      </c>
      <c r="F11645" s="1">
        <v>10000</v>
      </c>
      <c r="G11645" s="2">
        <f t="shared" si="181"/>
        <v>-10000</v>
      </c>
      <c r="H11645" t="s">
        <v>14</v>
      </c>
    </row>
    <row r="11646" spans="2:8" x14ac:dyDescent="0.2">
      <c r="B11646" s="3">
        <v>45543</v>
      </c>
      <c r="D11646" s="28"/>
      <c r="G11646" s="2">
        <f t="shared" si="181"/>
        <v>0</v>
      </c>
      <c r="H11646" t="s">
        <v>13</v>
      </c>
    </row>
    <row r="11647" spans="2:8" x14ac:dyDescent="0.2">
      <c r="B11647" s="3">
        <v>45543</v>
      </c>
      <c r="D11647" s="28"/>
      <c r="G11647" s="2">
        <f t="shared" si="181"/>
        <v>0</v>
      </c>
      <c r="H11647" t="s">
        <v>26</v>
      </c>
    </row>
    <row r="11648" spans="2:8" x14ac:dyDescent="0.2">
      <c r="B11648" s="3">
        <v>45543</v>
      </c>
      <c r="G11648" s="2">
        <f t="shared" si="181"/>
        <v>0</v>
      </c>
      <c r="H11648" t="s">
        <v>25</v>
      </c>
    </row>
    <row r="11649" spans="2:8" x14ac:dyDescent="0.2">
      <c r="B11649" s="3">
        <v>45543</v>
      </c>
      <c r="G11649" s="2">
        <f t="shared" si="181"/>
        <v>0</v>
      </c>
      <c r="H11649" t="s">
        <v>9</v>
      </c>
    </row>
    <row r="11650" spans="2:8" x14ac:dyDescent="0.2">
      <c r="B11650" s="3">
        <v>45543</v>
      </c>
      <c r="G11650" s="2">
        <f t="shared" si="181"/>
        <v>0</v>
      </c>
      <c r="H11650" t="s">
        <v>8</v>
      </c>
    </row>
    <row r="11651" spans="2:8" x14ac:dyDescent="0.2">
      <c r="B11651" s="3">
        <v>45543</v>
      </c>
      <c r="G11651" s="2">
        <f t="shared" ref="G11651:G11714" si="182">E11651-F11651</f>
        <v>0</v>
      </c>
      <c r="H11651" t="s">
        <v>5</v>
      </c>
    </row>
    <row r="11652" spans="2:8" x14ac:dyDescent="0.2">
      <c r="B11652" s="3">
        <v>45543</v>
      </c>
      <c r="G11652" s="2">
        <f t="shared" si="182"/>
        <v>0</v>
      </c>
      <c r="H11652" s="1"/>
    </row>
    <row r="11653" spans="2:8" x14ac:dyDescent="0.2">
      <c r="B11653" s="3">
        <v>45543</v>
      </c>
      <c r="G11653" s="2">
        <f t="shared" si="182"/>
        <v>0</v>
      </c>
      <c r="H11653" t="s">
        <v>0</v>
      </c>
    </row>
    <row r="11654" spans="2:8" x14ac:dyDescent="0.2">
      <c r="B11654" s="3">
        <v>45544</v>
      </c>
      <c r="G11654" s="2">
        <f t="shared" si="182"/>
        <v>0</v>
      </c>
      <c r="H11654" t="s">
        <v>14</v>
      </c>
    </row>
    <row r="11655" spans="2:8" x14ac:dyDescent="0.2">
      <c r="B11655" s="3">
        <v>45544</v>
      </c>
      <c r="D11655" s="28"/>
      <c r="G11655" s="2">
        <f t="shared" si="182"/>
        <v>0</v>
      </c>
      <c r="H11655" t="s">
        <v>13</v>
      </c>
    </row>
    <row r="11656" spans="2:8" x14ac:dyDescent="0.2">
      <c r="B11656" s="3">
        <v>45544</v>
      </c>
      <c r="D11656" s="28"/>
      <c r="G11656" s="2">
        <f t="shared" si="182"/>
        <v>0</v>
      </c>
      <c r="H11656" t="s">
        <v>26</v>
      </c>
    </row>
    <row r="11657" spans="2:8" x14ac:dyDescent="0.2">
      <c r="B11657" s="3">
        <v>45544</v>
      </c>
      <c r="G11657" s="2">
        <f t="shared" si="182"/>
        <v>0</v>
      </c>
      <c r="H11657" t="s">
        <v>25</v>
      </c>
    </row>
    <row r="11658" spans="2:8" x14ac:dyDescent="0.2">
      <c r="B11658" s="3">
        <v>45544</v>
      </c>
      <c r="G11658" s="2">
        <f t="shared" si="182"/>
        <v>0</v>
      </c>
      <c r="H11658" t="s">
        <v>9</v>
      </c>
    </row>
    <row r="11659" spans="2:8" x14ac:dyDescent="0.2">
      <c r="B11659" s="3">
        <v>45544</v>
      </c>
      <c r="G11659" s="2">
        <f t="shared" si="182"/>
        <v>0</v>
      </c>
      <c r="H11659" t="s">
        <v>8</v>
      </c>
    </row>
    <row r="11660" spans="2:8" x14ac:dyDescent="0.2">
      <c r="B11660" s="3">
        <v>45544</v>
      </c>
      <c r="G11660" s="2">
        <f t="shared" si="182"/>
        <v>0</v>
      </c>
      <c r="H11660" t="s">
        <v>5</v>
      </c>
    </row>
    <row r="11661" spans="2:8" x14ac:dyDescent="0.2">
      <c r="B11661" s="3">
        <v>45544</v>
      </c>
      <c r="G11661" s="2">
        <f t="shared" si="182"/>
        <v>0</v>
      </c>
      <c r="H11661" s="1"/>
    </row>
    <row r="11662" spans="2:8" x14ac:dyDescent="0.2">
      <c r="B11662" s="3">
        <v>45544</v>
      </c>
      <c r="G11662" s="2">
        <f t="shared" si="182"/>
        <v>0</v>
      </c>
      <c r="H11662" t="s">
        <v>0</v>
      </c>
    </row>
    <row r="11663" spans="2:8" x14ac:dyDescent="0.2">
      <c r="B11663" s="3">
        <v>45545</v>
      </c>
      <c r="G11663" s="2">
        <f t="shared" si="182"/>
        <v>0</v>
      </c>
      <c r="H11663" t="s">
        <v>14</v>
      </c>
    </row>
    <row r="11664" spans="2:8" x14ac:dyDescent="0.2">
      <c r="B11664" s="3">
        <v>45545</v>
      </c>
      <c r="D11664" s="28"/>
      <c r="G11664" s="2">
        <f t="shared" si="182"/>
        <v>0</v>
      </c>
      <c r="H11664" t="s">
        <v>13</v>
      </c>
    </row>
    <row r="11665" spans="2:8" x14ac:dyDescent="0.2">
      <c r="B11665" s="3">
        <v>45545</v>
      </c>
      <c r="D11665" s="28"/>
      <c r="G11665" s="2">
        <f t="shared" si="182"/>
        <v>0</v>
      </c>
      <c r="H11665" t="s">
        <v>26</v>
      </c>
    </row>
    <row r="11666" spans="2:8" x14ac:dyDescent="0.2">
      <c r="B11666" s="3">
        <v>45545</v>
      </c>
      <c r="G11666" s="2">
        <f t="shared" si="182"/>
        <v>0</v>
      </c>
      <c r="H11666" t="s">
        <v>25</v>
      </c>
    </row>
    <row r="11667" spans="2:8" x14ac:dyDescent="0.2">
      <c r="B11667" s="3">
        <v>45545</v>
      </c>
      <c r="D11667" s="1">
        <v>16200</v>
      </c>
      <c r="E11667" s="1">
        <v>17000</v>
      </c>
      <c r="G11667" s="2">
        <f t="shared" si="182"/>
        <v>17000</v>
      </c>
      <c r="H11667" t="s">
        <v>9</v>
      </c>
    </row>
    <row r="11668" spans="2:8" x14ac:dyDescent="0.2">
      <c r="B11668" s="3">
        <v>45545</v>
      </c>
      <c r="D11668" s="1">
        <v>47312.5</v>
      </c>
      <c r="E11668" s="1">
        <v>53445</v>
      </c>
      <c r="G11668" s="2">
        <f t="shared" si="182"/>
        <v>53445</v>
      </c>
      <c r="H11668" t="s">
        <v>8</v>
      </c>
    </row>
    <row r="11669" spans="2:8" x14ac:dyDescent="0.2">
      <c r="B11669" s="3">
        <v>45545</v>
      </c>
      <c r="G11669" s="2">
        <f t="shared" si="182"/>
        <v>0</v>
      </c>
      <c r="H11669" t="s">
        <v>5</v>
      </c>
    </row>
    <row r="11670" spans="2:8" x14ac:dyDescent="0.2">
      <c r="B11670" s="3">
        <v>45545</v>
      </c>
      <c r="G11670" s="2">
        <f t="shared" si="182"/>
        <v>0</v>
      </c>
      <c r="H11670" s="1"/>
    </row>
    <row r="11671" spans="2:8" x14ac:dyDescent="0.2">
      <c r="B11671" s="3">
        <v>45545</v>
      </c>
      <c r="G11671" s="2">
        <f t="shared" si="182"/>
        <v>0</v>
      </c>
      <c r="H11671" t="s">
        <v>0</v>
      </c>
    </row>
    <row r="11672" spans="2:8" x14ac:dyDescent="0.2">
      <c r="B11672" s="3">
        <v>45546</v>
      </c>
      <c r="G11672" s="2">
        <f t="shared" si="182"/>
        <v>0</v>
      </c>
      <c r="H11672" t="s">
        <v>14</v>
      </c>
    </row>
    <row r="11673" spans="2:8" x14ac:dyDescent="0.2">
      <c r="B11673" s="3">
        <v>45546</v>
      </c>
      <c r="D11673" s="28">
        <f>420+829.5+340+340+3220+3900+1300+840+187.5+1300+9400</f>
        <v>22077</v>
      </c>
      <c r="E11673" s="1">
        <v>24719.75</v>
      </c>
      <c r="F11673" s="1">
        <v>24720</v>
      </c>
      <c r="G11673" s="2">
        <f t="shared" si="182"/>
        <v>-0.25</v>
      </c>
      <c r="H11673" t="s">
        <v>13</v>
      </c>
    </row>
    <row r="11674" spans="2:8" x14ac:dyDescent="0.2">
      <c r="B11674" s="3">
        <v>45546</v>
      </c>
      <c r="D11674" s="28"/>
      <c r="G11674" s="2">
        <f t="shared" si="182"/>
        <v>0</v>
      </c>
      <c r="H11674" t="s">
        <v>26</v>
      </c>
    </row>
    <row r="11675" spans="2:8" x14ac:dyDescent="0.2">
      <c r="B11675" s="3">
        <v>45546</v>
      </c>
      <c r="G11675" s="2">
        <f t="shared" si="182"/>
        <v>0</v>
      </c>
      <c r="H11675" t="s">
        <v>25</v>
      </c>
    </row>
    <row r="11676" spans="2:8" x14ac:dyDescent="0.2">
      <c r="B11676" s="3">
        <v>45546</v>
      </c>
      <c r="G11676" s="2">
        <f t="shared" si="182"/>
        <v>0</v>
      </c>
      <c r="H11676" t="s">
        <v>9</v>
      </c>
    </row>
    <row r="11677" spans="2:8" x14ac:dyDescent="0.2">
      <c r="B11677" s="3">
        <v>45546</v>
      </c>
      <c r="G11677" s="2">
        <f t="shared" si="182"/>
        <v>0</v>
      </c>
      <c r="H11677" t="s">
        <v>8</v>
      </c>
    </row>
    <row r="11678" spans="2:8" x14ac:dyDescent="0.2">
      <c r="B11678" s="3">
        <v>45546</v>
      </c>
      <c r="G11678" s="2">
        <f t="shared" si="182"/>
        <v>0</v>
      </c>
      <c r="H11678" t="s">
        <v>5</v>
      </c>
    </row>
    <row r="11679" spans="2:8" x14ac:dyDescent="0.2">
      <c r="B11679" s="3">
        <v>45546</v>
      </c>
      <c r="G11679" s="2">
        <f t="shared" si="182"/>
        <v>0</v>
      </c>
      <c r="H11679" s="1"/>
    </row>
    <row r="11680" spans="2:8" x14ac:dyDescent="0.2">
      <c r="B11680" s="3">
        <v>45546</v>
      </c>
      <c r="G11680" s="2">
        <f t="shared" si="182"/>
        <v>0</v>
      </c>
      <c r="H11680" t="s">
        <v>0</v>
      </c>
    </row>
    <row r="11681" spans="2:8" x14ac:dyDescent="0.2">
      <c r="B11681" s="3">
        <v>45547</v>
      </c>
      <c r="G11681" s="2">
        <f t="shared" si="182"/>
        <v>0</v>
      </c>
      <c r="H11681" t="s">
        <v>14</v>
      </c>
    </row>
    <row r="11682" spans="2:8" x14ac:dyDescent="0.2">
      <c r="B11682" s="3">
        <v>45547</v>
      </c>
      <c r="D11682" s="28"/>
      <c r="G11682" s="2">
        <f t="shared" si="182"/>
        <v>0</v>
      </c>
      <c r="H11682" t="s">
        <v>13</v>
      </c>
    </row>
    <row r="11683" spans="2:8" x14ac:dyDescent="0.2">
      <c r="B11683" s="3">
        <v>45547</v>
      </c>
      <c r="D11683" s="28"/>
      <c r="G11683" s="2">
        <f t="shared" si="182"/>
        <v>0</v>
      </c>
      <c r="H11683" t="s">
        <v>26</v>
      </c>
    </row>
    <row r="11684" spans="2:8" x14ac:dyDescent="0.2">
      <c r="B11684" s="3">
        <v>45547</v>
      </c>
      <c r="G11684" s="2">
        <f t="shared" si="182"/>
        <v>0</v>
      </c>
      <c r="H11684" t="s">
        <v>25</v>
      </c>
    </row>
    <row r="11685" spans="2:8" x14ac:dyDescent="0.2">
      <c r="B11685" s="3">
        <v>45547</v>
      </c>
      <c r="G11685" s="2">
        <f t="shared" si="182"/>
        <v>0</v>
      </c>
      <c r="H11685" t="s">
        <v>9</v>
      </c>
    </row>
    <row r="11686" spans="2:8" x14ac:dyDescent="0.2">
      <c r="B11686" s="3">
        <v>45547</v>
      </c>
      <c r="G11686" s="2">
        <f t="shared" si="182"/>
        <v>0</v>
      </c>
      <c r="H11686" t="s">
        <v>8</v>
      </c>
    </row>
    <row r="11687" spans="2:8" x14ac:dyDescent="0.2">
      <c r="B11687" s="3">
        <v>45547</v>
      </c>
      <c r="G11687" s="2">
        <f t="shared" si="182"/>
        <v>0</v>
      </c>
      <c r="H11687" t="s">
        <v>5</v>
      </c>
    </row>
    <row r="11688" spans="2:8" x14ac:dyDescent="0.2">
      <c r="B11688" s="3">
        <v>45547</v>
      </c>
      <c r="G11688" s="2">
        <f t="shared" si="182"/>
        <v>0</v>
      </c>
      <c r="H11688" s="1"/>
    </row>
    <row r="11689" spans="2:8" x14ac:dyDescent="0.2">
      <c r="B11689" s="3">
        <v>45547</v>
      </c>
      <c r="G11689" s="2">
        <f t="shared" si="182"/>
        <v>0</v>
      </c>
      <c r="H11689" t="s">
        <v>0</v>
      </c>
    </row>
    <row r="11690" spans="2:8" x14ac:dyDescent="0.2">
      <c r="B11690" s="3">
        <v>45548</v>
      </c>
      <c r="G11690" s="2">
        <f t="shared" si="182"/>
        <v>0</v>
      </c>
      <c r="H11690" t="s">
        <v>14</v>
      </c>
    </row>
    <row r="11691" spans="2:8" x14ac:dyDescent="0.2">
      <c r="B11691" s="3">
        <v>45548</v>
      </c>
      <c r="D11691" s="28"/>
      <c r="G11691" s="2">
        <f t="shared" si="182"/>
        <v>0</v>
      </c>
      <c r="H11691" t="s">
        <v>13</v>
      </c>
    </row>
    <row r="11692" spans="2:8" x14ac:dyDescent="0.2">
      <c r="B11692" s="3">
        <v>45548</v>
      </c>
      <c r="D11692" s="28"/>
      <c r="G11692" s="2">
        <f t="shared" si="182"/>
        <v>0</v>
      </c>
      <c r="H11692" t="s">
        <v>26</v>
      </c>
    </row>
    <row r="11693" spans="2:8" x14ac:dyDescent="0.2">
      <c r="B11693" s="3">
        <v>45548</v>
      </c>
      <c r="G11693" s="2">
        <f t="shared" si="182"/>
        <v>0</v>
      </c>
      <c r="H11693" t="s">
        <v>25</v>
      </c>
    </row>
    <row r="11694" spans="2:8" x14ac:dyDescent="0.2">
      <c r="B11694" s="3">
        <v>45548</v>
      </c>
      <c r="G11694" s="2">
        <f t="shared" si="182"/>
        <v>0</v>
      </c>
      <c r="H11694" t="s">
        <v>9</v>
      </c>
    </row>
    <row r="11695" spans="2:8" x14ac:dyDescent="0.2">
      <c r="B11695" s="3">
        <v>45548</v>
      </c>
      <c r="F11695" s="1">
        <v>20000</v>
      </c>
      <c r="G11695" s="2">
        <f t="shared" si="182"/>
        <v>-20000</v>
      </c>
      <c r="H11695" t="s">
        <v>8</v>
      </c>
    </row>
    <row r="11696" spans="2:8" x14ac:dyDescent="0.2">
      <c r="B11696" s="3">
        <v>45548</v>
      </c>
      <c r="G11696" s="2">
        <f t="shared" si="182"/>
        <v>0</v>
      </c>
      <c r="H11696" t="s">
        <v>5</v>
      </c>
    </row>
    <row r="11697" spans="2:8" x14ac:dyDescent="0.2">
      <c r="B11697" s="3">
        <v>45548</v>
      </c>
      <c r="G11697" s="2">
        <f t="shared" si="182"/>
        <v>0</v>
      </c>
      <c r="H11697" s="1"/>
    </row>
    <row r="11698" spans="2:8" x14ac:dyDescent="0.2">
      <c r="B11698" s="3">
        <v>45548</v>
      </c>
      <c r="G11698" s="2">
        <f t="shared" si="182"/>
        <v>0</v>
      </c>
      <c r="H11698" t="s">
        <v>0</v>
      </c>
    </row>
    <row r="11699" spans="2:8" x14ac:dyDescent="0.2">
      <c r="B11699" s="3">
        <v>45549</v>
      </c>
      <c r="G11699" s="2">
        <f t="shared" si="182"/>
        <v>0</v>
      </c>
      <c r="H11699" t="s">
        <v>14</v>
      </c>
    </row>
    <row r="11700" spans="2:8" x14ac:dyDescent="0.2">
      <c r="B11700" s="3">
        <v>45549</v>
      </c>
      <c r="D11700" s="28"/>
      <c r="G11700" s="2">
        <f t="shared" si="182"/>
        <v>0</v>
      </c>
      <c r="H11700" t="s">
        <v>13</v>
      </c>
    </row>
    <row r="11701" spans="2:8" x14ac:dyDescent="0.2">
      <c r="B11701" s="3">
        <v>45549</v>
      </c>
      <c r="D11701" s="28"/>
      <c r="G11701" s="2">
        <f t="shared" si="182"/>
        <v>0</v>
      </c>
      <c r="H11701" t="s">
        <v>26</v>
      </c>
    </row>
    <row r="11702" spans="2:8" x14ac:dyDescent="0.2">
      <c r="B11702" s="3">
        <v>45549</v>
      </c>
      <c r="G11702" s="2">
        <f t="shared" si="182"/>
        <v>0</v>
      </c>
      <c r="H11702" t="s">
        <v>25</v>
      </c>
    </row>
    <row r="11703" spans="2:8" x14ac:dyDescent="0.2">
      <c r="B11703" s="3">
        <v>45549</v>
      </c>
      <c r="G11703" s="2">
        <f t="shared" si="182"/>
        <v>0</v>
      </c>
      <c r="H11703" t="s">
        <v>9</v>
      </c>
    </row>
    <row r="11704" spans="2:8" x14ac:dyDescent="0.2">
      <c r="B11704" s="3">
        <v>45549</v>
      </c>
      <c r="F11704" s="1">
        <v>10000</v>
      </c>
      <c r="G11704" s="2">
        <f t="shared" si="182"/>
        <v>-10000</v>
      </c>
      <c r="H11704" t="s">
        <v>8</v>
      </c>
    </row>
    <row r="11705" spans="2:8" x14ac:dyDescent="0.2">
      <c r="B11705" s="3">
        <v>45549</v>
      </c>
      <c r="G11705" s="2">
        <f t="shared" si="182"/>
        <v>0</v>
      </c>
      <c r="H11705" t="s">
        <v>5</v>
      </c>
    </row>
    <row r="11706" spans="2:8" x14ac:dyDescent="0.2">
      <c r="B11706" s="3">
        <v>45549</v>
      </c>
      <c r="G11706" s="2">
        <f t="shared" si="182"/>
        <v>0</v>
      </c>
      <c r="H11706" s="1"/>
    </row>
    <row r="11707" spans="2:8" x14ac:dyDescent="0.2">
      <c r="B11707" s="3">
        <v>45549</v>
      </c>
      <c r="F11707" s="1">
        <v>16960</v>
      </c>
      <c r="G11707" s="2">
        <f t="shared" si="182"/>
        <v>-16960</v>
      </c>
      <c r="H11707" t="s">
        <v>0</v>
      </c>
    </row>
    <row r="11708" spans="2:8" x14ac:dyDescent="0.2">
      <c r="B11708" s="3">
        <v>45550</v>
      </c>
      <c r="G11708" s="2">
        <f t="shared" si="182"/>
        <v>0</v>
      </c>
      <c r="H11708" t="s">
        <v>14</v>
      </c>
    </row>
    <row r="11709" spans="2:8" x14ac:dyDescent="0.2">
      <c r="B11709" s="3">
        <v>45550</v>
      </c>
      <c r="D11709" s="28">
        <f>2484+125+3200+1600+22120+482.4+460+3960+731.25+1500+3650+125</f>
        <v>40437.65</v>
      </c>
      <c r="E11709" s="1">
        <v>42620.95</v>
      </c>
      <c r="F11709" s="1">
        <v>42620</v>
      </c>
      <c r="G11709" s="2">
        <f t="shared" si="182"/>
        <v>0.94999999999708962</v>
      </c>
      <c r="H11709" t="s">
        <v>13</v>
      </c>
    </row>
    <row r="11710" spans="2:8" x14ac:dyDescent="0.2">
      <c r="B11710" s="3">
        <v>45550</v>
      </c>
      <c r="D11710" s="28"/>
      <c r="G11710" s="2">
        <f t="shared" si="182"/>
        <v>0</v>
      </c>
      <c r="H11710" t="s">
        <v>26</v>
      </c>
    </row>
    <row r="11711" spans="2:8" x14ac:dyDescent="0.2">
      <c r="B11711" s="3">
        <v>45550</v>
      </c>
      <c r="G11711" s="2">
        <f t="shared" si="182"/>
        <v>0</v>
      </c>
      <c r="H11711" t="s">
        <v>25</v>
      </c>
    </row>
    <row r="11712" spans="2:8" x14ac:dyDescent="0.2">
      <c r="B11712" s="3">
        <v>45550</v>
      </c>
      <c r="G11712" s="2">
        <f t="shared" si="182"/>
        <v>0</v>
      </c>
      <c r="H11712" t="s">
        <v>9</v>
      </c>
    </row>
    <row r="11713" spans="2:8" x14ac:dyDescent="0.2">
      <c r="B11713" s="3">
        <v>45550</v>
      </c>
      <c r="G11713" s="2">
        <f t="shared" si="182"/>
        <v>0</v>
      </c>
      <c r="H11713" t="s">
        <v>8</v>
      </c>
    </row>
    <row r="11714" spans="2:8" x14ac:dyDescent="0.2">
      <c r="B11714" s="3">
        <v>45550</v>
      </c>
      <c r="G11714" s="2">
        <f t="shared" si="182"/>
        <v>0</v>
      </c>
      <c r="H11714" t="s">
        <v>5</v>
      </c>
    </row>
    <row r="11715" spans="2:8" x14ac:dyDescent="0.2">
      <c r="B11715" s="3">
        <v>45550</v>
      </c>
      <c r="G11715" s="2">
        <f t="shared" ref="G11715:G11778" si="183">E11715-F11715</f>
        <v>0</v>
      </c>
      <c r="H11715" s="1"/>
    </row>
    <row r="11716" spans="2:8" x14ac:dyDescent="0.2">
      <c r="B11716" s="3">
        <v>45550</v>
      </c>
      <c r="G11716" s="2">
        <f t="shared" si="183"/>
        <v>0</v>
      </c>
      <c r="H11716" t="s">
        <v>0</v>
      </c>
    </row>
    <row r="11717" spans="2:8" x14ac:dyDescent="0.2">
      <c r="B11717" s="3">
        <v>45551</v>
      </c>
      <c r="G11717" s="2">
        <f t="shared" si="183"/>
        <v>0</v>
      </c>
      <c r="H11717" t="s">
        <v>14</v>
      </c>
    </row>
    <row r="11718" spans="2:8" x14ac:dyDescent="0.2">
      <c r="B11718" s="3">
        <v>45551</v>
      </c>
      <c r="D11718" s="28"/>
      <c r="G11718" s="2">
        <f t="shared" si="183"/>
        <v>0</v>
      </c>
      <c r="H11718" t="s">
        <v>13</v>
      </c>
    </row>
    <row r="11719" spans="2:8" x14ac:dyDescent="0.2">
      <c r="B11719" s="3">
        <v>45551</v>
      </c>
      <c r="D11719" s="28"/>
      <c r="G11719" s="2">
        <f t="shared" si="183"/>
        <v>0</v>
      </c>
      <c r="H11719" t="s">
        <v>26</v>
      </c>
    </row>
    <row r="11720" spans="2:8" x14ac:dyDescent="0.2">
      <c r="B11720" s="3">
        <v>45551</v>
      </c>
      <c r="G11720" s="2">
        <f t="shared" si="183"/>
        <v>0</v>
      </c>
      <c r="H11720" t="s">
        <v>25</v>
      </c>
    </row>
    <row r="11721" spans="2:8" x14ac:dyDescent="0.2">
      <c r="B11721" s="3">
        <v>45551</v>
      </c>
      <c r="F11721" s="1">
        <v>17000</v>
      </c>
      <c r="G11721" s="2">
        <f t="shared" si="183"/>
        <v>-17000</v>
      </c>
      <c r="H11721" t="s">
        <v>9</v>
      </c>
    </row>
    <row r="11722" spans="2:8" x14ac:dyDescent="0.2">
      <c r="B11722" s="3">
        <v>45551</v>
      </c>
      <c r="G11722" s="2">
        <f t="shared" si="183"/>
        <v>0</v>
      </c>
      <c r="H11722" t="s">
        <v>8</v>
      </c>
    </row>
    <row r="11723" spans="2:8" x14ac:dyDescent="0.2">
      <c r="B11723" s="3">
        <v>45551</v>
      </c>
      <c r="G11723" s="2">
        <f t="shared" si="183"/>
        <v>0</v>
      </c>
      <c r="H11723" t="s">
        <v>5</v>
      </c>
    </row>
    <row r="11724" spans="2:8" x14ac:dyDescent="0.2">
      <c r="B11724" s="3">
        <v>45551</v>
      </c>
      <c r="G11724" s="2">
        <f t="shared" si="183"/>
        <v>0</v>
      </c>
      <c r="H11724" s="1"/>
    </row>
    <row r="11725" spans="2:8" x14ac:dyDescent="0.2">
      <c r="B11725" s="3">
        <v>45551</v>
      </c>
      <c r="G11725" s="2">
        <f t="shared" si="183"/>
        <v>0</v>
      </c>
      <c r="H11725" t="s">
        <v>0</v>
      </c>
    </row>
    <row r="11726" spans="2:8" x14ac:dyDescent="0.2">
      <c r="B11726" s="3">
        <v>45552</v>
      </c>
      <c r="G11726" s="2">
        <f t="shared" si="183"/>
        <v>0</v>
      </c>
      <c r="H11726" t="s">
        <v>14</v>
      </c>
    </row>
    <row r="11727" spans="2:8" x14ac:dyDescent="0.2">
      <c r="B11727" s="3">
        <v>45552</v>
      </c>
      <c r="D11727" s="28"/>
      <c r="G11727" s="2">
        <f t="shared" si="183"/>
        <v>0</v>
      </c>
      <c r="H11727" t="s">
        <v>13</v>
      </c>
    </row>
    <row r="11728" spans="2:8" x14ac:dyDescent="0.2">
      <c r="B11728" s="3">
        <v>45552</v>
      </c>
      <c r="D11728" s="28"/>
      <c r="G11728" s="2">
        <f t="shared" si="183"/>
        <v>0</v>
      </c>
      <c r="H11728" t="s">
        <v>26</v>
      </c>
    </row>
    <row r="11729" spans="2:8" x14ac:dyDescent="0.2">
      <c r="B11729" s="3">
        <v>45552</v>
      </c>
      <c r="G11729" s="2">
        <f t="shared" si="183"/>
        <v>0</v>
      </c>
      <c r="H11729" t="s">
        <v>25</v>
      </c>
    </row>
    <row r="11730" spans="2:8" x14ac:dyDescent="0.2">
      <c r="B11730" s="3">
        <v>45552</v>
      </c>
      <c r="G11730" s="2">
        <f t="shared" si="183"/>
        <v>0</v>
      </c>
      <c r="H11730" t="s">
        <v>9</v>
      </c>
    </row>
    <row r="11731" spans="2:8" x14ac:dyDescent="0.2">
      <c r="B11731" s="3">
        <v>45552</v>
      </c>
      <c r="G11731" s="2">
        <f t="shared" si="183"/>
        <v>0</v>
      </c>
      <c r="H11731" t="s">
        <v>8</v>
      </c>
    </row>
    <row r="11732" spans="2:8" x14ac:dyDescent="0.2">
      <c r="B11732" s="3">
        <v>45552</v>
      </c>
      <c r="G11732" s="2">
        <f t="shared" si="183"/>
        <v>0</v>
      </c>
      <c r="H11732" t="s">
        <v>5</v>
      </c>
    </row>
    <row r="11733" spans="2:8" x14ac:dyDescent="0.2">
      <c r="B11733" s="3">
        <v>45552</v>
      </c>
      <c r="G11733" s="2">
        <f t="shared" si="183"/>
        <v>0</v>
      </c>
      <c r="H11733" s="1"/>
    </row>
    <row r="11734" spans="2:8" x14ac:dyDescent="0.2">
      <c r="B11734" s="3">
        <v>45552</v>
      </c>
      <c r="G11734" s="2">
        <f t="shared" si="183"/>
        <v>0</v>
      </c>
      <c r="H11734" t="s">
        <v>0</v>
      </c>
    </row>
    <row r="11735" spans="2:8" x14ac:dyDescent="0.2">
      <c r="B11735" s="3">
        <v>45553</v>
      </c>
      <c r="F11735" s="1">
        <v>15000</v>
      </c>
      <c r="G11735" s="2">
        <f t="shared" si="183"/>
        <v>-15000</v>
      </c>
      <c r="H11735" t="s">
        <v>14</v>
      </c>
    </row>
    <row r="11736" spans="2:8" x14ac:dyDescent="0.2">
      <c r="B11736" s="3">
        <v>45553</v>
      </c>
      <c r="D11736" s="28"/>
      <c r="F11736" s="32"/>
      <c r="G11736" s="2">
        <f t="shared" si="183"/>
        <v>0</v>
      </c>
      <c r="H11736" t="s">
        <v>13</v>
      </c>
    </row>
    <row r="11737" spans="2:8" x14ac:dyDescent="0.2">
      <c r="B11737" s="3">
        <v>45553</v>
      </c>
      <c r="D11737" s="28"/>
      <c r="G11737" s="2">
        <f t="shared" si="183"/>
        <v>0</v>
      </c>
      <c r="H11737" t="s">
        <v>26</v>
      </c>
    </row>
    <row r="11738" spans="2:8" x14ac:dyDescent="0.2">
      <c r="B11738" s="3">
        <v>45553</v>
      </c>
      <c r="G11738" s="2">
        <f t="shared" si="183"/>
        <v>0</v>
      </c>
      <c r="H11738" t="s">
        <v>25</v>
      </c>
    </row>
    <row r="11739" spans="2:8" x14ac:dyDescent="0.2">
      <c r="B11739" s="3">
        <v>45553</v>
      </c>
      <c r="G11739" s="2">
        <f t="shared" si="183"/>
        <v>0</v>
      </c>
      <c r="H11739" t="s">
        <v>9</v>
      </c>
    </row>
    <row r="11740" spans="2:8" x14ac:dyDescent="0.2">
      <c r="B11740" s="3">
        <v>45553</v>
      </c>
      <c r="G11740" s="2">
        <f t="shared" si="183"/>
        <v>0</v>
      </c>
      <c r="H11740" t="s">
        <v>8</v>
      </c>
    </row>
    <row r="11741" spans="2:8" x14ac:dyDescent="0.2">
      <c r="B11741" s="3">
        <v>45553</v>
      </c>
      <c r="G11741" s="2">
        <f t="shared" si="183"/>
        <v>0</v>
      </c>
      <c r="H11741" t="s">
        <v>5</v>
      </c>
    </row>
    <row r="11742" spans="2:8" x14ac:dyDescent="0.2">
      <c r="B11742" s="3">
        <v>45553</v>
      </c>
      <c r="G11742" s="2">
        <f t="shared" si="183"/>
        <v>0</v>
      </c>
      <c r="H11742" s="1"/>
    </row>
    <row r="11743" spans="2:8" x14ac:dyDescent="0.2">
      <c r="B11743" s="3">
        <v>45553</v>
      </c>
      <c r="D11743" s="1">
        <v>47311.29</v>
      </c>
      <c r="E11743" s="1">
        <v>48853.789999999994</v>
      </c>
      <c r="G11743" s="2">
        <f t="shared" si="183"/>
        <v>48853.789999999994</v>
      </c>
      <c r="H11743" t="s">
        <v>0</v>
      </c>
    </row>
    <row r="11744" spans="2:8" x14ac:dyDescent="0.2">
      <c r="B11744" s="3">
        <v>45554</v>
      </c>
      <c r="G11744" s="2">
        <f t="shared" si="183"/>
        <v>0</v>
      </c>
      <c r="H11744" t="s">
        <v>14</v>
      </c>
    </row>
    <row r="11745" spans="2:8" x14ac:dyDescent="0.2">
      <c r="B11745" s="3">
        <v>45554</v>
      </c>
      <c r="D11745" s="28"/>
      <c r="G11745" s="2">
        <f t="shared" si="183"/>
        <v>0</v>
      </c>
      <c r="H11745" t="s">
        <v>13</v>
      </c>
    </row>
    <row r="11746" spans="2:8" x14ac:dyDescent="0.2">
      <c r="B11746" s="3">
        <v>45554</v>
      </c>
      <c r="D11746" s="28"/>
      <c r="G11746" s="2">
        <f t="shared" si="183"/>
        <v>0</v>
      </c>
      <c r="H11746" t="s">
        <v>26</v>
      </c>
    </row>
    <row r="11747" spans="2:8" x14ac:dyDescent="0.2">
      <c r="B11747" s="3">
        <v>45554</v>
      </c>
      <c r="G11747" s="2">
        <f t="shared" si="183"/>
        <v>0</v>
      </c>
      <c r="H11747" t="s">
        <v>25</v>
      </c>
    </row>
    <row r="11748" spans="2:8" x14ac:dyDescent="0.2">
      <c r="B11748" s="3">
        <v>45554</v>
      </c>
      <c r="G11748" s="2">
        <f t="shared" si="183"/>
        <v>0</v>
      </c>
      <c r="H11748" t="s">
        <v>9</v>
      </c>
    </row>
    <row r="11749" spans="2:8" x14ac:dyDescent="0.2">
      <c r="B11749" s="3">
        <v>45554</v>
      </c>
      <c r="G11749" s="2">
        <f t="shared" si="183"/>
        <v>0</v>
      </c>
      <c r="H11749" t="s">
        <v>8</v>
      </c>
    </row>
    <row r="11750" spans="2:8" x14ac:dyDescent="0.2">
      <c r="B11750" s="3">
        <v>45554</v>
      </c>
      <c r="G11750" s="2">
        <f t="shared" si="183"/>
        <v>0</v>
      </c>
      <c r="H11750" t="s">
        <v>5</v>
      </c>
    </row>
    <row r="11751" spans="2:8" x14ac:dyDescent="0.2">
      <c r="B11751" s="3">
        <v>45554</v>
      </c>
      <c r="G11751" s="2">
        <f t="shared" si="183"/>
        <v>0</v>
      </c>
      <c r="H11751" s="1"/>
    </row>
    <row r="11752" spans="2:8" x14ac:dyDescent="0.2">
      <c r="B11752" s="3">
        <v>45554</v>
      </c>
      <c r="G11752" s="2">
        <f t="shared" si="183"/>
        <v>0</v>
      </c>
      <c r="H11752" t="s">
        <v>0</v>
      </c>
    </row>
    <row r="11753" spans="2:8" x14ac:dyDescent="0.2">
      <c r="B11753" s="3">
        <v>45555</v>
      </c>
      <c r="G11753" s="2">
        <f t="shared" si="183"/>
        <v>0</v>
      </c>
      <c r="H11753" t="s">
        <v>14</v>
      </c>
    </row>
    <row r="11754" spans="2:8" x14ac:dyDescent="0.2">
      <c r="B11754" s="3">
        <v>45555</v>
      </c>
      <c r="D11754" s="28"/>
      <c r="G11754" s="2">
        <f t="shared" si="183"/>
        <v>0</v>
      </c>
      <c r="H11754" t="s">
        <v>13</v>
      </c>
    </row>
    <row r="11755" spans="2:8" x14ac:dyDescent="0.2">
      <c r="B11755" s="3">
        <v>45555</v>
      </c>
      <c r="D11755" s="28"/>
      <c r="G11755" s="2">
        <f t="shared" si="183"/>
        <v>0</v>
      </c>
      <c r="H11755" t="s">
        <v>26</v>
      </c>
    </row>
    <row r="11756" spans="2:8" x14ac:dyDescent="0.2">
      <c r="B11756" s="3">
        <v>45555</v>
      </c>
      <c r="G11756" s="2">
        <f t="shared" si="183"/>
        <v>0</v>
      </c>
      <c r="H11756" t="s">
        <v>25</v>
      </c>
    </row>
    <row r="11757" spans="2:8" x14ac:dyDescent="0.2">
      <c r="B11757" s="3">
        <v>45555</v>
      </c>
      <c r="G11757" s="2">
        <f t="shared" si="183"/>
        <v>0</v>
      </c>
      <c r="H11757" t="s">
        <v>9</v>
      </c>
    </row>
    <row r="11758" spans="2:8" x14ac:dyDescent="0.2">
      <c r="B11758" s="3">
        <v>45555</v>
      </c>
      <c r="F11758" s="1">
        <v>30000</v>
      </c>
      <c r="G11758" s="2">
        <f t="shared" si="183"/>
        <v>-30000</v>
      </c>
      <c r="H11758" t="s">
        <v>8</v>
      </c>
    </row>
    <row r="11759" spans="2:8" x14ac:dyDescent="0.2">
      <c r="B11759" s="3">
        <v>45555</v>
      </c>
      <c r="G11759" s="2">
        <f t="shared" si="183"/>
        <v>0</v>
      </c>
      <c r="H11759" t="s">
        <v>5</v>
      </c>
    </row>
    <row r="11760" spans="2:8" x14ac:dyDescent="0.2">
      <c r="B11760" s="3">
        <v>45555</v>
      </c>
      <c r="G11760" s="2">
        <f t="shared" si="183"/>
        <v>0</v>
      </c>
      <c r="H11760" s="1"/>
    </row>
    <row r="11761" spans="2:8" x14ac:dyDescent="0.2">
      <c r="B11761" s="3">
        <v>45555</v>
      </c>
      <c r="F11761" s="1">
        <v>48850</v>
      </c>
      <c r="G11761" s="2">
        <f t="shared" si="183"/>
        <v>-48850</v>
      </c>
      <c r="H11761" t="s">
        <v>0</v>
      </c>
    </row>
    <row r="11762" spans="2:8" x14ac:dyDescent="0.2">
      <c r="B11762" s="3">
        <v>45556</v>
      </c>
      <c r="G11762" s="2">
        <f t="shared" si="183"/>
        <v>0</v>
      </c>
      <c r="H11762" t="s">
        <v>14</v>
      </c>
    </row>
    <row r="11763" spans="2:8" x14ac:dyDescent="0.2">
      <c r="B11763" s="3">
        <v>45556</v>
      </c>
      <c r="D11763" s="28"/>
      <c r="G11763" s="2">
        <f t="shared" si="183"/>
        <v>0</v>
      </c>
      <c r="H11763" t="s">
        <v>13</v>
      </c>
    </row>
    <row r="11764" spans="2:8" x14ac:dyDescent="0.2">
      <c r="B11764" s="3">
        <v>45556</v>
      </c>
      <c r="D11764" s="28"/>
      <c r="G11764" s="2">
        <f t="shared" si="183"/>
        <v>0</v>
      </c>
      <c r="H11764" t="s">
        <v>26</v>
      </c>
    </row>
    <row r="11765" spans="2:8" x14ac:dyDescent="0.2">
      <c r="B11765" s="3">
        <v>45556</v>
      </c>
      <c r="G11765" s="2">
        <f t="shared" si="183"/>
        <v>0</v>
      </c>
      <c r="H11765" t="s">
        <v>25</v>
      </c>
    </row>
    <row r="11766" spans="2:8" x14ac:dyDescent="0.2">
      <c r="B11766" s="3">
        <v>45556</v>
      </c>
      <c r="G11766" s="2">
        <f t="shared" si="183"/>
        <v>0</v>
      </c>
      <c r="H11766" t="s">
        <v>9</v>
      </c>
    </row>
    <row r="11767" spans="2:8" x14ac:dyDescent="0.2">
      <c r="B11767" s="3">
        <v>45556</v>
      </c>
      <c r="G11767" s="2">
        <f t="shared" si="183"/>
        <v>0</v>
      </c>
      <c r="H11767" t="s">
        <v>8</v>
      </c>
    </row>
    <row r="11768" spans="2:8" x14ac:dyDescent="0.2">
      <c r="B11768" s="3">
        <v>45556</v>
      </c>
      <c r="G11768" s="2">
        <f t="shared" si="183"/>
        <v>0</v>
      </c>
      <c r="H11768" t="s">
        <v>5</v>
      </c>
    </row>
    <row r="11769" spans="2:8" x14ac:dyDescent="0.2">
      <c r="B11769" s="3">
        <v>45556</v>
      </c>
      <c r="G11769" s="2">
        <f t="shared" si="183"/>
        <v>0</v>
      </c>
      <c r="H11769" s="1"/>
    </row>
    <row r="11770" spans="2:8" x14ac:dyDescent="0.2">
      <c r="B11770" s="3">
        <v>45556</v>
      </c>
      <c r="G11770" s="2">
        <f t="shared" si="183"/>
        <v>0</v>
      </c>
      <c r="H11770" t="s">
        <v>0</v>
      </c>
    </row>
    <row r="11771" spans="2:8" x14ac:dyDescent="0.2">
      <c r="B11771" s="3">
        <v>45557</v>
      </c>
      <c r="G11771" s="2">
        <f t="shared" si="183"/>
        <v>0</v>
      </c>
      <c r="H11771" t="s">
        <v>14</v>
      </c>
    </row>
    <row r="11772" spans="2:8" x14ac:dyDescent="0.2">
      <c r="B11772" s="3">
        <v>45557</v>
      </c>
      <c r="D11772" s="28"/>
      <c r="G11772" s="2">
        <f t="shared" si="183"/>
        <v>0</v>
      </c>
      <c r="H11772" t="s">
        <v>13</v>
      </c>
    </row>
    <row r="11773" spans="2:8" x14ac:dyDescent="0.2">
      <c r="B11773" s="3">
        <v>45557</v>
      </c>
      <c r="D11773" s="28"/>
      <c r="G11773" s="2">
        <f t="shared" si="183"/>
        <v>0</v>
      </c>
      <c r="H11773" t="s">
        <v>26</v>
      </c>
    </row>
    <row r="11774" spans="2:8" x14ac:dyDescent="0.2">
      <c r="B11774" s="3">
        <v>45557</v>
      </c>
      <c r="G11774" s="2">
        <f t="shared" si="183"/>
        <v>0</v>
      </c>
      <c r="H11774" t="s">
        <v>25</v>
      </c>
    </row>
    <row r="11775" spans="2:8" x14ac:dyDescent="0.2">
      <c r="B11775" s="3">
        <v>45557</v>
      </c>
      <c r="G11775" s="2">
        <f t="shared" si="183"/>
        <v>0</v>
      </c>
      <c r="H11775" t="s">
        <v>9</v>
      </c>
    </row>
    <row r="11776" spans="2:8" x14ac:dyDescent="0.2">
      <c r="B11776" s="3">
        <v>45557</v>
      </c>
      <c r="G11776" s="2">
        <f t="shared" si="183"/>
        <v>0</v>
      </c>
      <c r="H11776" t="s">
        <v>8</v>
      </c>
    </row>
    <row r="11777" spans="2:8" x14ac:dyDescent="0.2">
      <c r="B11777" s="3">
        <v>45557</v>
      </c>
      <c r="G11777" s="2">
        <f t="shared" si="183"/>
        <v>0</v>
      </c>
      <c r="H11777" t="s">
        <v>5</v>
      </c>
    </row>
    <row r="11778" spans="2:8" x14ac:dyDescent="0.2">
      <c r="B11778" s="3">
        <v>45557</v>
      </c>
      <c r="G11778" s="2">
        <f t="shared" si="183"/>
        <v>0</v>
      </c>
      <c r="H11778" s="1"/>
    </row>
    <row r="11779" spans="2:8" x14ac:dyDescent="0.2">
      <c r="B11779" s="3">
        <v>45557</v>
      </c>
      <c r="G11779" s="2">
        <f t="shared" ref="G11779:G11842" si="184">E11779-F11779</f>
        <v>0</v>
      </c>
      <c r="H11779" t="s">
        <v>0</v>
      </c>
    </row>
    <row r="11780" spans="2:8" x14ac:dyDescent="0.2">
      <c r="B11780" s="3">
        <v>45558</v>
      </c>
      <c r="G11780" s="2">
        <f t="shared" si="184"/>
        <v>0</v>
      </c>
      <c r="H11780" t="s">
        <v>14</v>
      </c>
    </row>
    <row r="11781" spans="2:8" x14ac:dyDescent="0.2">
      <c r="B11781" s="3">
        <v>45558</v>
      </c>
      <c r="D11781" s="28"/>
      <c r="G11781" s="2">
        <f t="shared" si="184"/>
        <v>0</v>
      </c>
      <c r="H11781" t="s">
        <v>13</v>
      </c>
    </row>
    <row r="11782" spans="2:8" x14ac:dyDescent="0.2">
      <c r="B11782" s="3">
        <v>45558</v>
      </c>
      <c r="D11782" s="28"/>
      <c r="G11782" s="2">
        <f t="shared" si="184"/>
        <v>0</v>
      </c>
      <c r="H11782" t="s">
        <v>26</v>
      </c>
    </row>
    <row r="11783" spans="2:8" x14ac:dyDescent="0.2">
      <c r="B11783" s="3">
        <v>45558</v>
      </c>
      <c r="G11783" s="2">
        <f t="shared" si="184"/>
        <v>0</v>
      </c>
      <c r="H11783" t="s">
        <v>25</v>
      </c>
    </row>
    <row r="11784" spans="2:8" x14ac:dyDescent="0.2">
      <c r="B11784" s="3">
        <v>45558</v>
      </c>
      <c r="G11784" s="2">
        <f t="shared" si="184"/>
        <v>0</v>
      </c>
      <c r="H11784" t="s">
        <v>9</v>
      </c>
    </row>
    <row r="11785" spans="2:8" x14ac:dyDescent="0.2">
      <c r="B11785" s="3">
        <v>45558</v>
      </c>
      <c r="G11785" s="2">
        <f t="shared" si="184"/>
        <v>0</v>
      </c>
      <c r="H11785" t="s">
        <v>8</v>
      </c>
    </row>
    <row r="11786" spans="2:8" x14ac:dyDescent="0.2">
      <c r="B11786" s="3">
        <v>45558</v>
      </c>
      <c r="G11786" s="2">
        <f t="shared" si="184"/>
        <v>0</v>
      </c>
      <c r="H11786" t="s">
        <v>5</v>
      </c>
    </row>
    <row r="11787" spans="2:8" x14ac:dyDescent="0.2">
      <c r="B11787" s="3">
        <v>45558</v>
      </c>
      <c r="G11787" s="2">
        <f t="shared" si="184"/>
        <v>0</v>
      </c>
      <c r="H11787" s="1"/>
    </row>
    <row r="11788" spans="2:8" x14ac:dyDescent="0.2">
      <c r="B11788" s="3">
        <v>45558</v>
      </c>
      <c r="G11788" s="2">
        <f t="shared" si="184"/>
        <v>0</v>
      </c>
      <c r="H11788" t="s">
        <v>0</v>
      </c>
    </row>
    <row r="11789" spans="2:8" x14ac:dyDescent="0.2">
      <c r="B11789" s="3">
        <v>45559</v>
      </c>
      <c r="G11789" s="2">
        <f t="shared" si="184"/>
        <v>0</v>
      </c>
      <c r="H11789" t="s">
        <v>14</v>
      </c>
    </row>
    <row r="11790" spans="2:8" x14ac:dyDescent="0.2">
      <c r="B11790" s="3">
        <v>45559</v>
      </c>
      <c r="D11790" s="28"/>
      <c r="G11790" s="2">
        <f t="shared" si="184"/>
        <v>0</v>
      </c>
      <c r="H11790" t="s">
        <v>13</v>
      </c>
    </row>
    <row r="11791" spans="2:8" x14ac:dyDescent="0.2">
      <c r="B11791" s="3">
        <v>45559</v>
      </c>
      <c r="D11791" s="28"/>
      <c r="G11791" s="2">
        <f t="shared" si="184"/>
        <v>0</v>
      </c>
      <c r="H11791" t="s">
        <v>26</v>
      </c>
    </row>
    <row r="11792" spans="2:8" x14ac:dyDescent="0.2">
      <c r="B11792" s="3">
        <v>45559</v>
      </c>
      <c r="G11792" s="2">
        <f t="shared" si="184"/>
        <v>0</v>
      </c>
      <c r="H11792" t="s">
        <v>25</v>
      </c>
    </row>
    <row r="11793" spans="2:8" x14ac:dyDescent="0.2">
      <c r="B11793" s="3">
        <v>45559</v>
      </c>
      <c r="G11793" s="2">
        <f t="shared" si="184"/>
        <v>0</v>
      </c>
      <c r="H11793" t="s">
        <v>9</v>
      </c>
    </row>
    <row r="11794" spans="2:8" x14ac:dyDescent="0.2">
      <c r="B11794" s="3">
        <v>45559</v>
      </c>
      <c r="G11794" s="2">
        <f t="shared" si="184"/>
        <v>0</v>
      </c>
      <c r="H11794" t="s">
        <v>8</v>
      </c>
    </row>
    <row r="11795" spans="2:8" x14ac:dyDescent="0.2">
      <c r="B11795" s="3">
        <v>45559</v>
      </c>
      <c r="G11795" s="2">
        <f t="shared" si="184"/>
        <v>0</v>
      </c>
      <c r="H11795" t="s">
        <v>5</v>
      </c>
    </row>
    <row r="11796" spans="2:8" x14ac:dyDescent="0.2">
      <c r="B11796" s="3">
        <v>45559</v>
      </c>
      <c r="G11796" s="2">
        <f t="shared" si="184"/>
        <v>0</v>
      </c>
      <c r="H11796" s="1"/>
    </row>
    <row r="11797" spans="2:8" x14ac:dyDescent="0.2">
      <c r="B11797" s="3">
        <v>45559</v>
      </c>
      <c r="G11797" s="2">
        <f t="shared" si="184"/>
        <v>0</v>
      </c>
      <c r="H11797" t="s">
        <v>0</v>
      </c>
    </row>
    <row r="11798" spans="2:8" x14ac:dyDescent="0.2">
      <c r="B11798" s="3">
        <v>45560</v>
      </c>
      <c r="G11798" s="2">
        <f t="shared" si="184"/>
        <v>0</v>
      </c>
      <c r="H11798" t="s">
        <v>14</v>
      </c>
    </row>
    <row r="11799" spans="2:8" x14ac:dyDescent="0.2">
      <c r="B11799" s="3">
        <v>45560</v>
      </c>
      <c r="D11799" s="28"/>
      <c r="G11799" s="2">
        <f t="shared" si="184"/>
        <v>0</v>
      </c>
      <c r="H11799" t="s">
        <v>13</v>
      </c>
    </row>
    <row r="11800" spans="2:8" x14ac:dyDescent="0.2">
      <c r="B11800" s="3">
        <v>45560</v>
      </c>
      <c r="D11800" s="28"/>
      <c r="G11800" s="2">
        <f t="shared" si="184"/>
        <v>0</v>
      </c>
      <c r="H11800" t="s">
        <v>26</v>
      </c>
    </row>
    <row r="11801" spans="2:8" x14ac:dyDescent="0.2">
      <c r="B11801" s="3">
        <v>45560</v>
      </c>
      <c r="G11801" s="2">
        <f t="shared" si="184"/>
        <v>0</v>
      </c>
      <c r="H11801" t="s">
        <v>25</v>
      </c>
    </row>
    <row r="11802" spans="2:8" x14ac:dyDescent="0.2">
      <c r="B11802" s="3">
        <v>45560</v>
      </c>
      <c r="G11802" s="2">
        <f t="shared" si="184"/>
        <v>0</v>
      </c>
      <c r="H11802" t="s">
        <v>9</v>
      </c>
    </row>
    <row r="11803" spans="2:8" x14ac:dyDescent="0.2">
      <c r="B11803" s="3">
        <v>45560</v>
      </c>
      <c r="G11803" s="2">
        <f t="shared" si="184"/>
        <v>0</v>
      </c>
      <c r="H11803" t="s">
        <v>8</v>
      </c>
    </row>
    <row r="11804" spans="2:8" x14ac:dyDescent="0.2">
      <c r="B11804" s="3">
        <v>45560</v>
      </c>
      <c r="G11804" s="2">
        <f t="shared" si="184"/>
        <v>0</v>
      </c>
      <c r="H11804" t="s">
        <v>5</v>
      </c>
    </row>
    <row r="11805" spans="2:8" x14ac:dyDescent="0.2">
      <c r="B11805" s="3">
        <v>45560</v>
      </c>
      <c r="G11805" s="2">
        <f t="shared" si="184"/>
        <v>0</v>
      </c>
      <c r="H11805" s="1"/>
    </row>
    <row r="11806" spans="2:8" x14ac:dyDescent="0.2">
      <c r="B11806" s="3">
        <v>45560</v>
      </c>
      <c r="G11806" s="2">
        <f t="shared" si="184"/>
        <v>0</v>
      </c>
      <c r="H11806" t="s">
        <v>0</v>
      </c>
    </row>
    <row r="11807" spans="2:8" x14ac:dyDescent="0.2">
      <c r="B11807" s="3">
        <v>45561</v>
      </c>
      <c r="G11807" s="2">
        <f t="shared" si="184"/>
        <v>0</v>
      </c>
      <c r="H11807" t="s">
        <v>14</v>
      </c>
    </row>
    <row r="11808" spans="2:8" x14ac:dyDescent="0.2">
      <c r="B11808" s="3">
        <v>45561</v>
      </c>
      <c r="D11808" s="28"/>
      <c r="G11808" s="2">
        <f t="shared" si="184"/>
        <v>0</v>
      </c>
      <c r="H11808" t="s">
        <v>13</v>
      </c>
    </row>
    <row r="11809" spans="2:8" x14ac:dyDescent="0.2">
      <c r="B11809" s="3">
        <v>45561</v>
      </c>
      <c r="D11809" s="28"/>
      <c r="G11809" s="2">
        <f t="shared" si="184"/>
        <v>0</v>
      </c>
      <c r="H11809" t="s">
        <v>26</v>
      </c>
    </row>
    <row r="11810" spans="2:8" x14ac:dyDescent="0.2">
      <c r="B11810" s="3">
        <v>45561</v>
      </c>
      <c r="G11810" s="2">
        <f t="shared" si="184"/>
        <v>0</v>
      </c>
      <c r="H11810" t="s">
        <v>25</v>
      </c>
    </row>
    <row r="11811" spans="2:8" x14ac:dyDescent="0.2">
      <c r="B11811" s="3">
        <v>45561</v>
      </c>
      <c r="G11811" s="2">
        <f t="shared" si="184"/>
        <v>0</v>
      </c>
      <c r="H11811" t="s">
        <v>9</v>
      </c>
    </row>
    <row r="11812" spans="2:8" x14ac:dyDescent="0.2">
      <c r="B11812" s="3">
        <v>45561</v>
      </c>
      <c r="G11812" s="2">
        <f t="shared" si="184"/>
        <v>0</v>
      </c>
      <c r="H11812" t="s">
        <v>8</v>
      </c>
    </row>
    <row r="11813" spans="2:8" x14ac:dyDescent="0.2">
      <c r="B11813" s="3">
        <v>45561</v>
      </c>
      <c r="G11813" s="2">
        <f t="shared" si="184"/>
        <v>0</v>
      </c>
      <c r="H11813" t="s">
        <v>5</v>
      </c>
    </row>
    <row r="11814" spans="2:8" x14ac:dyDescent="0.2">
      <c r="B11814" s="3">
        <v>45561</v>
      </c>
      <c r="G11814" s="2">
        <f t="shared" si="184"/>
        <v>0</v>
      </c>
      <c r="H11814" s="1"/>
    </row>
    <row r="11815" spans="2:8" x14ac:dyDescent="0.2">
      <c r="B11815" s="3">
        <v>45561</v>
      </c>
      <c r="G11815" s="2">
        <f t="shared" si="184"/>
        <v>0</v>
      </c>
      <c r="H11815" t="s">
        <v>0</v>
      </c>
    </row>
    <row r="11816" spans="2:8" x14ac:dyDescent="0.2">
      <c r="B11816" s="3">
        <v>45562</v>
      </c>
      <c r="G11816" s="2">
        <f t="shared" si="184"/>
        <v>0</v>
      </c>
      <c r="H11816" t="s">
        <v>14</v>
      </c>
    </row>
    <row r="11817" spans="2:8" x14ac:dyDescent="0.2">
      <c r="B11817" s="3">
        <v>45562</v>
      </c>
      <c r="D11817" s="28"/>
      <c r="G11817" s="2">
        <f t="shared" si="184"/>
        <v>0</v>
      </c>
      <c r="H11817" t="s">
        <v>13</v>
      </c>
    </row>
    <row r="11818" spans="2:8" x14ac:dyDescent="0.2">
      <c r="B11818" s="3">
        <v>45562</v>
      </c>
      <c r="D11818" s="28"/>
      <c r="G11818" s="2">
        <f t="shared" si="184"/>
        <v>0</v>
      </c>
      <c r="H11818" t="s">
        <v>26</v>
      </c>
    </row>
    <row r="11819" spans="2:8" x14ac:dyDescent="0.2">
      <c r="B11819" s="3">
        <v>45562</v>
      </c>
      <c r="G11819" s="2">
        <f t="shared" si="184"/>
        <v>0</v>
      </c>
      <c r="H11819" t="s">
        <v>25</v>
      </c>
    </row>
    <row r="11820" spans="2:8" x14ac:dyDescent="0.2">
      <c r="B11820" s="3">
        <v>45562</v>
      </c>
      <c r="G11820" s="2">
        <f t="shared" si="184"/>
        <v>0</v>
      </c>
      <c r="H11820" t="s">
        <v>9</v>
      </c>
    </row>
    <row r="11821" spans="2:8" x14ac:dyDescent="0.2">
      <c r="B11821" s="3">
        <v>45562</v>
      </c>
      <c r="G11821" s="2">
        <f t="shared" si="184"/>
        <v>0</v>
      </c>
      <c r="H11821" t="s">
        <v>8</v>
      </c>
    </row>
    <row r="11822" spans="2:8" x14ac:dyDescent="0.2">
      <c r="B11822" s="3">
        <v>45562</v>
      </c>
      <c r="G11822" s="2">
        <f t="shared" si="184"/>
        <v>0</v>
      </c>
      <c r="H11822" t="s">
        <v>5</v>
      </c>
    </row>
    <row r="11823" spans="2:8" x14ac:dyDescent="0.2">
      <c r="B11823" s="3">
        <v>45562</v>
      </c>
      <c r="G11823" s="2">
        <f t="shared" si="184"/>
        <v>0</v>
      </c>
      <c r="H11823" s="1"/>
    </row>
    <row r="11824" spans="2:8" x14ac:dyDescent="0.2">
      <c r="B11824" s="3">
        <v>45562</v>
      </c>
      <c r="G11824" s="2">
        <f t="shared" si="184"/>
        <v>0</v>
      </c>
      <c r="H11824" t="s">
        <v>0</v>
      </c>
    </row>
    <row r="11825" spans="2:8" x14ac:dyDescent="0.2">
      <c r="B11825" s="3">
        <v>45563</v>
      </c>
      <c r="G11825" s="2">
        <f t="shared" si="184"/>
        <v>0</v>
      </c>
      <c r="H11825" t="s">
        <v>14</v>
      </c>
    </row>
    <row r="11826" spans="2:8" x14ac:dyDescent="0.2">
      <c r="B11826" s="3">
        <v>45563</v>
      </c>
      <c r="D11826" s="28">
        <f>2250+5920+12420+17955+460+300+2380+705+1150+340+294.96+233+233+1380+3720</f>
        <v>49740.959999999999</v>
      </c>
      <c r="E11826" s="1">
        <v>53094</v>
      </c>
      <c r="F11826" s="1">
        <v>30000</v>
      </c>
      <c r="G11826" s="2">
        <f t="shared" si="184"/>
        <v>23094</v>
      </c>
      <c r="H11826" t="s">
        <v>13</v>
      </c>
    </row>
    <row r="11827" spans="2:8" x14ac:dyDescent="0.2">
      <c r="B11827" s="3">
        <v>45563</v>
      </c>
      <c r="D11827" s="28"/>
      <c r="G11827" s="2">
        <f t="shared" si="184"/>
        <v>0</v>
      </c>
      <c r="H11827" t="s">
        <v>26</v>
      </c>
    </row>
    <row r="11828" spans="2:8" x14ac:dyDescent="0.2">
      <c r="B11828" s="3">
        <v>45563</v>
      </c>
      <c r="G11828" s="2">
        <f t="shared" si="184"/>
        <v>0</v>
      </c>
      <c r="H11828" t="s">
        <v>25</v>
      </c>
    </row>
    <row r="11829" spans="2:8" x14ac:dyDescent="0.2">
      <c r="B11829" s="3">
        <v>45563</v>
      </c>
      <c r="G11829" s="2">
        <f t="shared" si="184"/>
        <v>0</v>
      </c>
      <c r="H11829" t="s">
        <v>9</v>
      </c>
    </row>
    <row r="11830" spans="2:8" x14ac:dyDescent="0.2">
      <c r="B11830" s="3">
        <v>45563</v>
      </c>
      <c r="G11830" s="2">
        <f t="shared" si="184"/>
        <v>0</v>
      </c>
      <c r="H11830" t="s">
        <v>8</v>
      </c>
    </row>
    <row r="11831" spans="2:8" x14ac:dyDescent="0.2">
      <c r="B11831" s="3">
        <v>45563</v>
      </c>
      <c r="G11831" s="2">
        <f t="shared" si="184"/>
        <v>0</v>
      </c>
      <c r="H11831" t="s">
        <v>5</v>
      </c>
    </row>
    <row r="11832" spans="2:8" x14ac:dyDescent="0.2">
      <c r="B11832" s="3">
        <v>45563</v>
      </c>
      <c r="D11832" s="1">
        <v>1740</v>
      </c>
      <c r="E11832" s="1">
        <v>1933</v>
      </c>
      <c r="G11832" s="2">
        <f t="shared" si="184"/>
        <v>1933</v>
      </c>
      <c r="H11832" s="1" t="s">
        <v>80</v>
      </c>
    </row>
    <row r="11833" spans="2:8" x14ac:dyDescent="0.2">
      <c r="B11833" s="3">
        <v>45563</v>
      </c>
      <c r="D11833" s="1">
        <v>71197.06</v>
      </c>
      <c r="E11833" s="1">
        <v>74607.86</v>
      </c>
      <c r="G11833" s="2">
        <f t="shared" si="184"/>
        <v>74607.86</v>
      </c>
      <c r="H11833" t="s">
        <v>0</v>
      </c>
    </row>
    <row r="11834" spans="2:8" x14ac:dyDescent="0.2">
      <c r="B11834" s="3">
        <v>45564</v>
      </c>
      <c r="F11834" s="1">
        <v>10000</v>
      </c>
      <c r="G11834" s="2">
        <f t="shared" si="184"/>
        <v>-10000</v>
      </c>
      <c r="H11834" t="s">
        <v>14</v>
      </c>
    </row>
    <row r="11835" spans="2:8" x14ac:dyDescent="0.2">
      <c r="B11835" s="3">
        <v>45564</v>
      </c>
      <c r="D11835" s="28"/>
      <c r="G11835" s="2">
        <f t="shared" si="184"/>
        <v>0</v>
      </c>
      <c r="H11835" t="s">
        <v>13</v>
      </c>
    </row>
    <row r="11836" spans="2:8" x14ac:dyDescent="0.2">
      <c r="B11836" s="3">
        <v>45564</v>
      </c>
      <c r="D11836" s="28"/>
      <c r="G11836" s="2">
        <f t="shared" si="184"/>
        <v>0</v>
      </c>
      <c r="H11836" t="s">
        <v>26</v>
      </c>
    </row>
    <row r="11837" spans="2:8" x14ac:dyDescent="0.2">
      <c r="B11837" s="3">
        <v>45564</v>
      </c>
      <c r="G11837" s="2">
        <f t="shared" si="184"/>
        <v>0</v>
      </c>
      <c r="H11837" t="s">
        <v>25</v>
      </c>
    </row>
    <row r="11838" spans="2:8" x14ac:dyDescent="0.2">
      <c r="B11838" s="3">
        <v>45564</v>
      </c>
      <c r="G11838" s="2">
        <f t="shared" si="184"/>
        <v>0</v>
      </c>
      <c r="H11838" t="s">
        <v>9</v>
      </c>
    </row>
    <row r="11839" spans="2:8" x14ac:dyDescent="0.2">
      <c r="B11839" s="3">
        <v>45564</v>
      </c>
      <c r="G11839" s="2">
        <f t="shared" si="184"/>
        <v>0</v>
      </c>
      <c r="H11839" t="s">
        <v>8</v>
      </c>
    </row>
    <row r="11840" spans="2:8" x14ac:dyDescent="0.2">
      <c r="B11840" s="3">
        <v>45564</v>
      </c>
      <c r="G11840" s="2">
        <f t="shared" si="184"/>
        <v>0</v>
      </c>
      <c r="H11840" t="s">
        <v>5</v>
      </c>
    </row>
    <row r="11841" spans="2:8" x14ac:dyDescent="0.2">
      <c r="B11841" s="3">
        <v>45564</v>
      </c>
      <c r="G11841" s="2">
        <f t="shared" si="184"/>
        <v>0</v>
      </c>
      <c r="H11841" s="1"/>
    </row>
    <row r="11842" spans="2:8" x14ac:dyDescent="0.2">
      <c r="B11842" s="3">
        <v>45564</v>
      </c>
      <c r="G11842" s="2">
        <f t="shared" si="184"/>
        <v>0</v>
      </c>
      <c r="H11842" t="s">
        <v>0</v>
      </c>
    </row>
    <row r="11843" spans="2:8" x14ac:dyDescent="0.2">
      <c r="B11843" s="3">
        <v>45565</v>
      </c>
      <c r="G11843" s="2">
        <f t="shared" ref="G11843:G11906" si="185">E11843-F11843</f>
        <v>0</v>
      </c>
      <c r="H11843" t="s">
        <v>14</v>
      </c>
    </row>
    <row r="11844" spans="2:8" x14ac:dyDescent="0.2">
      <c r="B11844" s="3">
        <v>45565</v>
      </c>
      <c r="D11844" s="28"/>
      <c r="G11844" s="2">
        <f t="shared" si="185"/>
        <v>0</v>
      </c>
      <c r="H11844" t="s">
        <v>13</v>
      </c>
    </row>
    <row r="11845" spans="2:8" x14ac:dyDescent="0.2">
      <c r="B11845" s="3">
        <v>45565</v>
      </c>
      <c r="D11845" s="28"/>
      <c r="G11845" s="2">
        <f t="shared" si="185"/>
        <v>0</v>
      </c>
      <c r="H11845" t="s">
        <v>26</v>
      </c>
    </row>
    <row r="11846" spans="2:8" x14ac:dyDescent="0.2">
      <c r="B11846" s="3">
        <v>45565</v>
      </c>
      <c r="G11846" s="2">
        <f t="shared" si="185"/>
        <v>0</v>
      </c>
      <c r="H11846" t="s">
        <v>25</v>
      </c>
    </row>
    <row r="11847" spans="2:8" x14ac:dyDescent="0.2">
      <c r="B11847" s="3">
        <v>45565</v>
      </c>
      <c r="G11847" s="2">
        <f t="shared" si="185"/>
        <v>0</v>
      </c>
      <c r="H11847" t="s">
        <v>9</v>
      </c>
    </row>
    <row r="11848" spans="2:8" x14ac:dyDescent="0.2">
      <c r="B11848" s="3">
        <v>45565</v>
      </c>
      <c r="F11848" s="1">
        <v>30000</v>
      </c>
      <c r="G11848" s="2">
        <f t="shared" si="185"/>
        <v>-30000</v>
      </c>
      <c r="H11848" t="s">
        <v>8</v>
      </c>
    </row>
    <row r="11849" spans="2:8" x14ac:dyDescent="0.2">
      <c r="B11849" s="3">
        <v>45565</v>
      </c>
      <c r="G11849" s="2">
        <f t="shared" si="185"/>
        <v>0</v>
      </c>
      <c r="H11849" t="s">
        <v>5</v>
      </c>
    </row>
    <row r="11850" spans="2:8" x14ac:dyDescent="0.2">
      <c r="B11850" s="3">
        <v>45565</v>
      </c>
      <c r="G11850" s="2">
        <f t="shared" si="185"/>
        <v>0</v>
      </c>
      <c r="H11850" s="1"/>
    </row>
    <row r="11851" spans="2:8" x14ac:dyDescent="0.2">
      <c r="B11851" s="3">
        <v>45565</v>
      </c>
      <c r="G11851" s="2">
        <f t="shared" si="185"/>
        <v>0</v>
      </c>
      <c r="H11851" t="s">
        <v>0</v>
      </c>
    </row>
    <row r="11852" spans="2:8" x14ac:dyDescent="0.2">
      <c r="B11852" s="3">
        <v>45566</v>
      </c>
      <c r="G11852" s="2">
        <f t="shared" si="185"/>
        <v>0</v>
      </c>
      <c r="H11852" t="s">
        <v>14</v>
      </c>
    </row>
    <row r="11853" spans="2:8" x14ac:dyDescent="0.2">
      <c r="B11853" s="3">
        <v>45566</v>
      </c>
      <c r="D11853" s="28"/>
      <c r="G11853" s="2">
        <f t="shared" si="185"/>
        <v>0</v>
      </c>
      <c r="H11853" t="s">
        <v>13</v>
      </c>
    </row>
    <row r="11854" spans="2:8" x14ac:dyDescent="0.2">
      <c r="B11854" s="3">
        <v>45566</v>
      </c>
      <c r="D11854" s="28"/>
      <c r="G11854" s="2">
        <f t="shared" si="185"/>
        <v>0</v>
      </c>
      <c r="H11854" t="s">
        <v>26</v>
      </c>
    </row>
    <row r="11855" spans="2:8" x14ac:dyDescent="0.2">
      <c r="B11855" s="3">
        <v>45566</v>
      </c>
      <c r="G11855" s="2">
        <f t="shared" si="185"/>
        <v>0</v>
      </c>
      <c r="H11855" t="s">
        <v>25</v>
      </c>
    </row>
    <row r="11856" spans="2:8" x14ac:dyDescent="0.2">
      <c r="B11856" s="3">
        <v>45566</v>
      </c>
      <c r="G11856" s="2">
        <f t="shared" si="185"/>
        <v>0</v>
      </c>
      <c r="H11856" t="s">
        <v>9</v>
      </c>
    </row>
    <row r="11857" spans="2:8" x14ac:dyDescent="0.2">
      <c r="B11857" s="3">
        <v>45566</v>
      </c>
      <c r="G11857" s="2">
        <f t="shared" si="185"/>
        <v>0</v>
      </c>
      <c r="H11857" t="s">
        <v>8</v>
      </c>
    </row>
    <row r="11858" spans="2:8" x14ac:dyDescent="0.2">
      <c r="B11858" s="3">
        <v>45566</v>
      </c>
      <c r="G11858" s="2">
        <f t="shared" si="185"/>
        <v>0</v>
      </c>
      <c r="H11858" t="s">
        <v>5</v>
      </c>
    </row>
    <row r="11859" spans="2:8" x14ac:dyDescent="0.2">
      <c r="B11859" s="3">
        <v>45566</v>
      </c>
      <c r="G11859" s="2">
        <f t="shared" si="185"/>
        <v>0</v>
      </c>
      <c r="H11859" s="1"/>
    </row>
    <row r="11860" spans="2:8" x14ac:dyDescent="0.2">
      <c r="B11860" s="3">
        <v>45566</v>
      </c>
      <c r="G11860" s="2">
        <f t="shared" si="185"/>
        <v>0</v>
      </c>
      <c r="H11860" t="s">
        <v>0</v>
      </c>
    </row>
    <row r="11861" spans="2:8" x14ac:dyDescent="0.2">
      <c r="B11861" s="3">
        <v>45567</v>
      </c>
      <c r="G11861" s="2">
        <f t="shared" si="185"/>
        <v>0</v>
      </c>
      <c r="H11861" t="s">
        <v>14</v>
      </c>
    </row>
    <row r="11862" spans="2:8" x14ac:dyDescent="0.2">
      <c r="B11862" s="3">
        <v>45567</v>
      </c>
      <c r="D11862" s="28"/>
      <c r="G11862" s="2">
        <f t="shared" si="185"/>
        <v>0</v>
      </c>
      <c r="H11862" t="s">
        <v>13</v>
      </c>
    </row>
    <row r="11863" spans="2:8" x14ac:dyDescent="0.2">
      <c r="B11863" s="3">
        <v>45567</v>
      </c>
      <c r="D11863" s="28"/>
      <c r="G11863" s="2">
        <f t="shared" si="185"/>
        <v>0</v>
      </c>
      <c r="H11863" t="s">
        <v>26</v>
      </c>
    </row>
    <row r="11864" spans="2:8" x14ac:dyDescent="0.2">
      <c r="B11864" s="3">
        <v>45567</v>
      </c>
      <c r="G11864" s="2">
        <f t="shared" si="185"/>
        <v>0</v>
      </c>
      <c r="H11864" t="s">
        <v>25</v>
      </c>
    </row>
    <row r="11865" spans="2:8" x14ac:dyDescent="0.2">
      <c r="B11865" s="3">
        <v>45567</v>
      </c>
      <c r="G11865" s="2">
        <f t="shared" si="185"/>
        <v>0</v>
      </c>
      <c r="H11865" t="s">
        <v>9</v>
      </c>
    </row>
    <row r="11866" spans="2:8" x14ac:dyDescent="0.2">
      <c r="B11866" s="3">
        <v>45567</v>
      </c>
      <c r="G11866" s="2">
        <f t="shared" si="185"/>
        <v>0</v>
      </c>
      <c r="H11866" t="s">
        <v>8</v>
      </c>
    </row>
    <row r="11867" spans="2:8" x14ac:dyDescent="0.2">
      <c r="B11867" s="3">
        <v>45567</v>
      </c>
      <c r="G11867" s="2">
        <f t="shared" si="185"/>
        <v>0</v>
      </c>
      <c r="H11867" t="s">
        <v>5</v>
      </c>
    </row>
    <row r="11868" spans="2:8" x14ac:dyDescent="0.2">
      <c r="B11868" s="3">
        <v>45567</v>
      </c>
      <c r="G11868" s="2">
        <f t="shared" si="185"/>
        <v>0</v>
      </c>
      <c r="H11868" s="1"/>
    </row>
    <row r="11869" spans="2:8" x14ac:dyDescent="0.2">
      <c r="B11869" s="3">
        <v>45567</v>
      </c>
      <c r="G11869" s="2">
        <f t="shared" si="185"/>
        <v>0</v>
      </c>
      <c r="H11869" t="s">
        <v>0</v>
      </c>
    </row>
    <row r="11870" spans="2:8" x14ac:dyDescent="0.2">
      <c r="B11870" s="3">
        <v>45568</v>
      </c>
      <c r="G11870" s="2">
        <f t="shared" si="185"/>
        <v>0</v>
      </c>
      <c r="H11870" t="s">
        <v>14</v>
      </c>
    </row>
    <row r="11871" spans="2:8" x14ac:dyDescent="0.2">
      <c r="B11871" s="3">
        <v>45568</v>
      </c>
      <c r="D11871" s="28"/>
      <c r="G11871" s="2">
        <f t="shared" si="185"/>
        <v>0</v>
      </c>
      <c r="H11871" t="s">
        <v>13</v>
      </c>
    </row>
    <row r="11872" spans="2:8" x14ac:dyDescent="0.2">
      <c r="B11872" s="3">
        <v>45568</v>
      </c>
      <c r="D11872" s="28"/>
      <c r="G11872" s="2">
        <f t="shared" si="185"/>
        <v>0</v>
      </c>
      <c r="H11872" t="s">
        <v>26</v>
      </c>
    </row>
    <row r="11873" spans="2:8" x14ac:dyDescent="0.2">
      <c r="B11873" s="3">
        <v>45568</v>
      </c>
      <c r="G11873" s="2">
        <f t="shared" si="185"/>
        <v>0</v>
      </c>
      <c r="H11873" t="s">
        <v>25</v>
      </c>
    </row>
    <row r="11874" spans="2:8" x14ac:dyDescent="0.2">
      <c r="B11874" s="3">
        <v>45568</v>
      </c>
      <c r="G11874" s="2">
        <f t="shared" si="185"/>
        <v>0</v>
      </c>
      <c r="H11874" t="s">
        <v>9</v>
      </c>
    </row>
    <row r="11875" spans="2:8" x14ac:dyDescent="0.2">
      <c r="B11875" s="3">
        <v>45568</v>
      </c>
      <c r="G11875" s="2">
        <f t="shared" si="185"/>
        <v>0</v>
      </c>
      <c r="H11875" t="s">
        <v>8</v>
      </c>
    </row>
    <row r="11876" spans="2:8" x14ac:dyDescent="0.2">
      <c r="B11876" s="3">
        <v>45568</v>
      </c>
      <c r="G11876" s="2">
        <f t="shared" si="185"/>
        <v>0</v>
      </c>
      <c r="H11876" t="s">
        <v>5</v>
      </c>
    </row>
    <row r="11877" spans="2:8" x14ac:dyDescent="0.2">
      <c r="B11877" s="3">
        <v>45568</v>
      </c>
      <c r="G11877" s="2">
        <f t="shared" si="185"/>
        <v>0</v>
      </c>
      <c r="H11877" s="1"/>
    </row>
    <row r="11878" spans="2:8" x14ac:dyDescent="0.2">
      <c r="B11878" s="3">
        <v>45568</v>
      </c>
      <c r="G11878" s="2">
        <f t="shared" si="185"/>
        <v>0</v>
      </c>
      <c r="H11878" t="s">
        <v>0</v>
      </c>
    </row>
    <row r="11879" spans="2:8" x14ac:dyDescent="0.2">
      <c r="B11879" s="3">
        <v>45569</v>
      </c>
      <c r="G11879" s="2">
        <f t="shared" si="185"/>
        <v>0</v>
      </c>
      <c r="H11879" t="s">
        <v>14</v>
      </c>
    </row>
    <row r="11880" spans="2:8" x14ac:dyDescent="0.2">
      <c r="B11880" s="3">
        <v>45569</v>
      </c>
      <c r="D11880" s="28"/>
      <c r="F11880" s="1">
        <v>13000</v>
      </c>
      <c r="G11880" s="2">
        <f t="shared" si="185"/>
        <v>-13000</v>
      </c>
      <c r="H11880" t="s">
        <v>13</v>
      </c>
    </row>
    <row r="11881" spans="2:8" x14ac:dyDescent="0.2">
      <c r="B11881" s="3">
        <v>45569</v>
      </c>
      <c r="D11881" s="28"/>
      <c r="G11881" s="2">
        <f t="shared" si="185"/>
        <v>0</v>
      </c>
      <c r="H11881" t="s">
        <v>26</v>
      </c>
    </row>
    <row r="11882" spans="2:8" x14ac:dyDescent="0.2">
      <c r="B11882" s="3">
        <v>45569</v>
      </c>
      <c r="G11882" s="2">
        <f t="shared" si="185"/>
        <v>0</v>
      </c>
      <c r="H11882" t="s">
        <v>25</v>
      </c>
    </row>
    <row r="11883" spans="2:8" x14ac:dyDescent="0.2">
      <c r="B11883" s="3">
        <v>45569</v>
      </c>
      <c r="G11883" s="2">
        <f t="shared" si="185"/>
        <v>0</v>
      </c>
      <c r="H11883" t="s">
        <v>9</v>
      </c>
    </row>
    <row r="11884" spans="2:8" x14ac:dyDescent="0.2">
      <c r="B11884" s="3">
        <v>45569</v>
      </c>
      <c r="G11884" s="2">
        <f t="shared" si="185"/>
        <v>0</v>
      </c>
      <c r="H11884" t="s">
        <v>8</v>
      </c>
    </row>
    <row r="11885" spans="2:8" x14ac:dyDescent="0.2">
      <c r="B11885" s="3">
        <v>45569</v>
      </c>
      <c r="G11885" s="2">
        <f t="shared" si="185"/>
        <v>0</v>
      </c>
      <c r="H11885" t="s">
        <v>5</v>
      </c>
    </row>
    <row r="11886" spans="2:8" x14ac:dyDescent="0.2">
      <c r="B11886" s="3">
        <v>45569</v>
      </c>
      <c r="G11886" s="2">
        <f t="shared" si="185"/>
        <v>0</v>
      </c>
      <c r="H11886" s="1"/>
    </row>
    <row r="11887" spans="2:8" x14ac:dyDescent="0.2">
      <c r="B11887" s="3">
        <v>45569</v>
      </c>
      <c r="G11887" s="2">
        <f t="shared" si="185"/>
        <v>0</v>
      </c>
      <c r="H11887" t="s">
        <v>0</v>
      </c>
    </row>
    <row r="11888" spans="2:8" x14ac:dyDescent="0.2">
      <c r="B11888" s="3">
        <v>45570</v>
      </c>
      <c r="G11888" s="2">
        <f t="shared" si="185"/>
        <v>0</v>
      </c>
      <c r="H11888" t="s">
        <v>14</v>
      </c>
    </row>
    <row r="11889" spans="2:8" x14ac:dyDescent="0.2">
      <c r="B11889" s="3">
        <v>45570</v>
      </c>
      <c r="D11889" s="28"/>
      <c r="G11889" s="2">
        <f t="shared" si="185"/>
        <v>0</v>
      </c>
      <c r="H11889" t="s">
        <v>13</v>
      </c>
    </row>
    <row r="11890" spans="2:8" x14ac:dyDescent="0.2">
      <c r="B11890" s="3">
        <v>45570</v>
      </c>
      <c r="D11890" s="28"/>
      <c r="G11890" s="2">
        <f t="shared" si="185"/>
        <v>0</v>
      </c>
      <c r="H11890" t="s">
        <v>26</v>
      </c>
    </row>
    <row r="11891" spans="2:8" x14ac:dyDescent="0.2">
      <c r="B11891" s="3">
        <v>45570</v>
      </c>
      <c r="G11891" s="2">
        <f t="shared" si="185"/>
        <v>0</v>
      </c>
      <c r="H11891" t="s">
        <v>25</v>
      </c>
    </row>
    <row r="11892" spans="2:8" x14ac:dyDescent="0.2">
      <c r="B11892" s="3">
        <v>45570</v>
      </c>
      <c r="G11892" s="2">
        <f t="shared" si="185"/>
        <v>0</v>
      </c>
      <c r="H11892" t="s">
        <v>9</v>
      </c>
    </row>
    <row r="11893" spans="2:8" x14ac:dyDescent="0.2">
      <c r="B11893" s="3">
        <v>45570</v>
      </c>
      <c r="G11893" s="2">
        <f t="shared" si="185"/>
        <v>0</v>
      </c>
      <c r="H11893" t="s">
        <v>8</v>
      </c>
    </row>
    <row r="11894" spans="2:8" x14ac:dyDescent="0.2">
      <c r="B11894" s="3">
        <v>45570</v>
      </c>
      <c r="G11894" s="2">
        <f t="shared" si="185"/>
        <v>0</v>
      </c>
      <c r="H11894" t="s">
        <v>5</v>
      </c>
    </row>
    <row r="11895" spans="2:8" x14ac:dyDescent="0.2">
      <c r="B11895" s="3">
        <v>45570</v>
      </c>
      <c r="G11895" s="2">
        <f t="shared" si="185"/>
        <v>0</v>
      </c>
      <c r="H11895" s="1"/>
    </row>
    <row r="11896" spans="2:8" x14ac:dyDescent="0.2">
      <c r="B11896" s="3">
        <v>45570</v>
      </c>
      <c r="G11896" s="2">
        <f t="shared" si="185"/>
        <v>0</v>
      </c>
      <c r="H11896" t="s">
        <v>0</v>
      </c>
    </row>
    <row r="11897" spans="2:8" ht="22" x14ac:dyDescent="0.2">
      <c r="B11897" s="14">
        <v>45571</v>
      </c>
      <c r="D11897" s="1">
        <v>24043.34</v>
      </c>
      <c r="E11897" s="1">
        <v>28066.799999999999</v>
      </c>
      <c r="G11897" s="2">
        <f t="shared" si="185"/>
        <v>28066.799999999999</v>
      </c>
      <c r="H11897" t="s">
        <v>14</v>
      </c>
    </row>
    <row r="11898" spans="2:8" x14ac:dyDescent="0.2">
      <c r="B11898" s="3">
        <v>45571</v>
      </c>
      <c r="D11898" s="28"/>
      <c r="G11898" s="2">
        <f t="shared" si="185"/>
        <v>0</v>
      </c>
      <c r="H11898" t="s">
        <v>13</v>
      </c>
    </row>
    <row r="11899" spans="2:8" x14ac:dyDescent="0.2">
      <c r="B11899" s="3">
        <v>45571</v>
      </c>
      <c r="D11899" s="28"/>
      <c r="G11899" s="2">
        <f t="shared" si="185"/>
        <v>0</v>
      </c>
      <c r="H11899" t="s">
        <v>26</v>
      </c>
    </row>
    <row r="11900" spans="2:8" x14ac:dyDescent="0.2">
      <c r="B11900" s="3">
        <v>45571</v>
      </c>
      <c r="G11900" s="2">
        <f t="shared" si="185"/>
        <v>0</v>
      </c>
      <c r="H11900" t="s">
        <v>25</v>
      </c>
    </row>
    <row r="11901" spans="2:8" x14ac:dyDescent="0.2">
      <c r="B11901" s="3">
        <v>45571</v>
      </c>
      <c r="G11901" s="2">
        <f t="shared" si="185"/>
        <v>0</v>
      </c>
      <c r="H11901" t="s">
        <v>9</v>
      </c>
    </row>
    <row r="11902" spans="2:8" x14ac:dyDescent="0.2">
      <c r="B11902" s="3">
        <v>45571</v>
      </c>
      <c r="G11902" s="2">
        <f t="shared" si="185"/>
        <v>0</v>
      </c>
      <c r="H11902" t="s">
        <v>8</v>
      </c>
    </row>
    <row r="11903" spans="2:8" x14ac:dyDescent="0.2">
      <c r="B11903" s="3">
        <v>45571</v>
      </c>
      <c r="G11903" s="2">
        <f t="shared" si="185"/>
        <v>0</v>
      </c>
      <c r="H11903" t="s">
        <v>5</v>
      </c>
    </row>
    <row r="11904" spans="2:8" x14ac:dyDescent="0.2">
      <c r="B11904" s="3">
        <v>45571</v>
      </c>
      <c r="G11904" s="2">
        <f t="shared" si="185"/>
        <v>0</v>
      </c>
      <c r="H11904" s="1"/>
    </row>
    <row r="11905" spans="2:8" x14ac:dyDescent="0.2">
      <c r="B11905" s="3">
        <v>45571</v>
      </c>
      <c r="F11905" s="1">
        <v>70000</v>
      </c>
      <c r="G11905" s="2">
        <f t="shared" si="185"/>
        <v>-70000</v>
      </c>
      <c r="H11905" t="s">
        <v>0</v>
      </c>
    </row>
    <row r="11906" spans="2:8" x14ac:dyDescent="0.2">
      <c r="B11906" s="3">
        <v>45572</v>
      </c>
      <c r="G11906" s="2">
        <f t="shared" si="185"/>
        <v>0</v>
      </c>
      <c r="H11906" t="s">
        <v>14</v>
      </c>
    </row>
    <row r="11907" spans="2:8" x14ac:dyDescent="0.2">
      <c r="B11907" s="3">
        <v>45572</v>
      </c>
      <c r="D11907" s="28"/>
      <c r="G11907" s="2">
        <f t="shared" ref="G11907:G11970" si="186">E11907-F11907</f>
        <v>0</v>
      </c>
      <c r="H11907" t="s">
        <v>13</v>
      </c>
    </row>
    <row r="11908" spans="2:8" x14ac:dyDescent="0.2">
      <c r="B11908" s="3">
        <v>45572</v>
      </c>
      <c r="D11908" s="28"/>
      <c r="G11908" s="2">
        <f t="shared" si="186"/>
        <v>0</v>
      </c>
      <c r="H11908" t="s">
        <v>26</v>
      </c>
    </row>
    <row r="11909" spans="2:8" x14ac:dyDescent="0.2">
      <c r="B11909" s="3">
        <v>45572</v>
      </c>
      <c r="G11909" s="2">
        <f t="shared" si="186"/>
        <v>0</v>
      </c>
      <c r="H11909" t="s">
        <v>25</v>
      </c>
    </row>
    <row r="11910" spans="2:8" x14ac:dyDescent="0.2">
      <c r="B11910" s="3">
        <v>45572</v>
      </c>
      <c r="G11910" s="2">
        <f t="shared" si="186"/>
        <v>0</v>
      </c>
      <c r="H11910" t="s">
        <v>9</v>
      </c>
    </row>
    <row r="11911" spans="2:8" x14ac:dyDescent="0.2">
      <c r="B11911" s="3">
        <v>45572</v>
      </c>
      <c r="G11911" s="2">
        <f t="shared" si="186"/>
        <v>0</v>
      </c>
      <c r="H11911" t="s">
        <v>8</v>
      </c>
    </row>
    <row r="11912" spans="2:8" x14ac:dyDescent="0.2">
      <c r="B11912" s="3">
        <v>45572</v>
      </c>
      <c r="G11912" s="2">
        <f t="shared" si="186"/>
        <v>0</v>
      </c>
      <c r="H11912" t="s">
        <v>5</v>
      </c>
    </row>
    <row r="11913" spans="2:8" x14ac:dyDescent="0.2">
      <c r="B11913" s="3">
        <v>45572</v>
      </c>
      <c r="G11913" s="2">
        <f t="shared" si="186"/>
        <v>0</v>
      </c>
      <c r="H11913" s="1"/>
    </row>
    <row r="11914" spans="2:8" x14ac:dyDescent="0.2">
      <c r="B11914" s="3">
        <v>45572</v>
      </c>
      <c r="G11914" s="2">
        <f t="shared" si="186"/>
        <v>0</v>
      </c>
      <c r="H11914" t="s">
        <v>0</v>
      </c>
    </row>
    <row r="11915" spans="2:8" x14ac:dyDescent="0.2">
      <c r="B11915" s="3">
        <v>45573</v>
      </c>
      <c r="G11915" s="2">
        <f t="shared" si="186"/>
        <v>0</v>
      </c>
      <c r="H11915" t="s">
        <v>14</v>
      </c>
    </row>
    <row r="11916" spans="2:8" x14ac:dyDescent="0.2">
      <c r="B11916" s="3">
        <v>45573</v>
      </c>
      <c r="D11916" s="28"/>
      <c r="G11916" s="2">
        <f t="shared" si="186"/>
        <v>0</v>
      </c>
      <c r="H11916" t="s">
        <v>13</v>
      </c>
    </row>
    <row r="11917" spans="2:8" x14ac:dyDescent="0.2">
      <c r="B11917" s="3">
        <v>45573</v>
      </c>
      <c r="D11917" s="28"/>
      <c r="G11917" s="2">
        <f t="shared" si="186"/>
        <v>0</v>
      </c>
      <c r="H11917" t="s">
        <v>26</v>
      </c>
    </row>
    <row r="11918" spans="2:8" x14ac:dyDescent="0.2">
      <c r="B11918" s="3">
        <v>45573</v>
      </c>
      <c r="G11918" s="2">
        <f t="shared" si="186"/>
        <v>0</v>
      </c>
      <c r="H11918" t="s">
        <v>25</v>
      </c>
    </row>
    <row r="11919" spans="2:8" x14ac:dyDescent="0.2">
      <c r="B11919" s="3">
        <v>45573</v>
      </c>
      <c r="G11919" s="2">
        <f t="shared" si="186"/>
        <v>0</v>
      </c>
      <c r="H11919" t="s">
        <v>9</v>
      </c>
    </row>
    <row r="11920" spans="2:8" x14ac:dyDescent="0.2">
      <c r="B11920" s="3">
        <v>45573</v>
      </c>
      <c r="G11920" s="2">
        <f t="shared" si="186"/>
        <v>0</v>
      </c>
      <c r="H11920" t="s">
        <v>8</v>
      </c>
    </row>
    <row r="11921" spans="2:8" x14ac:dyDescent="0.2">
      <c r="B11921" s="3">
        <v>45573</v>
      </c>
      <c r="G11921" s="2">
        <f t="shared" si="186"/>
        <v>0</v>
      </c>
      <c r="H11921" t="s">
        <v>5</v>
      </c>
    </row>
    <row r="11922" spans="2:8" x14ac:dyDescent="0.2">
      <c r="B11922" s="3">
        <v>45573</v>
      </c>
      <c r="G11922" s="2">
        <f t="shared" si="186"/>
        <v>0</v>
      </c>
      <c r="H11922" s="1"/>
    </row>
    <row r="11923" spans="2:8" x14ac:dyDescent="0.2">
      <c r="B11923" s="3">
        <v>45573</v>
      </c>
      <c r="G11923" s="2">
        <f t="shared" si="186"/>
        <v>0</v>
      </c>
      <c r="H11923" t="s">
        <v>0</v>
      </c>
    </row>
    <row r="11924" spans="2:8" x14ac:dyDescent="0.2">
      <c r="B11924" s="3">
        <v>45574</v>
      </c>
      <c r="G11924" s="2">
        <f t="shared" si="186"/>
        <v>0</v>
      </c>
      <c r="H11924" t="s">
        <v>14</v>
      </c>
    </row>
    <row r="11925" spans="2:8" x14ac:dyDescent="0.2">
      <c r="B11925" s="3">
        <v>45574</v>
      </c>
      <c r="D11925" s="28"/>
      <c r="G11925" s="2">
        <f t="shared" si="186"/>
        <v>0</v>
      </c>
      <c r="H11925" t="s">
        <v>13</v>
      </c>
    </row>
    <row r="11926" spans="2:8" x14ac:dyDescent="0.2">
      <c r="B11926" s="3">
        <v>45574</v>
      </c>
      <c r="D11926" s="28"/>
      <c r="G11926" s="2">
        <f t="shared" si="186"/>
        <v>0</v>
      </c>
      <c r="H11926" t="s">
        <v>26</v>
      </c>
    </row>
    <row r="11927" spans="2:8" x14ac:dyDescent="0.2">
      <c r="B11927" s="3">
        <v>45574</v>
      </c>
      <c r="G11927" s="2">
        <f t="shared" si="186"/>
        <v>0</v>
      </c>
      <c r="H11927" t="s">
        <v>25</v>
      </c>
    </row>
    <row r="11928" spans="2:8" x14ac:dyDescent="0.2">
      <c r="B11928" s="3">
        <v>45574</v>
      </c>
      <c r="G11928" s="2">
        <f t="shared" si="186"/>
        <v>0</v>
      </c>
      <c r="H11928" t="s">
        <v>9</v>
      </c>
    </row>
    <row r="11929" spans="2:8" x14ac:dyDescent="0.2">
      <c r="B11929" s="3">
        <v>45574</v>
      </c>
      <c r="G11929" s="2">
        <f t="shared" si="186"/>
        <v>0</v>
      </c>
      <c r="H11929" t="s">
        <v>8</v>
      </c>
    </row>
    <row r="11930" spans="2:8" x14ac:dyDescent="0.2">
      <c r="B11930" s="3">
        <v>45574</v>
      </c>
      <c r="G11930" s="2">
        <f t="shared" si="186"/>
        <v>0</v>
      </c>
      <c r="H11930" t="s">
        <v>5</v>
      </c>
    </row>
    <row r="11931" spans="2:8" x14ac:dyDescent="0.2">
      <c r="B11931" s="3">
        <v>45574</v>
      </c>
      <c r="G11931" s="2">
        <f t="shared" si="186"/>
        <v>0</v>
      </c>
      <c r="H11931" s="1"/>
    </row>
    <row r="11932" spans="2:8" x14ac:dyDescent="0.2">
      <c r="B11932" s="3">
        <v>45574</v>
      </c>
      <c r="G11932" s="2">
        <f t="shared" si="186"/>
        <v>0</v>
      </c>
      <c r="H11932" t="s">
        <v>0</v>
      </c>
    </row>
    <row r="11933" spans="2:8" x14ac:dyDescent="0.2">
      <c r="B11933" s="3">
        <v>45575</v>
      </c>
      <c r="G11933" s="2">
        <f t="shared" si="186"/>
        <v>0</v>
      </c>
      <c r="H11933" t="s">
        <v>14</v>
      </c>
    </row>
    <row r="11934" spans="2:8" x14ac:dyDescent="0.2">
      <c r="B11934" s="3">
        <v>45575</v>
      </c>
      <c r="D11934" s="28"/>
      <c r="G11934" s="2">
        <f t="shared" si="186"/>
        <v>0</v>
      </c>
      <c r="H11934" t="s">
        <v>13</v>
      </c>
    </row>
    <row r="11935" spans="2:8" x14ac:dyDescent="0.2">
      <c r="B11935" s="3">
        <v>45575</v>
      </c>
      <c r="D11935" s="28"/>
      <c r="G11935" s="2">
        <f t="shared" si="186"/>
        <v>0</v>
      </c>
      <c r="H11935" t="s">
        <v>26</v>
      </c>
    </row>
    <row r="11936" spans="2:8" x14ac:dyDescent="0.2">
      <c r="B11936" s="3">
        <v>45575</v>
      </c>
      <c r="G11936" s="2">
        <f t="shared" si="186"/>
        <v>0</v>
      </c>
      <c r="H11936" t="s">
        <v>25</v>
      </c>
    </row>
    <row r="11937" spans="2:8" x14ac:dyDescent="0.2">
      <c r="B11937" s="3">
        <v>45575</v>
      </c>
      <c r="G11937" s="2">
        <f t="shared" si="186"/>
        <v>0</v>
      </c>
      <c r="H11937" t="s">
        <v>9</v>
      </c>
    </row>
    <row r="11938" spans="2:8" x14ac:dyDescent="0.2">
      <c r="B11938" s="3">
        <v>45575</v>
      </c>
      <c r="G11938" s="2">
        <f t="shared" si="186"/>
        <v>0</v>
      </c>
      <c r="H11938" t="s">
        <v>8</v>
      </c>
    </row>
    <row r="11939" spans="2:8" x14ac:dyDescent="0.2">
      <c r="B11939" s="3">
        <v>45575</v>
      </c>
      <c r="G11939" s="2">
        <f t="shared" si="186"/>
        <v>0</v>
      </c>
      <c r="H11939" t="s">
        <v>5</v>
      </c>
    </row>
    <row r="11940" spans="2:8" x14ac:dyDescent="0.2">
      <c r="B11940" s="3">
        <v>45575</v>
      </c>
      <c r="G11940" s="2">
        <f t="shared" si="186"/>
        <v>0</v>
      </c>
      <c r="H11940" s="1"/>
    </row>
    <row r="11941" spans="2:8" x14ac:dyDescent="0.2">
      <c r="B11941" s="3">
        <v>45575</v>
      </c>
      <c r="G11941" s="2">
        <f t="shared" si="186"/>
        <v>0</v>
      </c>
      <c r="H11941" t="s">
        <v>0</v>
      </c>
    </row>
    <row r="11942" spans="2:8" ht="22" x14ac:dyDescent="0.2">
      <c r="B11942" s="14">
        <v>45576</v>
      </c>
      <c r="D11942" s="1">
        <v>23318.05</v>
      </c>
      <c r="E11942" s="1">
        <v>26961</v>
      </c>
      <c r="F11942" s="1">
        <v>10000</v>
      </c>
      <c r="G11942" s="2">
        <f t="shared" si="186"/>
        <v>16961</v>
      </c>
      <c r="H11942" t="s">
        <v>14</v>
      </c>
    </row>
    <row r="11943" spans="2:8" x14ac:dyDescent="0.2">
      <c r="B11943" s="3">
        <v>45576</v>
      </c>
      <c r="D11943" s="28"/>
      <c r="G11943" s="2">
        <f t="shared" si="186"/>
        <v>0</v>
      </c>
      <c r="H11943" t="s">
        <v>13</v>
      </c>
    </row>
    <row r="11944" spans="2:8" x14ac:dyDescent="0.2">
      <c r="B11944" s="3">
        <v>45576</v>
      </c>
      <c r="D11944" s="28"/>
      <c r="G11944" s="2">
        <f t="shared" si="186"/>
        <v>0</v>
      </c>
      <c r="H11944" t="s">
        <v>26</v>
      </c>
    </row>
    <row r="11945" spans="2:8" x14ac:dyDescent="0.2">
      <c r="B11945" s="3">
        <v>45576</v>
      </c>
      <c r="G11945" s="2">
        <f t="shared" si="186"/>
        <v>0</v>
      </c>
      <c r="H11945" t="s">
        <v>25</v>
      </c>
    </row>
    <row r="11946" spans="2:8" x14ac:dyDescent="0.2">
      <c r="B11946" s="3">
        <v>45576</v>
      </c>
      <c r="G11946" s="2">
        <f t="shared" si="186"/>
        <v>0</v>
      </c>
      <c r="H11946" t="s">
        <v>9</v>
      </c>
    </row>
    <row r="11947" spans="2:8" x14ac:dyDescent="0.2">
      <c r="B11947" s="3">
        <v>45576</v>
      </c>
      <c r="D11947" s="1">
        <v>24882</v>
      </c>
      <c r="E11947" s="1">
        <v>28663.75</v>
      </c>
      <c r="F11947" s="1">
        <v>30000</v>
      </c>
      <c r="G11947" s="2">
        <f t="shared" si="186"/>
        <v>-1336.25</v>
      </c>
      <c r="H11947" t="s">
        <v>8</v>
      </c>
    </row>
    <row r="11948" spans="2:8" x14ac:dyDescent="0.2">
      <c r="B11948" s="3">
        <v>45576</v>
      </c>
      <c r="G11948" s="2">
        <f t="shared" si="186"/>
        <v>0</v>
      </c>
      <c r="H11948" t="s">
        <v>5</v>
      </c>
    </row>
    <row r="11949" spans="2:8" x14ac:dyDescent="0.2">
      <c r="B11949" s="3">
        <v>45576</v>
      </c>
      <c r="G11949" s="2">
        <f t="shared" si="186"/>
        <v>0</v>
      </c>
      <c r="H11949" s="1"/>
    </row>
    <row r="11950" spans="2:8" x14ac:dyDescent="0.2">
      <c r="B11950" s="3">
        <v>45576</v>
      </c>
      <c r="G11950" s="2">
        <f t="shared" si="186"/>
        <v>0</v>
      </c>
      <c r="H11950" t="s">
        <v>0</v>
      </c>
    </row>
    <row r="11951" spans="2:8" x14ac:dyDescent="0.2">
      <c r="B11951" s="3">
        <v>45577</v>
      </c>
      <c r="G11951" s="2">
        <f t="shared" si="186"/>
        <v>0</v>
      </c>
      <c r="H11951" t="s">
        <v>14</v>
      </c>
    </row>
    <row r="11952" spans="2:8" x14ac:dyDescent="0.2">
      <c r="B11952" s="3">
        <v>45577</v>
      </c>
      <c r="D11952" s="28"/>
      <c r="G11952" s="2">
        <f t="shared" si="186"/>
        <v>0</v>
      </c>
      <c r="H11952" t="s">
        <v>13</v>
      </c>
    </row>
    <row r="11953" spans="2:8" x14ac:dyDescent="0.2">
      <c r="B11953" s="3">
        <v>45577</v>
      </c>
      <c r="D11953" s="28"/>
      <c r="G11953" s="2">
        <f t="shared" si="186"/>
        <v>0</v>
      </c>
      <c r="H11953" t="s">
        <v>26</v>
      </c>
    </row>
    <row r="11954" spans="2:8" x14ac:dyDescent="0.2">
      <c r="B11954" s="3">
        <v>45577</v>
      </c>
      <c r="G11954" s="2">
        <f t="shared" si="186"/>
        <v>0</v>
      </c>
      <c r="H11954" t="s">
        <v>25</v>
      </c>
    </row>
    <row r="11955" spans="2:8" x14ac:dyDescent="0.2">
      <c r="B11955" s="3">
        <v>45577</v>
      </c>
      <c r="G11955" s="2">
        <f t="shared" si="186"/>
        <v>0</v>
      </c>
      <c r="H11955" t="s">
        <v>9</v>
      </c>
    </row>
    <row r="11956" spans="2:8" x14ac:dyDescent="0.2">
      <c r="B11956" s="3">
        <v>45577</v>
      </c>
      <c r="G11956" s="2">
        <f t="shared" si="186"/>
        <v>0</v>
      </c>
      <c r="H11956" s="36" t="s">
        <v>8</v>
      </c>
    </row>
    <row r="11957" spans="2:8" x14ac:dyDescent="0.2">
      <c r="B11957" s="3">
        <v>45577</v>
      </c>
      <c r="G11957" s="2">
        <f t="shared" si="186"/>
        <v>0</v>
      </c>
      <c r="H11957" t="s">
        <v>5</v>
      </c>
    </row>
    <row r="11958" spans="2:8" x14ac:dyDescent="0.2">
      <c r="B11958" s="3">
        <v>45577</v>
      </c>
      <c r="G11958" s="2">
        <f t="shared" si="186"/>
        <v>0</v>
      </c>
      <c r="H11958" s="1"/>
    </row>
    <row r="11959" spans="2:8" x14ac:dyDescent="0.2">
      <c r="B11959" s="3">
        <v>45577</v>
      </c>
      <c r="G11959" s="2">
        <f t="shared" si="186"/>
        <v>0</v>
      </c>
      <c r="H11959" t="s">
        <v>0</v>
      </c>
    </row>
    <row r="11960" spans="2:8" x14ac:dyDescent="0.2">
      <c r="B11960" s="3">
        <v>45578</v>
      </c>
      <c r="G11960" s="2">
        <f t="shared" si="186"/>
        <v>0</v>
      </c>
      <c r="H11960" t="s">
        <v>14</v>
      </c>
    </row>
    <row r="11961" spans="2:8" x14ac:dyDescent="0.2">
      <c r="B11961" s="3">
        <v>45578</v>
      </c>
      <c r="D11961" s="28"/>
      <c r="G11961" s="2">
        <f t="shared" si="186"/>
        <v>0</v>
      </c>
      <c r="H11961" t="s">
        <v>13</v>
      </c>
    </row>
    <row r="11962" spans="2:8" x14ac:dyDescent="0.2">
      <c r="B11962" s="3">
        <v>45578</v>
      </c>
      <c r="D11962" s="28"/>
      <c r="G11962" s="2">
        <f t="shared" si="186"/>
        <v>0</v>
      </c>
      <c r="H11962" t="s">
        <v>26</v>
      </c>
    </row>
    <row r="11963" spans="2:8" x14ac:dyDescent="0.2">
      <c r="B11963" s="3">
        <v>45578</v>
      </c>
      <c r="G11963" s="2">
        <f t="shared" si="186"/>
        <v>0</v>
      </c>
      <c r="H11963" t="s">
        <v>25</v>
      </c>
    </row>
    <row r="11964" spans="2:8" x14ac:dyDescent="0.2">
      <c r="B11964" s="3">
        <v>45578</v>
      </c>
      <c r="G11964" s="2">
        <f t="shared" si="186"/>
        <v>0</v>
      </c>
      <c r="H11964" t="s">
        <v>9</v>
      </c>
    </row>
    <row r="11965" spans="2:8" x14ac:dyDescent="0.2">
      <c r="B11965" s="3">
        <v>45578</v>
      </c>
      <c r="D11965" s="1">
        <v>20200</v>
      </c>
      <c r="E11965" s="1">
        <v>22150</v>
      </c>
      <c r="G11965" s="2">
        <f t="shared" si="186"/>
        <v>22150</v>
      </c>
      <c r="H11965" t="s">
        <v>8</v>
      </c>
    </row>
    <row r="11966" spans="2:8" x14ac:dyDescent="0.2">
      <c r="B11966" s="3">
        <v>45578</v>
      </c>
      <c r="G11966" s="2">
        <f t="shared" si="186"/>
        <v>0</v>
      </c>
      <c r="H11966" t="s">
        <v>5</v>
      </c>
    </row>
    <row r="11967" spans="2:8" x14ac:dyDescent="0.2">
      <c r="B11967" s="3">
        <v>45578</v>
      </c>
      <c r="G11967" s="2">
        <f t="shared" si="186"/>
        <v>0</v>
      </c>
      <c r="H11967" s="1"/>
    </row>
    <row r="11968" spans="2:8" x14ac:dyDescent="0.2">
      <c r="B11968" s="3">
        <v>45578</v>
      </c>
      <c r="G11968" s="2">
        <f t="shared" si="186"/>
        <v>0</v>
      </c>
      <c r="H11968" t="s">
        <v>0</v>
      </c>
    </row>
    <row r="11969" spans="2:8" x14ac:dyDescent="0.2">
      <c r="B11969" s="3">
        <v>45579</v>
      </c>
      <c r="G11969" s="2">
        <f t="shared" si="186"/>
        <v>0</v>
      </c>
      <c r="H11969" t="s">
        <v>14</v>
      </c>
    </row>
    <row r="11970" spans="2:8" x14ac:dyDescent="0.2">
      <c r="B11970" s="3">
        <v>45579</v>
      </c>
      <c r="D11970" s="28"/>
      <c r="G11970" s="2">
        <f t="shared" si="186"/>
        <v>0</v>
      </c>
      <c r="H11970" t="s">
        <v>13</v>
      </c>
    </row>
    <row r="11971" spans="2:8" x14ac:dyDescent="0.2">
      <c r="B11971" s="3">
        <v>45579</v>
      </c>
      <c r="D11971" s="28"/>
      <c r="G11971" s="2">
        <f t="shared" ref="G11971:G12034" si="187">E11971-F11971</f>
        <v>0</v>
      </c>
      <c r="H11971" t="s">
        <v>26</v>
      </c>
    </row>
    <row r="11972" spans="2:8" x14ac:dyDescent="0.2">
      <c r="B11972" s="3">
        <v>45579</v>
      </c>
      <c r="G11972" s="2">
        <f t="shared" si="187"/>
        <v>0</v>
      </c>
      <c r="H11972" t="s">
        <v>25</v>
      </c>
    </row>
    <row r="11973" spans="2:8" x14ac:dyDescent="0.2">
      <c r="B11973" s="3">
        <v>45579</v>
      </c>
      <c r="G11973" s="2">
        <f t="shared" si="187"/>
        <v>0</v>
      </c>
      <c r="H11973" t="s">
        <v>9</v>
      </c>
    </row>
    <row r="11974" spans="2:8" x14ac:dyDescent="0.2">
      <c r="B11974" s="3">
        <v>45579</v>
      </c>
      <c r="G11974" s="2">
        <f t="shared" si="187"/>
        <v>0</v>
      </c>
      <c r="H11974" t="s">
        <v>8</v>
      </c>
    </row>
    <row r="11975" spans="2:8" x14ac:dyDescent="0.2">
      <c r="B11975" s="3">
        <v>45579</v>
      </c>
      <c r="G11975" s="2">
        <f t="shared" si="187"/>
        <v>0</v>
      </c>
      <c r="H11975" t="s">
        <v>5</v>
      </c>
    </row>
    <row r="11976" spans="2:8" x14ac:dyDescent="0.2">
      <c r="B11976" s="3">
        <v>45579</v>
      </c>
      <c r="G11976" s="2">
        <f t="shared" si="187"/>
        <v>0</v>
      </c>
      <c r="H11976" s="1"/>
    </row>
    <row r="11977" spans="2:8" x14ac:dyDescent="0.2">
      <c r="B11977" s="3">
        <v>45579</v>
      </c>
      <c r="G11977" s="2">
        <f t="shared" si="187"/>
        <v>0</v>
      </c>
      <c r="H11977" t="s">
        <v>0</v>
      </c>
    </row>
    <row r="11978" spans="2:8" x14ac:dyDescent="0.2">
      <c r="B11978" s="3">
        <v>45580</v>
      </c>
      <c r="G11978" s="2">
        <f t="shared" si="187"/>
        <v>0</v>
      </c>
      <c r="H11978" s="36" t="s">
        <v>14</v>
      </c>
    </row>
    <row r="11979" spans="2:8" x14ac:dyDescent="0.2">
      <c r="B11979" s="3">
        <v>45580</v>
      </c>
      <c r="D11979" s="28"/>
      <c r="G11979" s="2">
        <f t="shared" si="187"/>
        <v>0</v>
      </c>
      <c r="H11979" t="s">
        <v>13</v>
      </c>
    </row>
    <row r="11980" spans="2:8" x14ac:dyDescent="0.2">
      <c r="B11980" s="3">
        <v>45580</v>
      </c>
      <c r="D11980" s="28"/>
      <c r="G11980" s="2">
        <f t="shared" si="187"/>
        <v>0</v>
      </c>
      <c r="H11980" t="s">
        <v>26</v>
      </c>
    </row>
    <row r="11981" spans="2:8" x14ac:dyDescent="0.2">
      <c r="B11981" s="3">
        <v>45580</v>
      </c>
      <c r="G11981" s="2">
        <f t="shared" si="187"/>
        <v>0</v>
      </c>
      <c r="H11981" t="s">
        <v>25</v>
      </c>
    </row>
    <row r="11982" spans="2:8" x14ac:dyDescent="0.2">
      <c r="B11982" s="3">
        <v>45580</v>
      </c>
      <c r="G11982" s="2">
        <f t="shared" si="187"/>
        <v>0</v>
      </c>
      <c r="H11982" t="s">
        <v>9</v>
      </c>
    </row>
    <row r="11983" spans="2:8" x14ac:dyDescent="0.2">
      <c r="B11983" s="3">
        <v>45580</v>
      </c>
      <c r="G11983" s="2">
        <f t="shared" si="187"/>
        <v>0</v>
      </c>
      <c r="H11983" t="s">
        <v>8</v>
      </c>
    </row>
    <row r="11984" spans="2:8" x14ac:dyDescent="0.2">
      <c r="B11984" s="3">
        <v>45580</v>
      </c>
      <c r="G11984" s="2">
        <f t="shared" si="187"/>
        <v>0</v>
      </c>
      <c r="H11984" t="s">
        <v>5</v>
      </c>
    </row>
    <row r="11985" spans="2:8" x14ac:dyDescent="0.2">
      <c r="B11985" s="3">
        <v>45580</v>
      </c>
      <c r="D11985" s="1">
        <v>5850</v>
      </c>
      <c r="E11985" s="1">
        <v>6000</v>
      </c>
      <c r="F11985" s="1">
        <v>6000</v>
      </c>
      <c r="G11985" s="2">
        <f t="shared" si="187"/>
        <v>0</v>
      </c>
      <c r="H11985" t="s">
        <v>39</v>
      </c>
    </row>
    <row r="11986" spans="2:8" x14ac:dyDescent="0.2">
      <c r="B11986" s="3">
        <v>45580</v>
      </c>
      <c r="G11986" s="2">
        <f t="shared" si="187"/>
        <v>0</v>
      </c>
      <c r="H11986" t="s">
        <v>0</v>
      </c>
    </row>
    <row r="11987" spans="2:8" x14ac:dyDescent="0.2">
      <c r="B11987" s="3">
        <v>45581</v>
      </c>
      <c r="G11987" s="2">
        <f t="shared" si="187"/>
        <v>0</v>
      </c>
      <c r="H11987" t="s">
        <v>14</v>
      </c>
    </row>
    <row r="11988" spans="2:8" x14ac:dyDescent="0.2">
      <c r="B11988" s="3">
        <v>45581</v>
      </c>
      <c r="D11988" s="28"/>
      <c r="G11988" s="2">
        <f t="shared" si="187"/>
        <v>0</v>
      </c>
      <c r="H11988" t="s">
        <v>13</v>
      </c>
    </row>
    <row r="11989" spans="2:8" x14ac:dyDescent="0.2">
      <c r="B11989" s="3">
        <v>45581</v>
      </c>
      <c r="D11989" s="28"/>
      <c r="G11989" s="2">
        <f t="shared" si="187"/>
        <v>0</v>
      </c>
      <c r="H11989" t="s">
        <v>26</v>
      </c>
    </row>
    <row r="11990" spans="2:8" x14ac:dyDescent="0.2">
      <c r="B11990" s="3">
        <v>45581</v>
      </c>
      <c r="G11990" s="2">
        <f t="shared" si="187"/>
        <v>0</v>
      </c>
      <c r="H11990" t="s">
        <v>25</v>
      </c>
    </row>
    <row r="11991" spans="2:8" x14ac:dyDescent="0.2">
      <c r="B11991" s="3">
        <v>45581</v>
      </c>
      <c r="G11991" s="2">
        <f t="shared" si="187"/>
        <v>0</v>
      </c>
      <c r="H11991" s="36" t="s">
        <v>9</v>
      </c>
    </row>
    <row r="11992" spans="2:8" x14ac:dyDescent="0.2">
      <c r="B11992" s="3">
        <v>45581</v>
      </c>
      <c r="D11992" s="1">
        <v>23445</v>
      </c>
      <c r="E11992" s="1">
        <v>24785</v>
      </c>
      <c r="F11992" s="1">
        <v>30000</v>
      </c>
      <c r="G11992" s="2">
        <f t="shared" si="187"/>
        <v>-5215</v>
      </c>
      <c r="H11992" t="s">
        <v>8</v>
      </c>
    </row>
    <row r="11993" spans="2:8" x14ac:dyDescent="0.2">
      <c r="B11993" s="3">
        <v>45581</v>
      </c>
      <c r="G11993" s="2">
        <f t="shared" si="187"/>
        <v>0</v>
      </c>
      <c r="H11993" t="s">
        <v>5</v>
      </c>
    </row>
    <row r="11994" spans="2:8" x14ac:dyDescent="0.2">
      <c r="B11994" s="3">
        <v>45581</v>
      </c>
      <c r="G11994" s="2">
        <f t="shared" si="187"/>
        <v>0</v>
      </c>
      <c r="H11994" s="1"/>
    </row>
    <row r="11995" spans="2:8" x14ac:dyDescent="0.2">
      <c r="B11995" s="3">
        <v>45581</v>
      </c>
      <c r="D11995" s="1">
        <v>219659.25499999998</v>
      </c>
      <c r="E11995" s="1">
        <v>225762.46000000002</v>
      </c>
      <c r="G11995" s="2">
        <f t="shared" si="187"/>
        <v>225762.46000000002</v>
      </c>
      <c r="H11995" t="s">
        <v>0</v>
      </c>
    </row>
    <row r="11996" spans="2:8" x14ac:dyDescent="0.2">
      <c r="B11996" s="3">
        <v>45582</v>
      </c>
      <c r="G11996" s="2">
        <f t="shared" si="187"/>
        <v>0</v>
      </c>
      <c r="H11996" t="s">
        <v>14</v>
      </c>
    </row>
    <row r="11997" spans="2:8" x14ac:dyDescent="0.2">
      <c r="B11997" s="3">
        <v>45582</v>
      </c>
      <c r="D11997" s="28"/>
      <c r="G11997" s="2">
        <f t="shared" si="187"/>
        <v>0</v>
      </c>
      <c r="H11997" t="s">
        <v>13</v>
      </c>
    </row>
    <row r="11998" spans="2:8" x14ac:dyDescent="0.2">
      <c r="B11998" s="3">
        <v>45582</v>
      </c>
      <c r="D11998" s="28"/>
      <c r="G11998" s="2">
        <f t="shared" si="187"/>
        <v>0</v>
      </c>
      <c r="H11998" t="s">
        <v>26</v>
      </c>
    </row>
    <row r="11999" spans="2:8" x14ac:dyDescent="0.2">
      <c r="B11999" s="3">
        <v>45582</v>
      </c>
      <c r="G11999" s="2">
        <f t="shared" si="187"/>
        <v>0</v>
      </c>
      <c r="H11999" t="s">
        <v>25</v>
      </c>
    </row>
    <row r="12000" spans="2:8" x14ac:dyDescent="0.2">
      <c r="B12000" s="3">
        <v>45582</v>
      </c>
      <c r="G12000" s="2">
        <f t="shared" si="187"/>
        <v>0</v>
      </c>
      <c r="H12000" t="s">
        <v>9</v>
      </c>
    </row>
    <row r="12001" spans="2:8" x14ac:dyDescent="0.2">
      <c r="B12001" s="3">
        <v>45582</v>
      </c>
      <c r="G12001" s="2">
        <f t="shared" si="187"/>
        <v>0</v>
      </c>
      <c r="H12001" t="s">
        <v>8</v>
      </c>
    </row>
    <row r="12002" spans="2:8" x14ac:dyDescent="0.2">
      <c r="B12002" s="3">
        <v>45582</v>
      </c>
      <c r="G12002" s="2">
        <f t="shared" si="187"/>
        <v>0</v>
      </c>
      <c r="H12002" t="s">
        <v>5</v>
      </c>
    </row>
    <row r="12003" spans="2:8" x14ac:dyDescent="0.2">
      <c r="B12003" s="3">
        <v>45582</v>
      </c>
      <c r="G12003" s="2">
        <f t="shared" si="187"/>
        <v>0</v>
      </c>
      <c r="H12003" s="1"/>
    </row>
    <row r="12004" spans="2:8" x14ac:dyDescent="0.2">
      <c r="B12004" s="3">
        <v>45582</v>
      </c>
      <c r="G12004" s="2">
        <f t="shared" si="187"/>
        <v>0</v>
      </c>
      <c r="H12004" t="s">
        <v>0</v>
      </c>
    </row>
    <row r="12005" spans="2:8" x14ac:dyDescent="0.2">
      <c r="B12005" s="3">
        <v>45583</v>
      </c>
      <c r="G12005" s="2">
        <f t="shared" si="187"/>
        <v>0</v>
      </c>
      <c r="H12005" t="s">
        <v>14</v>
      </c>
    </row>
    <row r="12006" spans="2:8" x14ac:dyDescent="0.2">
      <c r="B12006" s="3">
        <v>45583</v>
      </c>
      <c r="D12006" s="28"/>
      <c r="G12006" s="2">
        <f t="shared" si="187"/>
        <v>0</v>
      </c>
      <c r="H12006" t="s">
        <v>13</v>
      </c>
    </row>
    <row r="12007" spans="2:8" x14ac:dyDescent="0.2">
      <c r="B12007" s="3">
        <v>45583</v>
      </c>
      <c r="D12007" s="28"/>
      <c r="G12007" s="2">
        <f t="shared" si="187"/>
        <v>0</v>
      </c>
      <c r="H12007" t="s">
        <v>26</v>
      </c>
    </row>
    <row r="12008" spans="2:8" x14ac:dyDescent="0.2">
      <c r="B12008" s="3">
        <v>45583</v>
      </c>
      <c r="G12008" s="2">
        <f t="shared" si="187"/>
        <v>0</v>
      </c>
      <c r="H12008" t="s">
        <v>25</v>
      </c>
    </row>
    <row r="12009" spans="2:8" x14ac:dyDescent="0.2">
      <c r="B12009" s="3">
        <v>45583</v>
      </c>
      <c r="G12009" s="2">
        <f t="shared" si="187"/>
        <v>0</v>
      </c>
      <c r="H12009" t="s">
        <v>9</v>
      </c>
    </row>
    <row r="12010" spans="2:8" x14ac:dyDescent="0.2">
      <c r="B12010" s="3">
        <v>45583</v>
      </c>
      <c r="G12010" s="2">
        <f t="shared" si="187"/>
        <v>0</v>
      </c>
      <c r="H12010" t="s">
        <v>8</v>
      </c>
    </row>
    <row r="12011" spans="2:8" x14ac:dyDescent="0.2">
      <c r="B12011" s="3">
        <v>45583</v>
      </c>
      <c r="G12011" s="2">
        <f t="shared" si="187"/>
        <v>0</v>
      </c>
      <c r="H12011" t="s">
        <v>5</v>
      </c>
    </row>
    <row r="12012" spans="2:8" x14ac:dyDescent="0.2">
      <c r="B12012" s="3">
        <v>45583</v>
      </c>
      <c r="G12012" s="2">
        <f t="shared" si="187"/>
        <v>0</v>
      </c>
      <c r="H12012" s="1"/>
    </row>
    <row r="12013" spans="2:8" x14ac:dyDescent="0.2">
      <c r="B12013" s="3">
        <v>45583</v>
      </c>
      <c r="F12013" s="1">
        <v>140000</v>
      </c>
      <c r="G12013" s="2">
        <f t="shared" si="187"/>
        <v>-140000</v>
      </c>
      <c r="H12013" t="s">
        <v>0</v>
      </c>
    </row>
    <row r="12014" spans="2:8" x14ac:dyDescent="0.2">
      <c r="B12014" s="3">
        <v>45584</v>
      </c>
      <c r="F12014" s="1">
        <v>7000</v>
      </c>
      <c r="G12014" s="2">
        <f t="shared" si="187"/>
        <v>-7000</v>
      </c>
      <c r="H12014" t="s">
        <v>14</v>
      </c>
    </row>
    <row r="12015" spans="2:8" x14ac:dyDescent="0.2">
      <c r="B12015" s="3">
        <v>45584</v>
      </c>
      <c r="D12015" s="28"/>
      <c r="G12015" s="2">
        <f t="shared" si="187"/>
        <v>0</v>
      </c>
      <c r="H12015" t="s">
        <v>13</v>
      </c>
    </row>
    <row r="12016" spans="2:8" x14ac:dyDescent="0.2">
      <c r="B12016" s="3">
        <v>45584</v>
      </c>
      <c r="D12016" s="28"/>
      <c r="G12016" s="2">
        <f t="shared" si="187"/>
        <v>0</v>
      </c>
      <c r="H12016" t="s">
        <v>26</v>
      </c>
    </row>
    <row r="12017" spans="2:8" x14ac:dyDescent="0.2">
      <c r="B12017" s="3">
        <v>45584</v>
      </c>
      <c r="G12017" s="2">
        <f t="shared" si="187"/>
        <v>0</v>
      </c>
      <c r="H12017" t="s">
        <v>25</v>
      </c>
    </row>
    <row r="12018" spans="2:8" x14ac:dyDescent="0.2">
      <c r="B12018" s="3">
        <v>45584</v>
      </c>
      <c r="G12018" s="2">
        <f t="shared" si="187"/>
        <v>0</v>
      </c>
      <c r="H12018" t="s">
        <v>9</v>
      </c>
    </row>
    <row r="12019" spans="2:8" x14ac:dyDescent="0.2">
      <c r="B12019" s="3">
        <v>45584</v>
      </c>
      <c r="G12019" s="2">
        <f t="shared" si="187"/>
        <v>0</v>
      </c>
      <c r="H12019" t="s">
        <v>8</v>
      </c>
    </row>
    <row r="12020" spans="2:8" x14ac:dyDescent="0.2">
      <c r="B12020" s="3">
        <v>45584</v>
      </c>
      <c r="G12020" s="2">
        <f t="shared" si="187"/>
        <v>0</v>
      </c>
      <c r="H12020" t="s">
        <v>5</v>
      </c>
    </row>
    <row r="12021" spans="2:8" x14ac:dyDescent="0.2">
      <c r="B12021" s="3">
        <v>45584</v>
      </c>
      <c r="G12021" s="2">
        <f t="shared" si="187"/>
        <v>0</v>
      </c>
      <c r="H12021" s="1"/>
    </row>
    <row r="12022" spans="2:8" x14ac:dyDescent="0.2">
      <c r="B12022" s="3">
        <v>45584</v>
      </c>
      <c r="G12022" s="2">
        <f t="shared" si="187"/>
        <v>0</v>
      </c>
      <c r="H12022" t="s">
        <v>0</v>
      </c>
    </row>
    <row r="12023" spans="2:8" x14ac:dyDescent="0.2">
      <c r="B12023" s="3">
        <v>45585</v>
      </c>
      <c r="G12023" s="2">
        <f t="shared" si="187"/>
        <v>0</v>
      </c>
      <c r="H12023" t="s">
        <v>14</v>
      </c>
    </row>
    <row r="12024" spans="2:8" x14ac:dyDescent="0.2">
      <c r="B12024" s="3">
        <v>45585</v>
      </c>
      <c r="D12024" s="28"/>
      <c r="F12024" s="1">
        <v>10000</v>
      </c>
      <c r="G12024" s="2">
        <f t="shared" si="187"/>
        <v>-10000</v>
      </c>
      <c r="H12024" t="s">
        <v>13</v>
      </c>
    </row>
    <row r="12025" spans="2:8" x14ac:dyDescent="0.2">
      <c r="B12025" s="3">
        <v>45585</v>
      </c>
      <c r="D12025" s="28"/>
      <c r="G12025" s="2">
        <f t="shared" si="187"/>
        <v>0</v>
      </c>
      <c r="H12025" t="s">
        <v>26</v>
      </c>
    </row>
    <row r="12026" spans="2:8" x14ac:dyDescent="0.2">
      <c r="B12026" s="3">
        <v>45585</v>
      </c>
      <c r="G12026" s="2">
        <f t="shared" si="187"/>
        <v>0</v>
      </c>
      <c r="H12026" t="s">
        <v>25</v>
      </c>
    </row>
    <row r="12027" spans="2:8" x14ac:dyDescent="0.2">
      <c r="B12027" s="3">
        <v>45585</v>
      </c>
      <c r="G12027" s="2">
        <f t="shared" si="187"/>
        <v>0</v>
      </c>
      <c r="H12027" t="s">
        <v>9</v>
      </c>
    </row>
    <row r="12028" spans="2:8" x14ac:dyDescent="0.2">
      <c r="B12028" s="3">
        <v>45585</v>
      </c>
      <c r="G12028" s="2">
        <f t="shared" si="187"/>
        <v>0</v>
      </c>
      <c r="H12028" t="s">
        <v>8</v>
      </c>
    </row>
    <row r="12029" spans="2:8" x14ac:dyDescent="0.2">
      <c r="B12029" s="3">
        <v>45585</v>
      </c>
      <c r="G12029" s="2">
        <f t="shared" si="187"/>
        <v>0</v>
      </c>
      <c r="H12029" t="s">
        <v>5</v>
      </c>
    </row>
    <row r="12030" spans="2:8" x14ac:dyDescent="0.2">
      <c r="B12030" s="3">
        <v>45585</v>
      </c>
      <c r="G12030" s="2">
        <f t="shared" si="187"/>
        <v>0</v>
      </c>
      <c r="H12030" s="1"/>
    </row>
    <row r="12031" spans="2:8" x14ac:dyDescent="0.2">
      <c r="B12031" s="3">
        <v>45585</v>
      </c>
      <c r="G12031" s="2">
        <f t="shared" si="187"/>
        <v>0</v>
      </c>
      <c r="H12031" t="s">
        <v>0</v>
      </c>
    </row>
    <row r="12032" spans="2:8" x14ac:dyDescent="0.2">
      <c r="B12032" s="3">
        <v>45586</v>
      </c>
      <c r="G12032" s="2">
        <f t="shared" si="187"/>
        <v>0</v>
      </c>
      <c r="H12032" t="s">
        <v>14</v>
      </c>
    </row>
    <row r="12033" spans="2:8" x14ac:dyDescent="0.2">
      <c r="B12033" s="3">
        <v>45586</v>
      </c>
      <c r="D12033" s="28"/>
      <c r="G12033" s="2">
        <f t="shared" si="187"/>
        <v>0</v>
      </c>
      <c r="H12033" t="s">
        <v>13</v>
      </c>
    </row>
    <row r="12034" spans="2:8" x14ac:dyDescent="0.2">
      <c r="B12034" s="3">
        <v>45586</v>
      </c>
      <c r="D12034" s="28"/>
      <c r="G12034" s="2">
        <f t="shared" si="187"/>
        <v>0</v>
      </c>
      <c r="H12034" t="s">
        <v>26</v>
      </c>
    </row>
    <row r="12035" spans="2:8" x14ac:dyDescent="0.2">
      <c r="B12035" s="3">
        <v>45586</v>
      </c>
      <c r="G12035" s="2">
        <f t="shared" ref="G12035:G12098" si="188">E12035-F12035</f>
        <v>0</v>
      </c>
      <c r="H12035" t="s">
        <v>25</v>
      </c>
    </row>
    <row r="12036" spans="2:8" x14ac:dyDescent="0.2">
      <c r="B12036" s="3">
        <v>45586</v>
      </c>
      <c r="G12036" s="2">
        <f t="shared" si="188"/>
        <v>0</v>
      </c>
      <c r="H12036" t="s">
        <v>9</v>
      </c>
    </row>
    <row r="12037" spans="2:8" x14ac:dyDescent="0.2">
      <c r="B12037" s="3">
        <v>45586</v>
      </c>
      <c r="D12037" s="1">
        <v>87120</v>
      </c>
      <c r="E12037" s="1">
        <v>94130</v>
      </c>
      <c r="F12037" s="1">
        <v>47000</v>
      </c>
      <c r="G12037" s="2">
        <f t="shared" si="188"/>
        <v>47130</v>
      </c>
      <c r="H12037" t="s">
        <v>8</v>
      </c>
    </row>
    <row r="12038" spans="2:8" x14ac:dyDescent="0.2">
      <c r="B12038" s="3">
        <v>45586</v>
      </c>
      <c r="G12038" s="2">
        <f t="shared" si="188"/>
        <v>0</v>
      </c>
      <c r="H12038" t="s">
        <v>5</v>
      </c>
    </row>
    <row r="12039" spans="2:8" x14ac:dyDescent="0.2">
      <c r="B12039" s="3">
        <v>45586</v>
      </c>
      <c r="G12039" s="2">
        <f t="shared" si="188"/>
        <v>0</v>
      </c>
      <c r="H12039" s="1"/>
    </row>
    <row r="12040" spans="2:8" x14ac:dyDescent="0.2">
      <c r="B12040" s="3">
        <v>45586</v>
      </c>
      <c r="F12040" s="1">
        <v>30000</v>
      </c>
      <c r="G12040" s="2">
        <f t="shared" si="188"/>
        <v>-30000</v>
      </c>
      <c r="H12040" t="s">
        <v>0</v>
      </c>
    </row>
    <row r="12041" spans="2:8" x14ac:dyDescent="0.2">
      <c r="B12041" s="3">
        <v>45587</v>
      </c>
      <c r="G12041" s="2">
        <f t="shared" si="188"/>
        <v>0</v>
      </c>
      <c r="H12041" t="s">
        <v>14</v>
      </c>
    </row>
    <row r="12042" spans="2:8" x14ac:dyDescent="0.2">
      <c r="B12042" s="3">
        <v>45587</v>
      </c>
      <c r="D12042" s="28"/>
      <c r="G12042" s="2">
        <f t="shared" si="188"/>
        <v>0</v>
      </c>
      <c r="H12042" t="s">
        <v>13</v>
      </c>
    </row>
    <row r="12043" spans="2:8" x14ac:dyDescent="0.2">
      <c r="B12043" s="3">
        <v>45587</v>
      </c>
      <c r="D12043" s="28"/>
      <c r="G12043" s="2">
        <f t="shared" si="188"/>
        <v>0</v>
      </c>
      <c r="H12043" t="s">
        <v>26</v>
      </c>
    </row>
    <row r="12044" spans="2:8" x14ac:dyDescent="0.2">
      <c r="B12044" s="3">
        <v>45587</v>
      </c>
      <c r="G12044" s="2">
        <f t="shared" si="188"/>
        <v>0</v>
      </c>
      <c r="H12044" t="s">
        <v>25</v>
      </c>
    </row>
    <row r="12045" spans="2:8" x14ac:dyDescent="0.2">
      <c r="B12045" s="3">
        <v>45587</v>
      </c>
      <c r="G12045" s="2">
        <f t="shared" si="188"/>
        <v>0</v>
      </c>
      <c r="H12045" t="s">
        <v>9</v>
      </c>
    </row>
    <row r="12046" spans="2:8" x14ac:dyDescent="0.2">
      <c r="B12046" s="3">
        <v>45587</v>
      </c>
      <c r="G12046" s="2">
        <f t="shared" si="188"/>
        <v>0</v>
      </c>
      <c r="H12046" t="s">
        <v>8</v>
      </c>
    </row>
    <row r="12047" spans="2:8" x14ac:dyDescent="0.2">
      <c r="B12047" s="3">
        <v>45587</v>
      </c>
      <c r="G12047" s="2">
        <f t="shared" si="188"/>
        <v>0</v>
      </c>
      <c r="H12047" t="s">
        <v>5</v>
      </c>
    </row>
    <row r="12048" spans="2:8" x14ac:dyDescent="0.2">
      <c r="B12048" s="3">
        <v>45587</v>
      </c>
      <c r="G12048" s="2">
        <f t="shared" si="188"/>
        <v>0</v>
      </c>
      <c r="H12048" s="1"/>
    </row>
    <row r="12049" spans="2:8" x14ac:dyDescent="0.2">
      <c r="B12049" s="3">
        <v>45587</v>
      </c>
      <c r="G12049" s="2">
        <f t="shared" si="188"/>
        <v>0</v>
      </c>
      <c r="H12049" t="s">
        <v>0</v>
      </c>
    </row>
    <row r="12050" spans="2:8" ht="22" x14ac:dyDescent="0.2">
      <c r="B12050" s="14">
        <v>45588</v>
      </c>
      <c r="D12050" s="1">
        <v>16404.02</v>
      </c>
      <c r="E12050" s="1">
        <v>18080.400000000001</v>
      </c>
      <c r="F12050" s="1">
        <v>10000</v>
      </c>
      <c r="G12050" s="2">
        <f t="shared" si="188"/>
        <v>8080.4000000000015</v>
      </c>
      <c r="H12050" t="s">
        <v>14</v>
      </c>
    </row>
    <row r="12051" spans="2:8" x14ac:dyDescent="0.2">
      <c r="B12051" s="3">
        <v>45588</v>
      </c>
      <c r="D12051" s="28"/>
      <c r="F12051" s="32"/>
      <c r="G12051" s="2">
        <f t="shared" si="188"/>
        <v>0</v>
      </c>
      <c r="H12051" t="s">
        <v>13</v>
      </c>
    </row>
    <row r="12052" spans="2:8" x14ac:dyDescent="0.2">
      <c r="B12052" s="3">
        <v>45588</v>
      </c>
      <c r="D12052" s="28"/>
      <c r="G12052" s="2">
        <f t="shared" si="188"/>
        <v>0</v>
      </c>
      <c r="H12052" t="s">
        <v>26</v>
      </c>
    </row>
    <row r="12053" spans="2:8" x14ac:dyDescent="0.2">
      <c r="B12053" s="3">
        <v>45588</v>
      </c>
      <c r="G12053" s="2">
        <f t="shared" si="188"/>
        <v>0</v>
      </c>
      <c r="H12053" t="s">
        <v>25</v>
      </c>
    </row>
    <row r="12054" spans="2:8" x14ac:dyDescent="0.2">
      <c r="B12054" s="3">
        <v>45588</v>
      </c>
      <c r="D12054" s="1">
        <v>46200</v>
      </c>
      <c r="E12054" s="1">
        <v>48710</v>
      </c>
      <c r="F12054" s="1">
        <v>10000</v>
      </c>
      <c r="G12054" s="2">
        <f t="shared" si="188"/>
        <v>38710</v>
      </c>
      <c r="H12054" t="s">
        <v>9</v>
      </c>
    </row>
    <row r="12055" spans="2:8" x14ac:dyDescent="0.2">
      <c r="B12055" s="3">
        <v>45588</v>
      </c>
      <c r="G12055" s="2">
        <f t="shared" si="188"/>
        <v>0</v>
      </c>
      <c r="H12055" t="s">
        <v>8</v>
      </c>
    </row>
    <row r="12056" spans="2:8" x14ac:dyDescent="0.2">
      <c r="B12056" s="3">
        <v>45588</v>
      </c>
      <c r="G12056" s="2">
        <f t="shared" si="188"/>
        <v>0</v>
      </c>
      <c r="H12056" t="s">
        <v>5</v>
      </c>
    </row>
    <row r="12057" spans="2:8" x14ac:dyDescent="0.2">
      <c r="B12057" s="3">
        <v>45588</v>
      </c>
      <c r="G12057" s="2">
        <f t="shared" si="188"/>
        <v>0</v>
      </c>
      <c r="H12057" s="1"/>
    </row>
    <row r="12058" spans="2:8" x14ac:dyDescent="0.2">
      <c r="B12058" s="3">
        <v>45588</v>
      </c>
      <c r="G12058" s="2">
        <f t="shared" si="188"/>
        <v>0</v>
      </c>
      <c r="H12058" t="s">
        <v>0</v>
      </c>
    </row>
    <row r="12059" spans="2:8" x14ac:dyDescent="0.2">
      <c r="B12059" s="3">
        <v>45589</v>
      </c>
      <c r="G12059" s="2">
        <f t="shared" si="188"/>
        <v>0</v>
      </c>
      <c r="H12059" t="s">
        <v>14</v>
      </c>
    </row>
    <row r="12060" spans="2:8" x14ac:dyDescent="0.2">
      <c r="B12060" s="3">
        <v>45589</v>
      </c>
      <c r="D12060" s="28"/>
      <c r="G12060" s="2">
        <f t="shared" si="188"/>
        <v>0</v>
      </c>
      <c r="H12060" t="s">
        <v>13</v>
      </c>
    </row>
    <row r="12061" spans="2:8" x14ac:dyDescent="0.2">
      <c r="B12061" s="3">
        <v>45589</v>
      </c>
      <c r="D12061" s="28"/>
      <c r="G12061" s="2">
        <f t="shared" si="188"/>
        <v>0</v>
      </c>
      <c r="H12061" t="s">
        <v>26</v>
      </c>
    </row>
    <row r="12062" spans="2:8" x14ac:dyDescent="0.2">
      <c r="B12062" s="3">
        <v>45589</v>
      </c>
      <c r="G12062" s="2">
        <f t="shared" si="188"/>
        <v>0</v>
      </c>
      <c r="H12062" t="s">
        <v>25</v>
      </c>
    </row>
    <row r="12063" spans="2:8" x14ac:dyDescent="0.2">
      <c r="B12063" s="3">
        <v>45589</v>
      </c>
      <c r="G12063" s="2">
        <f t="shared" si="188"/>
        <v>0</v>
      </c>
      <c r="H12063" t="s">
        <v>9</v>
      </c>
    </row>
    <row r="12064" spans="2:8" x14ac:dyDescent="0.2">
      <c r="B12064" s="3">
        <v>45589</v>
      </c>
      <c r="G12064" s="2">
        <f t="shared" si="188"/>
        <v>0</v>
      </c>
      <c r="H12064" t="s">
        <v>8</v>
      </c>
    </row>
    <row r="12065" spans="2:8" x14ac:dyDescent="0.2">
      <c r="B12065" s="3">
        <v>45589</v>
      </c>
      <c r="G12065" s="2">
        <f t="shared" si="188"/>
        <v>0</v>
      </c>
      <c r="H12065" t="s">
        <v>5</v>
      </c>
    </row>
    <row r="12066" spans="2:8" x14ac:dyDescent="0.2">
      <c r="B12066" s="3">
        <v>45589</v>
      </c>
      <c r="G12066" s="2">
        <f t="shared" si="188"/>
        <v>0</v>
      </c>
      <c r="H12066" s="1"/>
    </row>
    <row r="12067" spans="2:8" x14ac:dyDescent="0.2">
      <c r="B12067" s="3">
        <v>45589</v>
      </c>
      <c r="G12067" s="2">
        <f t="shared" si="188"/>
        <v>0</v>
      </c>
      <c r="H12067" t="s">
        <v>0</v>
      </c>
    </row>
    <row r="12068" spans="2:8" x14ac:dyDescent="0.2">
      <c r="B12068" s="3">
        <v>45590</v>
      </c>
      <c r="G12068" s="2">
        <f t="shared" si="188"/>
        <v>0</v>
      </c>
      <c r="H12068" t="s">
        <v>14</v>
      </c>
    </row>
    <row r="12069" spans="2:8" x14ac:dyDescent="0.2">
      <c r="B12069" s="3">
        <v>45590</v>
      </c>
      <c r="D12069" s="28"/>
      <c r="G12069" s="2">
        <f t="shared" si="188"/>
        <v>0</v>
      </c>
      <c r="H12069" t="s">
        <v>13</v>
      </c>
    </row>
    <row r="12070" spans="2:8" x14ac:dyDescent="0.2">
      <c r="B12070" s="3">
        <v>45590</v>
      </c>
      <c r="D12070" s="28"/>
      <c r="G12070" s="2">
        <f t="shared" si="188"/>
        <v>0</v>
      </c>
      <c r="H12070" t="s">
        <v>26</v>
      </c>
    </row>
    <row r="12071" spans="2:8" x14ac:dyDescent="0.2">
      <c r="B12071" s="3">
        <v>45590</v>
      </c>
      <c r="G12071" s="2">
        <f t="shared" si="188"/>
        <v>0</v>
      </c>
      <c r="H12071" t="s">
        <v>25</v>
      </c>
    </row>
    <row r="12072" spans="2:8" x14ac:dyDescent="0.2">
      <c r="B12072" s="3">
        <v>45590</v>
      </c>
      <c r="G12072" s="2">
        <f t="shared" si="188"/>
        <v>0</v>
      </c>
      <c r="H12072" t="s">
        <v>9</v>
      </c>
    </row>
    <row r="12073" spans="2:8" x14ac:dyDescent="0.2">
      <c r="B12073" s="3">
        <v>45590</v>
      </c>
      <c r="G12073" s="2">
        <f t="shared" si="188"/>
        <v>0</v>
      </c>
      <c r="H12073" t="s">
        <v>8</v>
      </c>
    </row>
    <row r="12074" spans="2:8" x14ac:dyDescent="0.2">
      <c r="B12074" s="3">
        <v>45590</v>
      </c>
      <c r="G12074" s="2">
        <f t="shared" si="188"/>
        <v>0</v>
      </c>
      <c r="H12074" t="s">
        <v>5</v>
      </c>
    </row>
    <row r="12075" spans="2:8" x14ac:dyDescent="0.2">
      <c r="B12075" s="3">
        <v>45590</v>
      </c>
      <c r="G12075" s="2">
        <f t="shared" si="188"/>
        <v>0</v>
      </c>
      <c r="H12075" s="1"/>
    </row>
    <row r="12076" spans="2:8" x14ac:dyDescent="0.2">
      <c r="B12076" s="3">
        <v>45590</v>
      </c>
      <c r="D12076" s="1">
        <v>236644.77499999997</v>
      </c>
      <c r="E12076" s="1">
        <v>243526.98999999996</v>
      </c>
      <c r="G12076" s="2">
        <f t="shared" si="188"/>
        <v>243526.98999999996</v>
      </c>
      <c r="H12076" t="s">
        <v>0</v>
      </c>
    </row>
    <row r="12077" spans="2:8" x14ac:dyDescent="0.2">
      <c r="B12077" s="3">
        <v>45591</v>
      </c>
      <c r="G12077" s="2">
        <f t="shared" si="188"/>
        <v>0</v>
      </c>
      <c r="H12077" t="s">
        <v>14</v>
      </c>
    </row>
    <row r="12078" spans="2:8" x14ac:dyDescent="0.2">
      <c r="B12078" s="3">
        <v>45591</v>
      </c>
      <c r="D12078" s="28"/>
      <c r="G12078" s="2">
        <f t="shared" si="188"/>
        <v>0</v>
      </c>
      <c r="H12078" t="s">
        <v>13</v>
      </c>
    </row>
    <row r="12079" spans="2:8" x14ac:dyDescent="0.2">
      <c r="B12079" s="3">
        <v>45591</v>
      </c>
      <c r="D12079" s="28"/>
      <c r="G12079" s="2">
        <f t="shared" si="188"/>
        <v>0</v>
      </c>
      <c r="H12079" t="s">
        <v>26</v>
      </c>
    </row>
    <row r="12080" spans="2:8" x14ac:dyDescent="0.2">
      <c r="B12080" s="3">
        <v>45591</v>
      </c>
      <c r="G12080" s="2">
        <f t="shared" si="188"/>
        <v>0</v>
      </c>
      <c r="H12080" t="s">
        <v>25</v>
      </c>
    </row>
    <row r="12081" spans="2:8" x14ac:dyDescent="0.2">
      <c r="B12081" s="3">
        <v>45591</v>
      </c>
      <c r="G12081" s="2">
        <f t="shared" si="188"/>
        <v>0</v>
      </c>
      <c r="H12081" t="s">
        <v>9</v>
      </c>
    </row>
    <row r="12082" spans="2:8" x14ac:dyDescent="0.2">
      <c r="B12082" s="3">
        <v>45591</v>
      </c>
      <c r="G12082" s="2">
        <f t="shared" si="188"/>
        <v>0</v>
      </c>
      <c r="H12082" t="s">
        <v>8</v>
      </c>
    </row>
    <row r="12083" spans="2:8" x14ac:dyDescent="0.2">
      <c r="B12083" s="3">
        <v>45591</v>
      </c>
      <c r="G12083" s="2">
        <f t="shared" si="188"/>
        <v>0</v>
      </c>
      <c r="H12083" t="s">
        <v>5</v>
      </c>
    </row>
    <row r="12084" spans="2:8" x14ac:dyDescent="0.2">
      <c r="B12084" s="3">
        <v>45591</v>
      </c>
      <c r="G12084" s="2">
        <f t="shared" si="188"/>
        <v>0</v>
      </c>
      <c r="H12084" s="1"/>
    </row>
    <row r="12085" spans="2:8" x14ac:dyDescent="0.2">
      <c r="B12085" s="3">
        <v>45591</v>
      </c>
      <c r="G12085" s="2">
        <f t="shared" si="188"/>
        <v>0</v>
      </c>
      <c r="H12085" t="s">
        <v>0</v>
      </c>
    </row>
    <row r="12086" spans="2:8" x14ac:dyDescent="0.2">
      <c r="B12086" s="3">
        <v>45592</v>
      </c>
      <c r="G12086" s="2">
        <f t="shared" si="188"/>
        <v>0</v>
      </c>
      <c r="H12086" t="s">
        <v>14</v>
      </c>
    </row>
    <row r="12087" spans="2:8" x14ac:dyDescent="0.2">
      <c r="B12087" s="3">
        <v>45592</v>
      </c>
      <c r="D12087" s="28"/>
      <c r="G12087" s="2">
        <f t="shared" si="188"/>
        <v>0</v>
      </c>
      <c r="H12087" t="s">
        <v>13</v>
      </c>
    </row>
    <row r="12088" spans="2:8" x14ac:dyDescent="0.2">
      <c r="B12088" s="3">
        <v>45592</v>
      </c>
      <c r="D12088" s="28"/>
      <c r="G12088" s="2">
        <f t="shared" si="188"/>
        <v>0</v>
      </c>
      <c r="H12088" t="s">
        <v>26</v>
      </c>
    </row>
    <row r="12089" spans="2:8" x14ac:dyDescent="0.2">
      <c r="B12089" s="3">
        <v>45592</v>
      </c>
      <c r="G12089" s="2">
        <f t="shared" si="188"/>
        <v>0</v>
      </c>
      <c r="H12089" t="s">
        <v>25</v>
      </c>
    </row>
    <row r="12090" spans="2:8" x14ac:dyDescent="0.2">
      <c r="B12090" s="3">
        <v>45592</v>
      </c>
      <c r="G12090" s="2">
        <f t="shared" si="188"/>
        <v>0</v>
      </c>
      <c r="H12090" t="s">
        <v>9</v>
      </c>
    </row>
    <row r="12091" spans="2:8" x14ac:dyDescent="0.2">
      <c r="B12091" s="3">
        <v>45592</v>
      </c>
      <c r="G12091" s="2">
        <f t="shared" si="188"/>
        <v>0</v>
      </c>
      <c r="H12091" t="s">
        <v>8</v>
      </c>
    </row>
    <row r="12092" spans="2:8" x14ac:dyDescent="0.2">
      <c r="B12092" s="3">
        <v>45592</v>
      </c>
      <c r="G12092" s="2">
        <f t="shared" si="188"/>
        <v>0</v>
      </c>
      <c r="H12092" t="s">
        <v>5</v>
      </c>
    </row>
    <row r="12093" spans="2:8" x14ac:dyDescent="0.2">
      <c r="B12093" s="3">
        <v>45592</v>
      </c>
      <c r="G12093" s="2">
        <f t="shared" si="188"/>
        <v>0</v>
      </c>
      <c r="H12093" s="1"/>
    </row>
    <row r="12094" spans="2:8" x14ac:dyDescent="0.2">
      <c r="B12094" s="3">
        <v>45592</v>
      </c>
      <c r="G12094" s="2">
        <f t="shared" si="188"/>
        <v>0</v>
      </c>
      <c r="H12094" t="s">
        <v>0</v>
      </c>
    </row>
    <row r="12095" spans="2:8" x14ac:dyDescent="0.2">
      <c r="B12095" s="3">
        <v>45593</v>
      </c>
      <c r="F12095" s="1">
        <v>10000</v>
      </c>
      <c r="G12095" s="2">
        <f t="shared" si="188"/>
        <v>-10000</v>
      </c>
      <c r="H12095" t="s">
        <v>14</v>
      </c>
    </row>
    <row r="12096" spans="2:8" x14ac:dyDescent="0.2">
      <c r="B12096" s="3">
        <v>45593</v>
      </c>
      <c r="D12096" s="28">
        <f>3050+102+473+127+150+1350+3334+425+2275+6650</f>
        <v>17936</v>
      </c>
      <c r="E12096" s="1">
        <v>18860</v>
      </c>
      <c r="F12096" s="32"/>
      <c r="G12096" s="2">
        <f t="shared" si="188"/>
        <v>18860</v>
      </c>
      <c r="H12096" t="s">
        <v>13</v>
      </c>
    </row>
    <row r="12097" spans="2:8" x14ac:dyDescent="0.2">
      <c r="B12097" s="3">
        <v>45593</v>
      </c>
      <c r="D12097" s="28"/>
      <c r="G12097" s="2">
        <f t="shared" si="188"/>
        <v>0</v>
      </c>
      <c r="H12097" t="s">
        <v>26</v>
      </c>
    </row>
    <row r="12098" spans="2:8" x14ac:dyDescent="0.2">
      <c r="B12098" s="3">
        <v>45593</v>
      </c>
      <c r="G12098" s="2">
        <f t="shared" si="188"/>
        <v>0</v>
      </c>
      <c r="H12098" t="s">
        <v>25</v>
      </c>
    </row>
    <row r="12099" spans="2:8" x14ac:dyDescent="0.2">
      <c r="B12099" s="3">
        <v>45593</v>
      </c>
      <c r="F12099" s="1">
        <v>10000</v>
      </c>
      <c r="G12099" s="2">
        <f t="shared" ref="G12099:G12162" si="189">E12099-F12099</f>
        <v>-10000</v>
      </c>
      <c r="H12099" t="s">
        <v>9</v>
      </c>
    </row>
    <row r="12100" spans="2:8" x14ac:dyDescent="0.2">
      <c r="B12100" s="3">
        <v>45593</v>
      </c>
      <c r="G12100" s="2">
        <f t="shared" si="189"/>
        <v>0</v>
      </c>
      <c r="H12100" t="s">
        <v>8</v>
      </c>
    </row>
    <row r="12101" spans="2:8" x14ac:dyDescent="0.2">
      <c r="B12101" s="3">
        <v>45593</v>
      </c>
      <c r="G12101" s="2">
        <f t="shared" si="189"/>
        <v>0</v>
      </c>
      <c r="H12101" t="s">
        <v>5</v>
      </c>
    </row>
    <row r="12102" spans="2:8" x14ac:dyDescent="0.2">
      <c r="B12102" s="3">
        <v>45593</v>
      </c>
      <c r="G12102" s="2">
        <f t="shared" si="189"/>
        <v>0</v>
      </c>
      <c r="H12102" s="1"/>
    </row>
    <row r="12103" spans="2:8" x14ac:dyDescent="0.2">
      <c r="B12103" s="3">
        <v>45593</v>
      </c>
      <c r="G12103" s="2">
        <f t="shared" si="189"/>
        <v>0</v>
      </c>
      <c r="H12103" t="s">
        <v>0</v>
      </c>
    </row>
    <row r="12104" spans="2:8" x14ac:dyDescent="0.2">
      <c r="B12104" s="3">
        <v>45594</v>
      </c>
      <c r="G12104" s="2">
        <f t="shared" si="189"/>
        <v>0</v>
      </c>
      <c r="H12104" t="s">
        <v>14</v>
      </c>
    </row>
    <row r="12105" spans="2:8" x14ac:dyDescent="0.2">
      <c r="B12105" s="3">
        <v>45594</v>
      </c>
      <c r="D12105" s="28"/>
      <c r="G12105" s="2">
        <f t="shared" si="189"/>
        <v>0</v>
      </c>
      <c r="H12105" t="s">
        <v>13</v>
      </c>
    </row>
    <row r="12106" spans="2:8" x14ac:dyDescent="0.2">
      <c r="B12106" s="3">
        <v>45594</v>
      </c>
      <c r="D12106" s="28"/>
      <c r="G12106" s="2">
        <f t="shared" si="189"/>
        <v>0</v>
      </c>
      <c r="H12106" t="s">
        <v>26</v>
      </c>
    </row>
    <row r="12107" spans="2:8" x14ac:dyDescent="0.2">
      <c r="B12107" s="3">
        <v>45594</v>
      </c>
      <c r="G12107" s="2">
        <f t="shared" si="189"/>
        <v>0</v>
      </c>
      <c r="H12107" t="s">
        <v>25</v>
      </c>
    </row>
    <row r="12108" spans="2:8" x14ac:dyDescent="0.2">
      <c r="B12108" s="3">
        <v>45594</v>
      </c>
      <c r="G12108" s="2">
        <f t="shared" si="189"/>
        <v>0</v>
      </c>
      <c r="H12108" t="s">
        <v>9</v>
      </c>
    </row>
    <row r="12109" spans="2:8" x14ac:dyDescent="0.2">
      <c r="B12109" s="3">
        <v>45594</v>
      </c>
      <c r="G12109" s="2">
        <f t="shared" si="189"/>
        <v>0</v>
      </c>
      <c r="H12109" t="s">
        <v>8</v>
      </c>
    </row>
    <row r="12110" spans="2:8" x14ac:dyDescent="0.2">
      <c r="B12110" s="3">
        <v>45594</v>
      </c>
      <c r="G12110" s="2">
        <f t="shared" si="189"/>
        <v>0</v>
      </c>
      <c r="H12110" t="s">
        <v>5</v>
      </c>
    </row>
    <row r="12111" spans="2:8" x14ac:dyDescent="0.2">
      <c r="B12111" s="3">
        <v>45594</v>
      </c>
      <c r="G12111" s="2">
        <f t="shared" si="189"/>
        <v>0</v>
      </c>
      <c r="H12111" s="1"/>
    </row>
    <row r="12112" spans="2:8" x14ac:dyDescent="0.2">
      <c r="B12112" s="3">
        <v>45594</v>
      </c>
      <c r="F12112" s="1">
        <v>110000</v>
      </c>
      <c r="G12112" s="2">
        <f t="shared" si="189"/>
        <v>-110000</v>
      </c>
      <c r="H12112" t="s">
        <v>0</v>
      </c>
    </row>
    <row r="12113" spans="2:8" x14ac:dyDescent="0.2">
      <c r="B12113" s="3">
        <v>45595</v>
      </c>
      <c r="G12113" s="2">
        <f t="shared" si="189"/>
        <v>0</v>
      </c>
      <c r="H12113" t="s">
        <v>14</v>
      </c>
    </row>
    <row r="12114" spans="2:8" x14ac:dyDescent="0.2">
      <c r="B12114" s="3">
        <v>45595</v>
      </c>
      <c r="D12114" s="28"/>
      <c r="G12114" s="2">
        <f t="shared" si="189"/>
        <v>0</v>
      </c>
      <c r="H12114" t="s">
        <v>13</v>
      </c>
    </row>
    <row r="12115" spans="2:8" x14ac:dyDescent="0.2">
      <c r="B12115" s="3">
        <v>45595</v>
      </c>
      <c r="D12115" s="28"/>
      <c r="G12115" s="2">
        <f t="shared" si="189"/>
        <v>0</v>
      </c>
      <c r="H12115" t="s">
        <v>26</v>
      </c>
    </row>
    <row r="12116" spans="2:8" x14ac:dyDescent="0.2">
      <c r="B12116" s="3">
        <v>45595</v>
      </c>
      <c r="G12116" s="2">
        <f t="shared" si="189"/>
        <v>0</v>
      </c>
      <c r="H12116" t="s">
        <v>25</v>
      </c>
    </row>
    <row r="12117" spans="2:8" x14ac:dyDescent="0.2">
      <c r="B12117" s="3">
        <v>45595</v>
      </c>
      <c r="G12117" s="2">
        <f t="shared" si="189"/>
        <v>0</v>
      </c>
      <c r="H12117" t="s">
        <v>9</v>
      </c>
    </row>
    <row r="12118" spans="2:8" x14ac:dyDescent="0.2">
      <c r="B12118" s="3">
        <v>45595</v>
      </c>
      <c r="G12118" s="2">
        <f t="shared" si="189"/>
        <v>0</v>
      </c>
      <c r="H12118" t="s">
        <v>8</v>
      </c>
    </row>
    <row r="12119" spans="2:8" x14ac:dyDescent="0.2">
      <c r="B12119" s="3">
        <v>45595</v>
      </c>
      <c r="G12119" s="2">
        <f t="shared" si="189"/>
        <v>0</v>
      </c>
      <c r="H12119" t="s">
        <v>5</v>
      </c>
    </row>
    <row r="12120" spans="2:8" x14ac:dyDescent="0.2">
      <c r="B12120" s="3">
        <v>45595</v>
      </c>
      <c r="G12120" s="2">
        <f t="shared" si="189"/>
        <v>0</v>
      </c>
      <c r="H12120" s="1"/>
    </row>
    <row r="12121" spans="2:8" x14ac:dyDescent="0.2">
      <c r="B12121" s="3">
        <v>45595</v>
      </c>
      <c r="G12121" s="2">
        <f t="shared" si="189"/>
        <v>0</v>
      </c>
      <c r="H12121" t="s">
        <v>0</v>
      </c>
    </row>
    <row r="12122" spans="2:8" x14ac:dyDescent="0.2">
      <c r="B12122" s="3">
        <v>45596</v>
      </c>
      <c r="G12122" s="2">
        <f t="shared" si="189"/>
        <v>0</v>
      </c>
      <c r="H12122" t="s">
        <v>14</v>
      </c>
    </row>
    <row r="12123" spans="2:8" x14ac:dyDescent="0.2">
      <c r="B12123" s="3">
        <v>45596</v>
      </c>
      <c r="D12123" s="28"/>
      <c r="G12123" s="2">
        <f t="shared" si="189"/>
        <v>0</v>
      </c>
      <c r="H12123" t="s">
        <v>13</v>
      </c>
    </row>
    <row r="12124" spans="2:8" x14ac:dyDescent="0.2">
      <c r="B12124" s="3">
        <v>45596</v>
      </c>
      <c r="D12124" s="28"/>
      <c r="G12124" s="2">
        <f t="shared" si="189"/>
        <v>0</v>
      </c>
      <c r="H12124" t="s">
        <v>26</v>
      </c>
    </row>
    <row r="12125" spans="2:8" x14ac:dyDescent="0.2">
      <c r="B12125" s="3">
        <v>45596</v>
      </c>
      <c r="G12125" s="2">
        <f t="shared" si="189"/>
        <v>0</v>
      </c>
      <c r="H12125" t="s">
        <v>25</v>
      </c>
    </row>
    <row r="12126" spans="2:8" x14ac:dyDescent="0.2">
      <c r="B12126" s="3">
        <v>45596</v>
      </c>
      <c r="G12126" s="2">
        <f t="shared" si="189"/>
        <v>0</v>
      </c>
      <c r="H12126" t="s">
        <v>9</v>
      </c>
    </row>
    <row r="12127" spans="2:8" x14ac:dyDescent="0.2">
      <c r="B12127" s="3">
        <v>45596</v>
      </c>
      <c r="G12127" s="2">
        <f t="shared" si="189"/>
        <v>0</v>
      </c>
      <c r="H12127" t="s">
        <v>8</v>
      </c>
    </row>
    <row r="12128" spans="2:8" x14ac:dyDescent="0.2">
      <c r="B12128" s="3">
        <v>45596</v>
      </c>
      <c r="G12128" s="2">
        <f t="shared" si="189"/>
        <v>0</v>
      </c>
      <c r="H12128" t="s">
        <v>5</v>
      </c>
    </row>
    <row r="12129" spans="2:8" x14ac:dyDescent="0.2">
      <c r="B12129" s="3">
        <v>45596</v>
      </c>
      <c r="D12129" s="1">
        <v>400</v>
      </c>
      <c r="E12129" s="1">
        <v>500</v>
      </c>
      <c r="F12129" s="1">
        <v>500</v>
      </c>
      <c r="G12129" s="2">
        <f t="shared" si="189"/>
        <v>0</v>
      </c>
      <c r="H12129" t="s">
        <v>39</v>
      </c>
    </row>
    <row r="12130" spans="2:8" x14ac:dyDescent="0.2">
      <c r="B12130" s="3">
        <v>45596</v>
      </c>
      <c r="G12130" s="2">
        <f t="shared" si="189"/>
        <v>0</v>
      </c>
      <c r="H12130" t="s">
        <v>0</v>
      </c>
    </row>
    <row r="12131" spans="2:8" x14ac:dyDescent="0.2">
      <c r="B12131" s="3">
        <v>45597</v>
      </c>
      <c r="G12131" s="2">
        <f t="shared" si="189"/>
        <v>0</v>
      </c>
      <c r="H12131" t="s">
        <v>14</v>
      </c>
    </row>
    <row r="12132" spans="2:8" x14ac:dyDescent="0.2">
      <c r="B12132" s="3">
        <v>45597</v>
      </c>
      <c r="D12132" s="28"/>
      <c r="G12132" s="2">
        <f t="shared" si="189"/>
        <v>0</v>
      </c>
      <c r="H12132" t="s">
        <v>13</v>
      </c>
    </row>
    <row r="12133" spans="2:8" x14ac:dyDescent="0.2">
      <c r="B12133" s="3">
        <v>45597</v>
      </c>
      <c r="D12133" s="28"/>
      <c r="G12133" s="2">
        <f t="shared" si="189"/>
        <v>0</v>
      </c>
      <c r="H12133" t="s">
        <v>26</v>
      </c>
    </row>
    <row r="12134" spans="2:8" x14ac:dyDescent="0.2">
      <c r="B12134" s="3">
        <v>45597</v>
      </c>
      <c r="G12134" s="2">
        <f t="shared" si="189"/>
        <v>0</v>
      </c>
      <c r="H12134" t="s">
        <v>25</v>
      </c>
    </row>
    <row r="12135" spans="2:8" x14ac:dyDescent="0.2">
      <c r="B12135" s="3">
        <v>45597</v>
      </c>
      <c r="G12135" s="2">
        <f t="shared" si="189"/>
        <v>0</v>
      </c>
      <c r="H12135" t="s">
        <v>9</v>
      </c>
    </row>
    <row r="12136" spans="2:8" x14ac:dyDescent="0.2">
      <c r="B12136" s="3">
        <v>45597</v>
      </c>
      <c r="G12136" s="2">
        <f t="shared" si="189"/>
        <v>0</v>
      </c>
      <c r="H12136" t="s">
        <v>8</v>
      </c>
    </row>
    <row r="12137" spans="2:8" x14ac:dyDescent="0.2">
      <c r="B12137" s="3">
        <v>45597</v>
      </c>
      <c r="G12137" s="2">
        <f t="shared" si="189"/>
        <v>0</v>
      </c>
      <c r="H12137" t="s">
        <v>5</v>
      </c>
    </row>
    <row r="12138" spans="2:8" x14ac:dyDescent="0.2">
      <c r="B12138" s="3">
        <v>45597</v>
      </c>
      <c r="G12138" s="2">
        <f t="shared" si="189"/>
        <v>0</v>
      </c>
      <c r="H12138" s="1"/>
    </row>
    <row r="12139" spans="2:8" x14ac:dyDescent="0.2">
      <c r="B12139" s="3">
        <v>45597</v>
      </c>
      <c r="G12139" s="2">
        <f t="shared" si="189"/>
        <v>0</v>
      </c>
      <c r="H12139" t="s">
        <v>0</v>
      </c>
    </row>
    <row r="12140" spans="2:8" x14ac:dyDescent="0.2">
      <c r="B12140" s="3">
        <v>45598</v>
      </c>
      <c r="G12140" s="2">
        <f t="shared" si="189"/>
        <v>0</v>
      </c>
      <c r="H12140" t="s">
        <v>14</v>
      </c>
    </row>
    <row r="12141" spans="2:8" x14ac:dyDescent="0.2">
      <c r="B12141" s="3">
        <v>45598</v>
      </c>
      <c r="D12141" s="28"/>
      <c r="G12141" s="2">
        <f t="shared" si="189"/>
        <v>0</v>
      </c>
      <c r="H12141" t="s">
        <v>13</v>
      </c>
    </row>
    <row r="12142" spans="2:8" x14ac:dyDescent="0.2">
      <c r="B12142" s="3">
        <v>45598</v>
      </c>
      <c r="D12142" s="28"/>
      <c r="G12142" s="2">
        <f t="shared" si="189"/>
        <v>0</v>
      </c>
      <c r="H12142" t="s">
        <v>26</v>
      </c>
    </row>
    <row r="12143" spans="2:8" x14ac:dyDescent="0.2">
      <c r="B12143" s="3">
        <v>45598</v>
      </c>
      <c r="G12143" s="2">
        <f t="shared" si="189"/>
        <v>0</v>
      </c>
      <c r="H12143" t="s">
        <v>25</v>
      </c>
    </row>
    <row r="12144" spans="2:8" x14ac:dyDescent="0.2">
      <c r="B12144" s="3">
        <v>45598</v>
      </c>
      <c r="G12144" s="2">
        <f t="shared" si="189"/>
        <v>0</v>
      </c>
      <c r="H12144" t="s">
        <v>9</v>
      </c>
    </row>
    <row r="12145" spans="2:8" x14ac:dyDescent="0.2">
      <c r="B12145" s="3">
        <v>45598</v>
      </c>
      <c r="G12145" s="2">
        <f t="shared" si="189"/>
        <v>0</v>
      </c>
      <c r="H12145" t="s">
        <v>8</v>
      </c>
    </row>
    <row r="12146" spans="2:8" x14ac:dyDescent="0.2">
      <c r="B12146" s="3">
        <v>45598</v>
      </c>
      <c r="D12146" s="1">
        <v>11985</v>
      </c>
      <c r="E12146" s="1">
        <v>12473</v>
      </c>
      <c r="F12146" s="1">
        <v>12473</v>
      </c>
      <c r="G12146" s="2">
        <f t="shared" si="189"/>
        <v>0</v>
      </c>
      <c r="H12146" t="s">
        <v>5</v>
      </c>
    </row>
    <row r="12147" spans="2:8" x14ac:dyDescent="0.2">
      <c r="B12147" s="3">
        <v>45598</v>
      </c>
      <c r="G12147" s="2">
        <f t="shared" si="189"/>
        <v>0</v>
      </c>
      <c r="H12147" s="1"/>
    </row>
    <row r="12148" spans="2:8" x14ac:dyDescent="0.2">
      <c r="B12148" s="3">
        <v>45598</v>
      </c>
      <c r="F12148" s="1">
        <v>100000</v>
      </c>
      <c r="G12148" s="2">
        <f t="shared" si="189"/>
        <v>-100000</v>
      </c>
      <c r="H12148" t="s">
        <v>0</v>
      </c>
    </row>
    <row r="12149" spans="2:8" x14ac:dyDescent="0.2">
      <c r="B12149" s="3">
        <v>45599</v>
      </c>
      <c r="G12149" s="2">
        <f t="shared" si="189"/>
        <v>0</v>
      </c>
      <c r="H12149" t="s">
        <v>14</v>
      </c>
    </row>
    <row r="12150" spans="2:8" x14ac:dyDescent="0.2">
      <c r="B12150" s="3">
        <v>45599</v>
      </c>
      <c r="D12150" s="28"/>
      <c r="G12150" s="2">
        <f t="shared" si="189"/>
        <v>0</v>
      </c>
      <c r="H12150" t="s">
        <v>13</v>
      </c>
    </row>
    <row r="12151" spans="2:8" x14ac:dyDescent="0.2">
      <c r="B12151" s="3">
        <v>45599</v>
      </c>
      <c r="D12151" s="28">
        <v>1880</v>
      </c>
      <c r="E12151" s="1">
        <v>2280</v>
      </c>
      <c r="G12151" s="2">
        <f t="shared" si="189"/>
        <v>2280</v>
      </c>
      <c r="H12151" t="s">
        <v>26</v>
      </c>
    </row>
    <row r="12152" spans="2:8" x14ac:dyDescent="0.2">
      <c r="B12152" s="3">
        <v>45599</v>
      </c>
      <c r="D12152" s="1">
        <v>1880</v>
      </c>
      <c r="E12152" s="1">
        <v>2280</v>
      </c>
      <c r="G12152" s="2">
        <f t="shared" si="189"/>
        <v>2280</v>
      </c>
      <c r="H12152" t="s">
        <v>25</v>
      </c>
    </row>
    <row r="12153" spans="2:8" x14ac:dyDescent="0.2">
      <c r="B12153" s="3">
        <v>45599</v>
      </c>
      <c r="D12153" s="1">
        <v>7000</v>
      </c>
      <c r="E12153" s="1">
        <v>7500</v>
      </c>
      <c r="G12153" s="2">
        <f t="shared" si="189"/>
        <v>7500</v>
      </c>
      <c r="H12153" t="s">
        <v>9</v>
      </c>
    </row>
    <row r="12154" spans="2:8" x14ac:dyDescent="0.2">
      <c r="B12154" s="3">
        <v>45599</v>
      </c>
      <c r="F12154" s="1">
        <v>25000</v>
      </c>
      <c r="G12154" s="2">
        <f t="shared" si="189"/>
        <v>-25000</v>
      </c>
      <c r="H12154" t="s">
        <v>8</v>
      </c>
    </row>
    <row r="12155" spans="2:8" x14ac:dyDescent="0.2">
      <c r="B12155" s="3">
        <v>45599</v>
      </c>
      <c r="G12155" s="2">
        <f t="shared" si="189"/>
        <v>0</v>
      </c>
      <c r="H12155" t="s">
        <v>5</v>
      </c>
    </row>
    <row r="12156" spans="2:8" x14ac:dyDescent="0.2">
      <c r="B12156" s="3">
        <v>45599</v>
      </c>
      <c r="G12156" s="2">
        <f t="shared" si="189"/>
        <v>0</v>
      </c>
      <c r="H12156" s="1"/>
    </row>
    <row r="12157" spans="2:8" x14ac:dyDescent="0.2">
      <c r="B12157" s="3">
        <v>45599</v>
      </c>
      <c r="G12157" s="2">
        <f t="shared" si="189"/>
        <v>0</v>
      </c>
      <c r="H12157" t="s">
        <v>0</v>
      </c>
    </row>
    <row r="12158" spans="2:8" x14ac:dyDescent="0.2">
      <c r="B12158" s="3">
        <v>45600</v>
      </c>
      <c r="G12158" s="2">
        <f t="shared" si="189"/>
        <v>0</v>
      </c>
      <c r="H12158" t="s">
        <v>14</v>
      </c>
    </row>
    <row r="12159" spans="2:8" x14ac:dyDescent="0.2">
      <c r="B12159" s="3">
        <v>45600</v>
      </c>
      <c r="D12159" s="28"/>
      <c r="G12159" s="2">
        <f t="shared" si="189"/>
        <v>0</v>
      </c>
      <c r="H12159" t="s">
        <v>13</v>
      </c>
    </row>
    <row r="12160" spans="2:8" x14ac:dyDescent="0.2">
      <c r="B12160" s="3">
        <v>45600</v>
      </c>
      <c r="D12160" s="28"/>
      <c r="G12160" s="2">
        <f t="shared" si="189"/>
        <v>0</v>
      </c>
      <c r="H12160" t="s">
        <v>26</v>
      </c>
    </row>
    <row r="12161" spans="2:8" x14ac:dyDescent="0.2">
      <c r="B12161" s="3">
        <v>45600</v>
      </c>
      <c r="G12161" s="2">
        <f t="shared" si="189"/>
        <v>0</v>
      </c>
      <c r="H12161" t="s">
        <v>25</v>
      </c>
    </row>
    <row r="12162" spans="2:8" x14ac:dyDescent="0.2">
      <c r="B12162" s="3">
        <v>45600</v>
      </c>
      <c r="F12162" s="1">
        <v>10000</v>
      </c>
      <c r="G12162" s="2">
        <f t="shared" si="189"/>
        <v>-10000</v>
      </c>
      <c r="H12162" t="s">
        <v>9</v>
      </c>
    </row>
    <row r="12163" spans="2:8" x14ac:dyDescent="0.2">
      <c r="B12163" s="3">
        <v>45600</v>
      </c>
      <c r="G12163" s="2">
        <f t="shared" ref="G12163:G12226" si="190">E12163-F12163</f>
        <v>0</v>
      </c>
      <c r="H12163" t="s">
        <v>8</v>
      </c>
    </row>
    <row r="12164" spans="2:8" x14ac:dyDescent="0.2">
      <c r="B12164" s="3">
        <v>45600</v>
      </c>
      <c r="G12164" s="2">
        <f t="shared" si="190"/>
        <v>0</v>
      </c>
      <c r="H12164" t="s">
        <v>5</v>
      </c>
    </row>
    <row r="12165" spans="2:8" x14ac:dyDescent="0.2">
      <c r="B12165" s="3">
        <v>45600</v>
      </c>
      <c r="G12165" s="2">
        <f t="shared" si="190"/>
        <v>0</v>
      </c>
      <c r="H12165" s="1"/>
    </row>
    <row r="12166" spans="2:8" x14ac:dyDescent="0.2">
      <c r="B12166" s="3">
        <v>45600</v>
      </c>
      <c r="F12166" s="1">
        <v>89290</v>
      </c>
      <c r="G12166" s="2">
        <f t="shared" si="190"/>
        <v>-89290</v>
      </c>
      <c r="H12166" t="s">
        <v>0</v>
      </c>
    </row>
    <row r="12167" spans="2:8" x14ac:dyDescent="0.2">
      <c r="B12167" s="3">
        <v>45601</v>
      </c>
      <c r="G12167" s="2">
        <f t="shared" si="190"/>
        <v>0</v>
      </c>
      <c r="H12167" t="s">
        <v>14</v>
      </c>
    </row>
    <row r="12168" spans="2:8" x14ac:dyDescent="0.2">
      <c r="B12168" s="3">
        <v>45601</v>
      </c>
      <c r="D12168" s="28"/>
      <c r="G12168" s="2">
        <f t="shared" si="190"/>
        <v>0</v>
      </c>
      <c r="H12168" t="s">
        <v>13</v>
      </c>
    </row>
    <row r="12169" spans="2:8" x14ac:dyDescent="0.2">
      <c r="B12169" s="3">
        <v>45601</v>
      </c>
      <c r="D12169" s="28"/>
      <c r="G12169" s="2">
        <f t="shared" si="190"/>
        <v>0</v>
      </c>
      <c r="H12169" t="s">
        <v>26</v>
      </c>
    </row>
    <row r="12170" spans="2:8" x14ac:dyDescent="0.2">
      <c r="B12170" s="3">
        <v>45601</v>
      </c>
      <c r="G12170" s="2">
        <f t="shared" si="190"/>
        <v>0</v>
      </c>
      <c r="H12170" t="s">
        <v>25</v>
      </c>
    </row>
    <row r="12171" spans="2:8" x14ac:dyDescent="0.2">
      <c r="B12171" s="3">
        <v>45601</v>
      </c>
      <c r="G12171" s="2">
        <f t="shared" si="190"/>
        <v>0</v>
      </c>
      <c r="H12171" t="s">
        <v>9</v>
      </c>
    </row>
    <row r="12172" spans="2:8" x14ac:dyDescent="0.2">
      <c r="B12172" s="3">
        <v>45601</v>
      </c>
      <c r="G12172" s="2">
        <f t="shared" si="190"/>
        <v>0</v>
      </c>
      <c r="H12172" t="s">
        <v>8</v>
      </c>
    </row>
    <row r="12173" spans="2:8" x14ac:dyDescent="0.2">
      <c r="B12173" s="3">
        <v>45601</v>
      </c>
      <c r="G12173" s="2">
        <f t="shared" si="190"/>
        <v>0</v>
      </c>
      <c r="H12173" t="s">
        <v>5</v>
      </c>
    </row>
    <row r="12174" spans="2:8" x14ac:dyDescent="0.2">
      <c r="B12174" s="3">
        <v>45601</v>
      </c>
      <c r="G12174" s="2">
        <f t="shared" si="190"/>
        <v>0</v>
      </c>
      <c r="H12174" s="1"/>
    </row>
    <row r="12175" spans="2:8" x14ac:dyDescent="0.2">
      <c r="B12175" s="3">
        <v>45601</v>
      </c>
      <c r="G12175" s="2">
        <f t="shared" si="190"/>
        <v>0</v>
      </c>
      <c r="H12175" t="s">
        <v>0</v>
      </c>
    </row>
    <row r="12176" spans="2:8" x14ac:dyDescent="0.2">
      <c r="B12176" s="3">
        <v>45602</v>
      </c>
      <c r="G12176" s="2">
        <f t="shared" si="190"/>
        <v>0</v>
      </c>
      <c r="H12176" t="s">
        <v>14</v>
      </c>
    </row>
    <row r="12177" spans="2:8" x14ac:dyDescent="0.2">
      <c r="B12177" s="3">
        <v>45602</v>
      </c>
      <c r="D12177" s="28"/>
      <c r="G12177" s="2">
        <f t="shared" si="190"/>
        <v>0</v>
      </c>
      <c r="H12177" t="s">
        <v>13</v>
      </c>
    </row>
    <row r="12178" spans="2:8" x14ac:dyDescent="0.2">
      <c r="B12178" s="3">
        <v>45602</v>
      </c>
      <c r="D12178" s="28"/>
      <c r="G12178" s="2">
        <f t="shared" si="190"/>
        <v>0</v>
      </c>
      <c r="H12178" t="s">
        <v>26</v>
      </c>
    </row>
    <row r="12179" spans="2:8" x14ac:dyDescent="0.2">
      <c r="B12179" s="3">
        <v>45602</v>
      </c>
      <c r="G12179" s="2">
        <f t="shared" si="190"/>
        <v>0</v>
      </c>
      <c r="H12179" t="s">
        <v>25</v>
      </c>
    </row>
    <row r="12180" spans="2:8" x14ac:dyDescent="0.2">
      <c r="B12180" s="3">
        <v>45602</v>
      </c>
      <c r="G12180" s="2">
        <f t="shared" si="190"/>
        <v>0</v>
      </c>
      <c r="H12180" t="s">
        <v>9</v>
      </c>
    </row>
    <row r="12181" spans="2:8" x14ac:dyDescent="0.2">
      <c r="B12181" s="3">
        <v>45602</v>
      </c>
      <c r="G12181" s="2">
        <f t="shared" si="190"/>
        <v>0</v>
      </c>
      <c r="H12181" t="s">
        <v>8</v>
      </c>
    </row>
    <row r="12182" spans="2:8" x14ac:dyDescent="0.2">
      <c r="B12182" s="3">
        <v>45602</v>
      </c>
      <c r="G12182" s="2">
        <f t="shared" si="190"/>
        <v>0</v>
      </c>
      <c r="H12182" t="s">
        <v>5</v>
      </c>
    </row>
    <row r="12183" spans="2:8" x14ac:dyDescent="0.2">
      <c r="B12183" s="3">
        <v>45602</v>
      </c>
      <c r="G12183" s="2">
        <f t="shared" si="190"/>
        <v>0</v>
      </c>
      <c r="H12183" s="1"/>
    </row>
    <row r="12184" spans="2:8" x14ac:dyDescent="0.2">
      <c r="B12184" s="3">
        <v>45602</v>
      </c>
      <c r="G12184" s="2">
        <f t="shared" si="190"/>
        <v>0</v>
      </c>
      <c r="H12184" t="s">
        <v>0</v>
      </c>
    </row>
    <row r="12185" spans="2:8" x14ac:dyDescent="0.2">
      <c r="B12185" s="3">
        <v>45603</v>
      </c>
      <c r="G12185" s="2">
        <f t="shared" si="190"/>
        <v>0</v>
      </c>
      <c r="H12185" t="s">
        <v>14</v>
      </c>
    </row>
    <row r="12186" spans="2:8" x14ac:dyDescent="0.2">
      <c r="B12186" s="3">
        <v>45603</v>
      </c>
      <c r="D12186" s="28"/>
      <c r="G12186" s="2">
        <f t="shared" si="190"/>
        <v>0</v>
      </c>
      <c r="H12186" t="s">
        <v>13</v>
      </c>
    </row>
    <row r="12187" spans="2:8" x14ac:dyDescent="0.2">
      <c r="B12187" s="3">
        <v>45603</v>
      </c>
      <c r="D12187" s="28"/>
      <c r="G12187" s="2">
        <f t="shared" si="190"/>
        <v>0</v>
      </c>
      <c r="H12187" t="s">
        <v>26</v>
      </c>
    </row>
    <row r="12188" spans="2:8" x14ac:dyDescent="0.2">
      <c r="B12188" s="3">
        <v>45603</v>
      </c>
      <c r="G12188" s="2">
        <f t="shared" si="190"/>
        <v>0</v>
      </c>
      <c r="H12188" t="s">
        <v>25</v>
      </c>
    </row>
    <row r="12189" spans="2:8" x14ac:dyDescent="0.2">
      <c r="B12189" s="3">
        <v>45603</v>
      </c>
      <c r="G12189" s="2">
        <f t="shared" si="190"/>
        <v>0</v>
      </c>
      <c r="H12189" t="s">
        <v>9</v>
      </c>
    </row>
    <row r="12190" spans="2:8" x14ac:dyDescent="0.2">
      <c r="B12190" s="3">
        <v>45603</v>
      </c>
      <c r="G12190" s="2">
        <f t="shared" si="190"/>
        <v>0</v>
      </c>
      <c r="H12190" t="s">
        <v>8</v>
      </c>
    </row>
    <row r="12191" spans="2:8" x14ac:dyDescent="0.2">
      <c r="B12191" s="3">
        <v>45603</v>
      </c>
      <c r="G12191" s="2">
        <f t="shared" si="190"/>
        <v>0</v>
      </c>
      <c r="H12191" t="s">
        <v>5</v>
      </c>
    </row>
    <row r="12192" spans="2:8" x14ac:dyDescent="0.2">
      <c r="B12192" s="3">
        <v>45603</v>
      </c>
      <c r="G12192" s="2">
        <f t="shared" si="190"/>
        <v>0</v>
      </c>
      <c r="H12192" s="1"/>
    </row>
    <row r="12193" spans="2:8" x14ac:dyDescent="0.2">
      <c r="B12193" s="3">
        <v>45603</v>
      </c>
      <c r="G12193" s="2">
        <f t="shared" si="190"/>
        <v>0</v>
      </c>
      <c r="H12193" t="s">
        <v>0</v>
      </c>
    </row>
    <row r="12194" spans="2:8" x14ac:dyDescent="0.2">
      <c r="B12194" s="3">
        <v>45604</v>
      </c>
      <c r="G12194" s="2">
        <f t="shared" si="190"/>
        <v>0</v>
      </c>
      <c r="H12194" t="s">
        <v>14</v>
      </c>
    </row>
    <row r="12195" spans="2:8" x14ac:dyDescent="0.2">
      <c r="B12195" s="3">
        <v>45604</v>
      </c>
      <c r="D12195" s="28">
        <v>91178.75</v>
      </c>
      <c r="E12195" s="1">
        <v>96983</v>
      </c>
      <c r="G12195" s="2">
        <f t="shared" si="190"/>
        <v>96983</v>
      </c>
      <c r="H12195" t="s">
        <v>13</v>
      </c>
    </row>
    <row r="12196" spans="2:8" x14ac:dyDescent="0.2">
      <c r="B12196" s="3">
        <v>45604</v>
      </c>
      <c r="D12196" s="28"/>
      <c r="G12196" s="2">
        <f t="shared" si="190"/>
        <v>0</v>
      </c>
      <c r="H12196" t="s">
        <v>26</v>
      </c>
    </row>
    <row r="12197" spans="2:8" x14ac:dyDescent="0.2">
      <c r="B12197" s="3">
        <v>45604</v>
      </c>
      <c r="G12197" s="2">
        <f t="shared" si="190"/>
        <v>0</v>
      </c>
      <c r="H12197" t="s">
        <v>25</v>
      </c>
    </row>
    <row r="12198" spans="2:8" x14ac:dyDescent="0.2">
      <c r="B12198" s="3">
        <v>45604</v>
      </c>
      <c r="G12198" s="2">
        <f t="shared" si="190"/>
        <v>0</v>
      </c>
      <c r="H12198" t="s">
        <v>9</v>
      </c>
    </row>
    <row r="12199" spans="2:8" x14ac:dyDescent="0.2">
      <c r="B12199" s="3">
        <v>45604</v>
      </c>
      <c r="G12199" s="2">
        <f t="shared" si="190"/>
        <v>0</v>
      </c>
      <c r="H12199" t="s">
        <v>8</v>
      </c>
    </row>
    <row r="12200" spans="2:8" x14ac:dyDescent="0.2">
      <c r="B12200" s="3">
        <v>45604</v>
      </c>
      <c r="G12200" s="2">
        <f t="shared" si="190"/>
        <v>0</v>
      </c>
      <c r="H12200" t="s">
        <v>5</v>
      </c>
    </row>
    <row r="12201" spans="2:8" x14ac:dyDescent="0.2">
      <c r="B12201" s="3">
        <v>45604</v>
      </c>
      <c r="G12201" s="2">
        <f t="shared" si="190"/>
        <v>0</v>
      </c>
      <c r="H12201" s="1"/>
    </row>
    <row r="12202" spans="2:8" x14ac:dyDescent="0.2">
      <c r="B12202" s="3">
        <v>45604</v>
      </c>
      <c r="G12202" s="2">
        <f t="shared" si="190"/>
        <v>0</v>
      </c>
      <c r="H12202" t="s">
        <v>0</v>
      </c>
    </row>
    <row r="12203" spans="2:8" x14ac:dyDescent="0.2">
      <c r="B12203" s="3">
        <v>45605</v>
      </c>
      <c r="F12203" s="1">
        <v>10000</v>
      </c>
      <c r="G12203" s="2">
        <f t="shared" si="190"/>
        <v>-10000</v>
      </c>
      <c r="H12203" t="s">
        <v>14</v>
      </c>
    </row>
    <row r="12204" spans="2:8" x14ac:dyDescent="0.2">
      <c r="B12204" s="3">
        <v>45605</v>
      </c>
      <c r="D12204" s="28"/>
      <c r="F12204" s="1">
        <v>50000</v>
      </c>
      <c r="G12204" s="2">
        <f t="shared" si="190"/>
        <v>-50000</v>
      </c>
      <c r="H12204" t="s">
        <v>13</v>
      </c>
    </row>
    <row r="12205" spans="2:8" x14ac:dyDescent="0.2">
      <c r="B12205" s="3">
        <v>45605</v>
      </c>
      <c r="D12205" s="28"/>
      <c r="G12205" s="2">
        <f t="shared" si="190"/>
        <v>0</v>
      </c>
      <c r="H12205" t="s">
        <v>26</v>
      </c>
    </row>
    <row r="12206" spans="2:8" x14ac:dyDescent="0.2">
      <c r="B12206" s="3">
        <v>45605</v>
      </c>
      <c r="G12206" s="2">
        <f t="shared" si="190"/>
        <v>0</v>
      </c>
      <c r="H12206" t="s">
        <v>25</v>
      </c>
    </row>
    <row r="12207" spans="2:8" x14ac:dyDescent="0.2">
      <c r="B12207" s="3">
        <v>45605</v>
      </c>
      <c r="G12207" s="2">
        <f t="shared" si="190"/>
        <v>0</v>
      </c>
      <c r="H12207" t="s">
        <v>9</v>
      </c>
    </row>
    <row r="12208" spans="2:8" x14ac:dyDescent="0.2">
      <c r="B12208" s="3">
        <v>45605</v>
      </c>
      <c r="G12208" s="2">
        <f t="shared" si="190"/>
        <v>0</v>
      </c>
      <c r="H12208" t="s">
        <v>8</v>
      </c>
    </row>
    <row r="12209" spans="2:8" x14ac:dyDescent="0.2">
      <c r="B12209" s="3">
        <v>45605</v>
      </c>
      <c r="G12209" s="2">
        <f t="shared" si="190"/>
        <v>0</v>
      </c>
      <c r="H12209" t="s">
        <v>5</v>
      </c>
    </row>
    <row r="12210" spans="2:8" x14ac:dyDescent="0.2">
      <c r="B12210" s="3">
        <v>45605</v>
      </c>
      <c r="G12210" s="2">
        <f t="shared" si="190"/>
        <v>0</v>
      </c>
      <c r="H12210" s="1"/>
    </row>
    <row r="12211" spans="2:8" x14ac:dyDescent="0.2">
      <c r="B12211" s="3">
        <v>45605</v>
      </c>
      <c r="G12211" s="2">
        <f t="shared" si="190"/>
        <v>0</v>
      </c>
      <c r="H12211" t="s">
        <v>0</v>
      </c>
    </row>
    <row r="12212" spans="2:8" x14ac:dyDescent="0.2">
      <c r="B12212" s="3">
        <v>45606</v>
      </c>
      <c r="G12212" s="2">
        <f t="shared" si="190"/>
        <v>0</v>
      </c>
      <c r="H12212" s="36" t="s">
        <v>14</v>
      </c>
    </row>
    <row r="12213" spans="2:8" x14ac:dyDescent="0.2">
      <c r="B12213" s="3">
        <v>45606</v>
      </c>
      <c r="D12213" s="28"/>
      <c r="G12213" s="2">
        <f t="shared" si="190"/>
        <v>0</v>
      </c>
      <c r="H12213" t="s">
        <v>13</v>
      </c>
    </row>
    <row r="12214" spans="2:8" x14ac:dyDescent="0.2">
      <c r="B12214" s="3">
        <v>45606</v>
      </c>
      <c r="D12214" s="28"/>
      <c r="G12214" s="2">
        <f t="shared" si="190"/>
        <v>0</v>
      </c>
      <c r="H12214" t="s">
        <v>26</v>
      </c>
    </row>
    <row r="12215" spans="2:8" x14ac:dyDescent="0.2">
      <c r="B12215" s="3">
        <v>45606</v>
      </c>
      <c r="G12215" s="2">
        <f t="shared" si="190"/>
        <v>0</v>
      </c>
      <c r="H12215" t="s">
        <v>25</v>
      </c>
    </row>
    <row r="12216" spans="2:8" x14ac:dyDescent="0.2">
      <c r="B12216" s="3">
        <v>45606</v>
      </c>
      <c r="G12216" s="2">
        <f t="shared" si="190"/>
        <v>0</v>
      </c>
      <c r="H12216" t="s">
        <v>9</v>
      </c>
    </row>
    <row r="12217" spans="2:8" x14ac:dyDescent="0.2">
      <c r="B12217" s="3">
        <v>45606</v>
      </c>
      <c r="G12217" s="2">
        <f t="shared" si="190"/>
        <v>0</v>
      </c>
      <c r="H12217" t="s">
        <v>8</v>
      </c>
    </row>
    <row r="12218" spans="2:8" x14ac:dyDescent="0.2">
      <c r="B12218" s="3">
        <v>45606</v>
      </c>
      <c r="G12218" s="2">
        <f t="shared" si="190"/>
        <v>0</v>
      </c>
      <c r="H12218" t="s">
        <v>5</v>
      </c>
    </row>
    <row r="12219" spans="2:8" x14ac:dyDescent="0.2">
      <c r="B12219" s="3">
        <v>45606</v>
      </c>
      <c r="G12219" s="2">
        <f t="shared" si="190"/>
        <v>0</v>
      </c>
      <c r="H12219" s="1"/>
    </row>
    <row r="12220" spans="2:8" x14ac:dyDescent="0.2">
      <c r="B12220" s="3">
        <v>45606</v>
      </c>
      <c r="G12220" s="2">
        <f t="shared" si="190"/>
        <v>0</v>
      </c>
      <c r="H12220" t="s">
        <v>0</v>
      </c>
    </row>
    <row r="12221" spans="2:8" x14ac:dyDescent="0.2">
      <c r="B12221" s="3">
        <v>45607</v>
      </c>
      <c r="G12221" s="2">
        <f t="shared" si="190"/>
        <v>0</v>
      </c>
      <c r="H12221" t="s">
        <v>14</v>
      </c>
    </row>
    <row r="12222" spans="2:8" x14ac:dyDescent="0.2">
      <c r="B12222" s="3">
        <v>45607</v>
      </c>
      <c r="D12222" s="28"/>
      <c r="G12222" s="2">
        <f t="shared" si="190"/>
        <v>0</v>
      </c>
      <c r="H12222" t="s">
        <v>13</v>
      </c>
    </row>
    <row r="12223" spans="2:8" x14ac:dyDescent="0.2">
      <c r="B12223" s="3">
        <v>45607</v>
      </c>
      <c r="D12223" s="28"/>
      <c r="G12223" s="2">
        <f t="shared" si="190"/>
        <v>0</v>
      </c>
      <c r="H12223" t="s">
        <v>26</v>
      </c>
    </row>
    <row r="12224" spans="2:8" x14ac:dyDescent="0.2">
      <c r="B12224" s="3">
        <v>45607</v>
      </c>
      <c r="G12224" s="2">
        <f t="shared" si="190"/>
        <v>0</v>
      </c>
      <c r="H12224" t="s">
        <v>25</v>
      </c>
    </row>
    <row r="12225" spans="2:8" x14ac:dyDescent="0.2">
      <c r="B12225" s="3">
        <v>45607</v>
      </c>
      <c r="G12225" s="2">
        <f t="shared" si="190"/>
        <v>0</v>
      </c>
      <c r="H12225" t="s">
        <v>9</v>
      </c>
    </row>
    <row r="12226" spans="2:8" x14ac:dyDescent="0.2">
      <c r="B12226" s="3">
        <v>45607</v>
      </c>
      <c r="G12226" s="2">
        <f t="shared" si="190"/>
        <v>0</v>
      </c>
      <c r="H12226" t="s">
        <v>8</v>
      </c>
    </row>
    <row r="12227" spans="2:8" x14ac:dyDescent="0.2">
      <c r="B12227" s="3">
        <v>45607</v>
      </c>
      <c r="G12227" s="2">
        <f t="shared" ref="G12227:G12290" si="191">E12227-F12227</f>
        <v>0</v>
      </c>
      <c r="H12227" t="s">
        <v>5</v>
      </c>
    </row>
    <row r="12228" spans="2:8" x14ac:dyDescent="0.2">
      <c r="B12228" s="3">
        <v>45607</v>
      </c>
      <c r="G12228" s="2">
        <f t="shared" si="191"/>
        <v>0</v>
      </c>
      <c r="H12228" s="1"/>
    </row>
    <row r="12229" spans="2:8" x14ac:dyDescent="0.2">
      <c r="B12229" s="3">
        <v>45607</v>
      </c>
      <c r="G12229" s="2">
        <f t="shared" si="191"/>
        <v>0</v>
      </c>
      <c r="H12229" t="s">
        <v>0</v>
      </c>
    </row>
    <row r="12230" spans="2:8" x14ac:dyDescent="0.2">
      <c r="B12230" s="3">
        <v>45608</v>
      </c>
      <c r="G12230" s="2">
        <f t="shared" si="191"/>
        <v>0</v>
      </c>
      <c r="H12230" t="s">
        <v>14</v>
      </c>
    </row>
    <row r="12231" spans="2:8" x14ac:dyDescent="0.2">
      <c r="B12231" s="3">
        <v>45608</v>
      </c>
      <c r="D12231" s="28"/>
      <c r="G12231" s="2">
        <f t="shared" si="191"/>
        <v>0</v>
      </c>
      <c r="H12231" t="s">
        <v>13</v>
      </c>
    </row>
    <row r="12232" spans="2:8" x14ac:dyDescent="0.2">
      <c r="B12232" s="3">
        <v>45608</v>
      </c>
      <c r="D12232" s="28"/>
      <c r="G12232" s="2">
        <f t="shared" si="191"/>
        <v>0</v>
      </c>
      <c r="H12232" t="s">
        <v>26</v>
      </c>
    </row>
    <row r="12233" spans="2:8" x14ac:dyDescent="0.2">
      <c r="B12233" s="3">
        <v>45608</v>
      </c>
      <c r="G12233" s="2">
        <f t="shared" si="191"/>
        <v>0</v>
      </c>
      <c r="H12233" t="s">
        <v>25</v>
      </c>
    </row>
    <row r="12234" spans="2:8" x14ac:dyDescent="0.2">
      <c r="B12234" s="3">
        <v>45608</v>
      </c>
      <c r="G12234" s="2">
        <f t="shared" si="191"/>
        <v>0</v>
      </c>
      <c r="H12234" t="s">
        <v>9</v>
      </c>
    </row>
    <row r="12235" spans="2:8" x14ac:dyDescent="0.2">
      <c r="B12235" s="3">
        <v>45608</v>
      </c>
      <c r="G12235" s="2">
        <f t="shared" si="191"/>
        <v>0</v>
      </c>
      <c r="H12235" t="s">
        <v>8</v>
      </c>
    </row>
    <row r="12236" spans="2:8" x14ac:dyDescent="0.2">
      <c r="B12236" s="3">
        <v>45608</v>
      </c>
      <c r="G12236" s="2">
        <f t="shared" si="191"/>
        <v>0</v>
      </c>
      <c r="H12236" t="s">
        <v>5</v>
      </c>
    </row>
    <row r="12237" spans="2:8" x14ac:dyDescent="0.2">
      <c r="B12237" s="3">
        <v>45608</v>
      </c>
      <c r="G12237" s="2">
        <f t="shared" si="191"/>
        <v>0</v>
      </c>
      <c r="H12237" s="1"/>
    </row>
    <row r="12238" spans="2:8" x14ac:dyDescent="0.2">
      <c r="B12238" s="3">
        <v>45608</v>
      </c>
      <c r="G12238" s="2">
        <f t="shared" si="191"/>
        <v>0</v>
      </c>
      <c r="H12238" t="s">
        <v>0</v>
      </c>
    </row>
    <row r="12239" spans="2:8" x14ac:dyDescent="0.2">
      <c r="B12239" s="3">
        <v>45609</v>
      </c>
      <c r="G12239" s="2">
        <f t="shared" si="191"/>
        <v>0</v>
      </c>
      <c r="H12239" t="s">
        <v>14</v>
      </c>
    </row>
    <row r="12240" spans="2:8" x14ac:dyDescent="0.2">
      <c r="B12240" s="3">
        <v>45609</v>
      </c>
      <c r="D12240" s="28"/>
      <c r="G12240" s="2">
        <f t="shared" si="191"/>
        <v>0</v>
      </c>
      <c r="H12240" t="s">
        <v>13</v>
      </c>
    </row>
    <row r="12241" spans="2:8" x14ac:dyDescent="0.2">
      <c r="B12241" s="3">
        <v>45609</v>
      </c>
      <c r="D12241" s="28"/>
      <c r="G12241" s="2">
        <f t="shared" si="191"/>
        <v>0</v>
      </c>
      <c r="H12241" t="s">
        <v>26</v>
      </c>
    </row>
    <row r="12242" spans="2:8" x14ac:dyDescent="0.2">
      <c r="B12242" s="3">
        <v>45609</v>
      </c>
      <c r="G12242" s="2">
        <f t="shared" si="191"/>
        <v>0</v>
      </c>
      <c r="H12242" t="s">
        <v>25</v>
      </c>
    </row>
    <row r="12243" spans="2:8" x14ac:dyDescent="0.2">
      <c r="B12243" s="3">
        <v>45609</v>
      </c>
      <c r="G12243" s="2">
        <f t="shared" si="191"/>
        <v>0</v>
      </c>
      <c r="H12243" t="s">
        <v>9</v>
      </c>
    </row>
    <row r="12244" spans="2:8" x14ac:dyDescent="0.2">
      <c r="B12244" s="3">
        <v>45609</v>
      </c>
      <c r="D12244" s="1">
        <v>4920</v>
      </c>
      <c r="E12244" s="1">
        <v>5430</v>
      </c>
      <c r="F12244" s="1">
        <v>30000</v>
      </c>
      <c r="G12244" s="2">
        <f t="shared" si="191"/>
        <v>-24570</v>
      </c>
      <c r="H12244" t="s">
        <v>8</v>
      </c>
    </row>
    <row r="12245" spans="2:8" x14ac:dyDescent="0.2">
      <c r="B12245" s="3">
        <v>45609</v>
      </c>
      <c r="G12245" s="2">
        <f t="shared" si="191"/>
        <v>0</v>
      </c>
      <c r="H12245" t="s">
        <v>5</v>
      </c>
    </row>
    <row r="12246" spans="2:8" x14ac:dyDescent="0.2">
      <c r="B12246" s="3">
        <v>45609</v>
      </c>
      <c r="G12246" s="2">
        <f t="shared" si="191"/>
        <v>0</v>
      </c>
      <c r="H12246" s="1"/>
    </row>
    <row r="12247" spans="2:8" x14ac:dyDescent="0.2">
      <c r="B12247" s="3">
        <v>45609</v>
      </c>
      <c r="G12247" s="2">
        <f t="shared" si="191"/>
        <v>0</v>
      </c>
      <c r="H12247" t="s">
        <v>0</v>
      </c>
    </row>
    <row r="12248" spans="2:8" x14ac:dyDescent="0.2">
      <c r="B12248" s="3">
        <v>45610</v>
      </c>
      <c r="G12248" s="2">
        <f t="shared" si="191"/>
        <v>0</v>
      </c>
      <c r="H12248" t="s">
        <v>14</v>
      </c>
    </row>
    <row r="12249" spans="2:8" x14ac:dyDescent="0.2">
      <c r="B12249" s="3">
        <v>45610</v>
      </c>
      <c r="D12249" s="28"/>
      <c r="G12249" s="2">
        <f t="shared" si="191"/>
        <v>0</v>
      </c>
      <c r="H12249" t="s">
        <v>13</v>
      </c>
    </row>
    <row r="12250" spans="2:8" x14ac:dyDescent="0.2">
      <c r="B12250" s="3">
        <v>45610</v>
      </c>
      <c r="D12250" s="28"/>
      <c r="G12250" s="2">
        <f t="shared" si="191"/>
        <v>0</v>
      </c>
      <c r="H12250" t="s">
        <v>26</v>
      </c>
    </row>
    <row r="12251" spans="2:8" x14ac:dyDescent="0.2">
      <c r="B12251" s="3">
        <v>45610</v>
      </c>
      <c r="G12251" s="2">
        <f t="shared" si="191"/>
        <v>0</v>
      </c>
      <c r="H12251" t="s">
        <v>25</v>
      </c>
    </row>
    <row r="12252" spans="2:8" x14ac:dyDescent="0.2">
      <c r="B12252" s="3">
        <v>45610</v>
      </c>
      <c r="G12252" s="2">
        <f t="shared" si="191"/>
        <v>0</v>
      </c>
      <c r="H12252" t="s">
        <v>9</v>
      </c>
    </row>
    <row r="12253" spans="2:8" x14ac:dyDescent="0.2">
      <c r="B12253" s="3">
        <v>45610</v>
      </c>
      <c r="G12253" s="2">
        <f t="shared" si="191"/>
        <v>0</v>
      </c>
      <c r="H12253" t="s">
        <v>8</v>
      </c>
    </row>
    <row r="12254" spans="2:8" x14ac:dyDescent="0.2">
      <c r="B12254" s="3">
        <v>45610</v>
      </c>
      <c r="G12254" s="2">
        <f t="shared" si="191"/>
        <v>0</v>
      </c>
      <c r="H12254" t="s">
        <v>5</v>
      </c>
    </row>
    <row r="12255" spans="2:8" x14ac:dyDescent="0.2">
      <c r="B12255" s="3">
        <v>45610</v>
      </c>
      <c r="G12255" s="2">
        <f t="shared" si="191"/>
        <v>0</v>
      </c>
      <c r="H12255" s="1"/>
    </row>
    <row r="12256" spans="2:8" x14ac:dyDescent="0.2">
      <c r="B12256" s="3">
        <v>45610</v>
      </c>
      <c r="G12256" s="2">
        <f t="shared" si="191"/>
        <v>0</v>
      </c>
      <c r="H12256" t="s">
        <v>0</v>
      </c>
    </row>
    <row r="12257" spans="2:8" x14ac:dyDescent="0.2">
      <c r="B12257" s="3">
        <v>45611</v>
      </c>
      <c r="G12257" s="2">
        <f t="shared" si="191"/>
        <v>0</v>
      </c>
      <c r="H12257" t="s">
        <v>14</v>
      </c>
    </row>
    <row r="12258" spans="2:8" x14ac:dyDescent="0.2">
      <c r="B12258" s="3">
        <v>45611</v>
      </c>
      <c r="D12258" s="28"/>
      <c r="G12258" s="2">
        <f t="shared" si="191"/>
        <v>0</v>
      </c>
      <c r="H12258" t="s">
        <v>13</v>
      </c>
    </row>
    <row r="12259" spans="2:8" x14ac:dyDescent="0.2">
      <c r="B12259" s="3">
        <v>45611</v>
      </c>
      <c r="D12259" s="28"/>
      <c r="G12259" s="2">
        <f t="shared" si="191"/>
        <v>0</v>
      </c>
      <c r="H12259" t="s">
        <v>26</v>
      </c>
    </row>
    <row r="12260" spans="2:8" x14ac:dyDescent="0.2">
      <c r="B12260" s="3">
        <v>45611</v>
      </c>
      <c r="G12260" s="2">
        <f t="shared" si="191"/>
        <v>0</v>
      </c>
      <c r="H12260" t="s">
        <v>25</v>
      </c>
    </row>
    <row r="12261" spans="2:8" x14ac:dyDescent="0.2">
      <c r="B12261" s="3">
        <v>45611</v>
      </c>
      <c r="G12261" s="2">
        <f t="shared" si="191"/>
        <v>0</v>
      </c>
      <c r="H12261" t="s">
        <v>9</v>
      </c>
    </row>
    <row r="12262" spans="2:8" x14ac:dyDescent="0.2">
      <c r="B12262" s="3">
        <v>45611</v>
      </c>
      <c r="G12262" s="2">
        <f t="shared" si="191"/>
        <v>0</v>
      </c>
      <c r="H12262" t="s">
        <v>8</v>
      </c>
    </row>
    <row r="12263" spans="2:8" x14ac:dyDescent="0.2">
      <c r="B12263" s="3">
        <v>45611</v>
      </c>
      <c r="G12263" s="2">
        <f t="shared" si="191"/>
        <v>0</v>
      </c>
      <c r="H12263" t="s">
        <v>5</v>
      </c>
    </row>
    <row r="12264" spans="2:8" x14ac:dyDescent="0.2">
      <c r="B12264" s="3">
        <v>45611</v>
      </c>
      <c r="G12264" s="2">
        <f t="shared" si="191"/>
        <v>0</v>
      </c>
      <c r="H12264" s="1"/>
    </row>
    <row r="12265" spans="2:8" x14ac:dyDescent="0.2">
      <c r="B12265" s="3">
        <v>45611</v>
      </c>
      <c r="G12265" s="2">
        <f t="shared" si="191"/>
        <v>0</v>
      </c>
      <c r="H12265" t="s">
        <v>0</v>
      </c>
    </row>
    <row r="12266" spans="2:8" x14ac:dyDescent="0.2">
      <c r="B12266" s="3">
        <v>45612</v>
      </c>
      <c r="G12266" s="2">
        <f t="shared" si="191"/>
        <v>0</v>
      </c>
      <c r="H12266" t="s">
        <v>14</v>
      </c>
    </row>
    <row r="12267" spans="2:8" x14ac:dyDescent="0.2">
      <c r="B12267" s="3">
        <v>45612</v>
      </c>
      <c r="D12267" s="28"/>
      <c r="G12267" s="2">
        <f t="shared" si="191"/>
        <v>0</v>
      </c>
      <c r="H12267" t="s">
        <v>13</v>
      </c>
    </row>
    <row r="12268" spans="2:8" x14ac:dyDescent="0.2">
      <c r="B12268" s="3">
        <v>45612</v>
      </c>
      <c r="D12268" s="28"/>
      <c r="G12268" s="2">
        <f t="shared" si="191"/>
        <v>0</v>
      </c>
      <c r="H12268" t="s">
        <v>26</v>
      </c>
    </row>
    <row r="12269" spans="2:8" x14ac:dyDescent="0.2">
      <c r="B12269" s="3">
        <v>45612</v>
      </c>
      <c r="G12269" s="2">
        <f t="shared" si="191"/>
        <v>0</v>
      </c>
      <c r="H12269" t="s">
        <v>25</v>
      </c>
    </row>
    <row r="12270" spans="2:8" x14ac:dyDescent="0.2">
      <c r="B12270" s="3">
        <v>45612</v>
      </c>
      <c r="G12270" s="2">
        <f t="shared" si="191"/>
        <v>0</v>
      </c>
      <c r="H12270" t="s">
        <v>9</v>
      </c>
    </row>
    <row r="12271" spans="2:8" x14ac:dyDescent="0.2">
      <c r="B12271" s="3">
        <v>45612</v>
      </c>
      <c r="G12271" s="2">
        <f t="shared" si="191"/>
        <v>0</v>
      </c>
      <c r="H12271" t="s">
        <v>8</v>
      </c>
    </row>
    <row r="12272" spans="2:8" x14ac:dyDescent="0.2">
      <c r="B12272" s="3">
        <v>45612</v>
      </c>
      <c r="G12272" s="2">
        <f t="shared" si="191"/>
        <v>0</v>
      </c>
      <c r="H12272" t="s">
        <v>5</v>
      </c>
    </row>
    <row r="12273" spans="2:8" x14ac:dyDescent="0.2">
      <c r="B12273" s="3">
        <v>45612</v>
      </c>
      <c r="G12273" s="2">
        <f t="shared" si="191"/>
        <v>0</v>
      </c>
      <c r="H12273" s="1"/>
    </row>
    <row r="12274" spans="2:8" x14ac:dyDescent="0.2">
      <c r="B12274" s="3">
        <v>45612</v>
      </c>
      <c r="G12274" s="2">
        <f t="shared" si="191"/>
        <v>0</v>
      </c>
      <c r="H12274" t="s">
        <v>0</v>
      </c>
    </row>
    <row r="12275" spans="2:8" x14ac:dyDescent="0.2">
      <c r="B12275" s="3">
        <v>45613</v>
      </c>
      <c r="G12275" s="2">
        <f t="shared" si="191"/>
        <v>0</v>
      </c>
      <c r="H12275" t="s">
        <v>14</v>
      </c>
    </row>
    <row r="12276" spans="2:8" x14ac:dyDescent="0.2">
      <c r="B12276" s="3">
        <v>45613</v>
      </c>
      <c r="D12276" s="28"/>
      <c r="F12276" s="1">
        <v>30000</v>
      </c>
      <c r="G12276" s="2">
        <f t="shared" si="191"/>
        <v>-30000</v>
      </c>
      <c r="H12276" t="s">
        <v>13</v>
      </c>
    </row>
    <row r="12277" spans="2:8" x14ac:dyDescent="0.2">
      <c r="B12277" s="3">
        <v>45613</v>
      </c>
      <c r="D12277" s="28"/>
      <c r="G12277" s="2">
        <f t="shared" si="191"/>
        <v>0</v>
      </c>
      <c r="H12277" t="s">
        <v>26</v>
      </c>
    </row>
    <row r="12278" spans="2:8" x14ac:dyDescent="0.2">
      <c r="B12278" s="3">
        <v>45613</v>
      </c>
      <c r="G12278" s="2">
        <f t="shared" si="191"/>
        <v>0</v>
      </c>
      <c r="H12278" t="s">
        <v>25</v>
      </c>
    </row>
    <row r="12279" spans="2:8" x14ac:dyDescent="0.2">
      <c r="B12279" s="3">
        <v>45613</v>
      </c>
      <c r="F12279" s="1">
        <v>24100</v>
      </c>
      <c r="G12279" s="2">
        <f t="shared" si="191"/>
        <v>-24100</v>
      </c>
      <c r="H12279" t="s">
        <v>9</v>
      </c>
    </row>
    <row r="12280" spans="2:8" x14ac:dyDescent="0.2">
      <c r="B12280" s="3">
        <v>45613</v>
      </c>
      <c r="G12280" s="2">
        <f t="shared" si="191"/>
        <v>0</v>
      </c>
      <c r="H12280" t="s">
        <v>8</v>
      </c>
    </row>
    <row r="12281" spans="2:8" x14ac:dyDescent="0.2">
      <c r="B12281" s="3">
        <v>45613</v>
      </c>
      <c r="G12281" s="2">
        <f t="shared" si="191"/>
        <v>0</v>
      </c>
      <c r="H12281" t="s">
        <v>5</v>
      </c>
    </row>
    <row r="12282" spans="2:8" x14ac:dyDescent="0.2">
      <c r="B12282" s="3">
        <v>45613</v>
      </c>
      <c r="G12282" s="2">
        <f t="shared" si="191"/>
        <v>0</v>
      </c>
      <c r="H12282" s="1"/>
    </row>
    <row r="12283" spans="2:8" x14ac:dyDescent="0.2">
      <c r="B12283" s="3">
        <v>45613</v>
      </c>
      <c r="G12283" s="2">
        <f t="shared" si="191"/>
        <v>0</v>
      </c>
      <c r="H12283" t="s">
        <v>0</v>
      </c>
    </row>
    <row r="12284" spans="2:8" x14ac:dyDescent="0.2">
      <c r="B12284" s="3">
        <v>45614</v>
      </c>
      <c r="G12284" s="2">
        <f t="shared" si="191"/>
        <v>0</v>
      </c>
      <c r="H12284" t="s">
        <v>14</v>
      </c>
    </row>
    <row r="12285" spans="2:8" x14ac:dyDescent="0.2">
      <c r="B12285" s="3">
        <v>45614</v>
      </c>
      <c r="D12285" s="28"/>
      <c r="G12285" s="2">
        <f t="shared" si="191"/>
        <v>0</v>
      </c>
      <c r="H12285" t="s">
        <v>13</v>
      </c>
    </row>
    <row r="12286" spans="2:8" x14ac:dyDescent="0.2">
      <c r="B12286" s="3">
        <v>45614</v>
      </c>
      <c r="D12286" s="28"/>
      <c r="G12286" s="2">
        <f t="shared" si="191"/>
        <v>0</v>
      </c>
      <c r="H12286" t="s">
        <v>26</v>
      </c>
    </row>
    <row r="12287" spans="2:8" x14ac:dyDescent="0.2">
      <c r="B12287" s="3">
        <v>45614</v>
      </c>
      <c r="G12287" s="2">
        <f t="shared" si="191"/>
        <v>0</v>
      </c>
      <c r="H12287" t="s">
        <v>25</v>
      </c>
    </row>
    <row r="12288" spans="2:8" x14ac:dyDescent="0.2">
      <c r="B12288" s="3">
        <v>45614</v>
      </c>
      <c r="G12288" s="2">
        <f t="shared" si="191"/>
        <v>0</v>
      </c>
      <c r="H12288" t="s">
        <v>9</v>
      </c>
    </row>
    <row r="12289" spans="2:8" x14ac:dyDescent="0.2">
      <c r="B12289" s="3">
        <v>45614</v>
      </c>
      <c r="G12289" s="2">
        <f t="shared" si="191"/>
        <v>0</v>
      </c>
      <c r="H12289" t="s">
        <v>8</v>
      </c>
    </row>
    <row r="12290" spans="2:8" x14ac:dyDescent="0.2">
      <c r="B12290" s="3">
        <v>45614</v>
      </c>
      <c r="G12290" s="2">
        <f t="shared" si="191"/>
        <v>0</v>
      </c>
      <c r="H12290" t="s">
        <v>5</v>
      </c>
    </row>
    <row r="12291" spans="2:8" x14ac:dyDescent="0.2">
      <c r="B12291" s="3">
        <v>45614</v>
      </c>
      <c r="G12291" s="2">
        <f t="shared" ref="G12291:G12354" si="192">E12291-F12291</f>
        <v>0</v>
      </c>
      <c r="H12291" s="1"/>
    </row>
    <row r="12292" spans="2:8" x14ac:dyDescent="0.2">
      <c r="B12292" s="3">
        <v>45614</v>
      </c>
      <c r="G12292" s="2">
        <f t="shared" si="192"/>
        <v>0</v>
      </c>
      <c r="H12292" t="s">
        <v>0</v>
      </c>
    </row>
    <row r="12293" spans="2:8" x14ac:dyDescent="0.2">
      <c r="B12293" s="3">
        <v>45615</v>
      </c>
      <c r="G12293" s="2">
        <f t="shared" si="192"/>
        <v>0</v>
      </c>
      <c r="H12293" t="s">
        <v>14</v>
      </c>
    </row>
    <row r="12294" spans="2:8" x14ac:dyDescent="0.2">
      <c r="B12294" s="3">
        <v>45615</v>
      </c>
      <c r="D12294" s="28"/>
      <c r="G12294" s="2">
        <f t="shared" si="192"/>
        <v>0</v>
      </c>
      <c r="H12294" t="s">
        <v>13</v>
      </c>
    </row>
    <row r="12295" spans="2:8" x14ac:dyDescent="0.2">
      <c r="B12295" s="3">
        <v>45615</v>
      </c>
      <c r="D12295" s="28"/>
      <c r="G12295" s="2">
        <f t="shared" si="192"/>
        <v>0</v>
      </c>
      <c r="H12295" t="s">
        <v>26</v>
      </c>
    </row>
    <row r="12296" spans="2:8" x14ac:dyDescent="0.2">
      <c r="B12296" s="3">
        <v>45615</v>
      </c>
      <c r="G12296" s="2">
        <f t="shared" si="192"/>
        <v>0</v>
      </c>
      <c r="H12296" t="s">
        <v>25</v>
      </c>
    </row>
    <row r="12297" spans="2:8" x14ac:dyDescent="0.2">
      <c r="B12297" s="3">
        <v>45615</v>
      </c>
      <c r="G12297" s="2">
        <f t="shared" si="192"/>
        <v>0</v>
      </c>
      <c r="H12297" t="s">
        <v>9</v>
      </c>
    </row>
    <row r="12298" spans="2:8" x14ac:dyDescent="0.2">
      <c r="B12298" s="3">
        <v>45615</v>
      </c>
      <c r="F12298" s="1">
        <v>30000</v>
      </c>
      <c r="G12298" s="2">
        <f t="shared" si="192"/>
        <v>-30000</v>
      </c>
      <c r="H12298" t="s">
        <v>8</v>
      </c>
    </row>
    <row r="12299" spans="2:8" x14ac:dyDescent="0.2">
      <c r="B12299" s="3">
        <v>45615</v>
      </c>
      <c r="G12299" s="2">
        <f t="shared" si="192"/>
        <v>0</v>
      </c>
      <c r="H12299" t="s">
        <v>5</v>
      </c>
    </row>
    <row r="12300" spans="2:8" x14ac:dyDescent="0.2">
      <c r="B12300" s="3">
        <v>45615</v>
      </c>
      <c r="G12300" s="2">
        <f t="shared" si="192"/>
        <v>0</v>
      </c>
      <c r="H12300" s="1"/>
    </row>
    <row r="12301" spans="2:8" x14ac:dyDescent="0.2">
      <c r="B12301" s="3">
        <v>45615</v>
      </c>
      <c r="G12301" s="2">
        <f t="shared" si="192"/>
        <v>0</v>
      </c>
      <c r="H12301" t="s">
        <v>0</v>
      </c>
    </row>
    <row r="12302" spans="2:8" x14ac:dyDescent="0.2">
      <c r="B12302" s="3">
        <v>45616</v>
      </c>
      <c r="G12302" s="2">
        <f t="shared" si="192"/>
        <v>0</v>
      </c>
      <c r="H12302" t="s">
        <v>14</v>
      </c>
    </row>
    <row r="12303" spans="2:8" x14ac:dyDescent="0.2">
      <c r="B12303" s="3">
        <v>45616</v>
      </c>
      <c r="D12303" s="28"/>
      <c r="G12303" s="2">
        <f t="shared" si="192"/>
        <v>0</v>
      </c>
      <c r="H12303" t="s">
        <v>13</v>
      </c>
    </row>
    <row r="12304" spans="2:8" x14ac:dyDescent="0.2">
      <c r="B12304" s="3">
        <v>45616</v>
      </c>
      <c r="D12304" s="28"/>
      <c r="G12304" s="2">
        <f t="shared" si="192"/>
        <v>0</v>
      </c>
      <c r="H12304" t="s">
        <v>26</v>
      </c>
    </row>
    <row r="12305" spans="2:8" x14ac:dyDescent="0.2">
      <c r="B12305" s="3">
        <v>45616</v>
      </c>
      <c r="G12305" s="2">
        <f t="shared" si="192"/>
        <v>0</v>
      </c>
      <c r="H12305" t="s">
        <v>25</v>
      </c>
    </row>
    <row r="12306" spans="2:8" x14ac:dyDescent="0.2">
      <c r="B12306" s="3">
        <v>45616</v>
      </c>
      <c r="G12306" s="2">
        <f t="shared" si="192"/>
        <v>0</v>
      </c>
      <c r="H12306" t="s">
        <v>9</v>
      </c>
    </row>
    <row r="12307" spans="2:8" x14ac:dyDescent="0.2">
      <c r="B12307" s="3">
        <v>45616</v>
      </c>
      <c r="G12307" s="2">
        <f t="shared" si="192"/>
        <v>0</v>
      </c>
      <c r="H12307" t="s">
        <v>8</v>
      </c>
    </row>
    <row r="12308" spans="2:8" x14ac:dyDescent="0.2">
      <c r="B12308" s="3">
        <v>45616</v>
      </c>
      <c r="G12308" s="2">
        <f t="shared" si="192"/>
        <v>0</v>
      </c>
      <c r="H12308" t="s">
        <v>5</v>
      </c>
    </row>
    <row r="12309" spans="2:8" x14ac:dyDescent="0.2">
      <c r="B12309" s="3">
        <v>45616</v>
      </c>
      <c r="G12309" s="2">
        <f t="shared" si="192"/>
        <v>0</v>
      </c>
      <c r="H12309" s="1"/>
    </row>
    <row r="12310" spans="2:8" x14ac:dyDescent="0.2">
      <c r="B12310" s="3">
        <v>45616</v>
      </c>
      <c r="G12310" s="2">
        <f t="shared" si="192"/>
        <v>0</v>
      </c>
      <c r="H12310" t="s">
        <v>0</v>
      </c>
    </row>
    <row r="12311" spans="2:8" x14ac:dyDescent="0.2">
      <c r="B12311" s="3">
        <v>45617</v>
      </c>
      <c r="G12311" s="2">
        <f t="shared" si="192"/>
        <v>0</v>
      </c>
      <c r="H12311" t="s">
        <v>14</v>
      </c>
    </row>
    <row r="12312" spans="2:8" x14ac:dyDescent="0.2">
      <c r="B12312" s="3">
        <v>45617</v>
      </c>
      <c r="D12312" s="28"/>
      <c r="G12312" s="2">
        <f t="shared" si="192"/>
        <v>0</v>
      </c>
      <c r="H12312" t="s">
        <v>13</v>
      </c>
    </row>
    <row r="12313" spans="2:8" x14ac:dyDescent="0.2">
      <c r="B12313" s="3">
        <v>45617</v>
      </c>
      <c r="D12313" s="28"/>
      <c r="G12313" s="2">
        <f t="shared" si="192"/>
        <v>0</v>
      </c>
      <c r="H12313" t="s">
        <v>26</v>
      </c>
    </row>
    <row r="12314" spans="2:8" x14ac:dyDescent="0.2">
      <c r="B12314" s="3">
        <v>45617</v>
      </c>
      <c r="G12314" s="2">
        <f t="shared" si="192"/>
        <v>0</v>
      </c>
      <c r="H12314" t="s">
        <v>25</v>
      </c>
    </row>
    <row r="12315" spans="2:8" x14ac:dyDescent="0.2">
      <c r="B12315" s="3">
        <v>45617</v>
      </c>
      <c r="G12315" s="2">
        <f t="shared" si="192"/>
        <v>0</v>
      </c>
      <c r="H12315" t="s">
        <v>9</v>
      </c>
    </row>
    <row r="12316" spans="2:8" x14ac:dyDescent="0.2">
      <c r="B12316" s="3">
        <v>45617</v>
      </c>
      <c r="G12316" s="2">
        <f t="shared" si="192"/>
        <v>0</v>
      </c>
      <c r="H12316" t="s">
        <v>8</v>
      </c>
    </row>
    <row r="12317" spans="2:8" x14ac:dyDescent="0.2">
      <c r="B12317" s="3">
        <v>45617</v>
      </c>
      <c r="G12317" s="2">
        <f t="shared" si="192"/>
        <v>0</v>
      </c>
      <c r="H12317" t="s">
        <v>5</v>
      </c>
    </row>
    <row r="12318" spans="2:8" x14ac:dyDescent="0.2">
      <c r="B12318" s="3">
        <v>45617</v>
      </c>
      <c r="G12318" s="2">
        <f t="shared" si="192"/>
        <v>0</v>
      </c>
      <c r="H12318" s="1"/>
    </row>
    <row r="12319" spans="2:8" x14ac:dyDescent="0.2">
      <c r="B12319" s="3">
        <v>45617</v>
      </c>
      <c r="G12319" s="2">
        <f t="shared" si="192"/>
        <v>0</v>
      </c>
      <c r="H12319" t="s">
        <v>0</v>
      </c>
    </row>
    <row r="12320" spans="2:8" ht="22" x14ac:dyDescent="0.2">
      <c r="B12320" s="14">
        <v>45618</v>
      </c>
      <c r="D12320" s="1">
        <v>6229.54</v>
      </c>
      <c r="E12320" s="1">
        <v>7090.8</v>
      </c>
      <c r="G12320" s="2">
        <f t="shared" si="192"/>
        <v>7090.8</v>
      </c>
      <c r="H12320" t="s">
        <v>14</v>
      </c>
    </row>
    <row r="12321" spans="2:8" x14ac:dyDescent="0.2">
      <c r="B12321" s="3">
        <v>45618</v>
      </c>
      <c r="D12321" s="28"/>
      <c r="G12321" s="2">
        <f t="shared" si="192"/>
        <v>0</v>
      </c>
      <c r="H12321" t="s">
        <v>13</v>
      </c>
    </row>
    <row r="12322" spans="2:8" x14ac:dyDescent="0.2">
      <c r="B12322" s="3">
        <v>45618</v>
      </c>
      <c r="D12322" s="28"/>
      <c r="G12322" s="2">
        <f t="shared" si="192"/>
        <v>0</v>
      </c>
      <c r="H12322" t="s">
        <v>26</v>
      </c>
    </row>
    <row r="12323" spans="2:8" x14ac:dyDescent="0.2">
      <c r="B12323" s="3">
        <v>45618</v>
      </c>
      <c r="G12323" s="2">
        <f t="shared" si="192"/>
        <v>0</v>
      </c>
      <c r="H12323" t="s">
        <v>25</v>
      </c>
    </row>
    <row r="12324" spans="2:8" x14ac:dyDescent="0.2">
      <c r="B12324" s="3">
        <v>45618</v>
      </c>
      <c r="G12324" s="2">
        <f t="shared" si="192"/>
        <v>0</v>
      </c>
      <c r="H12324" t="s">
        <v>9</v>
      </c>
    </row>
    <row r="12325" spans="2:8" x14ac:dyDescent="0.2">
      <c r="B12325" s="3">
        <v>45618</v>
      </c>
      <c r="D12325" s="1">
        <v>23900</v>
      </c>
      <c r="E12325" s="1">
        <v>27050</v>
      </c>
      <c r="G12325" s="2">
        <f t="shared" si="192"/>
        <v>27050</v>
      </c>
      <c r="H12325" t="s">
        <v>8</v>
      </c>
    </row>
    <row r="12326" spans="2:8" x14ac:dyDescent="0.2">
      <c r="B12326" s="3">
        <v>45618</v>
      </c>
      <c r="G12326" s="2">
        <f t="shared" si="192"/>
        <v>0</v>
      </c>
      <c r="H12326" t="s">
        <v>5</v>
      </c>
    </row>
    <row r="12327" spans="2:8" x14ac:dyDescent="0.2">
      <c r="B12327" s="3">
        <v>45618</v>
      </c>
      <c r="G12327" s="2">
        <f t="shared" si="192"/>
        <v>0</v>
      </c>
      <c r="H12327" s="1"/>
    </row>
    <row r="12328" spans="2:8" x14ac:dyDescent="0.2">
      <c r="B12328" s="3">
        <v>45618</v>
      </c>
      <c r="D12328" s="1">
        <v>59675.11</v>
      </c>
      <c r="E12328" s="1">
        <v>62910.92</v>
      </c>
      <c r="G12328" s="2">
        <f t="shared" si="192"/>
        <v>62910.92</v>
      </c>
      <c r="H12328" t="s">
        <v>0</v>
      </c>
    </row>
    <row r="12329" spans="2:8" x14ac:dyDescent="0.2">
      <c r="B12329" s="3">
        <v>45619</v>
      </c>
      <c r="G12329" s="2">
        <f t="shared" si="192"/>
        <v>0</v>
      </c>
      <c r="H12329" t="s">
        <v>14</v>
      </c>
    </row>
    <row r="12330" spans="2:8" x14ac:dyDescent="0.2">
      <c r="B12330" s="3">
        <v>45619</v>
      </c>
      <c r="D12330" s="28"/>
      <c r="G12330" s="2">
        <f t="shared" si="192"/>
        <v>0</v>
      </c>
      <c r="H12330" t="s">
        <v>13</v>
      </c>
    </row>
    <row r="12331" spans="2:8" x14ac:dyDescent="0.2">
      <c r="B12331" s="3">
        <v>45619</v>
      </c>
      <c r="D12331" s="28"/>
      <c r="G12331" s="2">
        <f t="shared" si="192"/>
        <v>0</v>
      </c>
      <c r="H12331" t="s">
        <v>26</v>
      </c>
    </row>
    <row r="12332" spans="2:8" x14ac:dyDescent="0.2">
      <c r="B12332" s="3">
        <v>45619</v>
      </c>
      <c r="G12332" s="2">
        <f t="shared" si="192"/>
        <v>0</v>
      </c>
      <c r="H12332" t="s">
        <v>25</v>
      </c>
    </row>
    <row r="12333" spans="2:8" x14ac:dyDescent="0.2">
      <c r="B12333" s="3">
        <v>45619</v>
      </c>
      <c r="G12333" s="2">
        <f t="shared" si="192"/>
        <v>0</v>
      </c>
      <c r="H12333" t="s">
        <v>9</v>
      </c>
    </row>
    <row r="12334" spans="2:8" x14ac:dyDescent="0.2">
      <c r="B12334" s="3">
        <v>45619</v>
      </c>
      <c r="G12334" s="2">
        <f t="shared" si="192"/>
        <v>0</v>
      </c>
      <c r="H12334" t="s">
        <v>8</v>
      </c>
    </row>
    <row r="12335" spans="2:8" x14ac:dyDescent="0.2">
      <c r="B12335" s="3">
        <v>45619</v>
      </c>
      <c r="G12335" s="2">
        <f t="shared" si="192"/>
        <v>0</v>
      </c>
      <c r="H12335" t="s">
        <v>5</v>
      </c>
    </row>
    <row r="12336" spans="2:8" x14ac:dyDescent="0.2">
      <c r="B12336" s="3">
        <v>45619</v>
      </c>
      <c r="G12336" s="2">
        <f t="shared" si="192"/>
        <v>0</v>
      </c>
      <c r="H12336" s="1"/>
    </row>
    <row r="12337" spans="2:8" x14ac:dyDescent="0.2">
      <c r="B12337" s="3">
        <v>45619</v>
      </c>
      <c r="G12337" s="2">
        <f t="shared" si="192"/>
        <v>0</v>
      </c>
      <c r="H12337" t="s">
        <v>0</v>
      </c>
    </row>
    <row r="12338" spans="2:8" x14ac:dyDescent="0.2">
      <c r="B12338" s="3">
        <v>45620</v>
      </c>
      <c r="G12338" s="2">
        <f t="shared" si="192"/>
        <v>0</v>
      </c>
      <c r="H12338" t="s">
        <v>14</v>
      </c>
    </row>
    <row r="12339" spans="2:8" x14ac:dyDescent="0.2">
      <c r="B12339" s="3">
        <v>45620</v>
      </c>
      <c r="D12339" s="28"/>
      <c r="G12339" s="2">
        <f t="shared" si="192"/>
        <v>0</v>
      </c>
      <c r="H12339" t="s">
        <v>13</v>
      </c>
    </row>
    <row r="12340" spans="2:8" x14ac:dyDescent="0.2">
      <c r="B12340" s="3">
        <v>45620</v>
      </c>
      <c r="D12340" s="28"/>
      <c r="G12340" s="2">
        <f t="shared" si="192"/>
        <v>0</v>
      </c>
      <c r="H12340" t="s">
        <v>26</v>
      </c>
    </row>
    <row r="12341" spans="2:8" x14ac:dyDescent="0.2">
      <c r="B12341" s="3">
        <v>45620</v>
      </c>
      <c r="G12341" s="2">
        <f t="shared" si="192"/>
        <v>0</v>
      </c>
      <c r="H12341" t="s">
        <v>25</v>
      </c>
    </row>
    <row r="12342" spans="2:8" x14ac:dyDescent="0.2">
      <c r="B12342" s="3">
        <v>45620</v>
      </c>
      <c r="G12342" s="2">
        <f t="shared" si="192"/>
        <v>0</v>
      </c>
      <c r="H12342" t="s">
        <v>9</v>
      </c>
    </row>
    <row r="12343" spans="2:8" x14ac:dyDescent="0.2">
      <c r="B12343" s="3">
        <v>45620</v>
      </c>
      <c r="G12343" s="2">
        <f t="shared" si="192"/>
        <v>0</v>
      </c>
      <c r="H12343" t="s">
        <v>8</v>
      </c>
    </row>
    <row r="12344" spans="2:8" x14ac:dyDescent="0.2">
      <c r="B12344" s="3">
        <v>45620</v>
      </c>
      <c r="G12344" s="2">
        <f t="shared" si="192"/>
        <v>0</v>
      </c>
      <c r="H12344" t="s">
        <v>5</v>
      </c>
    </row>
    <row r="12345" spans="2:8" x14ac:dyDescent="0.2">
      <c r="B12345" s="3">
        <v>45620</v>
      </c>
      <c r="G12345" s="2">
        <f t="shared" si="192"/>
        <v>0</v>
      </c>
      <c r="H12345" s="1"/>
    </row>
    <row r="12346" spans="2:8" x14ac:dyDescent="0.2">
      <c r="B12346" s="3">
        <v>45620</v>
      </c>
      <c r="G12346" s="2">
        <f t="shared" si="192"/>
        <v>0</v>
      </c>
      <c r="H12346" t="s">
        <v>0</v>
      </c>
    </row>
    <row r="12347" spans="2:8" x14ac:dyDescent="0.2">
      <c r="B12347" s="3">
        <v>45621</v>
      </c>
      <c r="G12347" s="2">
        <f t="shared" si="192"/>
        <v>0</v>
      </c>
      <c r="H12347" t="s">
        <v>14</v>
      </c>
    </row>
    <row r="12348" spans="2:8" x14ac:dyDescent="0.2">
      <c r="B12348" s="3">
        <v>45621</v>
      </c>
      <c r="D12348" s="28"/>
      <c r="G12348" s="2">
        <f t="shared" si="192"/>
        <v>0</v>
      </c>
      <c r="H12348" t="s">
        <v>13</v>
      </c>
    </row>
    <row r="12349" spans="2:8" x14ac:dyDescent="0.2">
      <c r="B12349" s="3">
        <v>45621</v>
      </c>
      <c r="D12349" s="28"/>
      <c r="G12349" s="2">
        <f t="shared" si="192"/>
        <v>0</v>
      </c>
      <c r="H12349" t="s">
        <v>26</v>
      </c>
    </row>
    <row r="12350" spans="2:8" x14ac:dyDescent="0.2">
      <c r="B12350" s="3">
        <v>45621</v>
      </c>
      <c r="G12350" s="2">
        <f t="shared" si="192"/>
        <v>0</v>
      </c>
      <c r="H12350" t="s">
        <v>25</v>
      </c>
    </row>
    <row r="12351" spans="2:8" x14ac:dyDescent="0.2">
      <c r="B12351" s="3">
        <v>45621</v>
      </c>
      <c r="G12351" s="2">
        <f t="shared" si="192"/>
        <v>0</v>
      </c>
      <c r="H12351" t="s">
        <v>9</v>
      </c>
    </row>
    <row r="12352" spans="2:8" x14ac:dyDescent="0.2">
      <c r="B12352" s="3">
        <v>45621</v>
      </c>
      <c r="F12352" s="1">
        <v>20000</v>
      </c>
      <c r="G12352" s="2">
        <f t="shared" si="192"/>
        <v>-20000</v>
      </c>
      <c r="H12352" t="s">
        <v>8</v>
      </c>
    </row>
    <row r="12353" spans="2:8" x14ac:dyDescent="0.2">
      <c r="B12353" s="3">
        <v>45621</v>
      </c>
      <c r="G12353" s="2">
        <f t="shared" si="192"/>
        <v>0</v>
      </c>
      <c r="H12353" t="s">
        <v>5</v>
      </c>
    </row>
    <row r="12354" spans="2:8" x14ac:dyDescent="0.2">
      <c r="B12354" s="3">
        <v>45621</v>
      </c>
      <c r="G12354" s="2">
        <f t="shared" si="192"/>
        <v>0</v>
      </c>
      <c r="H12354" s="1"/>
    </row>
    <row r="12355" spans="2:8" x14ac:dyDescent="0.2">
      <c r="B12355" s="3">
        <v>45621</v>
      </c>
      <c r="G12355" s="2">
        <f t="shared" ref="G12355:G12418" si="193">E12355-F12355</f>
        <v>0</v>
      </c>
      <c r="H12355" t="s">
        <v>0</v>
      </c>
    </row>
    <row r="12356" spans="2:8" x14ac:dyDescent="0.2">
      <c r="B12356" s="3">
        <v>45622</v>
      </c>
      <c r="G12356" s="2">
        <f t="shared" si="193"/>
        <v>0</v>
      </c>
      <c r="H12356" t="s">
        <v>14</v>
      </c>
    </row>
    <row r="12357" spans="2:8" x14ac:dyDescent="0.2">
      <c r="B12357" s="3">
        <v>45622</v>
      </c>
      <c r="D12357" s="28"/>
      <c r="G12357" s="2">
        <f t="shared" si="193"/>
        <v>0</v>
      </c>
      <c r="H12357" t="s">
        <v>13</v>
      </c>
    </row>
    <row r="12358" spans="2:8" x14ac:dyDescent="0.2">
      <c r="B12358" s="3">
        <v>45622</v>
      </c>
      <c r="D12358" s="28"/>
      <c r="G12358" s="2">
        <f t="shared" si="193"/>
        <v>0</v>
      </c>
      <c r="H12358" t="s">
        <v>26</v>
      </c>
    </row>
    <row r="12359" spans="2:8" x14ac:dyDescent="0.2">
      <c r="B12359" s="3">
        <v>45622</v>
      </c>
      <c r="G12359" s="2">
        <f t="shared" si="193"/>
        <v>0</v>
      </c>
      <c r="H12359" t="s">
        <v>25</v>
      </c>
    </row>
    <row r="12360" spans="2:8" x14ac:dyDescent="0.2">
      <c r="B12360" s="3">
        <v>45622</v>
      </c>
      <c r="G12360" s="2">
        <f t="shared" si="193"/>
        <v>0</v>
      </c>
      <c r="H12360" t="s">
        <v>9</v>
      </c>
    </row>
    <row r="12361" spans="2:8" x14ac:dyDescent="0.2">
      <c r="B12361" s="3">
        <v>45622</v>
      </c>
      <c r="D12361" s="1">
        <v>15130</v>
      </c>
      <c r="E12361" s="1">
        <v>17765</v>
      </c>
      <c r="G12361" s="2">
        <f t="shared" si="193"/>
        <v>17765</v>
      </c>
      <c r="H12361" t="s">
        <v>8</v>
      </c>
    </row>
    <row r="12362" spans="2:8" x14ac:dyDescent="0.2">
      <c r="B12362" s="3">
        <v>45622</v>
      </c>
      <c r="G12362" s="2">
        <f t="shared" si="193"/>
        <v>0</v>
      </c>
      <c r="H12362" t="s">
        <v>5</v>
      </c>
    </row>
    <row r="12363" spans="2:8" x14ac:dyDescent="0.2">
      <c r="B12363" s="3">
        <v>45622</v>
      </c>
      <c r="G12363" s="2">
        <f t="shared" si="193"/>
        <v>0</v>
      </c>
      <c r="H12363" s="1"/>
    </row>
    <row r="12364" spans="2:8" x14ac:dyDescent="0.2">
      <c r="B12364" s="3">
        <v>45622</v>
      </c>
      <c r="G12364" s="2">
        <f t="shared" si="193"/>
        <v>0</v>
      </c>
      <c r="H12364" t="s">
        <v>0</v>
      </c>
    </row>
    <row r="12365" spans="2:8" x14ac:dyDescent="0.2">
      <c r="B12365" s="3">
        <v>45623</v>
      </c>
      <c r="G12365" s="2">
        <f t="shared" si="193"/>
        <v>0</v>
      </c>
      <c r="H12365" t="s">
        <v>14</v>
      </c>
    </row>
    <row r="12366" spans="2:8" x14ac:dyDescent="0.2">
      <c r="B12366" s="3">
        <v>45623</v>
      </c>
      <c r="D12366" s="28">
        <v>9535</v>
      </c>
      <c r="E12366" s="1">
        <v>10275</v>
      </c>
      <c r="G12366" s="2">
        <f t="shared" si="193"/>
        <v>10275</v>
      </c>
      <c r="H12366" t="s">
        <v>13</v>
      </c>
    </row>
    <row r="12367" spans="2:8" x14ac:dyDescent="0.2">
      <c r="B12367" s="3">
        <v>45623</v>
      </c>
      <c r="D12367" s="28"/>
      <c r="F12367" s="1">
        <v>2280</v>
      </c>
      <c r="G12367" s="2">
        <f t="shared" si="193"/>
        <v>-2280</v>
      </c>
      <c r="H12367" t="s">
        <v>26</v>
      </c>
    </row>
    <row r="12368" spans="2:8" x14ac:dyDescent="0.2">
      <c r="B12368" s="3">
        <v>45623</v>
      </c>
      <c r="F12368" s="1">
        <v>2280</v>
      </c>
      <c r="G12368" s="2">
        <f t="shared" si="193"/>
        <v>-2280</v>
      </c>
      <c r="H12368" t="s">
        <v>25</v>
      </c>
    </row>
    <row r="12369" spans="2:8" x14ac:dyDescent="0.2">
      <c r="B12369" s="3">
        <v>45623</v>
      </c>
      <c r="G12369" s="2">
        <f t="shared" si="193"/>
        <v>0</v>
      </c>
      <c r="H12369" t="s">
        <v>9</v>
      </c>
    </row>
    <row r="12370" spans="2:8" x14ac:dyDescent="0.2">
      <c r="B12370" s="3">
        <v>45623</v>
      </c>
      <c r="G12370" s="2">
        <f t="shared" si="193"/>
        <v>0</v>
      </c>
      <c r="H12370" t="s">
        <v>8</v>
      </c>
    </row>
    <row r="12371" spans="2:8" x14ac:dyDescent="0.2">
      <c r="B12371" s="3">
        <v>45623</v>
      </c>
      <c r="G12371" s="2">
        <f t="shared" si="193"/>
        <v>0</v>
      </c>
      <c r="H12371" t="s">
        <v>5</v>
      </c>
    </row>
    <row r="12372" spans="2:8" x14ac:dyDescent="0.2">
      <c r="B12372" s="3">
        <v>45623</v>
      </c>
      <c r="G12372" s="2">
        <f t="shared" si="193"/>
        <v>0</v>
      </c>
      <c r="H12372" s="1"/>
    </row>
    <row r="12373" spans="2:8" x14ac:dyDescent="0.2">
      <c r="B12373" s="3">
        <v>45623</v>
      </c>
      <c r="G12373" s="2">
        <f t="shared" si="193"/>
        <v>0</v>
      </c>
      <c r="H12373" t="s">
        <v>0</v>
      </c>
    </row>
    <row r="12374" spans="2:8" x14ac:dyDescent="0.2">
      <c r="B12374" s="3">
        <v>45624</v>
      </c>
      <c r="G12374" s="2">
        <f t="shared" si="193"/>
        <v>0</v>
      </c>
      <c r="H12374" t="s">
        <v>14</v>
      </c>
    </row>
    <row r="12375" spans="2:8" x14ac:dyDescent="0.2">
      <c r="B12375" s="3">
        <v>45624</v>
      </c>
      <c r="D12375" s="28"/>
      <c r="G12375" s="2">
        <f t="shared" si="193"/>
        <v>0</v>
      </c>
      <c r="H12375" t="s">
        <v>13</v>
      </c>
    </row>
    <row r="12376" spans="2:8" x14ac:dyDescent="0.2">
      <c r="B12376" s="3">
        <v>45624</v>
      </c>
      <c r="D12376" s="28"/>
      <c r="G12376" s="2">
        <f t="shared" si="193"/>
        <v>0</v>
      </c>
      <c r="H12376" t="s">
        <v>26</v>
      </c>
    </row>
    <row r="12377" spans="2:8" x14ac:dyDescent="0.2">
      <c r="B12377" s="3">
        <v>45624</v>
      </c>
      <c r="G12377" s="2">
        <f t="shared" si="193"/>
        <v>0</v>
      </c>
      <c r="H12377" t="s">
        <v>25</v>
      </c>
    </row>
    <row r="12378" spans="2:8" x14ac:dyDescent="0.2">
      <c r="B12378" s="3">
        <v>45624</v>
      </c>
      <c r="G12378" s="2">
        <f t="shared" si="193"/>
        <v>0</v>
      </c>
      <c r="H12378" t="s">
        <v>9</v>
      </c>
    </row>
    <row r="12379" spans="2:8" x14ac:dyDescent="0.2">
      <c r="B12379" s="3">
        <v>45624</v>
      </c>
      <c r="G12379" s="2">
        <f t="shared" si="193"/>
        <v>0</v>
      </c>
      <c r="H12379" t="s">
        <v>8</v>
      </c>
    </row>
    <row r="12380" spans="2:8" x14ac:dyDescent="0.2">
      <c r="B12380" s="3">
        <v>45624</v>
      </c>
      <c r="G12380" s="2">
        <f t="shared" si="193"/>
        <v>0</v>
      </c>
      <c r="H12380" t="s">
        <v>5</v>
      </c>
    </row>
    <row r="12381" spans="2:8" x14ac:dyDescent="0.2">
      <c r="B12381" s="3">
        <v>45624</v>
      </c>
      <c r="G12381" s="2">
        <f t="shared" si="193"/>
        <v>0</v>
      </c>
      <c r="H12381" s="1"/>
    </row>
    <row r="12382" spans="2:8" x14ac:dyDescent="0.2">
      <c r="B12382" s="3">
        <v>45624</v>
      </c>
      <c r="G12382" s="2">
        <f t="shared" si="193"/>
        <v>0</v>
      </c>
      <c r="H12382" t="s">
        <v>0</v>
      </c>
    </row>
    <row r="12383" spans="2:8" x14ac:dyDescent="0.2">
      <c r="B12383" s="3">
        <v>45625</v>
      </c>
      <c r="G12383" s="2">
        <f t="shared" si="193"/>
        <v>0</v>
      </c>
      <c r="H12383" t="s">
        <v>14</v>
      </c>
    </row>
    <row r="12384" spans="2:8" x14ac:dyDescent="0.2">
      <c r="B12384" s="3">
        <v>45625</v>
      </c>
      <c r="D12384" s="28"/>
      <c r="F12384" s="1">
        <v>30000</v>
      </c>
      <c r="G12384" s="2">
        <f t="shared" si="193"/>
        <v>-30000</v>
      </c>
      <c r="H12384" t="s">
        <v>13</v>
      </c>
    </row>
    <row r="12385" spans="2:8" x14ac:dyDescent="0.2">
      <c r="B12385" s="3">
        <v>45625</v>
      </c>
      <c r="D12385" s="28"/>
      <c r="G12385" s="2">
        <f t="shared" si="193"/>
        <v>0</v>
      </c>
      <c r="H12385" t="s">
        <v>26</v>
      </c>
    </row>
    <row r="12386" spans="2:8" x14ac:dyDescent="0.2">
      <c r="B12386" s="3">
        <v>45625</v>
      </c>
      <c r="G12386" s="2">
        <f t="shared" si="193"/>
        <v>0</v>
      </c>
      <c r="H12386" t="s">
        <v>25</v>
      </c>
    </row>
    <row r="12387" spans="2:8" x14ac:dyDescent="0.2">
      <c r="B12387" s="3">
        <v>45625</v>
      </c>
      <c r="G12387" s="2">
        <f t="shared" si="193"/>
        <v>0</v>
      </c>
      <c r="H12387" t="s">
        <v>9</v>
      </c>
    </row>
    <row r="12388" spans="2:8" x14ac:dyDescent="0.2">
      <c r="B12388" s="3">
        <v>45625</v>
      </c>
      <c r="G12388" s="2">
        <f t="shared" si="193"/>
        <v>0</v>
      </c>
      <c r="H12388" t="s">
        <v>8</v>
      </c>
    </row>
    <row r="12389" spans="2:8" x14ac:dyDescent="0.2">
      <c r="B12389" s="3">
        <v>45625</v>
      </c>
      <c r="G12389" s="2">
        <f t="shared" si="193"/>
        <v>0</v>
      </c>
      <c r="H12389" t="s">
        <v>5</v>
      </c>
    </row>
    <row r="12390" spans="2:8" x14ac:dyDescent="0.2">
      <c r="B12390" s="3">
        <v>45625</v>
      </c>
      <c r="G12390" s="2">
        <f t="shared" si="193"/>
        <v>0</v>
      </c>
      <c r="H12390" s="1"/>
    </row>
    <row r="12391" spans="2:8" x14ac:dyDescent="0.2">
      <c r="B12391" s="3">
        <v>45625</v>
      </c>
      <c r="G12391" s="2">
        <f t="shared" si="193"/>
        <v>0</v>
      </c>
      <c r="H12391" t="s">
        <v>0</v>
      </c>
    </row>
    <row r="12392" spans="2:8" x14ac:dyDescent="0.2">
      <c r="B12392" s="3">
        <v>45626</v>
      </c>
      <c r="F12392" s="1">
        <v>10000</v>
      </c>
      <c r="G12392" s="2">
        <f t="shared" si="193"/>
        <v>-10000</v>
      </c>
      <c r="H12392" t="s">
        <v>14</v>
      </c>
    </row>
    <row r="12393" spans="2:8" x14ac:dyDescent="0.2">
      <c r="B12393" s="3">
        <v>45626</v>
      </c>
      <c r="D12393" s="28"/>
      <c r="G12393" s="2">
        <f t="shared" si="193"/>
        <v>0</v>
      </c>
      <c r="H12393" t="s">
        <v>13</v>
      </c>
    </row>
    <row r="12394" spans="2:8" x14ac:dyDescent="0.2">
      <c r="B12394" s="3">
        <v>45626</v>
      </c>
      <c r="D12394" s="28"/>
      <c r="G12394" s="2">
        <f t="shared" si="193"/>
        <v>0</v>
      </c>
      <c r="H12394" t="s">
        <v>26</v>
      </c>
    </row>
    <row r="12395" spans="2:8" x14ac:dyDescent="0.2">
      <c r="B12395" s="3">
        <v>45626</v>
      </c>
      <c r="G12395" s="2">
        <f t="shared" si="193"/>
        <v>0</v>
      </c>
      <c r="H12395" t="s">
        <v>25</v>
      </c>
    </row>
    <row r="12396" spans="2:8" x14ac:dyDescent="0.2">
      <c r="B12396" s="3">
        <v>45626</v>
      </c>
      <c r="G12396" s="2">
        <f t="shared" si="193"/>
        <v>0</v>
      </c>
      <c r="H12396" t="s">
        <v>9</v>
      </c>
    </row>
    <row r="12397" spans="2:8" x14ac:dyDescent="0.2">
      <c r="B12397" s="3">
        <v>45626</v>
      </c>
      <c r="G12397" s="2">
        <f t="shared" si="193"/>
        <v>0</v>
      </c>
      <c r="H12397" t="s">
        <v>8</v>
      </c>
    </row>
    <row r="12398" spans="2:8" x14ac:dyDescent="0.2">
      <c r="B12398" s="3">
        <v>45626</v>
      </c>
      <c r="G12398" s="2">
        <f t="shared" si="193"/>
        <v>0</v>
      </c>
      <c r="H12398" t="s">
        <v>5</v>
      </c>
    </row>
    <row r="12399" spans="2:8" x14ac:dyDescent="0.2">
      <c r="B12399" s="3">
        <v>45626</v>
      </c>
      <c r="G12399" s="2">
        <f t="shared" si="193"/>
        <v>0</v>
      </c>
      <c r="H12399" s="1"/>
    </row>
    <row r="12400" spans="2:8" x14ac:dyDescent="0.2">
      <c r="B12400" s="3">
        <v>45626</v>
      </c>
      <c r="G12400" s="2">
        <f t="shared" si="193"/>
        <v>0</v>
      </c>
      <c r="H12400" t="s">
        <v>0</v>
      </c>
    </row>
    <row r="12401" spans="2:8" x14ac:dyDescent="0.2">
      <c r="B12401" s="3">
        <v>45627</v>
      </c>
      <c r="G12401" s="2">
        <f t="shared" si="193"/>
        <v>0</v>
      </c>
      <c r="H12401" t="s">
        <v>14</v>
      </c>
    </row>
    <row r="12402" spans="2:8" x14ac:dyDescent="0.2">
      <c r="B12402" s="3">
        <v>45627</v>
      </c>
      <c r="D12402" s="28"/>
      <c r="G12402" s="2">
        <f t="shared" si="193"/>
        <v>0</v>
      </c>
      <c r="H12402" t="s">
        <v>13</v>
      </c>
    </row>
    <row r="12403" spans="2:8" x14ac:dyDescent="0.2">
      <c r="B12403" s="3">
        <v>45627</v>
      </c>
      <c r="D12403" s="28"/>
      <c r="G12403" s="2">
        <f t="shared" si="193"/>
        <v>0</v>
      </c>
      <c r="H12403" t="s">
        <v>26</v>
      </c>
    </row>
    <row r="12404" spans="2:8" x14ac:dyDescent="0.2">
      <c r="B12404" s="3">
        <v>45627</v>
      </c>
      <c r="G12404" s="2">
        <f t="shared" si="193"/>
        <v>0</v>
      </c>
      <c r="H12404" t="s">
        <v>25</v>
      </c>
    </row>
    <row r="12405" spans="2:8" x14ac:dyDescent="0.2">
      <c r="B12405" s="3">
        <v>45627</v>
      </c>
      <c r="G12405" s="2">
        <f t="shared" si="193"/>
        <v>0</v>
      </c>
      <c r="H12405" t="s">
        <v>9</v>
      </c>
    </row>
    <row r="12406" spans="2:8" x14ac:dyDescent="0.2">
      <c r="B12406" s="3">
        <v>45627</v>
      </c>
      <c r="G12406" s="2">
        <f t="shared" si="193"/>
        <v>0</v>
      </c>
      <c r="H12406" t="s">
        <v>8</v>
      </c>
    </row>
    <row r="12407" spans="2:8" x14ac:dyDescent="0.2">
      <c r="B12407" s="3">
        <v>45627</v>
      </c>
      <c r="G12407" s="2">
        <f t="shared" si="193"/>
        <v>0</v>
      </c>
      <c r="H12407" t="s">
        <v>5</v>
      </c>
    </row>
    <row r="12408" spans="2:8" x14ac:dyDescent="0.2">
      <c r="B12408" s="3">
        <v>45627</v>
      </c>
      <c r="G12408" s="2">
        <f t="shared" si="193"/>
        <v>0</v>
      </c>
      <c r="H12408" s="1"/>
    </row>
    <row r="12409" spans="2:8" x14ac:dyDescent="0.2">
      <c r="B12409" s="3">
        <v>45627</v>
      </c>
      <c r="G12409" s="2">
        <f t="shared" si="193"/>
        <v>0</v>
      </c>
      <c r="H12409" t="s">
        <v>0</v>
      </c>
    </row>
    <row r="12410" spans="2:8" x14ac:dyDescent="0.2">
      <c r="B12410" s="3">
        <v>45628</v>
      </c>
      <c r="G12410" s="2">
        <f t="shared" si="193"/>
        <v>0</v>
      </c>
      <c r="H12410" t="s">
        <v>14</v>
      </c>
    </row>
    <row r="12411" spans="2:8" x14ac:dyDescent="0.2">
      <c r="B12411" s="3">
        <v>45628</v>
      </c>
      <c r="D12411" s="28"/>
      <c r="G12411" s="2">
        <f t="shared" si="193"/>
        <v>0</v>
      </c>
      <c r="H12411" t="s">
        <v>13</v>
      </c>
    </row>
    <row r="12412" spans="2:8" x14ac:dyDescent="0.2">
      <c r="B12412" s="3">
        <v>45628</v>
      </c>
      <c r="D12412" s="28"/>
      <c r="G12412" s="2">
        <f t="shared" si="193"/>
        <v>0</v>
      </c>
      <c r="H12412" t="s">
        <v>26</v>
      </c>
    </row>
    <row r="12413" spans="2:8" x14ac:dyDescent="0.2">
      <c r="B12413" s="3">
        <v>45628</v>
      </c>
      <c r="G12413" s="2">
        <f t="shared" si="193"/>
        <v>0</v>
      </c>
      <c r="H12413" t="s">
        <v>25</v>
      </c>
    </row>
    <row r="12414" spans="2:8" x14ac:dyDescent="0.2">
      <c r="B12414" s="3">
        <v>45628</v>
      </c>
      <c r="G12414" s="2">
        <f t="shared" si="193"/>
        <v>0</v>
      </c>
      <c r="H12414" t="s">
        <v>9</v>
      </c>
    </row>
    <row r="12415" spans="2:8" x14ac:dyDescent="0.2">
      <c r="B12415" s="3">
        <v>45628</v>
      </c>
      <c r="G12415" s="2">
        <f t="shared" si="193"/>
        <v>0</v>
      </c>
      <c r="H12415" t="s">
        <v>8</v>
      </c>
    </row>
    <row r="12416" spans="2:8" x14ac:dyDescent="0.2">
      <c r="B12416" s="3">
        <v>45628</v>
      </c>
      <c r="G12416" s="2">
        <f t="shared" si="193"/>
        <v>0</v>
      </c>
      <c r="H12416" t="s">
        <v>5</v>
      </c>
    </row>
    <row r="12417" spans="2:8" x14ac:dyDescent="0.2">
      <c r="B12417" s="3">
        <v>45628</v>
      </c>
      <c r="G12417" s="2">
        <f t="shared" si="193"/>
        <v>0</v>
      </c>
      <c r="H12417" s="1"/>
    </row>
    <row r="12418" spans="2:8" x14ac:dyDescent="0.2">
      <c r="B12418" s="3">
        <v>45628</v>
      </c>
      <c r="G12418" s="2">
        <f t="shared" si="193"/>
        <v>0</v>
      </c>
      <c r="H12418" t="s">
        <v>0</v>
      </c>
    </row>
    <row r="12419" spans="2:8" x14ac:dyDescent="0.2">
      <c r="B12419" s="3">
        <v>45629</v>
      </c>
      <c r="G12419" s="2">
        <f t="shared" ref="G12419:G12482" si="194">E12419-F12419</f>
        <v>0</v>
      </c>
      <c r="H12419" t="s">
        <v>14</v>
      </c>
    </row>
    <row r="12420" spans="2:8" x14ac:dyDescent="0.2">
      <c r="B12420" s="3">
        <v>45629</v>
      </c>
      <c r="D12420" s="28"/>
      <c r="G12420" s="2">
        <f t="shared" si="194"/>
        <v>0</v>
      </c>
      <c r="H12420" t="s">
        <v>13</v>
      </c>
    </row>
    <row r="12421" spans="2:8" x14ac:dyDescent="0.2">
      <c r="B12421" s="3">
        <v>45629</v>
      </c>
      <c r="D12421" s="28"/>
      <c r="G12421" s="2">
        <f t="shared" si="194"/>
        <v>0</v>
      </c>
      <c r="H12421" t="s">
        <v>26</v>
      </c>
    </row>
    <row r="12422" spans="2:8" x14ac:dyDescent="0.2">
      <c r="B12422" s="3">
        <v>45629</v>
      </c>
      <c r="G12422" s="2">
        <f t="shared" si="194"/>
        <v>0</v>
      </c>
      <c r="H12422" t="s">
        <v>25</v>
      </c>
    </row>
    <row r="12423" spans="2:8" x14ac:dyDescent="0.2">
      <c r="B12423" s="3">
        <v>45629</v>
      </c>
      <c r="G12423" s="2">
        <f t="shared" si="194"/>
        <v>0</v>
      </c>
      <c r="H12423" t="s">
        <v>9</v>
      </c>
    </row>
    <row r="12424" spans="2:8" x14ac:dyDescent="0.2">
      <c r="B12424" s="3">
        <v>45629</v>
      </c>
      <c r="F12424" s="1">
        <v>20000</v>
      </c>
      <c r="G12424" s="2">
        <f t="shared" si="194"/>
        <v>-20000</v>
      </c>
      <c r="H12424" t="s">
        <v>8</v>
      </c>
    </row>
    <row r="12425" spans="2:8" x14ac:dyDescent="0.2">
      <c r="B12425" s="3">
        <v>45629</v>
      </c>
      <c r="G12425" s="2">
        <f t="shared" si="194"/>
        <v>0</v>
      </c>
      <c r="H12425" t="s">
        <v>5</v>
      </c>
    </row>
    <row r="12426" spans="2:8" x14ac:dyDescent="0.2">
      <c r="B12426" s="3">
        <v>45629</v>
      </c>
      <c r="G12426" s="2">
        <f t="shared" si="194"/>
        <v>0</v>
      </c>
      <c r="H12426" s="1"/>
    </row>
    <row r="12427" spans="2:8" x14ac:dyDescent="0.2">
      <c r="B12427" s="3">
        <v>45629</v>
      </c>
      <c r="G12427" s="2">
        <f t="shared" si="194"/>
        <v>0</v>
      </c>
      <c r="H12427" t="s">
        <v>0</v>
      </c>
    </row>
    <row r="12428" spans="2:8" x14ac:dyDescent="0.2">
      <c r="B12428" s="3">
        <v>45630</v>
      </c>
      <c r="G12428" s="2">
        <f t="shared" si="194"/>
        <v>0</v>
      </c>
      <c r="H12428" t="s">
        <v>14</v>
      </c>
    </row>
    <row r="12429" spans="2:8" x14ac:dyDescent="0.2">
      <c r="B12429" s="3">
        <v>45630</v>
      </c>
      <c r="D12429" s="28"/>
      <c r="G12429" s="2">
        <f t="shared" si="194"/>
        <v>0</v>
      </c>
      <c r="H12429" t="s">
        <v>13</v>
      </c>
    </row>
    <row r="12430" spans="2:8" x14ac:dyDescent="0.2">
      <c r="B12430" s="3">
        <v>45630</v>
      </c>
      <c r="D12430" s="28"/>
      <c r="G12430" s="2">
        <f t="shared" si="194"/>
        <v>0</v>
      </c>
      <c r="H12430" t="s">
        <v>26</v>
      </c>
    </row>
    <row r="12431" spans="2:8" x14ac:dyDescent="0.2">
      <c r="B12431" s="3">
        <v>45630</v>
      </c>
      <c r="G12431" s="2">
        <f t="shared" si="194"/>
        <v>0</v>
      </c>
      <c r="H12431" t="s">
        <v>25</v>
      </c>
    </row>
    <row r="12432" spans="2:8" x14ac:dyDescent="0.2">
      <c r="B12432" s="3">
        <v>45630</v>
      </c>
      <c r="G12432" s="2">
        <f t="shared" si="194"/>
        <v>0</v>
      </c>
      <c r="H12432" t="s">
        <v>9</v>
      </c>
    </row>
    <row r="12433" spans="2:8" x14ac:dyDescent="0.2">
      <c r="B12433" s="3">
        <v>45630</v>
      </c>
      <c r="G12433" s="2">
        <f t="shared" si="194"/>
        <v>0</v>
      </c>
      <c r="H12433" t="s">
        <v>8</v>
      </c>
    </row>
    <row r="12434" spans="2:8" x14ac:dyDescent="0.2">
      <c r="B12434" s="3">
        <v>45630</v>
      </c>
      <c r="G12434" s="2">
        <f t="shared" si="194"/>
        <v>0</v>
      </c>
      <c r="H12434" t="s">
        <v>5</v>
      </c>
    </row>
    <row r="12435" spans="2:8" x14ac:dyDescent="0.2">
      <c r="B12435" s="3">
        <v>45630</v>
      </c>
      <c r="G12435" s="2">
        <f t="shared" si="194"/>
        <v>0</v>
      </c>
      <c r="H12435" s="1"/>
    </row>
    <row r="12436" spans="2:8" x14ac:dyDescent="0.2">
      <c r="B12436" s="3">
        <v>45630</v>
      </c>
      <c r="G12436" s="2">
        <f t="shared" si="194"/>
        <v>0</v>
      </c>
      <c r="H12436" t="s">
        <v>0</v>
      </c>
    </row>
    <row r="12437" spans="2:8" x14ac:dyDescent="0.2">
      <c r="B12437" s="3">
        <v>45631</v>
      </c>
      <c r="G12437" s="2">
        <f t="shared" si="194"/>
        <v>0</v>
      </c>
      <c r="H12437" t="s">
        <v>14</v>
      </c>
    </row>
    <row r="12438" spans="2:8" x14ac:dyDescent="0.2">
      <c r="B12438" s="3">
        <v>45631</v>
      </c>
      <c r="D12438" s="28"/>
      <c r="G12438" s="2">
        <f t="shared" si="194"/>
        <v>0</v>
      </c>
      <c r="H12438" t="s">
        <v>13</v>
      </c>
    </row>
    <row r="12439" spans="2:8" x14ac:dyDescent="0.2">
      <c r="B12439" s="3">
        <v>45631</v>
      </c>
      <c r="D12439" s="28"/>
      <c r="G12439" s="2">
        <f t="shared" si="194"/>
        <v>0</v>
      </c>
      <c r="H12439" t="s">
        <v>26</v>
      </c>
    </row>
    <row r="12440" spans="2:8" x14ac:dyDescent="0.2">
      <c r="B12440" s="3">
        <v>45631</v>
      </c>
      <c r="G12440" s="2">
        <f t="shared" si="194"/>
        <v>0</v>
      </c>
      <c r="H12440" t="s">
        <v>25</v>
      </c>
    </row>
    <row r="12441" spans="2:8" x14ac:dyDescent="0.2">
      <c r="B12441" s="3">
        <v>45631</v>
      </c>
      <c r="G12441" s="2">
        <f t="shared" si="194"/>
        <v>0</v>
      </c>
      <c r="H12441" t="s">
        <v>9</v>
      </c>
    </row>
    <row r="12442" spans="2:8" x14ac:dyDescent="0.2">
      <c r="B12442" s="3">
        <v>45631</v>
      </c>
      <c r="G12442" s="2">
        <f t="shared" si="194"/>
        <v>0</v>
      </c>
      <c r="H12442" t="s">
        <v>8</v>
      </c>
    </row>
    <row r="12443" spans="2:8" x14ac:dyDescent="0.2">
      <c r="B12443" s="3">
        <v>45631</v>
      </c>
      <c r="G12443" s="2">
        <f t="shared" si="194"/>
        <v>0</v>
      </c>
      <c r="H12443" t="s">
        <v>5</v>
      </c>
    </row>
    <row r="12444" spans="2:8" x14ac:dyDescent="0.2">
      <c r="B12444" s="3">
        <v>45631</v>
      </c>
      <c r="G12444" s="2">
        <f t="shared" si="194"/>
        <v>0</v>
      </c>
      <c r="H12444" s="1"/>
    </row>
    <row r="12445" spans="2:8" x14ac:dyDescent="0.2">
      <c r="B12445" s="3">
        <v>45631</v>
      </c>
      <c r="G12445" s="2">
        <f t="shared" si="194"/>
        <v>0</v>
      </c>
      <c r="H12445" t="s">
        <v>0</v>
      </c>
    </row>
    <row r="12446" spans="2:8" x14ac:dyDescent="0.2">
      <c r="B12446" s="3">
        <v>45632</v>
      </c>
      <c r="D12446" s="1">
        <v>27850</v>
      </c>
      <c r="E12446" s="1">
        <v>28750</v>
      </c>
      <c r="F12446" s="1">
        <v>15000</v>
      </c>
      <c r="G12446" s="2">
        <f t="shared" si="194"/>
        <v>13750</v>
      </c>
      <c r="H12446" t="s">
        <v>14</v>
      </c>
    </row>
    <row r="12447" spans="2:8" x14ac:dyDescent="0.2">
      <c r="B12447" s="3">
        <v>45632</v>
      </c>
      <c r="D12447" s="28"/>
      <c r="G12447" s="2">
        <f t="shared" si="194"/>
        <v>0</v>
      </c>
      <c r="H12447" t="s">
        <v>13</v>
      </c>
    </row>
    <row r="12448" spans="2:8" x14ac:dyDescent="0.2">
      <c r="B12448" s="3">
        <v>45632</v>
      </c>
      <c r="D12448" s="28">
        <f>610*4</f>
        <v>2440</v>
      </c>
      <c r="E12448" s="1">
        <v>3000</v>
      </c>
      <c r="F12448" s="1">
        <v>3000</v>
      </c>
      <c r="G12448" s="2">
        <f t="shared" si="194"/>
        <v>0</v>
      </c>
      <c r="H12448" t="s">
        <v>26</v>
      </c>
    </row>
    <row r="12449" spans="2:8" x14ac:dyDescent="0.2">
      <c r="B12449" s="3">
        <v>45632</v>
      </c>
      <c r="D12449" s="1">
        <v>2440</v>
      </c>
      <c r="E12449" s="1">
        <v>3000</v>
      </c>
      <c r="F12449" s="1">
        <v>3000</v>
      </c>
      <c r="G12449" s="2">
        <f t="shared" si="194"/>
        <v>0</v>
      </c>
      <c r="H12449" t="s">
        <v>25</v>
      </c>
    </row>
    <row r="12450" spans="2:8" x14ac:dyDescent="0.2">
      <c r="B12450" s="3">
        <v>45632</v>
      </c>
      <c r="F12450" s="1">
        <v>2110</v>
      </c>
      <c r="G12450" s="2">
        <f t="shared" si="194"/>
        <v>-2110</v>
      </c>
      <c r="H12450" t="s">
        <v>9</v>
      </c>
    </row>
    <row r="12451" spans="2:8" x14ac:dyDescent="0.2">
      <c r="B12451" s="3">
        <v>45632</v>
      </c>
      <c r="G12451" s="2">
        <f t="shared" si="194"/>
        <v>0</v>
      </c>
      <c r="H12451" t="s">
        <v>8</v>
      </c>
    </row>
    <row r="12452" spans="2:8" x14ac:dyDescent="0.2">
      <c r="B12452" s="3">
        <v>45632</v>
      </c>
      <c r="D12452" s="1">
        <v>2000</v>
      </c>
      <c r="E12452" s="1">
        <v>2300</v>
      </c>
      <c r="F12452" s="1">
        <v>2500</v>
      </c>
      <c r="G12452" s="2">
        <f t="shared" si="194"/>
        <v>-200</v>
      </c>
      <c r="H12452" t="s">
        <v>5</v>
      </c>
    </row>
    <row r="12453" spans="2:8" x14ac:dyDescent="0.2">
      <c r="B12453" s="3">
        <v>45632</v>
      </c>
      <c r="G12453" s="2">
        <f t="shared" si="194"/>
        <v>0</v>
      </c>
      <c r="H12453" s="1"/>
    </row>
    <row r="12454" spans="2:8" x14ac:dyDescent="0.2">
      <c r="B12454" s="3">
        <v>45632</v>
      </c>
      <c r="G12454" s="2">
        <f t="shared" si="194"/>
        <v>0</v>
      </c>
      <c r="H12454" t="s">
        <v>0</v>
      </c>
    </row>
    <row r="12455" spans="2:8" x14ac:dyDescent="0.2">
      <c r="B12455" s="3">
        <v>45633</v>
      </c>
      <c r="G12455" s="2">
        <f t="shared" si="194"/>
        <v>0</v>
      </c>
      <c r="H12455" t="s">
        <v>14</v>
      </c>
    </row>
    <row r="12456" spans="2:8" x14ac:dyDescent="0.2">
      <c r="B12456" s="3">
        <v>45633</v>
      </c>
      <c r="D12456" s="28"/>
      <c r="G12456" s="2">
        <f t="shared" si="194"/>
        <v>0</v>
      </c>
      <c r="H12456" t="s">
        <v>13</v>
      </c>
    </row>
    <row r="12457" spans="2:8" x14ac:dyDescent="0.2">
      <c r="B12457" s="3">
        <v>45633</v>
      </c>
      <c r="D12457" s="28"/>
      <c r="G12457" s="2">
        <f t="shared" si="194"/>
        <v>0</v>
      </c>
      <c r="H12457" t="s">
        <v>26</v>
      </c>
    </row>
    <row r="12458" spans="2:8" x14ac:dyDescent="0.2">
      <c r="B12458" s="3">
        <v>45633</v>
      </c>
      <c r="G12458" s="2">
        <f t="shared" si="194"/>
        <v>0</v>
      </c>
      <c r="H12458" t="s">
        <v>25</v>
      </c>
    </row>
    <row r="12459" spans="2:8" x14ac:dyDescent="0.2">
      <c r="B12459" s="3">
        <v>45633</v>
      </c>
      <c r="G12459" s="2">
        <f t="shared" si="194"/>
        <v>0</v>
      </c>
      <c r="H12459" t="s">
        <v>9</v>
      </c>
    </row>
    <row r="12460" spans="2:8" x14ac:dyDescent="0.2">
      <c r="B12460" s="3">
        <v>45633</v>
      </c>
      <c r="G12460" s="2">
        <f t="shared" si="194"/>
        <v>0</v>
      </c>
      <c r="H12460" t="s">
        <v>8</v>
      </c>
    </row>
    <row r="12461" spans="2:8" x14ac:dyDescent="0.2">
      <c r="B12461" s="3">
        <v>45633</v>
      </c>
      <c r="G12461" s="2">
        <f t="shared" si="194"/>
        <v>0</v>
      </c>
      <c r="H12461" t="s">
        <v>5</v>
      </c>
    </row>
    <row r="12462" spans="2:8" x14ac:dyDescent="0.2">
      <c r="B12462" s="3">
        <v>45633</v>
      </c>
      <c r="G12462" s="2">
        <f t="shared" si="194"/>
        <v>0</v>
      </c>
      <c r="H12462" s="1"/>
    </row>
    <row r="12463" spans="2:8" x14ac:dyDescent="0.2">
      <c r="B12463" s="3">
        <v>45633</v>
      </c>
      <c r="F12463" s="1">
        <v>40000</v>
      </c>
      <c r="G12463" s="2">
        <f t="shared" si="194"/>
        <v>-40000</v>
      </c>
      <c r="H12463" t="s">
        <v>0</v>
      </c>
    </row>
    <row r="12464" spans="2:8" x14ac:dyDescent="0.2">
      <c r="B12464" s="3">
        <v>45634</v>
      </c>
      <c r="F12464" s="1">
        <v>5000</v>
      </c>
      <c r="G12464" s="2">
        <f t="shared" si="194"/>
        <v>-5000</v>
      </c>
      <c r="H12464" t="s">
        <v>14</v>
      </c>
    </row>
    <row r="12465" spans="2:8" x14ac:dyDescent="0.2">
      <c r="B12465" s="3">
        <v>45634</v>
      </c>
      <c r="D12465" s="28"/>
      <c r="G12465" s="2">
        <f t="shared" si="194"/>
        <v>0</v>
      </c>
      <c r="H12465" t="s">
        <v>13</v>
      </c>
    </row>
    <row r="12466" spans="2:8" x14ac:dyDescent="0.2">
      <c r="B12466" s="3">
        <v>45634</v>
      </c>
      <c r="D12466" s="28"/>
      <c r="G12466" s="2">
        <f t="shared" si="194"/>
        <v>0</v>
      </c>
      <c r="H12466" t="s">
        <v>26</v>
      </c>
    </row>
    <row r="12467" spans="2:8" x14ac:dyDescent="0.2">
      <c r="B12467" s="3">
        <v>45634</v>
      </c>
      <c r="G12467" s="2">
        <f t="shared" si="194"/>
        <v>0</v>
      </c>
      <c r="H12467" t="s">
        <v>25</v>
      </c>
    </row>
    <row r="12468" spans="2:8" x14ac:dyDescent="0.2">
      <c r="B12468" s="3">
        <v>45634</v>
      </c>
      <c r="G12468" s="2">
        <f t="shared" si="194"/>
        <v>0</v>
      </c>
      <c r="H12468" t="s">
        <v>9</v>
      </c>
    </row>
    <row r="12469" spans="2:8" x14ac:dyDescent="0.2">
      <c r="B12469" s="3">
        <v>45634</v>
      </c>
      <c r="D12469" s="1">
        <v>16590</v>
      </c>
      <c r="E12469" s="1">
        <v>18780</v>
      </c>
      <c r="G12469" s="2">
        <f t="shared" si="194"/>
        <v>18780</v>
      </c>
      <c r="H12469" t="s">
        <v>8</v>
      </c>
    </row>
    <row r="12470" spans="2:8" x14ac:dyDescent="0.2">
      <c r="B12470" s="3">
        <v>45634</v>
      </c>
      <c r="G12470" s="2">
        <f t="shared" si="194"/>
        <v>0</v>
      </c>
      <c r="H12470" t="s">
        <v>5</v>
      </c>
    </row>
    <row r="12471" spans="2:8" x14ac:dyDescent="0.2">
      <c r="B12471" s="3">
        <v>45634</v>
      </c>
      <c r="G12471" s="2">
        <f t="shared" si="194"/>
        <v>0</v>
      </c>
      <c r="H12471" s="1"/>
    </row>
    <row r="12472" spans="2:8" x14ac:dyDescent="0.2">
      <c r="B12472" s="3">
        <v>45634</v>
      </c>
      <c r="G12472" s="2">
        <f t="shared" si="194"/>
        <v>0</v>
      </c>
      <c r="H12472" t="s">
        <v>0</v>
      </c>
    </row>
    <row r="12473" spans="2:8" x14ac:dyDescent="0.2">
      <c r="B12473" s="3">
        <v>45635</v>
      </c>
      <c r="G12473" s="2">
        <f t="shared" si="194"/>
        <v>0</v>
      </c>
      <c r="H12473" t="s">
        <v>14</v>
      </c>
    </row>
    <row r="12474" spans="2:8" x14ac:dyDescent="0.2">
      <c r="B12474" s="3">
        <v>45635</v>
      </c>
      <c r="D12474" s="28"/>
      <c r="G12474" s="2">
        <f t="shared" si="194"/>
        <v>0</v>
      </c>
      <c r="H12474" t="s">
        <v>13</v>
      </c>
    </row>
    <row r="12475" spans="2:8" x14ac:dyDescent="0.2">
      <c r="B12475" s="3">
        <v>45635</v>
      </c>
      <c r="D12475" s="28"/>
      <c r="G12475" s="2">
        <f t="shared" si="194"/>
        <v>0</v>
      </c>
      <c r="H12475" t="s">
        <v>26</v>
      </c>
    </row>
    <row r="12476" spans="2:8" x14ac:dyDescent="0.2">
      <c r="B12476" s="3">
        <v>45635</v>
      </c>
      <c r="G12476" s="2">
        <f t="shared" si="194"/>
        <v>0</v>
      </c>
      <c r="H12476" t="s">
        <v>25</v>
      </c>
    </row>
    <row r="12477" spans="2:8" x14ac:dyDescent="0.2">
      <c r="B12477" s="3">
        <v>45635</v>
      </c>
      <c r="G12477" s="2">
        <f t="shared" si="194"/>
        <v>0</v>
      </c>
      <c r="H12477" t="s">
        <v>9</v>
      </c>
    </row>
    <row r="12478" spans="2:8" x14ac:dyDescent="0.2">
      <c r="B12478" s="3">
        <v>45635</v>
      </c>
      <c r="G12478" s="2">
        <f t="shared" si="194"/>
        <v>0</v>
      </c>
      <c r="H12478" t="s">
        <v>8</v>
      </c>
    </row>
    <row r="12479" spans="2:8" x14ac:dyDescent="0.2">
      <c r="B12479" s="3">
        <v>45635</v>
      </c>
      <c r="G12479" s="2">
        <f t="shared" si="194"/>
        <v>0</v>
      </c>
      <c r="H12479" t="s">
        <v>5</v>
      </c>
    </row>
    <row r="12480" spans="2:8" x14ac:dyDescent="0.2">
      <c r="B12480" s="3">
        <v>45635</v>
      </c>
      <c r="G12480" s="2">
        <f t="shared" si="194"/>
        <v>0</v>
      </c>
      <c r="H12480" s="1"/>
    </row>
    <row r="12481" spans="2:8" x14ac:dyDescent="0.2">
      <c r="B12481" s="3">
        <v>45635</v>
      </c>
      <c r="G12481" s="2">
        <f t="shared" si="194"/>
        <v>0</v>
      </c>
      <c r="H12481" t="s">
        <v>0</v>
      </c>
    </row>
    <row r="12482" spans="2:8" x14ac:dyDescent="0.2">
      <c r="B12482" s="3">
        <v>45636</v>
      </c>
      <c r="G12482" s="2">
        <f t="shared" si="194"/>
        <v>0</v>
      </c>
      <c r="H12482" t="s">
        <v>14</v>
      </c>
    </row>
    <row r="12483" spans="2:8" x14ac:dyDescent="0.2">
      <c r="B12483" s="3">
        <v>45636</v>
      </c>
      <c r="D12483" s="28"/>
      <c r="G12483" s="2">
        <f t="shared" ref="G12483:G12546" si="195">E12483-F12483</f>
        <v>0</v>
      </c>
      <c r="H12483" t="s">
        <v>13</v>
      </c>
    </row>
    <row r="12484" spans="2:8" x14ac:dyDescent="0.2">
      <c r="B12484" s="3">
        <v>45636</v>
      </c>
      <c r="D12484" s="28"/>
      <c r="G12484" s="2">
        <f t="shared" si="195"/>
        <v>0</v>
      </c>
      <c r="H12484" t="s">
        <v>26</v>
      </c>
    </row>
    <row r="12485" spans="2:8" x14ac:dyDescent="0.2">
      <c r="B12485" s="3">
        <v>45636</v>
      </c>
      <c r="G12485" s="2">
        <f t="shared" si="195"/>
        <v>0</v>
      </c>
      <c r="H12485" t="s">
        <v>25</v>
      </c>
    </row>
    <row r="12486" spans="2:8" x14ac:dyDescent="0.2">
      <c r="B12486" s="3">
        <v>45636</v>
      </c>
      <c r="G12486" s="2">
        <f t="shared" si="195"/>
        <v>0</v>
      </c>
      <c r="H12486" t="s">
        <v>9</v>
      </c>
    </row>
    <row r="12487" spans="2:8" x14ac:dyDescent="0.2">
      <c r="B12487" s="3">
        <v>45636</v>
      </c>
      <c r="F12487" s="1">
        <v>30000</v>
      </c>
      <c r="G12487" s="2">
        <f t="shared" si="195"/>
        <v>-30000</v>
      </c>
      <c r="H12487" t="s">
        <v>8</v>
      </c>
    </row>
    <row r="12488" spans="2:8" x14ac:dyDescent="0.2">
      <c r="B12488" s="3">
        <v>45636</v>
      </c>
      <c r="G12488" s="2">
        <f t="shared" si="195"/>
        <v>0</v>
      </c>
      <c r="H12488" t="s">
        <v>5</v>
      </c>
    </row>
    <row r="12489" spans="2:8" x14ac:dyDescent="0.2">
      <c r="B12489" s="3">
        <v>45636</v>
      </c>
      <c r="G12489" s="2">
        <f t="shared" si="195"/>
        <v>0</v>
      </c>
      <c r="H12489" s="1"/>
    </row>
    <row r="12490" spans="2:8" x14ac:dyDescent="0.2">
      <c r="B12490" s="3">
        <v>45636</v>
      </c>
      <c r="G12490" s="2">
        <f t="shared" si="195"/>
        <v>0</v>
      </c>
      <c r="H12490" t="s">
        <v>0</v>
      </c>
    </row>
    <row r="12491" spans="2:8" x14ac:dyDescent="0.2">
      <c r="B12491" s="3">
        <v>45637</v>
      </c>
      <c r="D12491" s="1">
        <v>10420</v>
      </c>
      <c r="E12491" s="1">
        <v>11304</v>
      </c>
      <c r="G12491" s="2">
        <f t="shared" si="195"/>
        <v>11304</v>
      </c>
      <c r="H12491" t="s">
        <v>14</v>
      </c>
    </row>
    <row r="12492" spans="2:8" x14ac:dyDescent="0.2">
      <c r="B12492" s="3">
        <v>45637</v>
      </c>
      <c r="D12492" s="28"/>
      <c r="G12492" s="2">
        <f t="shared" si="195"/>
        <v>0</v>
      </c>
      <c r="H12492" t="s">
        <v>13</v>
      </c>
    </row>
    <row r="12493" spans="2:8" x14ac:dyDescent="0.2">
      <c r="B12493" s="3">
        <v>45637</v>
      </c>
      <c r="D12493" s="28">
        <f>3660+8100</f>
        <v>11760</v>
      </c>
      <c r="E12493" s="1">
        <v>13015</v>
      </c>
      <c r="G12493" s="2">
        <f t="shared" si="195"/>
        <v>13015</v>
      </c>
      <c r="H12493" t="s">
        <v>26</v>
      </c>
    </row>
    <row r="12494" spans="2:8" x14ac:dyDescent="0.2">
      <c r="B12494" s="3">
        <v>45637</v>
      </c>
      <c r="D12494" s="1">
        <v>11760</v>
      </c>
      <c r="E12494" s="1">
        <v>13015</v>
      </c>
      <c r="G12494" s="2">
        <f t="shared" si="195"/>
        <v>13015</v>
      </c>
      <c r="H12494" t="s">
        <v>25</v>
      </c>
    </row>
    <row r="12495" spans="2:8" x14ac:dyDescent="0.2">
      <c r="B12495" s="3">
        <v>45637</v>
      </c>
      <c r="G12495" s="2">
        <f t="shared" si="195"/>
        <v>0</v>
      </c>
      <c r="H12495" t="s">
        <v>9</v>
      </c>
    </row>
    <row r="12496" spans="2:8" x14ac:dyDescent="0.2">
      <c r="B12496" s="3">
        <v>45637</v>
      </c>
      <c r="G12496" s="2">
        <f t="shared" si="195"/>
        <v>0</v>
      </c>
      <c r="H12496" t="s">
        <v>8</v>
      </c>
    </row>
    <row r="12497" spans="2:8" x14ac:dyDescent="0.2">
      <c r="B12497" s="3">
        <v>45637</v>
      </c>
      <c r="G12497" s="2">
        <f t="shared" si="195"/>
        <v>0</v>
      </c>
      <c r="H12497" t="s">
        <v>5</v>
      </c>
    </row>
    <row r="12498" spans="2:8" x14ac:dyDescent="0.2">
      <c r="B12498" s="3">
        <v>45637</v>
      </c>
      <c r="G12498" s="2">
        <f t="shared" si="195"/>
        <v>0</v>
      </c>
      <c r="H12498" s="1"/>
    </row>
    <row r="12499" spans="2:8" x14ac:dyDescent="0.2">
      <c r="B12499" s="3">
        <v>45637</v>
      </c>
      <c r="G12499" s="2">
        <f t="shared" si="195"/>
        <v>0</v>
      </c>
      <c r="H12499" t="s">
        <v>0</v>
      </c>
    </row>
    <row r="12500" spans="2:8" x14ac:dyDescent="0.2">
      <c r="B12500" s="3">
        <v>45638</v>
      </c>
      <c r="G12500" s="2">
        <f t="shared" si="195"/>
        <v>0</v>
      </c>
      <c r="H12500" t="s">
        <v>14</v>
      </c>
    </row>
    <row r="12501" spans="2:8" x14ac:dyDescent="0.2">
      <c r="B12501" s="3">
        <v>45638</v>
      </c>
      <c r="D12501" s="28"/>
      <c r="G12501" s="2">
        <f t="shared" si="195"/>
        <v>0</v>
      </c>
      <c r="H12501" t="s">
        <v>13</v>
      </c>
    </row>
    <row r="12502" spans="2:8" x14ac:dyDescent="0.2">
      <c r="B12502" s="3">
        <v>45638</v>
      </c>
      <c r="D12502" s="28"/>
      <c r="G12502" s="2">
        <f t="shared" si="195"/>
        <v>0</v>
      </c>
      <c r="H12502" t="s">
        <v>26</v>
      </c>
    </row>
    <row r="12503" spans="2:8" x14ac:dyDescent="0.2">
      <c r="B12503" s="3">
        <v>45638</v>
      </c>
      <c r="G12503" s="2">
        <f t="shared" si="195"/>
        <v>0</v>
      </c>
      <c r="H12503" t="s">
        <v>25</v>
      </c>
    </row>
    <row r="12504" spans="2:8" x14ac:dyDescent="0.2">
      <c r="B12504" s="3">
        <v>45638</v>
      </c>
      <c r="G12504" s="2">
        <f t="shared" si="195"/>
        <v>0</v>
      </c>
      <c r="H12504" t="s">
        <v>9</v>
      </c>
    </row>
    <row r="12505" spans="2:8" x14ac:dyDescent="0.2">
      <c r="B12505" s="3">
        <v>45638</v>
      </c>
      <c r="G12505" s="2">
        <f t="shared" si="195"/>
        <v>0</v>
      </c>
      <c r="H12505" t="s">
        <v>8</v>
      </c>
    </row>
    <row r="12506" spans="2:8" x14ac:dyDescent="0.2">
      <c r="B12506" s="3">
        <v>45638</v>
      </c>
      <c r="G12506" s="2">
        <f t="shared" si="195"/>
        <v>0</v>
      </c>
      <c r="H12506" t="s">
        <v>5</v>
      </c>
    </row>
    <row r="12507" spans="2:8" x14ac:dyDescent="0.2">
      <c r="B12507" s="3">
        <v>45638</v>
      </c>
      <c r="G12507" s="2">
        <f t="shared" si="195"/>
        <v>0</v>
      </c>
      <c r="H12507" s="1"/>
    </row>
    <row r="12508" spans="2:8" x14ac:dyDescent="0.2">
      <c r="B12508" s="3">
        <v>45638</v>
      </c>
      <c r="G12508" s="2">
        <f t="shared" si="195"/>
        <v>0</v>
      </c>
      <c r="H12508" t="s">
        <v>0</v>
      </c>
    </row>
    <row r="12509" spans="2:8" x14ac:dyDescent="0.2">
      <c r="B12509" s="3">
        <v>45639</v>
      </c>
      <c r="G12509" s="2">
        <f t="shared" si="195"/>
        <v>0</v>
      </c>
      <c r="H12509" t="s">
        <v>14</v>
      </c>
    </row>
    <row r="12510" spans="2:8" x14ac:dyDescent="0.2">
      <c r="B12510" s="3">
        <v>45639</v>
      </c>
      <c r="D12510" s="28"/>
      <c r="F12510" s="1">
        <v>10000</v>
      </c>
      <c r="G12510" s="2">
        <f t="shared" si="195"/>
        <v>-10000</v>
      </c>
      <c r="H12510" t="s">
        <v>13</v>
      </c>
    </row>
    <row r="12511" spans="2:8" x14ac:dyDescent="0.2">
      <c r="B12511" s="3">
        <v>45639</v>
      </c>
      <c r="D12511" s="28"/>
      <c r="F12511" s="1">
        <v>13015</v>
      </c>
      <c r="G12511" s="2">
        <f t="shared" si="195"/>
        <v>-13015</v>
      </c>
      <c r="H12511" t="s">
        <v>26</v>
      </c>
    </row>
    <row r="12512" spans="2:8" x14ac:dyDescent="0.2">
      <c r="B12512" s="3">
        <v>45639</v>
      </c>
      <c r="F12512" s="1">
        <v>13015</v>
      </c>
      <c r="G12512" s="2">
        <f t="shared" si="195"/>
        <v>-13015</v>
      </c>
      <c r="H12512" t="s">
        <v>25</v>
      </c>
    </row>
    <row r="12513" spans="2:8" x14ac:dyDescent="0.2">
      <c r="B12513" s="3">
        <v>45639</v>
      </c>
      <c r="G12513" s="2">
        <f t="shared" si="195"/>
        <v>0</v>
      </c>
      <c r="H12513" t="s">
        <v>9</v>
      </c>
    </row>
    <row r="12514" spans="2:8" x14ac:dyDescent="0.2">
      <c r="B12514" s="3">
        <v>45639</v>
      </c>
      <c r="G12514" s="2">
        <f t="shared" si="195"/>
        <v>0</v>
      </c>
      <c r="H12514" t="s">
        <v>8</v>
      </c>
    </row>
    <row r="12515" spans="2:8" x14ac:dyDescent="0.2">
      <c r="B12515" s="3">
        <v>45639</v>
      </c>
      <c r="G12515" s="2">
        <f t="shared" si="195"/>
        <v>0</v>
      </c>
      <c r="H12515" t="s">
        <v>5</v>
      </c>
    </row>
    <row r="12516" spans="2:8" x14ac:dyDescent="0.2">
      <c r="B12516" s="3">
        <v>45639</v>
      </c>
      <c r="G12516" s="2">
        <f t="shared" si="195"/>
        <v>0</v>
      </c>
      <c r="H12516" s="1"/>
    </row>
    <row r="12517" spans="2:8" x14ac:dyDescent="0.2">
      <c r="B12517" s="3">
        <v>45639</v>
      </c>
      <c r="G12517" s="2">
        <f t="shared" si="195"/>
        <v>0</v>
      </c>
      <c r="H12517" t="s">
        <v>0</v>
      </c>
    </row>
    <row r="12518" spans="2:8" x14ac:dyDescent="0.2">
      <c r="B12518" s="3">
        <v>45640</v>
      </c>
      <c r="G12518" s="2">
        <f t="shared" si="195"/>
        <v>0</v>
      </c>
      <c r="H12518" t="s">
        <v>14</v>
      </c>
    </row>
    <row r="12519" spans="2:8" x14ac:dyDescent="0.2">
      <c r="B12519" s="3">
        <v>45640</v>
      </c>
      <c r="D12519" s="28"/>
      <c r="G12519" s="2">
        <f t="shared" si="195"/>
        <v>0</v>
      </c>
      <c r="H12519" t="s">
        <v>13</v>
      </c>
    </row>
    <row r="12520" spans="2:8" x14ac:dyDescent="0.2">
      <c r="B12520" s="3">
        <v>45640</v>
      </c>
      <c r="D12520" s="28"/>
      <c r="G12520" s="2">
        <f t="shared" si="195"/>
        <v>0</v>
      </c>
      <c r="H12520" t="s">
        <v>26</v>
      </c>
    </row>
    <row r="12521" spans="2:8" x14ac:dyDescent="0.2">
      <c r="B12521" s="3">
        <v>45640</v>
      </c>
      <c r="G12521" s="2">
        <f t="shared" si="195"/>
        <v>0</v>
      </c>
      <c r="H12521" t="s">
        <v>25</v>
      </c>
    </row>
    <row r="12522" spans="2:8" x14ac:dyDescent="0.2">
      <c r="B12522" s="3">
        <v>45640</v>
      </c>
      <c r="G12522" s="2">
        <f t="shared" si="195"/>
        <v>0</v>
      </c>
      <c r="H12522" t="s">
        <v>9</v>
      </c>
    </row>
    <row r="12523" spans="2:8" x14ac:dyDescent="0.2">
      <c r="B12523" s="3">
        <v>45640</v>
      </c>
      <c r="G12523" s="2">
        <f t="shared" si="195"/>
        <v>0</v>
      </c>
      <c r="H12523" t="s">
        <v>8</v>
      </c>
    </row>
    <row r="12524" spans="2:8" x14ac:dyDescent="0.2">
      <c r="B12524" s="3">
        <v>45640</v>
      </c>
      <c r="D12524" s="1">
        <v>70540</v>
      </c>
      <c r="E12524" s="1">
        <v>71200</v>
      </c>
      <c r="F12524" s="1">
        <v>71000</v>
      </c>
      <c r="G12524" s="2">
        <f t="shared" si="195"/>
        <v>200</v>
      </c>
      <c r="H12524" t="s">
        <v>5</v>
      </c>
    </row>
    <row r="12525" spans="2:8" x14ac:dyDescent="0.2">
      <c r="B12525" s="3">
        <v>45640</v>
      </c>
      <c r="G12525" s="2">
        <f t="shared" si="195"/>
        <v>0</v>
      </c>
      <c r="H12525" s="1"/>
    </row>
    <row r="12526" spans="2:8" x14ac:dyDescent="0.2">
      <c r="B12526" s="3">
        <v>45640</v>
      </c>
      <c r="G12526" s="2">
        <f t="shared" si="195"/>
        <v>0</v>
      </c>
      <c r="H12526" t="s">
        <v>0</v>
      </c>
    </row>
    <row r="12527" spans="2:8" x14ac:dyDescent="0.2">
      <c r="B12527" s="3">
        <v>45641</v>
      </c>
      <c r="G12527" s="2">
        <f t="shared" si="195"/>
        <v>0</v>
      </c>
      <c r="H12527" t="s">
        <v>14</v>
      </c>
    </row>
    <row r="12528" spans="2:8" x14ac:dyDescent="0.2">
      <c r="B12528" s="3">
        <v>45641</v>
      </c>
      <c r="D12528" s="28"/>
      <c r="G12528" s="2">
        <f t="shared" si="195"/>
        <v>0</v>
      </c>
      <c r="H12528" t="s">
        <v>13</v>
      </c>
    </row>
    <row r="12529" spans="2:8" x14ac:dyDescent="0.2">
      <c r="B12529" s="3">
        <v>45641</v>
      </c>
      <c r="D12529" s="28"/>
      <c r="G12529" s="2">
        <f t="shared" si="195"/>
        <v>0</v>
      </c>
      <c r="H12529" t="s">
        <v>26</v>
      </c>
    </row>
    <row r="12530" spans="2:8" x14ac:dyDescent="0.2">
      <c r="B12530" s="3">
        <v>45641</v>
      </c>
      <c r="G12530" s="2">
        <f t="shared" si="195"/>
        <v>0</v>
      </c>
      <c r="H12530" t="s">
        <v>25</v>
      </c>
    </row>
    <row r="12531" spans="2:8" x14ac:dyDescent="0.2">
      <c r="B12531" s="3">
        <v>45641</v>
      </c>
      <c r="G12531" s="2">
        <f t="shared" si="195"/>
        <v>0</v>
      </c>
      <c r="H12531" t="s">
        <v>9</v>
      </c>
    </row>
    <row r="12532" spans="2:8" x14ac:dyDescent="0.2">
      <c r="B12532" s="3">
        <v>45641</v>
      </c>
      <c r="G12532" s="2">
        <f t="shared" si="195"/>
        <v>0</v>
      </c>
      <c r="H12532" t="s">
        <v>8</v>
      </c>
    </row>
    <row r="12533" spans="2:8" x14ac:dyDescent="0.2">
      <c r="B12533" s="3">
        <v>45641</v>
      </c>
      <c r="G12533" s="2">
        <f t="shared" si="195"/>
        <v>0</v>
      </c>
      <c r="H12533" t="s">
        <v>5</v>
      </c>
    </row>
    <row r="12534" spans="2:8" x14ac:dyDescent="0.2">
      <c r="B12534" s="3">
        <v>45641</v>
      </c>
      <c r="G12534" s="2">
        <f t="shared" si="195"/>
        <v>0</v>
      </c>
      <c r="H12534" s="1"/>
    </row>
    <row r="12535" spans="2:8" x14ac:dyDescent="0.2">
      <c r="B12535" s="3">
        <v>45641</v>
      </c>
      <c r="G12535" s="2">
        <f t="shared" si="195"/>
        <v>0</v>
      </c>
      <c r="H12535" t="s">
        <v>0</v>
      </c>
    </row>
    <row r="12536" spans="2:8" x14ac:dyDescent="0.2">
      <c r="B12536" s="3">
        <v>45642</v>
      </c>
      <c r="G12536" s="2">
        <f t="shared" si="195"/>
        <v>0</v>
      </c>
      <c r="H12536" t="s">
        <v>14</v>
      </c>
    </row>
    <row r="12537" spans="2:8" x14ac:dyDescent="0.2">
      <c r="B12537" s="3">
        <v>45642</v>
      </c>
      <c r="D12537" s="28"/>
      <c r="G12537" s="2">
        <f t="shared" si="195"/>
        <v>0</v>
      </c>
      <c r="H12537" t="s">
        <v>13</v>
      </c>
    </row>
    <row r="12538" spans="2:8" x14ac:dyDescent="0.2">
      <c r="B12538" s="3">
        <v>45642</v>
      </c>
      <c r="D12538" s="28"/>
      <c r="G12538" s="2">
        <f t="shared" si="195"/>
        <v>0</v>
      </c>
      <c r="H12538" t="s">
        <v>26</v>
      </c>
    </row>
    <row r="12539" spans="2:8" x14ac:dyDescent="0.2">
      <c r="B12539" s="3">
        <v>45642</v>
      </c>
      <c r="G12539" s="2">
        <f t="shared" si="195"/>
        <v>0</v>
      </c>
      <c r="H12539" t="s">
        <v>25</v>
      </c>
    </row>
    <row r="12540" spans="2:8" x14ac:dyDescent="0.2">
      <c r="B12540" s="3">
        <v>45642</v>
      </c>
      <c r="G12540" s="2">
        <f t="shared" si="195"/>
        <v>0</v>
      </c>
      <c r="H12540" t="s">
        <v>9</v>
      </c>
    </row>
    <row r="12541" spans="2:8" x14ac:dyDescent="0.2">
      <c r="B12541" s="3">
        <v>45642</v>
      </c>
      <c r="G12541" s="2">
        <f t="shared" si="195"/>
        <v>0</v>
      </c>
      <c r="H12541" t="s">
        <v>8</v>
      </c>
    </row>
    <row r="12542" spans="2:8" x14ac:dyDescent="0.2">
      <c r="B12542" s="3">
        <v>45642</v>
      </c>
      <c r="G12542" s="2">
        <f t="shared" si="195"/>
        <v>0</v>
      </c>
      <c r="H12542" t="s">
        <v>5</v>
      </c>
    </row>
    <row r="12543" spans="2:8" x14ac:dyDescent="0.2">
      <c r="B12543" s="3">
        <v>45642</v>
      </c>
      <c r="G12543" s="2">
        <f t="shared" si="195"/>
        <v>0</v>
      </c>
      <c r="H12543" s="1"/>
    </row>
    <row r="12544" spans="2:8" x14ac:dyDescent="0.2">
      <c r="B12544" s="3">
        <v>45642</v>
      </c>
      <c r="G12544" s="2">
        <f t="shared" si="195"/>
        <v>0</v>
      </c>
      <c r="H12544" t="s">
        <v>0</v>
      </c>
    </row>
    <row r="12545" spans="2:8" x14ac:dyDescent="0.2">
      <c r="B12545" s="3">
        <v>45643</v>
      </c>
      <c r="G12545" s="2">
        <f t="shared" si="195"/>
        <v>0</v>
      </c>
      <c r="H12545" t="s">
        <v>14</v>
      </c>
    </row>
    <row r="12546" spans="2:8" x14ac:dyDescent="0.2">
      <c r="B12546" s="3">
        <v>45643</v>
      </c>
      <c r="D12546" s="28"/>
      <c r="G12546" s="2">
        <f t="shared" si="195"/>
        <v>0</v>
      </c>
      <c r="H12546" t="s">
        <v>13</v>
      </c>
    </row>
    <row r="12547" spans="2:8" x14ac:dyDescent="0.2">
      <c r="B12547" s="3">
        <v>45643</v>
      </c>
      <c r="D12547" s="28"/>
      <c r="G12547" s="2">
        <f t="shared" ref="G12547:G12610" si="196">E12547-F12547</f>
        <v>0</v>
      </c>
      <c r="H12547" t="s">
        <v>26</v>
      </c>
    </row>
    <row r="12548" spans="2:8" x14ac:dyDescent="0.2">
      <c r="B12548" s="3">
        <v>45643</v>
      </c>
      <c r="G12548" s="2">
        <f t="shared" si="196"/>
        <v>0</v>
      </c>
      <c r="H12548" t="s">
        <v>25</v>
      </c>
    </row>
    <row r="12549" spans="2:8" x14ac:dyDescent="0.2">
      <c r="B12549" s="3">
        <v>45643</v>
      </c>
      <c r="G12549" s="2">
        <f t="shared" si="196"/>
        <v>0</v>
      </c>
      <c r="H12549" t="s">
        <v>9</v>
      </c>
    </row>
    <row r="12550" spans="2:8" x14ac:dyDescent="0.2">
      <c r="B12550" s="3">
        <v>45643</v>
      </c>
      <c r="G12550" s="2">
        <f t="shared" si="196"/>
        <v>0</v>
      </c>
      <c r="H12550" t="s">
        <v>8</v>
      </c>
    </row>
    <row r="12551" spans="2:8" x14ac:dyDescent="0.2">
      <c r="B12551" s="3">
        <v>45643</v>
      </c>
      <c r="G12551" s="2">
        <f t="shared" si="196"/>
        <v>0</v>
      </c>
      <c r="H12551" t="s">
        <v>5</v>
      </c>
    </row>
    <row r="12552" spans="2:8" x14ac:dyDescent="0.2">
      <c r="B12552" s="3">
        <v>45643</v>
      </c>
      <c r="G12552" s="2">
        <f t="shared" si="196"/>
        <v>0</v>
      </c>
      <c r="H12552" s="1"/>
    </row>
    <row r="12553" spans="2:8" x14ac:dyDescent="0.2">
      <c r="B12553" s="3">
        <v>45643</v>
      </c>
      <c r="G12553" s="2">
        <f t="shared" si="196"/>
        <v>0</v>
      </c>
      <c r="H12553" t="s">
        <v>0</v>
      </c>
    </row>
    <row r="12554" spans="2:8" x14ac:dyDescent="0.2">
      <c r="B12554" s="3">
        <v>45644</v>
      </c>
      <c r="G12554" s="2">
        <f t="shared" si="196"/>
        <v>0</v>
      </c>
      <c r="H12554" t="s">
        <v>14</v>
      </c>
    </row>
    <row r="12555" spans="2:8" x14ac:dyDescent="0.2">
      <c r="B12555" s="3">
        <v>45644</v>
      </c>
      <c r="D12555" s="28"/>
      <c r="G12555" s="2">
        <f t="shared" si="196"/>
        <v>0</v>
      </c>
      <c r="H12555" t="s">
        <v>13</v>
      </c>
    </row>
    <row r="12556" spans="2:8" x14ac:dyDescent="0.2">
      <c r="B12556" s="3">
        <v>45644</v>
      </c>
      <c r="D12556" s="28"/>
      <c r="G12556" s="2">
        <f t="shared" si="196"/>
        <v>0</v>
      </c>
      <c r="H12556" t="s">
        <v>26</v>
      </c>
    </row>
    <row r="12557" spans="2:8" x14ac:dyDescent="0.2">
      <c r="B12557" s="3">
        <v>45644</v>
      </c>
      <c r="G12557" s="2">
        <f t="shared" si="196"/>
        <v>0</v>
      </c>
      <c r="H12557" t="s">
        <v>25</v>
      </c>
    </row>
    <row r="12558" spans="2:8" x14ac:dyDescent="0.2">
      <c r="B12558" s="3">
        <v>45644</v>
      </c>
      <c r="G12558" s="2">
        <f t="shared" si="196"/>
        <v>0</v>
      </c>
      <c r="H12558" t="s">
        <v>9</v>
      </c>
    </row>
    <row r="12559" spans="2:8" x14ac:dyDescent="0.2">
      <c r="B12559" s="3">
        <v>45644</v>
      </c>
      <c r="D12559" s="1">
        <v>37550</v>
      </c>
      <c r="E12559" s="1">
        <v>42400</v>
      </c>
      <c r="G12559" s="2">
        <f t="shared" si="196"/>
        <v>42400</v>
      </c>
      <c r="H12559" t="s">
        <v>8</v>
      </c>
    </row>
    <row r="12560" spans="2:8" x14ac:dyDescent="0.2">
      <c r="B12560" s="3">
        <v>45644</v>
      </c>
      <c r="G12560" s="2">
        <f t="shared" si="196"/>
        <v>0</v>
      </c>
      <c r="H12560" t="s">
        <v>5</v>
      </c>
    </row>
    <row r="12561" spans="2:8" x14ac:dyDescent="0.2">
      <c r="B12561" s="3">
        <v>45644</v>
      </c>
      <c r="G12561" s="2">
        <f t="shared" si="196"/>
        <v>0</v>
      </c>
      <c r="H12561" s="1"/>
    </row>
    <row r="12562" spans="2:8" x14ac:dyDescent="0.2">
      <c r="B12562" s="3">
        <v>45644</v>
      </c>
      <c r="G12562" s="2">
        <f t="shared" si="196"/>
        <v>0</v>
      </c>
      <c r="H12562" t="s">
        <v>0</v>
      </c>
    </row>
    <row r="12563" spans="2:8" x14ac:dyDescent="0.2">
      <c r="B12563" s="3">
        <v>45645</v>
      </c>
      <c r="G12563" s="2">
        <f t="shared" si="196"/>
        <v>0</v>
      </c>
      <c r="H12563" t="s">
        <v>14</v>
      </c>
    </row>
    <row r="12564" spans="2:8" x14ac:dyDescent="0.2">
      <c r="B12564" s="3">
        <v>45645</v>
      </c>
      <c r="D12564" s="28"/>
      <c r="G12564" s="2">
        <f t="shared" si="196"/>
        <v>0</v>
      </c>
      <c r="H12564" t="s">
        <v>13</v>
      </c>
    </row>
    <row r="12565" spans="2:8" x14ac:dyDescent="0.2">
      <c r="B12565" s="3">
        <v>45645</v>
      </c>
      <c r="D12565" s="28"/>
      <c r="G12565" s="2">
        <f t="shared" si="196"/>
        <v>0</v>
      </c>
      <c r="H12565" t="s">
        <v>26</v>
      </c>
    </row>
    <row r="12566" spans="2:8" x14ac:dyDescent="0.2">
      <c r="B12566" s="3">
        <v>45645</v>
      </c>
      <c r="G12566" s="2">
        <f t="shared" si="196"/>
        <v>0</v>
      </c>
      <c r="H12566" t="s">
        <v>25</v>
      </c>
    </row>
    <row r="12567" spans="2:8" x14ac:dyDescent="0.2">
      <c r="B12567" s="3">
        <v>45645</v>
      </c>
      <c r="G12567" s="2">
        <f t="shared" si="196"/>
        <v>0</v>
      </c>
      <c r="H12567" t="s">
        <v>9</v>
      </c>
    </row>
    <row r="12568" spans="2:8" x14ac:dyDescent="0.2">
      <c r="B12568" s="3">
        <v>45645</v>
      </c>
      <c r="G12568" s="2">
        <f t="shared" si="196"/>
        <v>0</v>
      </c>
      <c r="H12568" t="s">
        <v>8</v>
      </c>
    </row>
    <row r="12569" spans="2:8" x14ac:dyDescent="0.2">
      <c r="B12569" s="3">
        <v>45645</v>
      </c>
      <c r="G12569" s="2">
        <f t="shared" si="196"/>
        <v>0</v>
      </c>
      <c r="H12569" t="s">
        <v>5</v>
      </c>
    </row>
    <row r="12570" spans="2:8" x14ac:dyDescent="0.2">
      <c r="B12570" s="3">
        <v>45645</v>
      </c>
      <c r="G12570" s="2">
        <f t="shared" si="196"/>
        <v>0</v>
      </c>
      <c r="H12570" s="1"/>
    </row>
    <row r="12571" spans="2:8" x14ac:dyDescent="0.2">
      <c r="B12571" s="3">
        <v>45645</v>
      </c>
      <c r="G12571" s="2">
        <f t="shared" si="196"/>
        <v>0</v>
      </c>
      <c r="H12571" t="s">
        <v>0</v>
      </c>
    </row>
    <row r="12572" spans="2:8" x14ac:dyDescent="0.2">
      <c r="B12572" s="3">
        <v>45646</v>
      </c>
      <c r="G12572" s="2">
        <f t="shared" si="196"/>
        <v>0</v>
      </c>
      <c r="H12572" t="s">
        <v>14</v>
      </c>
    </row>
    <row r="12573" spans="2:8" x14ac:dyDescent="0.2">
      <c r="B12573" s="3">
        <v>45646</v>
      </c>
      <c r="D12573" s="28"/>
      <c r="G12573" s="2">
        <f t="shared" si="196"/>
        <v>0</v>
      </c>
      <c r="H12573" t="s">
        <v>13</v>
      </c>
    </row>
    <row r="12574" spans="2:8" x14ac:dyDescent="0.2">
      <c r="B12574" s="3">
        <v>45646</v>
      </c>
      <c r="D12574" s="28"/>
      <c r="G12574" s="2">
        <f t="shared" si="196"/>
        <v>0</v>
      </c>
      <c r="H12574" t="s">
        <v>26</v>
      </c>
    </row>
    <row r="12575" spans="2:8" x14ac:dyDescent="0.2">
      <c r="B12575" s="3">
        <v>45646</v>
      </c>
      <c r="G12575" s="2">
        <f t="shared" si="196"/>
        <v>0</v>
      </c>
      <c r="H12575" t="s">
        <v>25</v>
      </c>
    </row>
    <row r="12576" spans="2:8" x14ac:dyDescent="0.2">
      <c r="B12576" s="3">
        <v>45646</v>
      </c>
      <c r="G12576" s="2">
        <f t="shared" si="196"/>
        <v>0</v>
      </c>
      <c r="H12576" t="s">
        <v>9</v>
      </c>
    </row>
    <row r="12577" spans="2:8" x14ac:dyDescent="0.2">
      <c r="B12577" s="3">
        <v>45646</v>
      </c>
      <c r="G12577" s="2">
        <f t="shared" si="196"/>
        <v>0</v>
      </c>
      <c r="H12577" t="s">
        <v>8</v>
      </c>
    </row>
    <row r="12578" spans="2:8" x14ac:dyDescent="0.2">
      <c r="B12578" s="3">
        <v>45646</v>
      </c>
      <c r="G12578" s="2">
        <f t="shared" si="196"/>
        <v>0</v>
      </c>
      <c r="H12578" t="s">
        <v>5</v>
      </c>
    </row>
    <row r="12579" spans="2:8" x14ac:dyDescent="0.2">
      <c r="B12579" s="3">
        <v>45646</v>
      </c>
      <c r="G12579" s="2">
        <f t="shared" si="196"/>
        <v>0</v>
      </c>
      <c r="H12579" s="1"/>
    </row>
    <row r="12580" spans="2:8" x14ac:dyDescent="0.2">
      <c r="B12580" s="3">
        <v>45646</v>
      </c>
      <c r="D12580" s="1">
        <v>98250.23000000001</v>
      </c>
      <c r="E12580" s="1">
        <v>103458.81999999999</v>
      </c>
      <c r="G12580" s="2">
        <f t="shared" si="196"/>
        <v>103458.81999999999</v>
      </c>
      <c r="H12580" t="s">
        <v>0</v>
      </c>
    </row>
    <row r="12581" spans="2:8" x14ac:dyDescent="0.2">
      <c r="B12581" s="3">
        <v>45647</v>
      </c>
      <c r="G12581" s="2">
        <f t="shared" si="196"/>
        <v>0</v>
      </c>
      <c r="H12581" t="s">
        <v>14</v>
      </c>
    </row>
    <row r="12582" spans="2:8" x14ac:dyDescent="0.2">
      <c r="B12582" s="3">
        <v>45647</v>
      </c>
      <c r="D12582" s="28"/>
      <c r="G12582" s="2">
        <f t="shared" si="196"/>
        <v>0</v>
      </c>
      <c r="H12582" t="s">
        <v>13</v>
      </c>
    </row>
    <row r="12583" spans="2:8" x14ac:dyDescent="0.2">
      <c r="B12583" s="3">
        <v>45647</v>
      </c>
      <c r="D12583" s="28"/>
      <c r="G12583" s="2">
        <f t="shared" si="196"/>
        <v>0</v>
      </c>
      <c r="H12583" t="s">
        <v>26</v>
      </c>
    </row>
    <row r="12584" spans="2:8" x14ac:dyDescent="0.2">
      <c r="B12584" s="3">
        <v>45647</v>
      </c>
      <c r="G12584" s="2">
        <f t="shared" si="196"/>
        <v>0</v>
      </c>
      <c r="H12584" t="s">
        <v>25</v>
      </c>
    </row>
    <row r="12585" spans="2:8" x14ac:dyDescent="0.2">
      <c r="B12585" s="3">
        <v>45647</v>
      </c>
      <c r="G12585" s="2">
        <f t="shared" si="196"/>
        <v>0</v>
      </c>
      <c r="H12585" t="s">
        <v>9</v>
      </c>
    </row>
    <row r="12586" spans="2:8" x14ac:dyDescent="0.2">
      <c r="B12586" s="3">
        <v>45647</v>
      </c>
      <c r="G12586" s="2">
        <f t="shared" si="196"/>
        <v>0</v>
      </c>
      <c r="H12586" t="s">
        <v>8</v>
      </c>
    </row>
    <row r="12587" spans="2:8" x14ac:dyDescent="0.2">
      <c r="B12587" s="3">
        <v>45647</v>
      </c>
      <c r="G12587" s="2">
        <f t="shared" si="196"/>
        <v>0</v>
      </c>
      <c r="H12587" t="s">
        <v>5</v>
      </c>
    </row>
    <row r="12588" spans="2:8" x14ac:dyDescent="0.2">
      <c r="B12588" s="3">
        <v>45647</v>
      </c>
      <c r="G12588" s="2">
        <f t="shared" si="196"/>
        <v>0</v>
      </c>
      <c r="H12588" s="1"/>
    </row>
    <row r="12589" spans="2:8" x14ac:dyDescent="0.2">
      <c r="B12589" s="3">
        <v>45647</v>
      </c>
      <c r="G12589" s="2">
        <f t="shared" si="196"/>
        <v>0</v>
      </c>
      <c r="H12589" t="s">
        <v>0</v>
      </c>
    </row>
    <row r="12590" spans="2:8" x14ac:dyDescent="0.2">
      <c r="B12590" s="3">
        <v>45648</v>
      </c>
      <c r="G12590" s="2">
        <f t="shared" si="196"/>
        <v>0</v>
      </c>
      <c r="H12590" t="s">
        <v>14</v>
      </c>
    </row>
    <row r="12591" spans="2:8" x14ac:dyDescent="0.2">
      <c r="B12591" s="3">
        <v>45648</v>
      </c>
      <c r="D12591" s="28"/>
      <c r="G12591" s="2">
        <f t="shared" si="196"/>
        <v>0</v>
      </c>
      <c r="H12591" t="s">
        <v>13</v>
      </c>
    </row>
    <row r="12592" spans="2:8" x14ac:dyDescent="0.2">
      <c r="B12592" s="3">
        <v>45648</v>
      </c>
      <c r="D12592" s="28"/>
      <c r="G12592" s="2">
        <f t="shared" si="196"/>
        <v>0</v>
      </c>
      <c r="H12592" t="s">
        <v>26</v>
      </c>
    </row>
    <row r="12593" spans="2:8" x14ac:dyDescent="0.2">
      <c r="B12593" s="3">
        <v>45648</v>
      </c>
      <c r="G12593" s="2">
        <f t="shared" si="196"/>
        <v>0</v>
      </c>
      <c r="H12593" t="s">
        <v>25</v>
      </c>
    </row>
    <row r="12594" spans="2:8" x14ac:dyDescent="0.2">
      <c r="B12594" s="3">
        <v>45648</v>
      </c>
      <c r="G12594" s="2">
        <f t="shared" si="196"/>
        <v>0</v>
      </c>
      <c r="H12594" t="s">
        <v>9</v>
      </c>
    </row>
    <row r="12595" spans="2:8" x14ac:dyDescent="0.2">
      <c r="B12595" s="3">
        <v>45648</v>
      </c>
      <c r="F12595" s="1">
        <v>30000</v>
      </c>
      <c r="G12595" s="2">
        <f t="shared" si="196"/>
        <v>-30000</v>
      </c>
      <c r="H12595" t="s">
        <v>8</v>
      </c>
    </row>
    <row r="12596" spans="2:8" x14ac:dyDescent="0.2">
      <c r="B12596" s="3">
        <v>45648</v>
      </c>
      <c r="G12596" s="2">
        <f t="shared" si="196"/>
        <v>0</v>
      </c>
      <c r="H12596" t="s">
        <v>5</v>
      </c>
    </row>
    <row r="12597" spans="2:8" x14ac:dyDescent="0.2">
      <c r="B12597" s="3">
        <v>45648</v>
      </c>
      <c r="G12597" s="2">
        <f t="shared" si="196"/>
        <v>0</v>
      </c>
      <c r="H12597" s="1"/>
    </row>
    <row r="12598" spans="2:8" x14ac:dyDescent="0.2">
      <c r="B12598" s="3">
        <v>45648</v>
      </c>
      <c r="G12598" s="2">
        <f t="shared" si="196"/>
        <v>0</v>
      </c>
      <c r="H12598" t="s">
        <v>0</v>
      </c>
    </row>
    <row r="12599" spans="2:8" x14ac:dyDescent="0.2">
      <c r="B12599" s="3">
        <v>45649</v>
      </c>
      <c r="G12599" s="2">
        <f t="shared" si="196"/>
        <v>0</v>
      </c>
      <c r="H12599" t="s">
        <v>14</v>
      </c>
    </row>
    <row r="12600" spans="2:8" x14ac:dyDescent="0.2">
      <c r="B12600" s="3">
        <v>45649</v>
      </c>
      <c r="D12600" s="28"/>
      <c r="G12600" s="2">
        <f t="shared" si="196"/>
        <v>0</v>
      </c>
      <c r="H12600" t="s">
        <v>13</v>
      </c>
    </row>
    <row r="12601" spans="2:8" x14ac:dyDescent="0.2">
      <c r="B12601" s="3">
        <v>45649</v>
      </c>
      <c r="D12601" s="28"/>
      <c r="G12601" s="2">
        <f t="shared" si="196"/>
        <v>0</v>
      </c>
      <c r="H12601" t="s">
        <v>26</v>
      </c>
    </row>
    <row r="12602" spans="2:8" x14ac:dyDescent="0.2">
      <c r="B12602" s="3">
        <v>45649</v>
      </c>
      <c r="G12602" s="2">
        <f t="shared" si="196"/>
        <v>0</v>
      </c>
      <c r="H12602" t="s">
        <v>25</v>
      </c>
    </row>
    <row r="12603" spans="2:8" x14ac:dyDescent="0.2">
      <c r="B12603" s="3">
        <v>45649</v>
      </c>
      <c r="G12603" s="2">
        <f t="shared" si="196"/>
        <v>0</v>
      </c>
      <c r="H12603" t="s">
        <v>9</v>
      </c>
    </row>
    <row r="12604" spans="2:8" x14ac:dyDescent="0.2">
      <c r="B12604" s="3">
        <v>45649</v>
      </c>
      <c r="D12604" s="1">
        <v>18440</v>
      </c>
      <c r="E12604" s="1">
        <v>23325</v>
      </c>
      <c r="G12604" s="2">
        <f t="shared" si="196"/>
        <v>23325</v>
      </c>
      <c r="H12604" t="s">
        <v>8</v>
      </c>
    </row>
    <row r="12605" spans="2:8" x14ac:dyDescent="0.2">
      <c r="B12605" s="3">
        <v>45649</v>
      </c>
      <c r="G12605" s="2">
        <f t="shared" si="196"/>
        <v>0</v>
      </c>
      <c r="H12605" t="s">
        <v>5</v>
      </c>
    </row>
    <row r="12606" spans="2:8" x14ac:dyDescent="0.2">
      <c r="B12606" s="3">
        <v>45649</v>
      </c>
      <c r="G12606" s="2">
        <f t="shared" si="196"/>
        <v>0</v>
      </c>
      <c r="H12606" s="1"/>
    </row>
    <row r="12607" spans="2:8" x14ac:dyDescent="0.2">
      <c r="B12607" s="3">
        <v>45649</v>
      </c>
      <c r="G12607" s="2">
        <f t="shared" si="196"/>
        <v>0</v>
      </c>
      <c r="H12607" t="s">
        <v>0</v>
      </c>
    </row>
    <row r="12608" spans="2:8" x14ac:dyDescent="0.2">
      <c r="B12608" s="3">
        <v>45650</v>
      </c>
      <c r="G12608" s="2">
        <f t="shared" si="196"/>
        <v>0</v>
      </c>
      <c r="H12608" t="s">
        <v>14</v>
      </c>
    </row>
    <row r="12609" spans="2:8" x14ac:dyDescent="0.2">
      <c r="B12609" s="3">
        <v>45650</v>
      </c>
      <c r="D12609" s="28"/>
      <c r="G12609" s="2">
        <f t="shared" si="196"/>
        <v>0</v>
      </c>
      <c r="H12609" t="s">
        <v>13</v>
      </c>
    </row>
    <row r="12610" spans="2:8" x14ac:dyDescent="0.2">
      <c r="B12610" s="3">
        <v>45650</v>
      </c>
      <c r="D12610" s="28"/>
      <c r="G12610" s="2">
        <f t="shared" si="196"/>
        <v>0</v>
      </c>
      <c r="H12610" t="s">
        <v>26</v>
      </c>
    </row>
    <row r="12611" spans="2:8" x14ac:dyDescent="0.2">
      <c r="B12611" s="3">
        <v>45650</v>
      </c>
      <c r="G12611" s="2">
        <f t="shared" ref="G12611:G12674" si="197">E12611-F12611</f>
        <v>0</v>
      </c>
      <c r="H12611" t="s">
        <v>25</v>
      </c>
    </row>
    <row r="12612" spans="2:8" x14ac:dyDescent="0.2">
      <c r="B12612" s="3">
        <v>45650</v>
      </c>
      <c r="G12612" s="2">
        <f t="shared" si="197"/>
        <v>0</v>
      </c>
      <c r="H12612" t="s">
        <v>9</v>
      </c>
    </row>
    <row r="12613" spans="2:8" x14ac:dyDescent="0.2">
      <c r="B12613" s="3">
        <v>45650</v>
      </c>
      <c r="G12613" s="2">
        <f t="shared" si="197"/>
        <v>0</v>
      </c>
      <c r="H12613" t="s">
        <v>8</v>
      </c>
    </row>
    <row r="12614" spans="2:8" x14ac:dyDescent="0.2">
      <c r="B12614" s="3">
        <v>45650</v>
      </c>
      <c r="G12614" s="2">
        <f t="shared" si="197"/>
        <v>0</v>
      </c>
      <c r="H12614" t="s">
        <v>5</v>
      </c>
    </row>
    <row r="12615" spans="2:8" x14ac:dyDescent="0.2">
      <c r="B12615" s="3">
        <v>45650</v>
      </c>
      <c r="G12615" s="2">
        <f t="shared" si="197"/>
        <v>0</v>
      </c>
      <c r="H12615" s="1"/>
    </row>
    <row r="12616" spans="2:8" x14ac:dyDescent="0.2">
      <c r="B12616" s="3">
        <v>45650</v>
      </c>
      <c r="F12616" s="1">
        <v>40000</v>
      </c>
      <c r="G12616" s="2">
        <f t="shared" si="197"/>
        <v>-40000</v>
      </c>
      <c r="H12616" t="s">
        <v>0</v>
      </c>
    </row>
    <row r="12617" spans="2:8" x14ac:dyDescent="0.2">
      <c r="B12617" s="3">
        <v>45651</v>
      </c>
      <c r="G12617" s="2">
        <f t="shared" si="197"/>
        <v>0</v>
      </c>
      <c r="H12617" t="s">
        <v>14</v>
      </c>
    </row>
    <row r="12618" spans="2:8" x14ac:dyDescent="0.2">
      <c r="B12618" s="3">
        <v>45651</v>
      </c>
      <c r="D12618" s="28"/>
      <c r="G12618" s="2">
        <f t="shared" si="197"/>
        <v>0</v>
      </c>
      <c r="H12618" t="s">
        <v>13</v>
      </c>
    </row>
    <row r="12619" spans="2:8" x14ac:dyDescent="0.2">
      <c r="B12619" s="3">
        <v>45651</v>
      </c>
      <c r="D12619" s="28"/>
      <c r="G12619" s="2">
        <f t="shared" si="197"/>
        <v>0</v>
      </c>
      <c r="H12619" t="s">
        <v>26</v>
      </c>
    </row>
    <row r="12620" spans="2:8" x14ac:dyDescent="0.2">
      <c r="B12620" s="3">
        <v>45651</v>
      </c>
      <c r="G12620" s="2">
        <f t="shared" si="197"/>
        <v>0</v>
      </c>
      <c r="H12620" t="s">
        <v>25</v>
      </c>
    </row>
    <row r="12621" spans="2:8" x14ac:dyDescent="0.2">
      <c r="B12621" s="3">
        <v>45651</v>
      </c>
      <c r="G12621" s="2">
        <f t="shared" si="197"/>
        <v>0</v>
      </c>
      <c r="H12621" t="s">
        <v>9</v>
      </c>
    </row>
    <row r="12622" spans="2:8" x14ac:dyDescent="0.2">
      <c r="B12622" s="3">
        <v>45651</v>
      </c>
      <c r="G12622" s="2">
        <f t="shared" si="197"/>
        <v>0</v>
      </c>
      <c r="H12622" t="s">
        <v>8</v>
      </c>
    </row>
    <row r="12623" spans="2:8" x14ac:dyDescent="0.2">
      <c r="B12623" s="3">
        <v>45651</v>
      </c>
      <c r="G12623" s="2">
        <f t="shared" si="197"/>
        <v>0</v>
      </c>
      <c r="H12623" t="s">
        <v>5</v>
      </c>
    </row>
    <row r="12624" spans="2:8" x14ac:dyDescent="0.2">
      <c r="B12624" s="3">
        <v>45651</v>
      </c>
      <c r="G12624" s="2">
        <f t="shared" si="197"/>
        <v>0</v>
      </c>
      <c r="H12624" s="1"/>
    </row>
    <row r="12625" spans="2:8" x14ac:dyDescent="0.2">
      <c r="B12625" s="3">
        <v>45651</v>
      </c>
      <c r="G12625" s="2">
        <f t="shared" si="197"/>
        <v>0</v>
      </c>
      <c r="H12625" t="s">
        <v>0</v>
      </c>
    </row>
    <row r="12626" spans="2:8" x14ac:dyDescent="0.2">
      <c r="B12626" s="3">
        <v>45652</v>
      </c>
      <c r="G12626" s="2">
        <f t="shared" si="197"/>
        <v>0</v>
      </c>
      <c r="H12626" t="s">
        <v>14</v>
      </c>
    </row>
    <row r="12627" spans="2:8" x14ac:dyDescent="0.2">
      <c r="B12627" s="3">
        <v>45652</v>
      </c>
      <c r="D12627" s="28"/>
      <c r="G12627" s="2">
        <f t="shared" si="197"/>
        <v>0</v>
      </c>
      <c r="H12627" t="s">
        <v>13</v>
      </c>
    </row>
    <row r="12628" spans="2:8" x14ac:dyDescent="0.2">
      <c r="B12628" s="3">
        <v>45652</v>
      </c>
      <c r="D12628" s="28"/>
      <c r="G12628" s="2">
        <f t="shared" si="197"/>
        <v>0</v>
      </c>
      <c r="H12628" t="s">
        <v>26</v>
      </c>
    </row>
    <row r="12629" spans="2:8" x14ac:dyDescent="0.2">
      <c r="B12629" s="3">
        <v>45652</v>
      </c>
      <c r="G12629" s="2">
        <f t="shared" si="197"/>
        <v>0</v>
      </c>
      <c r="H12629" t="s">
        <v>25</v>
      </c>
    </row>
    <row r="12630" spans="2:8" x14ac:dyDescent="0.2">
      <c r="B12630" s="3">
        <v>45652</v>
      </c>
      <c r="G12630" s="2">
        <f t="shared" si="197"/>
        <v>0</v>
      </c>
      <c r="H12630" t="s">
        <v>9</v>
      </c>
    </row>
    <row r="12631" spans="2:8" x14ac:dyDescent="0.2">
      <c r="B12631" s="3">
        <v>45652</v>
      </c>
      <c r="G12631" s="2">
        <f t="shared" si="197"/>
        <v>0</v>
      </c>
      <c r="H12631" t="s">
        <v>8</v>
      </c>
    </row>
    <row r="12632" spans="2:8" x14ac:dyDescent="0.2">
      <c r="B12632" s="3">
        <v>45652</v>
      </c>
      <c r="G12632" s="2">
        <f t="shared" si="197"/>
        <v>0</v>
      </c>
      <c r="H12632" t="s">
        <v>5</v>
      </c>
    </row>
    <row r="12633" spans="2:8" x14ac:dyDescent="0.2">
      <c r="B12633" s="3">
        <v>45652</v>
      </c>
      <c r="G12633" s="2">
        <f t="shared" si="197"/>
        <v>0</v>
      </c>
      <c r="H12633" s="1"/>
    </row>
    <row r="12634" spans="2:8" x14ac:dyDescent="0.2">
      <c r="B12634" s="3">
        <v>45652</v>
      </c>
      <c r="G12634" s="2">
        <f t="shared" si="197"/>
        <v>0</v>
      </c>
      <c r="H12634" t="s">
        <v>0</v>
      </c>
    </row>
    <row r="12635" spans="2:8" x14ac:dyDescent="0.2">
      <c r="B12635" s="3">
        <v>45653</v>
      </c>
      <c r="F12635" s="1">
        <v>20000</v>
      </c>
      <c r="G12635" s="2">
        <f t="shared" si="197"/>
        <v>-20000</v>
      </c>
      <c r="H12635" t="s">
        <v>14</v>
      </c>
    </row>
    <row r="12636" spans="2:8" x14ac:dyDescent="0.2">
      <c r="B12636" s="3">
        <v>45653</v>
      </c>
      <c r="D12636" s="28"/>
      <c r="G12636" s="2">
        <f t="shared" si="197"/>
        <v>0</v>
      </c>
      <c r="H12636" t="s">
        <v>13</v>
      </c>
    </row>
    <row r="12637" spans="2:8" x14ac:dyDescent="0.2">
      <c r="B12637" s="3">
        <v>45653</v>
      </c>
      <c r="D12637" s="28"/>
      <c r="G12637" s="2">
        <f t="shared" si="197"/>
        <v>0</v>
      </c>
      <c r="H12637" t="s">
        <v>26</v>
      </c>
    </row>
    <row r="12638" spans="2:8" x14ac:dyDescent="0.2">
      <c r="B12638" s="3">
        <v>45653</v>
      </c>
      <c r="G12638" s="2">
        <f t="shared" si="197"/>
        <v>0</v>
      </c>
      <c r="H12638" t="s">
        <v>25</v>
      </c>
    </row>
    <row r="12639" spans="2:8" x14ac:dyDescent="0.2">
      <c r="B12639" s="3">
        <v>45653</v>
      </c>
      <c r="G12639" s="2">
        <f t="shared" si="197"/>
        <v>0</v>
      </c>
      <c r="H12639" t="s">
        <v>9</v>
      </c>
    </row>
    <row r="12640" spans="2:8" x14ac:dyDescent="0.2">
      <c r="B12640" s="3">
        <v>45653</v>
      </c>
      <c r="G12640" s="2">
        <f t="shared" si="197"/>
        <v>0</v>
      </c>
      <c r="H12640" t="s">
        <v>8</v>
      </c>
    </row>
    <row r="12641" spans="2:8" x14ac:dyDescent="0.2">
      <c r="B12641" s="3">
        <v>45653</v>
      </c>
      <c r="G12641" s="2">
        <f t="shared" si="197"/>
        <v>0</v>
      </c>
      <c r="H12641" t="s">
        <v>5</v>
      </c>
    </row>
    <row r="12642" spans="2:8" x14ac:dyDescent="0.2">
      <c r="B12642" s="3">
        <v>45653</v>
      </c>
      <c r="G12642" s="2">
        <f t="shared" si="197"/>
        <v>0</v>
      </c>
      <c r="H12642" s="1"/>
    </row>
    <row r="12643" spans="2:8" x14ac:dyDescent="0.2">
      <c r="B12643" s="3">
        <v>45653</v>
      </c>
      <c r="G12643" s="2">
        <f t="shared" si="197"/>
        <v>0</v>
      </c>
      <c r="H12643" t="s">
        <v>0</v>
      </c>
    </row>
    <row r="12644" spans="2:8" x14ac:dyDescent="0.2">
      <c r="B12644" s="3">
        <v>45654</v>
      </c>
      <c r="G12644" s="2">
        <f t="shared" si="197"/>
        <v>0</v>
      </c>
      <c r="H12644" t="s">
        <v>14</v>
      </c>
    </row>
    <row r="12645" spans="2:8" x14ac:dyDescent="0.2">
      <c r="B12645" s="3">
        <v>45654</v>
      </c>
      <c r="D12645" s="28"/>
      <c r="G12645" s="2">
        <f t="shared" si="197"/>
        <v>0</v>
      </c>
      <c r="H12645" t="s">
        <v>13</v>
      </c>
    </row>
    <row r="12646" spans="2:8" x14ac:dyDescent="0.2">
      <c r="B12646" s="3">
        <v>45654</v>
      </c>
      <c r="D12646" s="28"/>
      <c r="G12646" s="2">
        <f t="shared" si="197"/>
        <v>0</v>
      </c>
      <c r="H12646" t="s">
        <v>26</v>
      </c>
    </row>
    <row r="12647" spans="2:8" x14ac:dyDescent="0.2">
      <c r="B12647" s="3">
        <v>45654</v>
      </c>
      <c r="G12647" s="2">
        <f t="shared" si="197"/>
        <v>0</v>
      </c>
      <c r="H12647" t="s">
        <v>25</v>
      </c>
    </row>
    <row r="12648" spans="2:8" x14ac:dyDescent="0.2">
      <c r="B12648" s="3">
        <v>45654</v>
      </c>
      <c r="G12648" s="2">
        <f t="shared" si="197"/>
        <v>0</v>
      </c>
      <c r="H12648" t="s">
        <v>9</v>
      </c>
    </row>
    <row r="12649" spans="2:8" x14ac:dyDescent="0.2">
      <c r="B12649" s="3">
        <v>45654</v>
      </c>
      <c r="G12649" s="2">
        <f t="shared" si="197"/>
        <v>0</v>
      </c>
      <c r="H12649" t="s">
        <v>8</v>
      </c>
    </row>
    <row r="12650" spans="2:8" x14ac:dyDescent="0.2">
      <c r="B12650" s="3">
        <v>45654</v>
      </c>
      <c r="G12650" s="2">
        <f t="shared" si="197"/>
        <v>0</v>
      </c>
      <c r="H12650" t="s">
        <v>5</v>
      </c>
    </row>
    <row r="12651" spans="2:8" x14ac:dyDescent="0.2">
      <c r="B12651" s="3">
        <v>45654</v>
      </c>
      <c r="G12651" s="2">
        <f t="shared" si="197"/>
        <v>0</v>
      </c>
      <c r="H12651" s="1"/>
    </row>
    <row r="12652" spans="2:8" x14ac:dyDescent="0.2">
      <c r="B12652" s="3">
        <v>45654</v>
      </c>
      <c r="G12652" s="2">
        <f t="shared" si="197"/>
        <v>0</v>
      </c>
      <c r="H12652" t="s">
        <v>0</v>
      </c>
    </row>
    <row r="12653" spans="2:8" x14ac:dyDescent="0.2">
      <c r="B12653" s="3">
        <v>45655</v>
      </c>
      <c r="G12653" s="2">
        <f t="shared" si="197"/>
        <v>0</v>
      </c>
      <c r="H12653" t="s">
        <v>14</v>
      </c>
    </row>
    <row r="12654" spans="2:8" x14ac:dyDescent="0.2">
      <c r="B12654" s="3">
        <v>45655</v>
      </c>
      <c r="D12654" s="28"/>
      <c r="G12654" s="2">
        <f t="shared" si="197"/>
        <v>0</v>
      </c>
      <c r="H12654" t="s">
        <v>13</v>
      </c>
    </row>
    <row r="12655" spans="2:8" x14ac:dyDescent="0.2">
      <c r="B12655" s="3">
        <v>45655</v>
      </c>
      <c r="D12655" s="28"/>
      <c r="G12655" s="2">
        <f t="shared" si="197"/>
        <v>0</v>
      </c>
      <c r="H12655" t="s">
        <v>26</v>
      </c>
    </row>
    <row r="12656" spans="2:8" x14ac:dyDescent="0.2">
      <c r="B12656" s="3">
        <v>45655</v>
      </c>
      <c r="G12656" s="2">
        <f t="shared" si="197"/>
        <v>0</v>
      </c>
      <c r="H12656" t="s">
        <v>25</v>
      </c>
    </row>
    <row r="12657" spans="2:8" x14ac:dyDescent="0.2">
      <c r="B12657" s="3">
        <v>45655</v>
      </c>
      <c r="G12657" s="2">
        <f t="shared" si="197"/>
        <v>0</v>
      </c>
      <c r="H12657" t="s">
        <v>9</v>
      </c>
    </row>
    <row r="12658" spans="2:8" x14ac:dyDescent="0.2">
      <c r="B12658" s="3">
        <v>45655</v>
      </c>
      <c r="F12658" s="1">
        <v>20000</v>
      </c>
      <c r="G12658" s="2">
        <f t="shared" si="197"/>
        <v>-20000</v>
      </c>
      <c r="H12658" t="s">
        <v>8</v>
      </c>
    </row>
    <row r="12659" spans="2:8" x14ac:dyDescent="0.2">
      <c r="B12659" s="3">
        <v>45655</v>
      </c>
      <c r="G12659" s="2">
        <f t="shared" si="197"/>
        <v>0</v>
      </c>
      <c r="H12659" t="s">
        <v>5</v>
      </c>
    </row>
    <row r="12660" spans="2:8" x14ac:dyDescent="0.2">
      <c r="B12660" s="3">
        <v>45655</v>
      </c>
      <c r="G12660" s="2">
        <f t="shared" si="197"/>
        <v>0</v>
      </c>
      <c r="H12660" s="1"/>
    </row>
    <row r="12661" spans="2:8" x14ac:dyDescent="0.2">
      <c r="B12661" s="3">
        <v>45655</v>
      </c>
      <c r="G12661" s="2">
        <f t="shared" si="197"/>
        <v>0</v>
      </c>
      <c r="H12661" t="s">
        <v>0</v>
      </c>
    </row>
    <row r="12662" spans="2:8" x14ac:dyDescent="0.2">
      <c r="B12662" s="3">
        <v>45656</v>
      </c>
      <c r="D12662" s="1">
        <v>1179.8399999999999</v>
      </c>
      <c r="E12662" s="1">
        <v>1296</v>
      </c>
      <c r="F12662" s="1">
        <v>15000</v>
      </c>
      <c r="G12662" s="2">
        <f t="shared" si="197"/>
        <v>-13704</v>
      </c>
      <c r="H12662" t="s">
        <v>14</v>
      </c>
    </row>
    <row r="12663" spans="2:8" x14ac:dyDescent="0.2">
      <c r="B12663" s="3">
        <v>45656</v>
      </c>
      <c r="D12663" s="28"/>
      <c r="G12663" s="2">
        <f t="shared" si="197"/>
        <v>0</v>
      </c>
      <c r="H12663" t="s">
        <v>13</v>
      </c>
    </row>
    <row r="12664" spans="2:8" x14ac:dyDescent="0.2">
      <c r="B12664" s="3">
        <v>45656</v>
      </c>
      <c r="D12664" s="28"/>
      <c r="G12664" s="2">
        <f t="shared" si="197"/>
        <v>0</v>
      </c>
      <c r="H12664" t="s">
        <v>26</v>
      </c>
    </row>
    <row r="12665" spans="2:8" x14ac:dyDescent="0.2">
      <c r="B12665" s="3">
        <v>45656</v>
      </c>
      <c r="G12665" s="2">
        <f t="shared" si="197"/>
        <v>0</v>
      </c>
      <c r="H12665" t="s">
        <v>25</v>
      </c>
    </row>
    <row r="12666" spans="2:8" x14ac:dyDescent="0.2">
      <c r="B12666" s="3">
        <v>45656</v>
      </c>
      <c r="G12666" s="2">
        <f t="shared" si="197"/>
        <v>0</v>
      </c>
      <c r="H12666" t="s">
        <v>9</v>
      </c>
    </row>
    <row r="12667" spans="2:8" x14ac:dyDescent="0.2">
      <c r="B12667" s="3">
        <v>45656</v>
      </c>
      <c r="D12667" s="1">
        <v>4200</v>
      </c>
      <c r="E12667" s="1">
        <v>4350</v>
      </c>
      <c r="G12667" s="2">
        <f t="shared" si="197"/>
        <v>4350</v>
      </c>
      <c r="H12667" t="s">
        <v>8</v>
      </c>
    </row>
    <row r="12668" spans="2:8" x14ac:dyDescent="0.2">
      <c r="B12668" s="3">
        <v>45656</v>
      </c>
      <c r="G12668" s="2">
        <f t="shared" si="197"/>
        <v>0</v>
      </c>
      <c r="H12668" t="s">
        <v>5</v>
      </c>
    </row>
    <row r="12669" spans="2:8" x14ac:dyDescent="0.2">
      <c r="B12669" s="3">
        <v>45656</v>
      </c>
      <c r="G12669" s="2">
        <f t="shared" si="197"/>
        <v>0</v>
      </c>
      <c r="H12669" s="1"/>
    </row>
    <row r="12670" spans="2:8" x14ac:dyDescent="0.2">
      <c r="B12670" s="3">
        <v>45656</v>
      </c>
      <c r="D12670" s="1">
        <v>174469.09</v>
      </c>
      <c r="E12670" s="1">
        <v>181805.12</v>
      </c>
      <c r="F12670" s="1">
        <v>82620</v>
      </c>
      <c r="G12670" s="2">
        <f t="shared" si="197"/>
        <v>99185.12</v>
      </c>
      <c r="H12670" t="s">
        <v>0</v>
      </c>
    </row>
    <row r="12671" spans="2:8" x14ac:dyDescent="0.2">
      <c r="B12671" s="3">
        <v>45658</v>
      </c>
      <c r="G12671" s="2">
        <f t="shared" si="197"/>
        <v>0</v>
      </c>
      <c r="H12671" t="s">
        <v>14</v>
      </c>
    </row>
    <row r="12672" spans="2:8" x14ac:dyDescent="0.2">
      <c r="B12672" s="3">
        <v>45658</v>
      </c>
      <c r="G12672" s="2">
        <f t="shared" si="197"/>
        <v>0</v>
      </c>
      <c r="H12672" t="s">
        <v>13</v>
      </c>
    </row>
    <row r="12673" spans="2:8" x14ac:dyDescent="0.2">
      <c r="B12673" s="3">
        <v>45658</v>
      </c>
      <c r="C12673" s="29"/>
      <c r="D12673" s="28"/>
      <c r="G12673" s="2">
        <f t="shared" si="197"/>
        <v>0</v>
      </c>
      <c r="H12673" t="s">
        <v>11</v>
      </c>
    </row>
    <row r="12674" spans="2:8" x14ac:dyDescent="0.2">
      <c r="B12674" s="3">
        <v>45658</v>
      </c>
      <c r="C12674" s="29"/>
      <c r="D12674" s="28"/>
      <c r="G12674" s="2">
        <f t="shared" si="197"/>
        <v>0</v>
      </c>
      <c r="H12674" t="s">
        <v>10</v>
      </c>
    </row>
    <row r="12675" spans="2:8" x14ac:dyDescent="0.2">
      <c r="B12675" s="3">
        <v>45658</v>
      </c>
      <c r="C12675" s="29"/>
      <c r="D12675" s="28"/>
      <c r="G12675" s="2">
        <f t="shared" ref="G12675:G12738" si="198">E12675-F12675</f>
        <v>0</v>
      </c>
      <c r="H12675" t="s">
        <v>9</v>
      </c>
    </row>
    <row r="12676" spans="2:8" x14ac:dyDescent="0.2">
      <c r="B12676" s="3">
        <v>45658</v>
      </c>
      <c r="C12676" s="29"/>
      <c r="D12676" s="28"/>
      <c r="G12676" s="2">
        <f t="shared" si="198"/>
        <v>0</v>
      </c>
      <c r="H12676" t="s">
        <v>8</v>
      </c>
    </row>
    <row r="12677" spans="2:8" x14ac:dyDescent="0.2">
      <c r="B12677" s="3">
        <v>45658</v>
      </c>
      <c r="C12677" s="29"/>
      <c r="D12677" s="28"/>
      <c r="G12677" s="2">
        <f t="shared" si="198"/>
        <v>0</v>
      </c>
      <c r="H12677" t="s">
        <v>7</v>
      </c>
    </row>
    <row r="12678" spans="2:8" x14ac:dyDescent="0.2">
      <c r="B12678" s="3">
        <v>45658</v>
      </c>
      <c r="C12678" s="29"/>
      <c r="D12678" s="28"/>
      <c r="E12678" s="35"/>
      <c r="G12678" s="2">
        <f t="shared" si="198"/>
        <v>0</v>
      </c>
      <c r="H12678" t="s">
        <v>6</v>
      </c>
    </row>
    <row r="12679" spans="2:8" x14ac:dyDescent="0.2">
      <c r="B12679" s="3">
        <v>45658</v>
      </c>
      <c r="C12679" s="29"/>
      <c r="D12679" s="28"/>
      <c r="G12679" s="2">
        <f t="shared" si="198"/>
        <v>0</v>
      </c>
      <c r="H12679" t="s">
        <v>5</v>
      </c>
    </row>
    <row r="12680" spans="2:8" x14ac:dyDescent="0.2">
      <c r="B12680" s="3">
        <v>45658</v>
      </c>
      <c r="C12680" s="29"/>
      <c r="D12680" s="28"/>
      <c r="G12680" s="2">
        <f t="shared" si="198"/>
        <v>0</v>
      </c>
      <c r="H12680" s="1"/>
    </row>
    <row r="12681" spans="2:8" x14ac:dyDescent="0.2">
      <c r="B12681" s="3">
        <v>45658</v>
      </c>
      <c r="C12681" s="29"/>
      <c r="G12681" s="2">
        <f t="shared" si="198"/>
        <v>0</v>
      </c>
      <c r="H12681" t="s">
        <v>0</v>
      </c>
    </row>
    <row r="12682" spans="2:8" x14ac:dyDescent="0.2">
      <c r="B12682" s="3">
        <v>45659</v>
      </c>
      <c r="G12682" s="2">
        <f t="shared" si="198"/>
        <v>0</v>
      </c>
      <c r="H12682" t="s">
        <v>14</v>
      </c>
    </row>
    <row r="12683" spans="2:8" x14ac:dyDescent="0.2">
      <c r="B12683" s="3">
        <v>45659</v>
      </c>
      <c r="C12683" s="1">
        <v>1</v>
      </c>
      <c r="D12683" s="1">
        <v>68455.5</v>
      </c>
      <c r="E12683" s="1">
        <v>74750</v>
      </c>
      <c r="F12683" s="1">
        <v>50000</v>
      </c>
      <c r="G12683" s="2">
        <f t="shared" si="198"/>
        <v>24750</v>
      </c>
      <c r="H12683" t="s">
        <v>13</v>
      </c>
    </row>
    <row r="12684" spans="2:8" x14ac:dyDescent="0.2">
      <c r="B12684" s="3">
        <v>45659</v>
      </c>
      <c r="C12684" s="29"/>
      <c r="D12684" s="28"/>
      <c r="G12684" s="2">
        <f t="shared" si="198"/>
        <v>0</v>
      </c>
      <c r="H12684" t="s">
        <v>11</v>
      </c>
    </row>
    <row r="12685" spans="2:8" x14ac:dyDescent="0.2">
      <c r="B12685" s="3">
        <v>45659</v>
      </c>
      <c r="C12685" s="29"/>
      <c r="D12685" s="28"/>
      <c r="G12685" s="2">
        <f t="shared" si="198"/>
        <v>0</v>
      </c>
      <c r="H12685" t="s">
        <v>10</v>
      </c>
    </row>
    <row r="12686" spans="2:8" x14ac:dyDescent="0.2">
      <c r="B12686" s="3">
        <v>45659</v>
      </c>
      <c r="C12686" s="29"/>
      <c r="D12686" s="28"/>
      <c r="G12686" s="2">
        <f t="shared" si="198"/>
        <v>0</v>
      </c>
      <c r="H12686" t="s">
        <v>9</v>
      </c>
    </row>
    <row r="12687" spans="2:8" x14ac:dyDescent="0.2">
      <c r="B12687" s="3">
        <v>45659</v>
      </c>
      <c r="C12687" s="29"/>
      <c r="D12687" s="28"/>
      <c r="G12687" s="2">
        <f t="shared" si="198"/>
        <v>0</v>
      </c>
      <c r="H12687" t="s">
        <v>8</v>
      </c>
    </row>
    <row r="12688" spans="2:8" x14ac:dyDescent="0.2">
      <c r="B12688" s="3">
        <v>45659</v>
      </c>
      <c r="C12688" s="29"/>
      <c r="D12688" s="28"/>
      <c r="G12688" s="2">
        <f t="shared" si="198"/>
        <v>0</v>
      </c>
      <c r="H12688" t="s">
        <v>7</v>
      </c>
    </row>
    <row r="12689" spans="2:8" x14ac:dyDescent="0.2">
      <c r="B12689" s="3">
        <v>45659</v>
      </c>
      <c r="C12689" s="29"/>
      <c r="D12689" s="28"/>
      <c r="G12689" s="2">
        <f t="shared" si="198"/>
        <v>0</v>
      </c>
      <c r="H12689" t="s">
        <v>6</v>
      </c>
    </row>
    <row r="12690" spans="2:8" x14ac:dyDescent="0.2">
      <c r="B12690" s="3">
        <v>45659</v>
      </c>
      <c r="C12690" s="1">
        <v>2</v>
      </c>
      <c r="D12690" s="28">
        <v>15700</v>
      </c>
      <c r="E12690" s="1">
        <v>16380</v>
      </c>
      <c r="G12690" s="2">
        <f t="shared" si="198"/>
        <v>16380</v>
      </c>
      <c r="H12690" t="s">
        <v>5</v>
      </c>
    </row>
    <row r="12691" spans="2:8" x14ac:dyDescent="0.2">
      <c r="B12691" s="3">
        <v>45659</v>
      </c>
      <c r="C12691" s="29"/>
      <c r="D12691" s="28"/>
      <c r="G12691" s="2">
        <f t="shared" si="198"/>
        <v>0</v>
      </c>
      <c r="H12691" s="1"/>
    </row>
    <row r="12692" spans="2:8" x14ac:dyDescent="0.2">
      <c r="B12692" s="3">
        <v>45659</v>
      </c>
      <c r="C12692" s="29"/>
      <c r="G12692" s="2">
        <f t="shared" si="198"/>
        <v>0</v>
      </c>
      <c r="H12692" t="s">
        <v>0</v>
      </c>
    </row>
    <row r="12693" spans="2:8" x14ac:dyDescent="0.2">
      <c r="B12693" s="3">
        <v>45660</v>
      </c>
      <c r="G12693" s="2">
        <f t="shared" si="198"/>
        <v>0</v>
      </c>
      <c r="H12693" t="s">
        <v>14</v>
      </c>
    </row>
    <row r="12694" spans="2:8" x14ac:dyDescent="0.2">
      <c r="B12694" s="3">
        <v>45660</v>
      </c>
      <c r="G12694" s="2">
        <f t="shared" si="198"/>
        <v>0</v>
      </c>
      <c r="H12694" t="s">
        <v>13</v>
      </c>
    </row>
    <row r="12695" spans="2:8" x14ac:dyDescent="0.2">
      <c r="B12695" s="3">
        <v>45660</v>
      </c>
      <c r="C12695" s="29"/>
      <c r="D12695" s="28"/>
      <c r="G12695" s="2">
        <f t="shared" si="198"/>
        <v>0</v>
      </c>
      <c r="H12695" t="s">
        <v>11</v>
      </c>
    </row>
    <row r="12696" spans="2:8" x14ac:dyDescent="0.2">
      <c r="B12696" s="3">
        <v>45660</v>
      </c>
      <c r="C12696" s="29"/>
      <c r="D12696" s="28"/>
      <c r="G12696" s="2">
        <f t="shared" si="198"/>
        <v>0</v>
      </c>
      <c r="H12696" t="s">
        <v>10</v>
      </c>
    </row>
    <row r="12697" spans="2:8" x14ac:dyDescent="0.2">
      <c r="B12697" s="3">
        <v>45660</v>
      </c>
      <c r="C12697" s="29"/>
      <c r="D12697" s="28"/>
      <c r="G12697" s="2">
        <f t="shared" si="198"/>
        <v>0</v>
      </c>
      <c r="H12697" t="s">
        <v>9</v>
      </c>
    </row>
    <row r="12698" spans="2:8" x14ac:dyDescent="0.2">
      <c r="B12698" s="3">
        <v>45660</v>
      </c>
      <c r="C12698" s="29"/>
      <c r="D12698" s="28"/>
      <c r="G12698" s="2">
        <f t="shared" si="198"/>
        <v>0</v>
      </c>
      <c r="H12698" t="s">
        <v>8</v>
      </c>
    </row>
    <row r="12699" spans="2:8" x14ac:dyDescent="0.2">
      <c r="B12699" s="3">
        <v>45660</v>
      </c>
      <c r="C12699" s="29"/>
      <c r="D12699" s="28"/>
      <c r="G12699" s="2">
        <f t="shared" si="198"/>
        <v>0</v>
      </c>
      <c r="H12699" t="s">
        <v>7</v>
      </c>
    </row>
    <row r="12700" spans="2:8" x14ac:dyDescent="0.2">
      <c r="B12700" s="3">
        <v>45660</v>
      </c>
      <c r="C12700" s="29"/>
      <c r="D12700" s="28"/>
      <c r="G12700" s="2">
        <f t="shared" si="198"/>
        <v>0</v>
      </c>
      <c r="H12700" t="s">
        <v>6</v>
      </c>
    </row>
    <row r="12701" spans="2:8" x14ac:dyDescent="0.2">
      <c r="B12701" s="3">
        <v>45660</v>
      </c>
      <c r="C12701" s="29"/>
      <c r="D12701" s="28"/>
      <c r="G12701" s="2">
        <f t="shared" si="198"/>
        <v>0</v>
      </c>
      <c r="H12701" t="s">
        <v>5</v>
      </c>
    </row>
    <row r="12702" spans="2:8" x14ac:dyDescent="0.2">
      <c r="B12702" s="3">
        <v>45660</v>
      </c>
      <c r="C12702" s="29"/>
      <c r="D12702" s="28"/>
      <c r="G12702" s="2">
        <f t="shared" si="198"/>
        <v>0</v>
      </c>
      <c r="H12702" s="1"/>
    </row>
    <row r="12703" spans="2:8" x14ac:dyDescent="0.2">
      <c r="B12703" s="3">
        <v>45660</v>
      </c>
      <c r="C12703" s="29"/>
      <c r="G12703" s="2">
        <f t="shared" si="198"/>
        <v>0</v>
      </c>
      <c r="H12703" t="s">
        <v>0</v>
      </c>
    </row>
    <row r="12704" spans="2:8" x14ac:dyDescent="0.2">
      <c r="B12704" s="3">
        <v>45661</v>
      </c>
      <c r="G12704" s="2">
        <f t="shared" si="198"/>
        <v>0</v>
      </c>
      <c r="H12704" t="s">
        <v>14</v>
      </c>
    </row>
    <row r="12705" spans="2:8" x14ac:dyDescent="0.2">
      <c r="B12705" s="3">
        <v>45661</v>
      </c>
      <c r="G12705" s="2">
        <f t="shared" si="198"/>
        <v>0</v>
      </c>
      <c r="H12705" t="s">
        <v>13</v>
      </c>
    </row>
    <row r="12706" spans="2:8" x14ac:dyDescent="0.2">
      <c r="B12706" s="3">
        <v>45661</v>
      </c>
      <c r="C12706" s="29"/>
      <c r="D12706" s="28"/>
      <c r="G12706" s="2">
        <f t="shared" si="198"/>
        <v>0</v>
      </c>
      <c r="H12706" t="s">
        <v>11</v>
      </c>
    </row>
    <row r="12707" spans="2:8" x14ac:dyDescent="0.2">
      <c r="B12707" s="3">
        <v>45661</v>
      </c>
      <c r="C12707" s="29"/>
      <c r="D12707" s="28"/>
      <c r="G12707" s="2">
        <f t="shared" si="198"/>
        <v>0</v>
      </c>
      <c r="H12707" t="s">
        <v>10</v>
      </c>
    </row>
    <row r="12708" spans="2:8" x14ac:dyDescent="0.2">
      <c r="B12708" s="3">
        <v>45661</v>
      </c>
      <c r="C12708" s="29"/>
      <c r="D12708" s="28"/>
      <c r="G12708" s="2">
        <f t="shared" si="198"/>
        <v>0</v>
      </c>
      <c r="H12708" t="s">
        <v>9</v>
      </c>
    </row>
    <row r="12709" spans="2:8" x14ac:dyDescent="0.2">
      <c r="B12709" s="3">
        <v>45661</v>
      </c>
      <c r="C12709" s="29"/>
      <c r="D12709" s="28"/>
      <c r="G12709" s="2">
        <f t="shared" si="198"/>
        <v>0</v>
      </c>
      <c r="H12709" t="s">
        <v>8</v>
      </c>
    </row>
    <row r="12710" spans="2:8" x14ac:dyDescent="0.2">
      <c r="B12710" s="3">
        <v>45661</v>
      </c>
      <c r="C12710" s="29"/>
      <c r="D12710" s="28"/>
      <c r="G12710" s="2">
        <f t="shared" si="198"/>
        <v>0</v>
      </c>
      <c r="H12710" t="s">
        <v>7</v>
      </c>
    </row>
    <row r="12711" spans="2:8" x14ac:dyDescent="0.2">
      <c r="B12711" s="3">
        <v>45661</v>
      </c>
      <c r="C12711" s="29"/>
      <c r="D12711" s="28"/>
      <c r="G12711" s="2">
        <f t="shared" si="198"/>
        <v>0</v>
      </c>
      <c r="H12711" t="s">
        <v>6</v>
      </c>
    </row>
    <row r="12712" spans="2:8" x14ac:dyDescent="0.2">
      <c r="B12712" s="3">
        <v>45661</v>
      </c>
      <c r="C12712" s="29"/>
      <c r="D12712" s="28"/>
      <c r="G12712" s="2">
        <f t="shared" si="198"/>
        <v>0</v>
      </c>
      <c r="H12712" t="s">
        <v>5</v>
      </c>
    </row>
    <row r="12713" spans="2:8" x14ac:dyDescent="0.2">
      <c r="B12713" s="3">
        <v>45661</v>
      </c>
      <c r="C12713" s="29"/>
      <c r="D12713" s="28"/>
      <c r="G12713" s="2">
        <f t="shared" si="198"/>
        <v>0</v>
      </c>
      <c r="H12713" s="1"/>
    </row>
    <row r="12714" spans="2:8" x14ac:dyDescent="0.2">
      <c r="B12714" s="3">
        <v>45661</v>
      </c>
      <c r="C12714" s="29"/>
      <c r="G12714" s="2">
        <f t="shared" si="198"/>
        <v>0</v>
      </c>
      <c r="H12714" t="s">
        <v>0</v>
      </c>
    </row>
    <row r="12715" spans="2:8" x14ac:dyDescent="0.2">
      <c r="B12715" s="3">
        <v>45662</v>
      </c>
      <c r="G12715" s="2">
        <f t="shared" si="198"/>
        <v>0</v>
      </c>
      <c r="H12715" t="s">
        <v>14</v>
      </c>
    </row>
    <row r="12716" spans="2:8" x14ac:dyDescent="0.2">
      <c r="B12716" s="3">
        <v>45662</v>
      </c>
      <c r="G12716" s="2">
        <f t="shared" si="198"/>
        <v>0</v>
      </c>
      <c r="H12716" t="s">
        <v>13</v>
      </c>
    </row>
    <row r="12717" spans="2:8" x14ac:dyDescent="0.2">
      <c r="B12717" s="3">
        <v>45662</v>
      </c>
      <c r="C12717" s="29"/>
      <c r="D12717" s="28"/>
      <c r="G12717" s="2">
        <f t="shared" si="198"/>
        <v>0</v>
      </c>
      <c r="H12717" t="s">
        <v>11</v>
      </c>
    </row>
    <row r="12718" spans="2:8" x14ac:dyDescent="0.2">
      <c r="B12718" s="3">
        <v>45662</v>
      </c>
      <c r="C12718" s="29"/>
      <c r="D12718" s="28"/>
      <c r="G12718" s="2">
        <f t="shared" si="198"/>
        <v>0</v>
      </c>
      <c r="H12718" t="s">
        <v>10</v>
      </c>
    </row>
    <row r="12719" spans="2:8" x14ac:dyDescent="0.2">
      <c r="B12719" s="3">
        <v>45662</v>
      </c>
      <c r="C12719" s="29"/>
      <c r="D12719" s="28"/>
      <c r="G12719" s="2">
        <f t="shared" si="198"/>
        <v>0</v>
      </c>
      <c r="H12719" t="s">
        <v>9</v>
      </c>
    </row>
    <row r="12720" spans="2:8" x14ac:dyDescent="0.2">
      <c r="B12720" s="3">
        <v>45662</v>
      </c>
      <c r="C12720" s="29"/>
      <c r="D12720" s="28"/>
      <c r="G12720" s="2">
        <f t="shared" si="198"/>
        <v>0</v>
      </c>
      <c r="H12720" t="s">
        <v>8</v>
      </c>
    </row>
    <row r="12721" spans="2:8" x14ac:dyDescent="0.2">
      <c r="B12721" s="3">
        <v>45662</v>
      </c>
      <c r="C12721" s="29"/>
      <c r="D12721" s="28"/>
      <c r="G12721" s="2">
        <f t="shared" si="198"/>
        <v>0</v>
      </c>
      <c r="H12721" t="s">
        <v>7</v>
      </c>
    </row>
    <row r="12722" spans="2:8" x14ac:dyDescent="0.2">
      <c r="B12722" s="3">
        <v>45662</v>
      </c>
      <c r="C12722" s="29"/>
      <c r="D12722" s="28"/>
      <c r="G12722" s="2">
        <f t="shared" si="198"/>
        <v>0</v>
      </c>
      <c r="H12722" t="s">
        <v>6</v>
      </c>
    </row>
    <row r="12723" spans="2:8" x14ac:dyDescent="0.2">
      <c r="B12723" s="3">
        <v>45662</v>
      </c>
      <c r="C12723" s="29"/>
      <c r="D12723" s="28"/>
      <c r="F12723" s="1">
        <v>16380</v>
      </c>
      <c r="G12723" s="2">
        <f t="shared" si="198"/>
        <v>-16380</v>
      </c>
      <c r="H12723" t="s">
        <v>5</v>
      </c>
    </row>
    <row r="12724" spans="2:8" x14ac:dyDescent="0.2">
      <c r="B12724" s="3">
        <v>45662</v>
      </c>
      <c r="C12724" s="29"/>
      <c r="D12724" s="28"/>
      <c r="G12724" s="2">
        <f t="shared" si="198"/>
        <v>0</v>
      </c>
      <c r="H12724" s="1"/>
    </row>
    <row r="12725" spans="2:8" x14ac:dyDescent="0.2">
      <c r="B12725" s="3">
        <v>45662</v>
      </c>
      <c r="C12725" s="29"/>
      <c r="F12725" s="1">
        <v>100000</v>
      </c>
      <c r="G12725" s="2">
        <f t="shared" si="198"/>
        <v>-100000</v>
      </c>
      <c r="H12725" t="s">
        <v>0</v>
      </c>
    </row>
    <row r="12726" spans="2:8" x14ac:dyDescent="0.2">
      <c r="B12726" s="3">
        <v>45663</v>
      </c>
      <c r="G12726" s="2">
        <f t="shared" si="198"/>
        <v>0</v>
      </c>
      <c r="H12726" t="s">
        <v>14</v>
      </c>
    </row>
    <row r="12727" spans="2:8" x14ac:dyDescent="0.2">
      <c r="B12727" s="3">
        <v>45663</v>
      </c>
      <c r="G12727" s="2">
        <f t="shared" si="198"/>
        <v>0</v>
      </c>
      <c r="H12727" t="s">
        <v>13</v>
      </c>
    </row>
    <row r="12728" spans="2:8" x14ac:dyDescent="0.2">
      <c r="B12728" s="3">
        <v>45663</v>
      </c>
      <c r="C12728" s="29"/>
      <c r="D12728" s="28"/>
      <c r="G12728" s="2">
        <f t="shared" si="198"/>
        <v>0</v>
      </c>
      <c r="H12728" t="s">
        <v>11</v>
      </c>
    </row>
    <row r="12729" spans="2:8" x14ac:dyDescent="0.2">
      <c r="B12729" s="3">
        <v>45663</v>
      </c>
      <c r="C12729" s="29"/>
      <c r="D12729" s="28"/>
      <c r="G12729" s="2">
        <f t="shared" si="198"/>
        <v>0</v>
      </c>
      <c r="H12729" t="s">
        <v>10</v>
      </c>
    </row>
    <row r="12730" spans="2:8" x14ac:dyDescent="0.2">
      <c r="B12730" s="3">
        <v>45663</v>
      </c>
      <c r="C12730" s="29"/>
      <c r="D12730" s="28"/>
      <c r="G12730" s="2">
        <f t="shared" si="198"/>
        <v>0</v>
      </c>
      <c r="H12730" t="s">
        <v>9</v>
      </c>
    </row>
    <row r="12731" spans="2:8" x14ac:dyDescent="0.2">
      <c r="B12731" s="3">
        <v>45663</v>
      </c>
      <c r="C12731" s="29"/>
      <c r="D12731" s="28"/>
      <c r="G12731" s="2">
        <f t="shared" si="198"/>
        <v>0</v>
      </c>
      <c r="H12731" t="s">
        <v>8</v>
      </c>
    </row>
    <row r="12732" spans="2:8" x14ac:dyDescent="0.2">
      <c r="B12732" s="3">
        <v>45663</v>
      </c>
      <c r="C12732" s="29"/>
      <c r="D12732" s="28"/>
      <c r="G12732" s="2">
        <f t="shared" si="198"/>
        <v>0</v>
      </c>
      <c r="H12732" t="s">
        <v>7</v>
      </c>
    </row>
    <row r="12733" spans="2:8" x14ac:dyDescent="0.2">
      <c r="B12733" s="3">
        <v>45663</v>
      </c>
      <c r="C12733" s="29"/>
      <c r="D12733" s="28"/>
      <c r="G12733" s="2">
        <f t="shared" si="198"/>
        <v>0</v>
      </c>
      <c r="H12733" t="s">
        <v>6</v>
      </c>
    </row>
    <row r="12734" spans="2:8" x14ac:dyDescent="0.2">
      <c r="B12734" s="3">
        <v>45663</v>
      </c>
      <c r="C12734" s="29"/>
      <c r="D12734" s="28"/>
      <c r="G12734" s="2">
        <f t="shared" si="198"/>
        <v>0</v>
      </c>
      <c r="H12734" t="s">
        <v>5</v>
      </c>
    </row>
    <row r="12735" spans="2:8" x14ac:dyDescent="0.2">
      <c r="B12735" s="3">
        <v>45663</v>
      </c>
      <c r="C12735" s="29"/>
      <c r="D12735" s="28"/>
      <c r="G12735" s="2">
        <f t="shared" si="198"/>
        <v>0</v>
      </c>
      <c r="H12735" s="1"/>
    </row>
    <row r="12736" spans="2:8" x14ac:dyDescent="0.2">
      <c r="B12736" s="3">
        <v>45663</v>
      </c>
      <c r="C12736" s="29"/>
      <c r="G12736" s="2">
        <f t="shared" si="198"/>
        <v>0</v>
      </c>
      <c r="H12736" t="s">
        <v>0</v>
      </c>
    </row>
    <row r="12737" spans="2:8" x14ac:dyDescent="0.2">
      <c r="B12737" s="3">
        <v>45664</v>
      </c>
      <c r="G12737" s="2">
        <f t="shared" si="198"/>
        <v>0</v>
      </c>
      <c r="H12737" t="s">
        <v>14</v>
      </c>
    </row>
    <row r="12738" spans="2:8" x14ac:dyDescent="0.2">
      <c r="B12738" s="3">
        <v>45664</v>
      </c>
      <c r="G12738" s="2">
        <f t="shared" si="198"/>
        <v>0</v>
      </c>
      <c r="H12738" t="s">
        <v>13</v>
      </c>
    </row>
    <row r="12739" spans="2:8" x14ac:dyDescent="0.2">
      <c r="B12739" s="3">
        <v>45664</v>
      </c>
      <c r="C12739" s="29"/>
      <c r="D12739" s="28"/>
      <c r="G12739" s="2">
        <f t="shared" ref="G12739:G12802" si="199">E12739-F12739</f>
        <v>0</v>
      </c>
      <c r="H12739" t="s">
        <v>11</v>
      </c>
    </row>
    <row r="12740" spans="2:8" x14ac:dyDescent="0.2">
      <c r="B12740" s="3">
        <v>45664</v>
      </c>
      <c r="C12740" s="29"/>
      <c r="D12740" s="28"/>
      <c r="G12740" s="2">
        <f t="shared" si="199"/>
        <v>0</v>
      </c>
      <c r="H12740" t="s">
        <v>10</v>
      </c>
    </row>
    <row r="12741" spans="2:8" x14ac:dyDescent="0.2">
      <c r="B12741" s="3">
        <v>45664</v>
      </c>
      <c r="C12741" s="29"/>
      <c r="D12741" s="28"/>
      <c r="G12741" s="2">
        <f t="shared" si="199"/>
        <v>0</v>
      </c>
      <c r="H12741" t="s">
        <v>9</v>
      </c>
    </row>
    <row r="12742" spans="2:8" x14ac:dyDescent="0.2">
      <c r="B12742" s="3">
        <v>45664</v>
      </c>
      <c r="C12742" s="29"/>
      <c r="D12742" s="28"/>
      <c r="G12742" s="2">
        <f t="shared" si="199"/>
        <v>0</v>
      </c>
      <c r="H12742" t="s">
        <v>8</v>
      </c>
    </row>
    <row r="12743" spans="2:8" x14ac:dyDescent="0.2">
      <c r="B12743" s="3">
        <v>45664</v>
      </c>
      <c r="C12743" s="29"/>
      <c r="D12743" s="28"/>
      <c r="G12743" s="2">
        <f t="shared" si="199"/>
        <v>0</v>
      </c>
      <c r="H12743" t="s">
        <v>7</v>
      </c>
    </row>
    <row r="12744" spans="2:8" x14ac:dyDescent="0.2">
      <c r="B12744" s="3">
        <v>45664</v>
      </c>
      <c r="C12744" s="29"/>
      <c r="D12744" s="28"/>
      <c r="G12744" s="2">
        <f t="shared" si="199"/>
        <v>0</v>
      </c>
      <c r="H12744" t="s">
        <v>6</v>
      </c>
    </row>
    <row r="12745" spans="2:8" x14ac:dyDescent="0.2">
      <c r="B12745" s="3">
        <v>45664</v>
      </c>
      <c r="C12745" s="29"/>
      <c r="D12745" s="28"/>
      <c r="G12745" s="2">
        <f t="shared" si="199"/>
        <v>0</v>
      </c>
      <c r="H12745" t="s">
        <v>5</v>
      </c>
    </row>
    <row r="12746" spans="2:8" x14ac:dyDescent="0.2">
      <c r="B12746" s="3">
        <v>45664</v>
      </c>
      <c r="C12746" s="29"/>
      <c r="D12746" s="28"/>
      <c r="G12746" s="2">
        <f t="shared" si="199"/>
        <v>0</v>
      </c>
      <c r="H12746" s="1"/>
    </row>
    <row r="12747" spans="2:8" x14ac:dyDescent="0.2">
      <c r="B12747" s="3">
        <v>45664</v>
      </c>
      <c r="C12747" s="29"/>
      <c r="F12747" s="1">
        <v>81805</v>
      </c>
      <c r="G12747" s="2">
        <f t="shared" si="199"/>
        <v>-81805</v>
      </c>
      <c r="H12747" t="s">
        <v>0</v>
      </c>
    </row>
    <row r="12748" spans="2:8" x14ac:dyDescent="0.2">
      <c r="B12748" s="3">
        <v>45665</v>
      </c>
      <c r="C12748" s="1">
        <v>3</v>
      </c>
      <c r="D12748" s="1">
        <v>21100</v>
      </c>
      <c r="E12748" s="1">
        <v>23100</v>
      </c>
      <c r="G12748" s="2">
        <f t="shared" si="199"/>
        <v>23100</v>
      </c>
      <c r="H12748" t="s">
        <v>14</v>
      </c>
    </row>
    <row r="12749" spans="2:8" x14ac:dyDescent="0.2">
      <c r="B12749" s="3">
        <v>45665</v>
      </c>
      <c r="G12749" s="2">
        <f t="shared" si="199"/>
        <v>0</v>
      </c>
      <c r="H12749" t="s">
        <v>13</v>
      </c>
    </row>
    <row r="12750" spans="2:8" x14ac:dyDescent="0.2">
      <c r="B12750" s="3">
        <v>45665</v>
      </c>
      <c r="C12750" s="29"/>
      <c r="D12750" s="28"/>
      <c r="G12750" s="2">
        <f t="shared" si="199"/>
        <v>0</v>
      </c>
      <c r="H12750" t="s">
        <v>11</v>
      </c>
    </row>
    <row r="12751" spans="2:8" x14ac:dyDescent="0.2">
      <c r="B12751" s="3">
        <v>45665</v>
      </c>
      <c r="C12751" s="29"/>
      <c r="D12751" s="28"/>
      <c r="G12751" s="2">
        <f t="shared" si="199"/>
        <v>0</v>
      </c>
      <c r="H12751" t="s">
        <v>10</v>
      </c>
    </row>
    <row r="12752" spans="2:8" x14ac:dyDescent="0.2">
      <c r="B12752" s="3">
        <v>45665</v>
      </c>
      <c r="C12752" s="29"/>
      <c r="D12752" s="28"/>
      <c r="G12752" s="2">
        <f t="shared" si="199"/>
        <v>0</v>
      </c>
      <c r="H12752" t="s">
        <v>9</v>
      </c>
    </row>
    <row r="12753" spans="2:8" x14ac:dyDescent="0.2">
      <c r="B12753" s="3">
        <v>45665</v>
      </c>
      <c r="C12753" s="1">
        <v>4</v>
      </c>
      <c r="D12753" s="28">
        <v>37380</v>
      </c>
      <c r="E12753" s="1">
        <v>42020</v>
      </c>
      <c r="F12753" s="1">
        <v>30000</v>
      </c>
      <c r="G12753" s="2">
        <f t="shared" si="199"/>
        <v>12020</v>
      </c>
      <c r="H12753" t="s">
        <v>8</v>
      </c>
    </row>
    <row r="12754" spans="2:8" x14ac:dyDescent="0.2">
      <c r="B12754" s="3">
        <v>45665</v>
      </c>
      <c r="C12754" s="29"/>
      <c r="D12754" s="28"/>
      <c r="G12754" s="2">
        <f t="shared" si="199"/>
        <v>0</v>
      </c>
      <c r="H12754" t="s">
        <v>7</v>
      </c>
    </row>
    <row r="12755" spans="2:8" x14ac:dyDescent="0.2">
      <c r="B12755" s="3">
        <v>45665</v>
      </c>
      <c r="C12755" s="29"/>
      <c r="D12755" s="28"/>
      <c r="G12755" s="2">
        <f t="shared" si="199"/>
        <v>0</v>
      </c>
      <c r="H12755" t="s">
        <v>6</v>
      </c>
    </row>
    <row r="12756" spans="2:8" x14ac:dyDescent="0.2">
      <c r="B12756" s="3">
        <v>45665</v>
      </c>
      <c r="C12756" s="29"/>
      <c r="D12756" s="28"/>
      <c r="G12756" s="2">
        <f t="shared" si="199"/>
        <v>0</v>
      </c>
      <c r="H12756" t="s">
        <v>5</v>
      </c>
    </row>
    <row r="12757" spans="2:8" x14ac:dyDescent="0.2">
      <c r="B12757" s="3">
        <v>45665</v>
      </c>
      <c r="C12757" s="29"/>
      <c r="D12757" s="28"/>
      <c r="G12757" s="2">
        <f t="shared" si="199"/>
        <v>0</v>
      </c>
      <c r="H12757" s="1"/>
    </row>
    <row r="12758" spans="2:8" x14ac:dyDescent="0.2">
      <c r="B12758" s="3">
        <v>45665</v>
      </c>
      <c r="C12758" s="1">
        <v>10305</v>
      </c>
      <c r="D12758" s="1">
        <v>65927.25</v>
      </c>
      <c r="E12758" s="1">
        <v>68487.789999999994</v>
      </c>
      <c r="G12758" s="2">
        <f t="shared" si="199"/>
        <v>68487.789999999994</v>
      </c>
      <c r="H12758" t="s">
        <v>0</v>
      </c>
    </row>
    <row r="12759" spans="2:8" x14ac:dyDescent="0.2">
      <c r="B12759" s="3">
        <v>45666</v>
      </c>
      <c r="D12759" s="1">
        <v>-1650</v>
      </c>
      <c r="E12759" s="1">
        <v>-1800</v>
      </c>
      <c r="G12759" s="2">
        <f t="shared" si="199"/>
        <v>-1800</v>
      </c>
      <c r="H12759" t="s">
        <v>14</v>
      </c>
    </row>
    <row r="12760" spans="2:8" x14ac:dyDescent="0.2">
      <c r="B12760" s="3">
        <v>45666</v>
      </c>
      <c r="G12760" s="2">
        <f t="shared" si="199"/>
        <v>0</v>
      </c>
      <c r="H12760" t="s">
        <v>13</v>
      </c>
    </row>
    <row r="12761" spans="2:8" x14ac:dyDescent="0.2">
      <c r="B12761" s="3">
        <v>45666</v>
      </c>
      <c r="C12761" s="29"/>
      <c r="D12761" s="28"/>
      <c r="G12761" s="2">
        <f t="shared" si="199"/>
        <v>0</v>
      </c>
      <c r="H12761" t="s">
        <v>11</v>
      </c>
    </row>
    <row r="12762" spans="2:8" x14ac:dyDescent="0.2">
      <c r="B12762" s="3">
        <v>45666</v>
      </c>
      <c r="C12762" s="29"/>
      <c r="D12762" s="28"/>
      <c r="G12762" s="2">
        <f t="shared" si="199"/>
        <v>0</v>
      </c>
      <c r="H12762" t="s">
        <v>10</v>
      </c>
    </row>
    <row r="12763" spans="2:8" x14ac:dyDescent="0.2">
      <c r="B12763" s="3">
        <v>45666</v>
      </c>
      <c r="C12763" s="29"/>
      <c r="D12763" s="28"/>
      <c r="G12763" s="2">
        <f t="shared" si="199"/>
        <v>0</v>
      </c>
      <c r="H12763" t="s">
        <v>9</v>
      </c>
    </row>
    <row r="12764" spans="2:8" x14ac:dyDescent="0.2">
      <c r="B12764" s="3">
        <v>45666</v>
      </c>
      <c r="C12764" s="29"/>
      <c r="D12764" s="28"/>
      <c r="G12764" s="2">
        <f t="shared" si="199"/>
        <v>0</v>
      </c>
      <c r="H12764" t="s">
        <v>8</v>
      </c>
    </row>
    <row r="12765" spans="2:8" x14ac:dyDescent="0.2">
      <c r="B12765" s="3">
        <v>45666</v>
      </c>
      <c r="C12765" s="29"/>
      <c r="D12765" s="28"/>
      <c r="G12765" s="2">
        <f t="shared" si="199"/>
        <v>0</v>
      </c>
      <c r="H12765" t="s">
        <v>7</v>
      </c>
    </row>
    <row r="12766" spans="2:8" x14ac:dyDescent="0.2">
      <c r="B12766" s="3">
        <v>45666</v>
      </c>
      <c r="C12766" s="29"/>
      <c r="D12766" s="28"/>
      <c r="G12766" s="2">
        <f t="shared" si="199"/>
        <v>0</v>
      </c>
      <c r="H12766" t="s">
        <v>6</v>
      </c>
    </row>
    <row r="12767" spans="2:8" x14ac:dyDescent="0.2">
      <c r="B12767" s="3">
        <v>45666</v>
      </c>
      <c r="C12767" s="29"/>
      <c r="D12767" s="28"/>
      <c r="G12767" s="2">
        <f t="shared" si="199"/>
        <v>0</v>
      </c>
      <c r="H12767" t="s">
        <v>5</v>
      </c>
    </row>
    <row r="12768" spans="2:8" x14ac:dyDescent="0.2">
      <c r="B12768" s="3">
        <v>45666</v>
      </c>
      <c r="C12768" s="29"/>
      <c r="D12768" s="28"/>
      <c r="G12768" s="2">
        <f t="shared" si="199"/>
        <v>0</v>
      </c>
      <c r="H12768" s="1"/>
    </row>
    <row r="12769" spans="2:8" x14ac:dyDescent="0.2">
      <c r="B12769" s="3">
        <v>45666</v>
      </c>
      <c r="C12769" s="29"/>
      <c r="G12769" s="2">
        <f t="shared" si="199"/>
        <v>0</v>
      </c>
      <c r="H12769" t="s">
        <v>0</v>
      </c>
    </row>
    <row r="12770" spans="2:8" x14ac:dyDescent="0.2">
      <c r="B12770" s="3">
        <v>45667</v>
      </c>
      <c r="G12770" s="2">
        <f t="shared" si="199"/>
        <v>0</v>
      </c>
      <c r="H12770" t="s">
        <v>14</v>
      </c>
    </row>
    <row r="12771" spans="2:8" x14ac:dyDescent="0.2">
      <c r="B12771" s="3">
        <v>45667</v>
      </c>
      <c r="G12771" s="2">
        <f t="shared" si="199"/>
        <v>0</v>
      </c>
      <c r="H12771" t="s">
        <v>13</v>
      </c>
    </row>
    <row r="12772" spans="2:8" x14ac:dyDescent="0.2">
      <c r="B12772" s="3">
        <v>45667</v>
      </c>
      <c r="C12772" s="29"/>
      <c r="D12772" s="28"/>
      <c r="G12772" s="2">
        <f t="shared" si="199"/>
        <v>0</v>
      </c>
      <c r="H12772" t="s">
        <v>11</v>
      </c>
    </row>
    <row r="12773" spans="2:8" x14ac:dyDescent="0.2">
      <c r="B12773" s="3">
        <v>45667</v>
      </c>
      <c r="C12773" s="29"/>
      <c r="D12773" s="28"/>
      <c r="G12773" s="2">
        <f t="shared" si="199"/>
        <v>0</v>
      </c>
      <c r="H12773" t="s">
        <v>10</v>
      </c>
    </row>
    <row r="12774" spans="2:8" x14ac:dyDescent="0.2">
      <c r="B12774" s="3">
        <v>45667</v>
      </c>
      <c r="C12774" s="29"/>
      <c r="D12774" s="28"/>
      <c r="G12774" s="2">
        <f t="shared" si="199"/>
        <v>0</v>
      </c>
      <c r="H12774" t="s">
        <v>9</v>
      </c>
    </row>
    <row r="12775" spans="2:8" x14ac:dyDescent="0.2">
      <c r="B12775" s="3">
        <v>45667</v>
      </c>
      <c r="C12775" s="29"/>
      <c r="D12775" s="28"/>
      <c r="G12775" s="2">
        <f t="shared" si="199"/>
        <v>0</v>
      </c>
      <c r="H12775" t="s">
        <v>8</v>
      </c>
    </row>
    <row r="12776" spans="2:8" x14ac:dyDescent="0.2">
      <c r="B12776" s="3">
        <v>45667</v>
      </c>
      <c r="C12776" s="29"/>
      <c r="D12776" s="28"/>
      <c r="G12776" s="2">
        <f t="shared" si="199"/>
        <v>0</v>
      </c>
      <c r="H12776" t="s">
        <v>7</v>
      </c>
    </row>
    <row r="12777" spans="2:8" x14ac:dyDescent="0.2">
      <c r="B12777" s="3">
        <v>45667</v>
      </c>
      <c r="C12777" s="29"/>
      <c r="D12777" s="28"/>
      <c r="G12777" s="2">
        <f t="shared" si="199"/>
        <v>0</v>
      </c>
      <c r="H12777" t="s">
        <v>6</v>
      </c>
    </row>
    <row r="12778" spans="2:8" x14ac:dyDescent="0.2">
      <c r="B12778" s="3">
        <v>45667</v>
      </c>
      <c r="C12778" s="29"/>
      <c r="D12778" s="28"/>
      <c r="G12778" s="2">
        <f t="shared" si="199"/>
        <v>0</v>
      </c>
      <c r="H12778" t="s">
        <v>5</v>
      </c>
    </row>
    <row r="12779" spans="2:8" x14ac:dyDescent="0.2">
      <c r="B12779" s="3">
        <v>45667</v>
      </c>
      <c r="C12779" s="29"/>
      <c r="D12779" s="28"/>
      <c r="G12779" s="2">
        <f t="shared" si="199"/>
        <v>0</v>
      </c>
      <c r="H12779" s="1"/>
    </row>
    <row r="12780" spans="2:8" x14ac:dyDescent="0.2">
      <c r="B12780" s="3">
        <v>45667</v>
      </c>
      <c r="C12780" s="29"/>
      <c r="G12780" s="2">
        <f t="shared" si="199"/>
        <v>0</v>
      </c>
      <c r="H12780" t="s">
        <v>0</v>
      </c>
    </row>
    <row r="12781" spans="2:8" x14ac:dyDescent="0.2">
      <c r="B12781" s="3">
        <v>45668</v>
      </c>
      <c r="F12781" s="1">
        <v>15000</v>
      </c>
      <c r="G12781" s="2">
        <f t="shared" si="199"/>
        <v>-15000</v>
      </c>
      <c r="H12781" t="s">
        <v>14</v>
      </c>
    </row>
    <row r="12782" spans="2:8" x14ac:dyDescent="0.2">
      <c r="B12782" s="3">
        <v>45668</v>
      </c>
      <c r="G12782" s="2">
        <f t="shared" si="199"/>
        <v>0</v>
      </c>
      <c r="H12782" t="s">
        <v>13</v>
      </c>
    </row>
    <row r="12783" spans="2:8" x14ac:dyDescent="0.2">
      <c r="B12783" s="3">
        <v>45668</v>
      </c>
      <c r="C12783" s="29"/>
      <c r="D12783" s="28"/>
      <c r="G12783" s="2">
        <f t="shared" si="199"/>
        <v>0</v>
      </c>
      <c r="H12783" t="s">
        <v>11</v>
      </c>
    </row>
    <row r="12784" spans="2:8" x14ac:dyDescent="0.2">
      <c r="B12784" s="3">
        <v>45668</v>
      </c>
      <c r="C12784" s="29"/>
      <c r="D12784" s="28"/>
      <c r="G12784" s="2">
        <f t="shared" si="199"/>
        <v>0</v>
      </c>
      <c r="H12784" t="s">
        <v>10</v>
      </c>
    </row>
    <row r="12785" spans="2:8" x14ac:dyDescent="0.2">
      <c r="B12785" s="3">
        <v>45668</v>
      </c>
      <c r="C12785" s="29"/>
      <c r="D12785" s="28"/>
      <c r="G12785" s="2">
        <f t="shared" si="199"/>
        <v>0</v>
      </c>
      <c r="H12785" t="s">
        <v>9</v>
      </c>
    </row>
    <row r="12786" spans="2:8" x14ac:dyDescent="0.2">
      <c r="B12786" s="3">
        <v>45668</v>
      </c>
      <c r="C12786" s="29"/>
      <c r="D12786" s="28"/>
      <c r="G12786" s="2">
        <f t="shared" si="199"/>
        <v>0</v>
      </c>
      <c r="H12786" t="s">
        <v>8</v>
      </c>
    </row>
    <row r="12787" spans="2:8" x14ac:dyDescent="0.2">
      <c r="B12787" s="3">
        <v>45668</v>
      </c>
      <c r="C12787" s="29"/>
      <c r="D12787" s="28"/>
      <c r="G12787" s="2">
        <f t="shared" si="199"/>
        <v>0</v>
      </c>
      <c r="H12787" t="s">
        <v>7</v>
      </c>
    </row>
    <row r="12788" spans="2:8" x14ac:dyDescent="0.2">
      <c r="B12788" s="3">
        <v>45668</v>
      </c>
      <c r="C12788" s="29"/>
      <c r="D12788" s="28"/>
      <c r="G12788" s="2">
        <f t="shared" si="199"/>
        <v>0</v>
      </c>
      <c r="H12788" t="s">
        <v>6</v>
      </c>
    </row>
    <row r="12789" spans="2:8" x14ac:dyDescent="0.2">
      <c r="B12789" s="3">
        <v>45668</v>
      </c>
      <c r="C12789" s="29"/>
      <c r="D12789" s="28"/>
      <c r="G12789" s="2">
        <f t="shared" si="199"/>
        <v>0</v>
      </c>
      <c r="H12789" t="s">
        <v>5</v>
      </c>
    </row>
    <row r="12790" spans="2:8" x14ac:dyDescent="0.2">
      <c r="B12790" s="3">
        <v>45668</v>
      </c>
      <c r="C12790" s="29"/>
      <c r="D12790" s="28"/>
      <c r="G12790" s="2">
        <f t="shared" si="199"/>
        <v>0</v>
      </c>
      <c r="H12790" s="1"/>
    </row>
    <row r="12791" spans="2:8" x14ac:dyDescent="0.2">
      <c r="B12791" s="3">
        <v>45668</v>
      </c>
      <c r="C12791" s="29"/>
      <c r="G12791" s="2">
        <f t="shared" si="199"/>
        <v>0</v>
      </c>
      <c r="H12791" t="s">
        <v>0</v>
      </c>
    </row>
    <row r="12792" spans="2:8" x14ac:dyDescent="0.2">
      <c r="B12792" s="3">
        <v>45669</v>
      </c>
      <c r="G12792" s="2">
        <f t="shared" si="199"/>
        <v>0</v>
      </c>
      <c r="H12792" t="s">
        <v>14</v>
      </c>
    </row>
    <row r="12793" spans="2:8" x14ac:dyDescent="0.2">
      <c r="B12793" s="3">
        <v>45669</v>
      </c>
      <c r="G12793" s="2">
        <f t="shared" si="199"/>
        <v>0</v>
      </c>
      <c r="H12793" t="s">
        <v>13</v>
      </c>
    </row>
    <row r="12794" spans="2:8" x14ac:dyDescent="0.2">
      <c r="B12794" s="3">
        <v>45669</v>
      </c>
      <c r="C12794" s="29"/>
      <c r="D12794" s="28"/>
      <c r="G12794" s="2">
        <f t="shared" si="199"/>
        <v>0</v>
      </c>
      <c r="H12794" t="s">
        <v>11</v>
      </c>
    </row>
    <row r="12795" spans="2:8" x14ac:dyDescent="0.2">
      <c r="B12795" s="3">
        <v>45669</v>
      </c>
      <c r="C12795" s="29"/>
      <c r="D12795" s="28"/>
      <c r="G12795" s="2">
        <f t="shared" si="199"/>
        <v>0</v>
      </c>
      <c r="H12795" t="s">
        <v>10</v>
      </c>
    </row>
    <row r="12796" spans="2:8" x14ac:dyDescent="0.2">
      <c r="B12796" s="3">
        <v>45669</v>
      </c>
      <c r="C12796" s="29"/>
      <c r="D12796" s="28"/>
      <c r="G12796" s="2">
        <f t="shared" si="199"/>
        <v>0</v>
      </c>
      <c r="H12796" t="s">
        <v>9</v>
      </c>
    </row>
    <row r="12797" spans="2:8" x14ac:dyDescent="0.2">
      <c r="B12797" s="3">
        <v>45669</v>
      </c>
      <c r="C12797" s="29"/>
      <c r="D12797" s="28"/>
      <c r="G12797" s="2">
        <f t="shared" si="199"/>
        <v>0</v>
      </c>
      <c r="H12797" t="s">
        <v>8</v>
      </c>
    </row>
    <row r="12798" spans="2:8" x14ac:dyDescent="0.2">
      <c r="B12798" s="3">
        <v>45669</v>
      </c>
      <c r="C12798" s="29"/>
      <c r="D12798" s="28"/>
      <c r="G12798" s="2">
        <f t="shared" si="199"/>
        <v>0</v>
      </c>
      <c r="H12798" t="s">
        <v>7</v>
      </c>
    </row>
    <row r="12799" spans="2:8" x14ac:dyDescent="0.2">
      <c r="B12799" s="3">
        <v>45669</v>
      </c>
      <c r="C12799" s="29"/>
      <c r="D12799" s="28"/>
      <c r="G12799" s="2">
        <f t="shared" si="199"/>
        <v>0</v>
      </c>
      <c r="H12799" t="s">
        <v>6</v>
      </c>
    </row>
    <row r="12800" spans="2:8" x14ac:dyDescent="0.2">
      <c r="B12800" s="3">
        <v>45669</v>
      </c>
      <c r="C12800" s="29"/>
      <c r="D12800" s="28"/>
      <c r="G12800" s="2">
        <f t="shared" si="199"/>
        <v>0</v>
      </c>
      <c r="H12800" t="s">
        <v>5</v>
      </c>
    </row>
    <row r="12801" spans="2:8" x14ac:dyDescent="0.2">
      <c r="B12801" s="3">
        <v>45669</v>
      </c>
      <c r="C12801" s="29"/>
      <c r="D12801" s="28"/>
      <c r="G12801" s="2">
        <f t="shared" si="199"/>
        <v>0</v>
      </c>
      <c r="H12801" s="1"/>
    </row>
    <row r="12802" spans="2:8" x14ac:dyDescent="0.2">
      <c r="B12802" s="3">
        <v>45669</v>
      </c>
      <c r="C12802" s="29"/>
      <c r="F12802" s="1">
        <v>20000</v>
      </c>
      <c r="G12802" s="2">
        <f t="shared" si="199"/>
        <v>-20000</v>
      </c>
      <c r="H12802" t="s">
        <v>0</v>
      </c>
    </row>
    <row r="12803" spans="2:8" x14ac:dyDescent="0.2">
      <c r="B12803" s="3">
        <v>45670</v>
      </c>
      <c r="G12803" s="2">
        <f t="shared" ref="G12803:G12866" si="200">E12803-F12803</f>
        <v>0</v>
      </c>
      <c r="H12803" t="s">
        <v>14</v>
      </c>
    </row>
    <row r="12804" spans="2:8" x14ac:dyDescent="0.2">
      <c r="B12804" s="3">
        <v>45670</v>
      </c>
      <c r="G12804" s="2">
        <f t="shared" si="200"/>
        <v>0</v>
      </c>
      <c r="H12804" t="s">
        <v>13</v>
      </c>
    </row>
    <row r="12805" spans="2:8" x14ac:dyDescent="0.2">
      <c r="B12805" s="3">
        <v>45670</v>
      </c>
      <c r="C12805" s="29"/>
      <c r="D12805" s="28"/>
      <c r="G12805" s="2">
        <f t="shared" si="200"/>
        <v>0</v>
      </c>
      <c r="H12805" t="s">
        <v>11</v>
      </c>
    </row>
    <row r="12806" spans="2:8" x14ac:dyDescent="0.2">
      <c r="B12806" s="3">
        <v>45670</v>
      </c>
      <c r="C12806" s="29"/>
      <c r="D12806" s="28"/>
      <c r="G12806" s="2">
        <f t="shared" si="200"/>
        <v>0</v>
      </c>
      <c r="H12806" t="s">
        <v>10</v>
      </c>
    </row>
    <row r="12807" spans="2:8" x14ac:dyDescent="0.2">
      <c r="B12807" s="3">
        <v>45670</v>
      </c>
      <c r="C12807" s="29"/>
      <c r="D12807" s="28"/>
      <c r="G12807" s="2">
        <f t="shared" si="200"/>
        <v>0</v>
      </c>
      <c r="H12807" t="s">
        <v>9</v>
      </c>
    </row>
    <row r="12808" spans="2:8" x14ac:dyDescent="0.2">
      <c r="B12808" s="3">
        <v>45670</v>
      </c>
      <c r="C12808" s="29"/>
      <c r="D12808" s="28"/>
      <c r="G12808" s="2">
        <f t="shared" si="200"/>
        <v>0</v>
      </c>
      <c r="H12808" t="s">
        <v>8</v>
      </c>
    </row>
    <row r="12809" spans="2:8" x14ac:dyDescent="0.2">
      <c r="B12809" s="3">
        <v>45670</v>
      </c>
      <c r="C12809" s="29"/>
      <c r="D12809" s="28"/>
      <c r="G12809" s="2">
        <f t="shared" si="200"/>
        <v>0</v>
      </c>
      <c r="H12809" t="s">
        <v>7</v>
      </c>
    </row>
    <row r="12810" spans="2:8" x14ac:dyDescent="0.2">
      <c r="B12810" s="3">
        <v>45670</v>
      </c>
      <c r="C12810" s="29"/>
      <c r="D12810" s="28"/>
      <c r="G12810" s="2">
        <f t="shared" si="200"/>
        <v>0</v>
      </c>
      <c r="H12810" t="s">
        <v>6</v>
      </c>
    </row>
    <row r="12811" spans="2:8" x14ac:dyDescent="0.2">
      <c r="B12811" s="3">
        <v>45670</v>
      </c>
      <c r="C12811" s="29"/>
      <c r="D12811" s="28"/>
      <c r="G12811" s="2">
        <f t="shared" si="200"/>
        <v>0</v>
      </c>
      <c r="H12811" t="s">
        <v>5</v>
      </c>
    </row>
    <row r="12812" spans="2:8" x14ac:dyDescent="0.2">
      <c r="B12812" s="3">
        <v>45670</v>
      </c>
      <c r="C12812" s="29"/>
      <c r="D12812" s="28"/>
      <c r="G12812" s="2">
        <f t="shared" si="200"/>
        <v>0</v>
      </c>
      <c r="H12812" s="1"/>
    </row>
    <row r="12813" spans="2:8" x14ac:dyDescent="0.2">
      <c r="B12813" s="3">
        <v>45670</v>
      </c>
      <c r="C12813" s="29"/>
      <c r="G12813" s="2">
        <f t="shared" si="200"/>
        <v>0</v>
      </c>
      <c r="H12813" t="s">
        <v>0</v>
      </c>
    </row>
    <row r="12814" spans="2:8" x14ac:dyDescent="0.2">
      <c r="B12814" s="3">
        <v>45671</v>
      </c>
      <c r="C12814" s="1">
        <v>5</v>
      </c>
      <c r="D12814" s="1">
        <v>14850</v>
      </c>
      <c r="E12814" s="1">
        <v>15975</v>
      </c>
      <c r="G12814" s="2">
        <f t="shared" si="200"/>
        <v>15975</v>
      </c>
      <c r="H12814" t="s">
        <v>14</v>
      </c>
    </row>
    <row r="12815" spans="2:8" x14ac:dyDescent="0.2">
      <c r="B12815" s="3">
        <v>45671</v>
      </c>
      <c r="G12815" s="2">
        <f t="shared" si="200"/>
        <v>0</v>
      </c>
      <c r="H12815" t="s">
        <v>13</v>
      </c>
    </row>
    <row r="12816" spans="2:8" x14ac:dyDescent="0.2">
      <c r="B12816" s="3">
        <v>45671</v>
      </c>
      <c r="C12816" s="29"/>
      <c r="D12816" s="28"/>
      <c r="G12816" s="2">
        <f t="shared" si="200"/>
        <v>0</v>
      </c>
      <c r="H12816" t="s">
        <v>11</v>
      </c>
    </row>
    <row r="12817" spans="2:8" x14ac:dyDescent="0.2">
      <c r="B12817" s="3">
        <v>45671</v>
      </c>
      <c r="C12817" s="29"/>
      <c r="D12817" s="28"/>
      <c r="G12817" s="2">
        <f t="shared" si="200"/>
        <v>0</v>
      </c>
      <c r="H12817" t="s">
        <v>10</v>
      </c>
    </row>
    <row r="12818" spans="2:8" x14ac:dyDescent="0.2">
      <c r="B12818" s="3">
        <v>45671</v>
      </c>
      <c r="C12818" s="29"/>
      <c r="D12818" s="28"/>
      <c r="G12818" s="2">
        <f t="shared" si="200"/>
        <v>0</v>
      </c>
      <c r="H12818" t="s">
        <v>9</v>
      </c>
    </row>
    <row r="12819" spans="2:8" x14ac:dyDescent="0.2">
      <c r="B12819" s="3">
        <v>45671</v>
      </c>
      <c r="C12819" s="29"/>
      <c r="D12819" s="28"/>
      <c r="G12819" s="2">
        <f t="shared" si="200"/>
        <v>0</v>
      </c>
      <c r="H12819" t="s">
        <v>8</v>
      </c>
    </row>
    <row r="12820" spans="2:8" x14ac:dyDescent="0.2">
      <c r="B12820" s="3">
        <v>45671</v>
      </c>
      <c r="C12820" s="29"/>
      <c r="D12820" s="28"/>
      <c r="G12820" s="2">
        <f t="shared" si="200"/>
        <v>0</v>
      </c>
      <c r="H12820" t="s">
        <v>7</v>
      </c>
    </row>
    <row r="12821" spans="2:8" x14ac:dyDescent="0.2">
      <c r="B12821" s="3">
        <v>45671</v>
      </c>
      <c r="C12821" s="29"/>
      <c r="D12821" s="28"/>
      <c r="G12821" s="2">
        <f t="shared" si="200"/>
        <v>0</v>
      </c>
      <c r="H12821" t="s">
        <v>6</v>
      </c>
    </row>
    <row r="12822" spans="2:8" x14ac:dyDescent="0.2">
      <c r="B12822" s="3">
        <v>45671</v>
      </c>
      <c r="C12822" s="29"/>
      <c r="D12822" s="28"/>
      <c r="G12822" s="2">
        <f t="shared" si="200"/>
        <v>0</v>
      </c>
      <c r="H12822" t="s">
        <v>5</v>
      </c>
    </row>
    <row r="12823" spans="2:8" x14ac:dyDescent="0.2">
      <c r="B12823" s="3">
        <v>45671</v>
      </c>
      <c r="C12823" s="29"/>
      <c r="D12823" s="28"/>
      <c r="G12823" s="2">
        <f t="shared" si="200"/>
        <v>0</v>
      </c>
      <c r="H12823" s="1"/>
    </row>
    <row r="12824" spans="2:8" x14ac:dyDescent="0.2">
      <c r="B12824" s="3">
        <v>45671</v>
      </c>
      <c r="C12824" s="29"/>
      <c r="G12824" s="2">
        <f t="shared" si="200"/>
        <v>0</v>
      </c>
      <c r="H12824" t="s">
        <v>0</v>
      </c>
    </row>
    <row r="12825" spans="2:8" x14ac:dyDescent="0.2">
      <c r="B12825" s="3">
        <v>45672</v>
      </c>
      <c r="G12825" s="2">
        <f t="shared" si="200"/>
        <v>0</v>
      </c>
      <c r="H12825" t="s">
        <v>14</v>
      </c>
    </row>
    <row r="12826" spans="2:8" x14ac:dyDescent="0.2">
      <c r="B12826" s="3">
        <v>45672</v>
      </c>
      <c r="G12826" s="2">
        <f t="shared" si="200"/>
        <v>0</v>
      </c>
      <c r="H12826" t="s">
        <v>13</v>
      </c>
    </row>
    <row r="12827" spans="2:8" x14ac:dyDescent="0.2">
      <c r="B12827" s="3">
        <v>45672</v>
      </c>
      <c r="C12827" s="29"/>
      <c r="D12827" s="28"/>
      <c r="G12827" s="2">
        <f t="shared" si="200"/>
        <v>0</v>
      </c>
      <c r="H12827" t="s">
        <v>11</v>
      </c>
    </row>
    <row r="12828" spans="2:8" x14ac:dyDescent="0.2">
      <c r="B12828" s="3">
        <v>45672</v>
      </c>
      <c r="C12828" s="29"/>
      <c r="D12828" s="28"/>
      <c r="G12828" s="2">
        <f t="shared" si="200"/>
        <v>0</v>
      </c>
      <c r="H12828" t="s">
        <v>10</v>
      </c>
    </row>
    <row r="12829" spans="2:8" x14ac:dyDescent="0.2">
      <c r="B12829" s="3">
        <v>45672</v>
      </c>
      <c r="C12829" s="29"/>
      <c r="D12829" s="28"/>
      <c r="G12829" s="2">
        <f t="shared" si="200"/>
        <v>0</v>
      </c>
      <c r="H12829" t="s">
        <v>9</v>
      </c>
    </row>
    <row r="12830" spans="2:8" x14ac:dyDescent="0.2">
      <c r="B12830" s="3">
        <v>45672</v>
      </c>
      <c r="C12830" s="29"/>
      <c r="D12830" s="28"/>
      <c r="F12830" s="1">
        <v>30000</v>
      </c>
      <c r="G12830" s="2">
        <f t="shared" si="200"/>
        <v>-30000</v>
      </c>
      <c r="H12830" t="s">
        <v>8</v>
      </c>
    </row>
    <row r="12831" spans="2:8" x14ac:dyDescent="0.2">
      <c r="B12831" s="3">
        <v>45672</v>
      </c>
      <c r="C12831" s="29"/>
      <c r="D12831" s="28"/>
      <c r="G12831" s="2">
        <f t="shared" si="200"/>
        <v>0</v>
      </c>
      <c r="H12831" t="s">
        <v>7</v>
      </c>
    </row>
    <row r="12832" spans="2:8" x14ac:dyDescent="0.2">
      <c r="B12832" s="3">
        <v>45672</v>
      </c>
      <c r="C12832" s="29"/>
      <c r="D12832" s="28"/>
      <c r="G12832" s="2">
        <f t="shared" si="200"/>
        <v>0</v>
      </c>
      <c r="H12832" t="s">
        <v>6</v>
      </c>
    </row>
    <row r="12833" spans="2:8" x14ac:dyDescent="0.2">
      <c r="B12833" s="3">
        <v>45672</v>
      </c>
      <c r="C12833" s="29"/>
      <c r="D12833" s="28"/>
      <c r="G12833" s="2">
        <f t="shared" si="200"/>
        <v>0</v>
      </c>
      <c r="H12833" t="s">
        <v>5</v>
      </c>
    </row>
    <row r="12834" spans="2:8" x14ac:dyDescent="0.2">
      <c r="B12834" s="3">
        <v>45672</v>
      </c>
      <c r="C12834" s="29"/>
      <c r="D12834" s="28"/>
      <c r="G12834" s="2">
        <f t="shared" si="200"/>
        <v>0</v>
      </c>
      <c r="H12834" s="1"/>
    </row>
    <row r="12835" spans="2:8" x14ac:dyDescent="0.2">
      <c r="B12835" s="3">
        <v>45672</v>
      </c>
      <c r="C12835" s="29"/>
      <c r="G12835" s="2">
        <f t="shared" si="200"/>
        <v>0</v>
      </c>
      <c r="H12835" t="s">
        <v>0</v>
      </c>
    </row>
    <row r="12836" spans="2:8" x14ac:dyDescent="0.2">
      <c r="B12836" s="3">
        <v>45673</v>
      </c>
      <c r="C12836" s="1">
        <v>6</v>
      </c>
      <c r="D12836" s="1">
        <v>7200</v>
      </c>
      <c r="E12836" s="1">
        <v>8160</v>
      </c>
      <c r="G12836" s="2">
        <f t="shared" si="200"/>
        <v>8160</v>
      </c>
      <c r="H12836" t="s">
        <v>14</v>
      </c>
    </row>
    <row r="12837" spans="2:8" x14ac:dyDescent="0.2">
      <c r="B12837" s="3">
        <v>45673</v>
      </c>
      <c r="G12837" s="2">
        <f t="shared" si="200"/>
        <v>0</v>
      </c>
      <c r="H12837" t="s">
        <v>13</v>
      </c>
    </row>
    <row r="12838" spans="2:8" x14ac:dyDescent="0.2">
      <c r="B12838" s="3">
        <v>45673</v>
      </c>
      <c r="C12838" s="29"/>
      <c r="D12838" s="28"/>
      <c r="G12838" s="2">
        <f t="shared" si="200"/>
        <v>0</v>
      </c>
      <c r="H12838" t="s">
        <v>11</v>
      </c>
    </row>
    <row r="12839" spans="2:8" x14ac:dyDescent="0.2">
      <c r="B12839" s="3">
        <v>45673</v>
      </c>
      <c r="C12839" s="29"/>
      <c r="D12839" s="28"/>
      <c r="G12839" s="2">
        <f t="shared" si="200"/>
        <v>0</v>
      </c>
      <c r="H12839" t="s">
        <v>10</v>
      </c>
    </row>
    <row r="12840" spans="2:8" x14ac:dyDescent="0.2">
      <c r="B12840" s="3">
        <v>45673</v>
      </c>
      <c r="C12840" s="29"/>
      <c r="D12840" s="28"/>
      <c r="G12840" s="2">
        <f t="shared" si="200"/>
        <v>0</v>
      </c>
      <c r="H12840" t="s">
        <v>9</v>
      </c>
    </row>
    <row r="12841" spans="2:8" x14ac:dyDescent="0.2">
      <c r="B12841" s="3">
        <v>45673</v>
      </c>
      <c r="C12841" s="29"/>
      <c r="D12841" s="28"/>
      <c r="G12841" s="2">
        <f t="shared" si="200"/>
        <v>0</v>
      </c>
      <c r="H12841" t="s">
        <v>8</v>
      </c>
    </row>
    <row r="12842" spans="2:8" x14ac:dyDescent="0.2">
      <c r="B12842" s="3">
        <v>45673</v>
      </c>
      <c r="C12842" s="29"/>
      <c r="D12842" s="28"/>
      <c r="G12842" s="2">
        <f t="shared" si="200"/>
        <v>0</v>
      </c>
      <c r="H12842" t="s">
        <v>7</v>
      </c>
    </row>
    <row r="12843" spans="2:8" x14ac:dyDescent="0.2">
      <c r="B12843" s="3">
        <v>45673</v>
      </c>
      <c r="C12843" s="29"/>
      <c r="D12843" s="28"/>
      <c r="G12843" s="2">
        <f t="shared" si="200"/>
        <v>0</v>
      </c>
      <c r="H12843" t="s">
        <v>6</v>
      </c>
    </row>
    <row r="12844" spans="2:8" x14ac:dyDescent="0.2">
      <c r="B12844" s="3">
        <v>45673</v>
      </c>
      <c r="C12844" s="29"/>
      <c r="D12844" s="28"/>
      <c r="G12844" s="2">
        <f t="shared" si="200"/>
        <v>0</v>
      </c>
      <c r="H12844" t="s">
        <v>5</v>
      </c>
    </row>
    <row r="12845" spans="2:8" x14ac:dyDescent="0.2">
      <c r="B12845" s="3">
        <v>45673</v>
      </c>
      <c r="C12845" s="29"/>
      <c r="D12845" s="28"/>
      <c r="G12845" s="2">
        <f t="shared" si="200"/>
        <v>0</v>
      </c>
      <c r="H12845" s="1"/>
    </row>
    <row r="12846" spans="2:8" x14ac:dyDescent="0.2">
      <c r="B12846" s="3">
        <v>45673</v>
      </c>
      <c r="C12846" s="29"/>
      <c r="G12846" s="2">
        <f t="shared" si="200"/>
        <v>0</v>
      </c>
      <c r="H12846" t="s">
        <v>0</v>
      </c>
    </row>
    <row r="12847" spans="2:8" x14ac:dyDescent="0.2">
      <c r="B12847" s="3">
        <v>45674</v>
      </c>
      <c r="G12847" s="2">
        <f t="shared" si="200"/>
        <v>0</v>
      </c>
      <c r="H12847" t="s">
        <v>14</v>
      </c>
    </row>
    <row r="12848" spans="2:8" x14ac:dyDescent="0.2">
      <c r="B12848" s="3">
        <v>45674</v>
      </c>
      <c r="G12848" s="2">
        <f t="shared" si="200"/>
        <v>0</v>
      </c>
      <c r="H12848" t="s">
        <v>13</v>
      </c>
    </row>
    <row r="12849" spans="2:8" x14ac:dyDescent="0.2">
      <c r="B12849" s="3">
        <v>45674</v>
      </c>
      <c r="C12849" s="29"/>
      <c r="D12849" s="28"/>
      <c r="G12849" s="2">
        <f t="shared" si="200"/>
        <v>0</v>
      </c>
      <c r="H12849" t="s">
        <v>11</v>
      </c>
    </row>
    <row r="12850" spans="2:8" x14ac:dyDescent="0.2">
      <c r="B12850" s="3">
        <v>45674</v>
      </c>
      <c r="C12850" s="29"/>
      <c r="D12850" s="28"/>
      <c r="G12850" s="2">
        <f t="shared" si="200"/>
        <v>0</v>
      </c>
      <c r="H12850" t="s">
        <v>10</v>
      </c>
    </row>
    <row r="12851" spans="2:8" x14ac:dyDescent="0.2">
      <c r="B12851" s="3">
        <v>45674</v>
      </c>
      <c r="C12851" s="29"/>
      <c r="D12851" s="28"/>
      <c r="G12851" s="2">
        <f t="shared" si="200"/>
        <v>0</v>
      </c>
      <c r="H12851" t="s">
        <v>9</v>
      </c>
    </row>
    <row r="12852" spans="2:8" x14ac:dyDescent="0.2">
      <c r="B12852" s="3">
        <v>45674</v>
      </c>
      <c r="C12852" s="29"/>
      <c r="D12852" s="28"/>
      <c r="G12852" s="2">
        <f t="shared" si="200"/>
        <v>0</v>
      </c>
      <c r="H12852" t="s">
        <v>8</v>
      </c>
    </row>
    <row r="12853" spans="2:8" x14ac:dyDescent="0.2">
      <c r="B12853" s="3">
        <v>45674</v>
      </c>
      <c r="C12853" s="29"/>
      <c r="D12853" s="28"/>
      <c r="G12853" s="2">
        <f t="shared" si="200"/>
        <v>0</v>
      </c>
      <c r="H12853" t="s">
        <v>7</v>
      </c>
    </row>
    <row r="12854" spans="2:8" x14ac:dyDescent="0.2">
      <c r="B12854" s="3">
        <v>45674</v>
      </c>
      <c r="C12854" s="29"/>
      <c r="D12854" s="28"/>
      <c r="G12854" s="2">
        <f t="shared" si="200"/>
        <v>0</v>
      </c>
      <c r="H12854" t="s">
        <v>6</v>
      </c>
    </row>
    <row r="12855" spans="2:8" x14ac:dyDescent="0.2">
      <c r="B12855" s="3">
        <v>45674</v>
      </c>
      <c r="C12855" s="29"/>
      <c r="D12855" s="28"/>
      <c r="G12855" s="2">
        <f t="shared" si="200"/>
        <v>0</v>
      </c>
      <c r="H12855" t="s">
        <v>5</v>
      </c>
    </row>
    <row r="12856" spans="2:8" x14ac:dyDescent="0.2">
      <c r="B12856" s="3">
        <v>45674</v>
      </c>
      <c r="C12856" s="29"/>
      <c r="D12856" s="28"/>
      <c r="G12856" s="2">
        <f t="shared" si="200"/>
        <v>0</v>
      </c>
      <c r="H12856" s="1"/>
    </row>
    <row r="12857" spans="2:8" x14ac:dyDescent="0.2">
      <c r="B12857" s="3">
        <v>45674</v>
      </c>
      <c r="C12857" s="29"/>
      <c r="G12857" s="2">
        <f t="shared" si="200"/>
        <v>0</v>
      </c>
      <c r="H12857" t="s">
        <v>0</v>
      </c>
    </row>
    <row r="12858" spans="2:8" x14ac:dyDescent="0.2">
      <c r="B12858" s="3">
        <v>45675</v>
      </c>
      <c r="G12858" s="2">
        <f t="shared" si="200"/>
        <v>0</v>
      </c>
      <c r="H12858" t="s">
        <v>14</v>
      </c>
    </row>
    <row r="12859" spans="2:8" x14ac:dyDescent="0.2">
      <c r="B12859" s="3">
        <v>45675</v>
      </c>
      <c r="G12859" s="2">
        <f t="shared" si="200"/>
        <v>0</v>
      </c>
      <c r="H12859" t="s">
        <v>13</v>
      </c>
    </row>
    <row r="12860" spans="2:8" x14ac:dyDescent="0.2">
      <c r="B12860" s="3">
        <v>45675</v>
      </c>
      <c r="C12860" s="29"/>
      <c r="D12860" s="28"/>
      <c r="G12860" s="2">
        <f t="shared" si="200"/>
        <v>0</v>
      </c>
      <c r="H12860" t="s">
        <v>11</v>
      </c>
    </row>
    <row r="12861" spans="2:8" x14ac:dyDescent="0.2">
      <c r="B12861" s="3">
        <v>45675</v>
      </c>
      <c r="C12861" s="29"/>
      <c r="D12861" s="28"/>
      <c r="G12861" s="2">
        <f t="shared" si="200"/>
        <v>0</v>
      </c>
      <c r="H12861" t="s">
        <v>10</v>
      </c>
    </row>
    <row r="12862" spans="2:8" x14ac:dyDescent="0.2">
      <c r="B12862" s="3">
        <v>45675</v>
      </c>
      <c r="C12862" s="29"/>
      <c r="D12862" s="28"/>
      <c r="G12862" s="2">
        <f t="shared" si="200"/>
        <v>0</v>
      </c>
      <c r="H12862" t="s">
        <v>9</v>
      </c>
    </row>
    <row r="12863" spans="2:8" x14ac:dyDescent="0.2">
      <c r="B12863" s="3">
        <v>45675</v>
      </c>
      <c r="C12863" s="29"/>
      <c r="D12863" s="28"/>
      <c r="G12863" s="2">
        <f t="shared" si="200"/>
        <v>0</v>
      </c>
      <c r="H12863" t="s">
        <v>8</v>
      </c>
    </row>
    <row r="12864" spans="2:8" x14ac:dyDescent="0.2">
      <c r="B12864" s="3">
        <v>45675</v>
      </c>
      <c r="C12864" s="29"/>
      <c r="D12864" s="28"/>
      <c r="G12864" s="2">
        <f t="shared" si="200"/>
        <v>0</v>
      </c>
      <c r="H12864" t="s">
        <v>7</v>
      </c>
    </row>
    <row r="12865" spans="2:8" x14ac:dyDescent="0.2">
      <c r="B12865" s="3">
        <v>45675</v>
      </c>
      <c r="C12865" s="29"/>
      <c r="D12865" s="28"/>
      <c r="G12865" s="2">
        <f t="shared" si="200"/>
        <v>0</v>
      </c>
      <c r="H12865" t="s">
        <v>6</v>
      </c>
    </row>
    <row r="12866" spans="2:8" x14ac:dyDescent="0.2">
      <c r="B12866" s="3">
        <v>45675</v>
      </c>
      <c r="C12866" s="29"/>
      <c r="D12866" s="28"/>
      <c r="G12866" s="2">
        <f t="shared" si="200"/>
        <v>0</v>
      </c>
      <c r="H12866" t="s">
        <v>5</v>
      </c>
    </row>
    <row r="12867" spans="2:8" x14ac:dyDescent="0.2">
      <c r="B12867" s="3">
        <v>45675</v>
      </c>
      <c r="C12867" s="29"/>
      <c r="D12867" s="28"/>
      <c r="G12867" s="2">
        <f t="shared" ref="G12867:G12930" si="201">E12867-F12867</f>
        <v>0</v>
      </c>
      <c r="H12867" s="1"/>
    </row>
    <row r="12868" spans="2:8" x14ac:dyDescent="0.2">
      <c r="B12868" s="3">
        <v>45675</v>
      </c>
      <c r="C12868" s="1">
        <v>10306</v>
      </c>
      <c r="D12868" s="1">
        <v>245393.61749999993</v>
      </c>
      <c r="E12868" s="1">
        <v>255103.49999999997</v>
      </c>
      <c r="G12868" s="2">
        <f t="shared" si="201"/>
        <v>255103.49999999997</v>
      </c>
      <c r="H12868" t="s">
        <v>0</v>
      </c>
    </row>
    <row r="12869" spans="2:8" x14ac:dyDescent="0.2">
      <c r="B12869" s="3">
        <v>45676</v>
      </c>
      <c r="G12869" s="2">
        <f t="shared" si="201"/>
        <v>0</v>
      </c>
      <c r="H12869" t="s">
        <v>14</v>
      </c>
    </row>
    <row r="12870" spans="2:8" x14ac:dyDescent="0.2">
      <c r="B12870" s="3">
        <v>45676</v>
      </c>
      <c r="G12870" s="2">
        <f t="shared" si="201"/>
        <v>0</v>
      </c>
      <c r="H12870" t="s">
        <v>13</v>
      </c>
    </row>
    <row r="12871" spans="2:8" x14ac:dyDescent="0.2">
      <c r="B12871" s="3">
        <v>45676</v>
      </c>
      <c r="C12871" s="29"/>
      <c r="D12871" s="28"/>
      <c r="G12871" s="2">
        <f t="shared" si="201"/>
        <v>0</v>
      </c>
      <c r="H12871" t="s">
        <v>11</v>
      </c>
    </row>
    <row r="12872" spans="2:8" x14ac:dyDescent="0.2">
      <c r="B12872" s="3">
        <v>45676</v>
      </c>
      <c r="C12872" s="29"/>
      <c r="D12872" s="28"/>
      <c r="G12872" s="2">
        <f t="shared" si="201"/>
        <v>0</v>
      </c>
      <c r="H12872" t="s">
        <v>10</v>
      </c>
    </row>
    <row r="12873" spans="2:8" x14ac:dyDescent="0.2">
      <c r="B12873" s="3">
        <v>45676</v>
      </c>
      <c r="C12873" s="29"/>
      <c r="D12873" s="28"/>
      <c r="G12873" s="2">
        <f t="shared" si="201"/>
        <v>0</v>
      </c>
      <c r="H12873" t="s">
        <v>9</v>
      </c>
    </row>
    <row r="12874" spans="2:8" x14ac:dyDescent="0.2">
      <c r="B12874" s="3">
        <v>45676</v>
      </c>
      <c r="C12874" s="29"/>
      <c r="D12874" s="28"/>
      <c r="G12874" s="2">
        <f t="shared" si="201"/>
        <v>0</v>
      </c>
      <c r="H12874" t="s">
        <v>8</v>
      </c>
    </row>
    <row r="12875" spans="2:8" x14ac:dyDescent="0.2">
      <c r="B12875" s="3">
        <v>45676</v>
      </c>
      <c r="C12875" s="29"/>
      <c r="D12875" s="28"/>
      <c r="G12875" s="2">
        <f t="shared" si="201"/>
        <v>0</v>
      </c>
      <c r="H12875" t="s">
        <v>7</v>
      </c>
    </row>
    <row r="12876" spans="2:8" x14ac:dyDescent="0.2">
      <c r="B12876" s="3">
        <v>45676</v>
      </c>
      <c r="C12876" s="29"/>
      <c r="D12876" s="28"/>
      <c r="G12876" s="2">
        <f t="shared" si="201"/>
        <v>0</v>
      </c>
      <c r="H12876" t="s">
        <v>6</v>
      </c>
    </row>
    <row r="12877" spans="2:8" x14ac:dyDescent="0.2">
      <c r="B12877" s="3">
        <v>45676</v>
      </c>
      <c r="C12877" s="29"/>
      <c r="D12877" s="28"/>
      <c r="G12877" s="2">
        <f t="shared" si="201"/>
        <v>0</v>
      </c>
      <c r="H12877" t="s">
        <v>5</v>
      </c>
    </row>
    <row r="12878" spans="2:8" x14ac:dyDescent="0.2">
      <c r="B12878" s="3">
        <v>45676</v>
      </c>
      <c r="C12878" s="29"/>
      <c r="D12878" s="28"/>
      <c r="G12878" s="2">
        <f t="shared" si="201"/>
        <v>0</v>
      </c>
      <c r="H12878" s="1"/>
    </row>
    <row r="12879" spans="2:8" x14ac:dyDescent="0.2">
      <c r="B12879" s="3">
        <v>45676</v>
      </c>
      <c r="C12879" s="29"/>
      <c r="F12879" s="1">
        <v>28485</v>
      </c>
      <c r="G12879" s="2">
        <f t="shared" si="201"/>
        <v>-28485</v>
      </c>
      <c r="H12879" t="s">
        <v>0</v>
      </c>
    </row>
    <row r="12880" spans="2:8" x14ac:dyDescent="0.2">
      <c r="B12880" s="3">
        <v>45677</v>
      </c>
      <c r="C12880" s="1">
        <v>7</v>
      </c>
      <c r="D12880" s="1">
        <v>2930</v>
      </c>
      <c r="E12880" s="1">
        <v>3255</v>
      </c>
      <c r="F12880" s="1">
        <v>15000</v>
      </c>
      <c r="G12880" s="2">
        <f t="shared" si="201"/>
        <v>-11745</v>
      </c>
      <c r="H12880" t="s">
        <v>14</v>
      </c>
    </row>
    <row r="12881" spans="2:8" x14ac:dyDescent="0.2">
      <c r="B12881" s="3">
        <v>45677</v>
      </c>
      <c r="G12881" s="2">
        <f t="shared" si="201"/>
        <v>0</v>
      </c>
      <c r="H12881" t="s">
        <v>13</v>
      </c>
    </row>
    <row r="12882" spans="2:8" x14ac:dyDescent="0.2">
      <c r="B12882" s="3">
        <v>45677</v>
      </c>
      <c r="C12882" s="29"/>
      <c r="D12882" s="28"/>
      <c r="G12882" s="2">
        <f t="shared" si="201"/>
        <v>0</v>
      </c>
      <c r="H12882" t="s">
        <v>11</v>
      </c>
    </row>
    <row r="12883" spans="2:8" x14ac:dyDescent="0.2">
      <c r="B12883" s="3">
        <v>45677</v>
      </c>
      <c r="C12883" s="29"/>
      <c r="D12883" s="28"/>
      <c r="G12883" s="2">
        <f t="shared" si="201"/>
        <v>0</v>
      </c>
      <c r="H12883" t="s">
        <v>10</v>
      </c>
    </row>
    <row r="12884" spans="2:8" x14ac:dyDescent="0.2">
      <c r="B12884" s="3">
        <v>45677</v>
      </c>
      <c r="C12884" s="29"/>
      <c r="D12884" s="28"/>
      <c r="G12884" s="2">
        <f t="shared" si="201"/>
        <v>0</v>
      </c>
      <c r="H12884" t="s">
        <v>9</v>
      </c>
    </row>
    <row r="12885" spans="2:8" x14ac:dyDescent="0.2">
      <c r="B12885" s="3">
        <v>45677</v>
      </c>
      <c r="C12885" s="29"/>
      <c r="D12885" s="28"/>
      <c r="G12885" s="2">
        <f t="shared" si="201"/>
        <v>0</v>
      </c>
      <c r="H12885" t="s">
        <v>8</v>
      </c>
    </row>
    <row r="12886" spans="2:8" x14ac:dyDescent="0.2">
      <c r="B12886" s="3">
        <v>45677</v>
      </c>
      <c r="C12886" s="29"/>
      <c r="D12886" s="28"/>
      <c r="G12886" s="2">
        <f t="shared" si="201"/>
        <v>0</v>
      </c>
      <c r="H12886" t="s">
        <v>7</v>
      </c>
    </row>
    <row r="12887" spans="2:8" x14ac:dyDescent="0.2">
      <c r="B12887" s="3">
        <v>45677</v>
      </c>
      <c r="C12887" s="29"/>
      <c r="D12887" s="28"/>
      <c r="G12887" s="2">
        <f t="shared" si="201"/>
        <v>0</v>
      </c>
      <c r="H12887" t="s">
        <v>6</v>
      </c>
    </row>
    <row r="12888" spans="2:8" x14ac:dyDescent="0.2">
      <c r="B12888" s="3">
        <v>45677</v>
      </c>
      <c r="C12888" s="29"/>
      <c r="D12888" s="28"/>
      <c r="G12888" s="2">
        <f t="shared" si="201"/>
        <v>0</v>
      </c>
      <c r="H12888" t="s">
        <v>5</v>
      </c>
    </row>
    <row r="12889" spans="2:8" x14ac:dyDescent="0.2">
      <c r="B12889" s="3">
        <v>45677</v>
      </c>
      <c r="C12889" s="29"/>
      <c r="D12889" s="28"/>
      <c r="G12889" s="2">
        <f t="shared" si="201"/>
        <v>0</v>
      </c>
      <c r="H12889" s="1"/>
    </row>
    <row r="12890" spans="2:8" x14ac:dyDescent="0.2">
      <c r="B12890" s="3">
        <v>45677</v>
      </c>
      <c r="C12890" s="29"/>
      <c r="G12890" s="2">
        <f t="shared" si="201"/>
        <v>0</v>
      </c>
      <c r="H12890" t="s">
        <v>0</v>
      </c>
    </row>
    <row r="12891" spans="2:8" x14ac:dyDescent="0.2">
      <c r="B12891" s="3">
        <v>45678</v>
      </c>
      <c r="G12891" s="2">
        <f t="shared" si="201"/>
        <v>0</v>
      </c>
      <c r="H12891" t="s">
        <v>14</v>
      </c>
    </row>
    <row r="12892" spans="2:8" x14ac:dyDescent="0.2">
      <c r="B12892" s="3">
        <v>45678</v>
      </c>
      <c r="G12892" s="2">
        <f t="shared" si="201"/>
        <v>0</v>
      </c>
      <c r="H12892" t="s">
        <v>13</v>
      </c>
    </row>
    <row r="12893" spans="2:8" x14ac:dyDescent="0.2">
      <c r="B12893" s="3">
        <v>45678</v>
      </c>
      <c r="C12893" s="29"/>
      <c r="D12893" s="28"/>
      <c r="G12893" s="2">
        <f t="shared" si="201"/>
        <v>0</v>
      </c>
      <c r="H12893" t="s">
        <v>11</v>
      </c>
    </row>
    <row r="12894" spans="2:8" x14ac:dyDescent="0.2">
      <c r="B12894" s="3">
        <v>45678</v>
      </c>
      <c r="C12894" s="29"/>
      <c r="D12894" s="28"/>
      <c r="G12894" s="2">
        <f t="shared" si="201"/>
        <v>0</v>
      </c>
      <c r="H12894" t="s">
        <v>10</v>
      </c>
    </row>
    <row r="12895" spans="2:8" x14ac:dyDescent="0.2">
      <c r="B12895" s="3">
        <v>45678</v>
      </c>
      <c r="C12895" s="29"/>
      <c r="D12895" s="28"/>
      <c r="G12895" s="2">
        <f t="shared" si="201"/>
        <v>0</v>
      </c>
      <c r="H12895" t="s">
        <v>9</v>
      </c>
    </row>
    <row r="12896" spans="2:8" x14ac:dyDescent="0.2">
      <c r="B12896" s="3">
        <v>45678</v>
      </c>
      <c r="C12896" s="29"/>
      <c r="D12896" s="28"/>
      <c r="G12896" s="2">
        <f t="shared" si="201"/>
        <v>0</v>
      </c>
      <c r="H12896" t="s">
        <v>8</v>
      </c>
    </row>
    <row r="12897" spans="2:8" x14ac:dyDescent="0.2">
      <c r="B12897" s="3">
        <v>45678</v>
      </c>
      <c r="C12897" s="29"/>
      <c r="D12897" s="28"/>
      <c r="G12897" s="2">
        <f t="shared" si="201"/>
        <v>0</v>
      </c>
      <c r="H12897" t="s">
        <v>7</v>
      </c>
    </row>
    <row r="12898" spans="2:8" x14ac:dyDescent="0.2">
      <c r="B12898" s="3">
        <v>45678</v>
      </c>
      <c r="C12898" s="29"/>
      <c r="D12898" s="28"/>
      <c r="G12898" s="2">
        <f t="shared" si="201"/>
        <v>0</v>
      </c>
      <c r="H12898" t="s">
        <v>6</v>
      </c>
    </row>
    <row r="12899" spans="2:8" x14ac:dyDescent="0.2">
      <c r="B12899" s="3">
        <v>45678</v>
      </c>
      <c r="C12899" s="29"/>
      <c r="D12899" s="28"/>
      <c r="G12899" s="2">
        <f t="shared" si="201"/>
        <v>0</v>
      </c>
      <c r="H12899" t="s">
        <v>5</v>
      </c>
    </row>
    <row r="12900" spans="2:8" x14ac:dyDescent="0.2">
      <c r="B12900" s="3">
        <v>45678</v>
      </c>
      <c r="C12900" s="29"/>
      <c r="D12900" s="28"/>
      <c r="G12900" s="2">
        <f t="shared" si="201"/>
        <v>0</v>
      </c>
      <c r="H12900" s="1"/>
    </row>
    <row r="12901" spans="2:8" x14ac:dyDescent="0.2">
      <c r="B12901" s="3">
        <v>45678</v>
      </c>
      <c r="C12901" s="29"/>
      <c r="F12901" s="1">
        <v>30000</v>
      </c>
      <c r="G12901" s="2">
        <f t="shared" si="201"/>
        <v>-30000</v>
      </c>
      <c r="H12901" t="s">
        <v>0</v>
      </c>
    </row>
    <row r="12902" spans="2:8" x14ac:dyDescent="0.2">
      <c r="B12902" s="3">
        <v>45679</v>
      </c>
      <c r="G12902" s="2">
        <f t="shared" si="201"/>
        <v>0</v>
      </c>
      <c r="H12902" t="s">
        <v>14</v>
      </c>
    </row>
    <row r="12903" spans="2:8" x14ac:dyDescent="0.2">
      <c r="B12903" s="3">
        <v>45679</v>
      </c>
      <c r="G12903" s="2">
        <f t="shared" si="201"/>
        <v>0</v>
      </c>
      <c r="H12903" t="s">
        <v>13</v>
      </c>
    </row>
    <row r="12904" spans="2:8" x14ac:dyDescent="0.2">
      <c r="B12904" s="3">
        <v>45679</v>
      </c>
      <c r="C12904" s="29"/>
      <c r="D12904" s="28"/>
      <c r="G12904" s="2">
        <f t="shared" si="201"/>
        <v>0</v>
      </c>
      <c r="H12904" t="s">
        <v>11</v>
      </c>
    </row>
    <row r="12905" spans="2:8" x14ac:dyDescent="0.2">
      <c r="B12905" s="3">
        <v>45679</v>
      </c>
      <c r="C12905" s="29"/>
      <c r="D12905" s="28"/>
      <c r="G12905" s="2">
        <f t="shared" si="201"/>
        <v>0</v>
      </c>
      <c r="H12905" t="s">
        <v>10</v>
      </c>
    </row>
    <row r="12906" spans="2:8" x14ac:dyDescent="0.2">
      <c r="B12906" s="3">
        <v>45679</v>
      </c>
      <c r="C12906" s="29"/>
      <c r="D12906" s="28"/>
      <c r="G12906" s="2">
        <f t="shared" si="201"/>
        <v>0</v>
      </c>
      <c r="H12906" t="s">
        <v>9</v>
      </c>
    </row>
    <row r="12907" spans="2:8" x14ac:dyDescent="0.2">
      <c r="B12907" s="3">
        <v>45679</v>
      </c>
      <c r="C12907" s="29"/>
      <c r="D12907" s="28"/>
      <c r="F12907" s="1">
        <v>30000</v>
      </c>
      <c r="G12907" s="2">
        <f t="shared" si="201"/>
        <v>-30000</v>
      </c>
      <c r="H12907" t="s">
        <v>8</v>
      </c>
    </row>
    <row r="12908" spans="2:8" x14ac:dyDescent="0.2">
      <c r="B12908" s="3">
        <v>45679</v>
      </c>
      <c r="C12908" s="29"/>
      <c r="D12908" s="28"/>
      <c r="G12908" s="2">
        <f t="shared" si="201"/>
        <v>0</v>
      </c>
      <c r="H12908" t="s">
        <v>7</v>
      </c>
    </row>
    <row r="12909" spans="2:8" x14ac:dyDescent="0.2">
      <c r="B12909" s="3">
        <v>45679</v>
      </c>
      <c r="C12909" s="29"/>
      <c r="D12909" s="28"/>
      <c r="G12909" s="2">
        <f t="shared" si="201"/>
        <v>0</v>
      </c>
      <c r="H12909" t="s">
        <v>6</v>
      </c>
    </row>
    <row r="12910" spans="2:8" x14ac:dyDescent="0.2">
      <c r="B12910" s="3">
        <v>45679</v>
      </c>
      <c r="C12910" s="29"/>
      <c r="D12910" s="28"/>
      <c r="G12910" s="2">
        <f t="shared" si="201"/>
        <v>0</v>
      </c>
      <c r="H12910" t="s">
        <v>5</v>
      </c>
    </row>
    <row r="12911" spans="2:8" x14ac:dyDescent="0.2">
      <c r="B12911" s="3">
        <v>45679</v>
      </c>
      <c r="C12911" s="29"/>
      <c r="D12911" s="28"/>
      <c r="G12911" s="2">
        <f t="shared" si="201"/>
        <v>0</v>
      </c>
      <c r="H12911" s="1"/>
    </row>
    <row r="12912" spans="2:8" x14ac:dyDescent="0.2">
      <c r="B12912" s="3">
        <v>45679</v>
      </c>
      <c r="C12912" s="29"/>
      <c r="G12912" s="2">
        <f t="shared" si="201"/>
        <v>0</v>
      </c>
      <c r="H12912" t="s">
        <v>0</v>
      </c>
    </row>
    <row r="12913" spans="2:8" x14ac:dyDescent="0.2">
      <c r="B12913" s="3">
        <v>45680</v>
      </c>
      <c r="G12913" s="2">
        <f t="shared" si="201"/>
        <v>0</v>
      </c>
      <c r="H12913" t="s">
        <v>14</v>
      </c>
    </row>
    <row r="12914" spans="2:8" x14ac:dyDescent="0.2">
      <c r="B12914" s="3">
        <v>45680</v>
      </c>
      <c r="G12914" s="2">
        <f t="shared" si="201"/>
        <v>0</v>
      </c>
      <c r="H12914" t="s">
        <v>13</v>
      </c>
    </row>
    <row r="12915" spans="2:8" x14ac:dyDescent="0.2">
      <c r="B12915" s="3">
        <v>45680</v>
      </c>
      <c r="C12915" s="29"/>
      <c r="D12915" s="28"/>
      <c r="G12915" s="2">
        <f t="shared" si="201"/>
        <v>0</v>
      </c>
      <c r="H12915" t="s">
        <v>11</v>
      </c>
    </row>
    <row r="12916" spans="2:8" x14ac:dyDescent="0.2">
      <c r="B12916" s="3">
        <v>45680</v>
      </c>
      <c r="C12916" s="29"/>
      <c r="D12916" s="28"/>
      <c r="G12916" s="2">
        <f t="shared" si="201"/>
        <v>0</v>
      </c>
      <c r="H12916" t="s">
        <v>10</v>
      </c>
    </row>
    <row r="12917" spans="2:8" x14ac:dyDescent="0.2">
      <c r="B12917" s="3">
        <v>45680</v>
      </c>
      <c r="C12917" s="29"/>
      <c r="D12917" s="28"/>
      <c r="G12917" s="2">
        <f t="shared" si="201"/>
        <v>0</v>
      </c>
      <c r="H12917" t="s">
        <v>9</v>
      </c>
    </row>
    <row r="12918" spans="2:8" x14ac:dyDescent="0.2">
      <c r="B12918" s="3">
        <v>45680</v>
      </c>
      <c r="C12918" s="29"/>
      <c r="D12918" s="28"/>
      <c r="G12918" s="2">
        <f t="shared" si="201"/>
        <v>0</v>
      </c>
      <c r="H12918" t="s">
        <v>8</v>
      </c>
    </row>
    <row r="12919" spans="2:8" x14ac:dyDescent="0.2">
      <c r="B12919" s="3">
        <v>45680</v>
      </c>
      <c r="C12919" s="29"/>
      <c r="D12919" s="28"/>
      <c r="G12919" s="2">
        <f t="shared" si="201"/>
        <v>0</v>
      </c>
      <c r="H12919" t="s">
        <v>7</v>
      </c>
    </row>
    <row r="12920" spans="2:8" x14ac:dyDescent="0.2">
      <c r="B12920" s="3">
        <v>45680</v>
      </c>
      <c r="C12920" s="29"/>
      <c r="D12920" s="28"/>
      <c r="G12920" s="2">
        <f t="shared" si="201"/>
        <v>0</v>
      </c>
      <c r="H12920" t="s">
        <v>6</v>
      </c>
    </row>
    <row r="12921" spans="2:8" x14ac:dyDescent="0.2">
      <c r="B12921" s="3">
        <v>45680</v>
      </c>
      <c r="C12921" s="29"/>
      <c r="D12921" s="28"/>
      <c r="G12921" s="2">
        <f t="shared" si="201"/>
        <v>0</v>
      </c>
      <c r="H12921" t="s">
        <v>5</v>
      </c>
    </row>
    <row r="12922" spans="2:8" x14ac:dyDescent="0.2">
      <c r="B12922" s="3">
        <v>45680</v>
      </c>
      <c r="C12922" s="29"/>
      <c r="D12922" s="28"/>
      <c r="G12922" s="2">
        <f t="shared" si="201"/>
        <v>0</v>
      </c>
      <c r="H12922" s="1"/>
    </row>
    <row r="12923" spans="2:8" x14ac:dyDescent="0.2">
      <c r="B12923" s="3">
        <v>45680</v>
      </c>
      <c r="C12923" s="29"/>
      <c r="G12923" s="2">
        <f t="shared" si="201"/>
        <v>0</v>
      </c>
      <c r="H12923" t="s">
        <v>0</v>
      </c>
    </row>
    <row r="12924" spans="2:8" x14ac:dyDescent="0.2">
      <c r="B12924" s="3">
        <v>45681</v>
      </c>
      <c r="G12924" s="2">
        <f t="shared" si="201"/>
        <v>0</v>
      </c>
      <c r="H12924" t="s">
        <v>14</v>
      </c>
    </row>
    <row r="12925" spans="2:8" x14ac:dyDescent="0.2">
      <c r="B12925" s="3">
        <v>45681</v>
      </c>
      <c r="G12925" s="2">
        <f t="shared" si="201"/>
        <v>0</v>
      </c>
      <c r="H12925" t="s">
        <v>13</v>
      </c>
    </row>
    <row r="12926" spans="2:8" x14ac:dyDescent="0.2">
      <c r="B12926" s="3">
        <v>45681</v>
      </c>
      <c r="C12926" s="29"/>
      <c r="D12926" s="28"/>
      <c r="G12926" s="2">
        <f t="shared" si="201"/>
        <v>0</v>
      </c>
      <c r="H12926" t="s">
        <v>11</v>
      </c>
    </row>
    <row r="12927" spans="2:8" x14ac:dyDescent="0.2">
      <c r="B12927" s="3">
        <v>45681</v>
      </c>
      <c r="C12927" s="29"/>
      <c r="D12927" s="28"/>
      <c r="G12927" s="2">
        <f t="shared" si="201"/>
        <v>0</v>
      </c>
      <c r="H12927" t="s">
        <v>10</v>
      </c>
    </row>
    <row r="12928" spans="2:8" x14ac:dyDescent="0.2">
      <c r="B12928" s="3">
        <v>45681</v>
      </c>
      <c r="C12928" s="29"/>
      <c r="D12928" s="28"/>
      <c r="G12928" s="2">
        <f t="shared" si="201"/>
        <v>0</v>
      </c>
      <c r="H12928" t="s">
        <v>9</v>
      </c>
    </row>
    <row r="12929" spans="2:8" x14ac:dyDescent="0.2">
      <c r="B12929" s="3">
        <v>45681</v>
      </c>
      <c r="C12929" s="29"/>
      <c r="D12929" s="28"/>
      <c r="G12929" s="2">
        <f t="shared" si="201"/>
        <v>0</v>
      </c>
      <c r="H12929" t="s">
        <v>8</v>
      </c>
    </row>
    <row r="12930" spans="2:8" x14ac:dyDescent="0.2">
      <c r="B12930" s="3">
        <v>45681</v>
      </c>
      <c r="C12930" s="29"/>
      <c r="D12930" s="28"/>
      <c r="G12930" s="2">
        <f t="shared" si="201"/>
        <v>0</v>
      </c>
      <c r="H12930" t="s">
        <v>7</v>
      </c>
    </row>
    <row r="12931" spans="2:8" x14ac:dyDescent="0.2">
      <c r="B12931" s="3">
        <v>45681</v>
      </c>
      <c r="C12931" s="29"/>
      <c r="D12931" s="28"/>
      <c r="G12931" s="2">
        <f t="shared" ref="G12931:G12994" si="202">E12931-F12931</f>
        <v>0</v>
      </c>
      <c r="H12931" t="s">
        <v>6</v>
      </c>
    </row>
    <row r="12932" spans="2:8" x14ac:dyDescent="0.2">
      <c r="B12932" s="3">
        <v>45681</v>
      </c>
      <c r="C12932" s="29"/>
      <c r="D12932" s="28"/>
      <c r="G12932" s="2">
        <f t="shared" si="202"/>
        <v>0</v>
      </c>
      <c r="H12932" t="s">
        <v>5</v>
      </c>
    </row>
    <row r="12933" spans="2:8" x14ac:dyDescent="0.2">
      <c r="B12933" s="3">
        <v>45681</v>
      </c>
      <c r="C12933" s="29"/>
      <c r="D12933" s="28"/>
      <c r="G12933" s="2">
        <f t="shared" si="202"/>
        <v>0</v>
      </c>
      <c r="H12933" s="1"/>
    </row>
    <row r="12934" spans="2:8" x14ac:dyDescent="0.2">
      <c r="B12934" s="3">
        <v>45681</v>
      </c>
      <c r="C12934" s="29"/>
      <c r="G12934" s="2">
        <f t="shared" si="202"/>
        <v>0</v>
      </c>
      <c r="H12934" t="s">
        <v>0</v>
      </c>
    </row>
    <row r="12935" spans="2:8" x14ac:dyDescent="0.2">
      <c r="B12935" s="3">
        <v>45682</v>
      </c>
      <c r="G12935" s="2">
        <f t="shared" si="202"/>
        <v>0</v>
      </c>
      <c r="H12935" t="s">
        <v>14</v>
      </c>
    </row>
    <row r="12936" spans="2:8" x14ac:dyDescent="0.2">
      <c r="B12936" s="3">
        <v>45682</v>
      </c>
      <c r="G12936" s="2">
        <f t="shared" si="202"/>
        <v>0</v>
      </c>
      <c r="H12936" t="s">
        <v>13</v>
      </c>
    </row>
    <row r="12937" spans="2:8" x14ac:dyDescent="0.2">
      <c r="B12937" s="3">
        <v>45682</v>
      </c>
      <c r="C12937" s="29"/>
      <c r="D12937" s="28"/>
      <c r="G12937" s="2">
        <f t="shared" si="202"/>
        <v>0</v>
      </c>
      <c r="H12937" t="s">
        <v>11</v>
      </c>
    </row>
    <row r="12938" spans="2:8" x14ac:dyDescent="0.2">
      <c r="B12938" s="3">
        <v>45682</v>
      </c>
      <c r="C12938" s="29"/>
      <c r="D12938" s="28"/>
      <c r="G12938" s="2">
        <f t="shared" si="202"/>
        <v>0</v>
      </c>
      <c r="H12938" t="s">
        <v>10</v>
      </c>
    </row>
    <row r="12939" spans="2:8" x14ac:dyDescent="0.2">
      <c r="B12939" s="3">
        <v>45682</v>
      </c>
      <c r="C12939" s="1">
        <v>8</v>
      </c>
      <c r="D12939" s="28">
        <v>51275</v>
      </c>
      <c r="E12939" s="1">
        <v>55445</v>
      </c>
      <c r="F12939" s="1">
        <v>10000</v>
      </c>
      <c r="G12939" s="2">
        <f t="shared" si="202"/>
        <v>45445</v>
      </c>
      <c r="H12939" t="s">
        <v>9</v>
      </c>
    </row>
    <row r="12940" spans="2:8" x14ac:dyDescent="0.2">
      <c r="B12940" s="3">
        <v>45682</v>
      </c>
      <c r="C12940" s="29"/>
      <c r="D12940" s="28"/>
      <c r="G12940" s="2">
        <f t="shared" si="202"/>
        <v>0</v>
      </c>
      <c r="H12940" t="s">
        <v>8</v>
      </c>
    </row>
    <row r="12941" spans="2:8" x14ac:dyDescent="0.2">
      <c r="B12941" s="3">
        <v>45682</v>
      </c>
      <c r="C12941" s="29"/>
      <c r="D12941" s="28"/>
      <c r="G12941" s="2">
        <f t="shared" si="202"/>
        <v>0</v>
      </c>
      <c r="H12941" t="s">
        <v>7</v>
      </c>
    </row>
    <row r="12942" spans="2:8" x14ac:dyDescent="0.2">
      <c r="B12942" s="3">
        <v>45682</v>
      </c>
      <c r="C12942" s="29"/>
      <c r="D12942" s="28"/>
      <c r="G12942" s="2">
        <f t="shared" si="202"/>
        <v>0</v>
      </c>
      <c r="H12942" t="s">
        <v>6</v>
      </c>
    </row>
    <row r="12943" spans="2:8" x14ac:dyDescent="0.2">
      <c r="B12943" s="3">
        <v>45682</v>
      </c>
      <c r="C12943" s="29"/>
      <c r="D12943" s="28"/>
      <c r="G12943" s="2">
        <f t="shared" si="202"/>
        <v>0</v>
      </c>
      <c r="H12943" t="s">
        <v>5</v>
      </c>
    </row>
    <row r="12944" spans="2:8" x14ac:dyDescent="0.2">
      <c r="B12944" s="3">
        <v>45682</v>
      </c>
      <c r="C12944" s="29"/>
      <c r="D12944" s="28"/>
      <c r="G12944" s="2">
        <f t="shared" si="202"/>
        <v>0</v>
      </c>
      <c r="H12944" s="1"/>
    </row>
    <row r="12945" spans="2:8" x14ac:dyDescent="0.2">
      <c r="B12945" s="3">
        <v>45682</v>
      </c>
      <c r="C12945" s="29"/>
      <c r="F12945" s="1">
        <v>80000</v>
      </c>
      <c r="G12945" s="2">
        <f t="shared" si="202"/>
        <v>-80000</v>
      </c>
      <c r="H12945" t="s">
        <v>0</v>
      </c>
    </row>
    <row r="12946" spans="2:8" x14ac:dyDescent="0.2">
      <c r="B12946" s="3">
        <v>45683</v>
      </c>
      <c r="G12946" s="2">
        <f t="shared" si="202"/>
        <v>0</v>
      </c>
      <c r="H12946" t="s">
        <v>14</v>
      </c>
    </row>
    <row r="12947" spans="2:8" x14ac:dyDescent="0.2">
      <c r="B12947" s="3">
        <v>45683</v>
      </c>
      <c r="G12947" s="2">
        <f t="shared" si="202"/>
        <v>0</v>
      </c>
      <c r="H12947" t="s">
        <v>13</v>
      </c>
    </row>
    <row r="12948" spans="2:8" x14ac:dyDescent="0.2">
      <c r="B12948" s="3">
        <v>45683</v>
      </c>
      <c r="C12948" s="29"/>
      <c r="D12948" s="28"/>
      <c r="G12948" s="2">
        <f t="shared" si="202"/>
        <v>0</v>
      </c>
      <c r="H12948" t="s">
        <v>11</v>
      </c>
    </row>
    <row r="12949" spans="2:8" x14ac:dyDescent="0.2">
      <c r="B12949" s="3">
        <v>45683</v>
      </c>
      <c r="C12949" s="29"/>
      <c r="D12949" s="28"/>
      <c r="G12949" s="2">
        <f t="shared" si="202"/>
        <v>0</v>
      </c>
      <c r="H12949" t="s">
        <v>10</v>
      </c>
    </row>
    <row r="12950" spans="2:8" x14ac:dyDescent="0.2">
      <c r="B12950" s="3">
        <v>45683</v>
      </c>
      <c r="C12950" s="29"/>
      <c r="D12950" s="28"/>
      <c r="G12950" s="2">
        <f t="shared" si="202"/>
        <v>0</v>
      </c>
      <c r="H12950" t="s">
        <v>9</v>
      </c>
    </row>
    <row r="12951" spans="2:8" x14ac:dyDescent="0.2">
      <c r="B12951" s="3">
        <v>45683</v>
      </c>
      <c r="C12951" s="29"/>
      <c r="D12951" s="28"/>
      <c r="G12951" s="2">
        <f t="shared" si="202"/>
        <v>0</v>
      </c>
      <c r="H12951" t="s">
        <v>8</v>
      </c>
    </row>
    <row r="12952" spans="2:8" x14ac:dyDescent="0.2">
      <c r="B12952" s="3">
        <v>45683</v>
      </c>
      <c r="C12952" s="29"/>
      <c r="D12952" s="28"/>
      <c r="G12952" s="2">
        <f t="shared" si="202"/>
        <v>0</v>
      </c>
      <c r="H12952" t="s">
        <v>7</v>
      </c>
    </row>
    <row r="12953" spans="2:8" x14ac:dyDescent="0.2">
      <c r="B12953" s="3">
        <v>45683</v>
      </c>
      <c r="C12953" s="29"/>
      <c r="D12953" s="28"/>
      <c r="G12953" s="2">
        <f t="shared" si="202"/>
        <v>0</v>
      </c>
      <c r="H12953" t="s">
        <v>6</v>
      </c>
    </row>
    <row r="12954" spans="2:8" x14ac:dyDescent="0.2">
      <c r="B12954" s="3">
        <v>45683</v>
      </c>
      <c r="C12954" s="29"/>
      <c r="D12954" s="28"/>
      <c r="G12954" s="2">
        <f t="shared" si="202"/>
        <v>0</v>
      </c>
      <c r="H12954" t="s">
        <v>5</v>
      </c>
    </row>
    <row r="12955" spans="2:8" x14ac:dyDescent="0.2">
      <c r="B12955" s="3">
        <v>45683</v>
      </c>
      <c r="C12955" s="29"/>
      <c r="D12955" s="28"/>
      <c r="G12955" s="2">
        <f t="shared" si="202"/>
        <v>0</v>
      </c>
      <c r="H12955" s="1"/>
    </row>
    <row r="12956" spans="2:8" x14ac:dyDescent="0.2">
      <c r="B12956" s="3">
        <v>45683</v>
      </c>
      <c r="C12956" s="29"/>
      <c r="G12956" s="2">
        <f t="shared" si="202"/>
        <v>0</v>
      </c>
      <c r="H12956" t="s">
        <v>0</v>
      </c>
    </row>
    <row r="12957" spans="2:8" x14ac:dyDescent="0.2">
      <c r="B12957" s="3">
        <v>45684</v>
      </c>
      <c r="C12957" s="1">
        <v>9</v>
      </c>
      <c r="D12957" s="1">
        <v>2830</v>
      </c>
      <c r="E12957" s="1">
        <v>3089</v>
      </c>
      <c r="G12957" s="2">
        <f t="shared" si="202"/>
        <v>3089</v>
      </c>
      <c r="H12957" t="s">
        <v>14</v>
      </c>
    </row>
    <row r="12958" spans="2:8" x14ac:dyDescent="0.2">
      <c r="B12958" s="3">
        <v>45684</v>
      </c>
      <c r="F12958" s="1">
        <v>10000</v>
      </c>
      <c r="G12958" s="2">
        <f t="shared" si="202"/>
        <v>-10000</v>
      </c>
      <c r="H12958" t="s">
        <v>13</v>
      </c>
    </row>
    <row r="12959" spans="2:8" x14ac:dyDescent="0.2">
      <c r="B12959" s="3">
        <v>45684</v>
      </c>
      <c r="C12959" s="29"/>
      <c r="D12959" s="28"/>
      <c r="G12959" s="2">
        <f t="shared" si="202"/>
        <v>0</v>
      </c>
      <c r="H12959" t="s">
        <v>11</v>
      </c>
    </row>
    <row r="12960" spans="2:8" x14ac:dyDescent="0.2">
      <c r="B12960" s="3">
        <v>45684</v>
      </c>
      <c r="C12960" s="29"/>
      <c r="D12960" s="28"/>
      <c r="G12960" s="2">
        <f t="shared" si="202"/>
        <v>0</v>
      </c>
      <c r="H12960" t="s">
        <v>10</v>
      </c>
    </row>
    <row r="12961" spans="2:8" x14ac:dyDescent="0.2">
      <c r="B12961" s="3">
        <v>45684</v>
      </c>
      <c r="C12961" s="29"/>
      <c r="D12961" s="28"/>
      <c r="G12961" s="2">
        <f t="shared" si="202"/>
        <v>0</v>
      </c>
      <c r="H12961" t="s">
        <v>9</v>
      </c>
    </row>
    <row r="12962" spans="2:8" x14ac:dyDescent="0.2">
      <c r="B12962" s="3">
        <v>45684</v>
      </c>
      <c r="C12962" s="29"/>
      <c r="D12962" s="28"/>
      <c r="G12962" s="2">
        <f t="shared" si="202"/>
        <v>0</v>
      </c>
      <c r="H12962" t="s">
        <v>8</v>
      </c>
    </row>
    <row r="12963" spans="2:8" x14ac:dyDescent="0.2">
      <c r="B12963" s="3">
        <v>45684</v>
      </c>
      <c r="C12963" s="29"/>
      <c r="D12963" s="28"/>
      <c r="G12963" s="2">
        <f t="shared" si="202"/>
        <v>0</v>
      </c>
      <c r="H12963" t="s">
        <v>7</v>
      </c>
    </row>
    <row r="12964" spans="2:8" x14ac:dyDescent="0.2">
      <c r="B12964" s="3">
        <v>45684</v>
      </c>
      <c r="C12964" s="29"/>
      <c r="D12964" s="28"/>
      <c r="G12964" s="2">
        <f t="shared" si="202"/>
        <v>0</v>
      </c>
      <c r="H12964" t="s">
        <v>6</v>
      </c>
    </row>
    <row r="12965" spans="2:8" x14ac:dyDescent="0.2">
      <c r="B12965" s="3">
        <v>45684</v>
      </c>
      <c r="C12965" s="29"/>
      <c r="D12965" s="28"/>
      <c r="G12965" s="2">
        <f t="shared" si="202"/>
        <v>0</v>
      </c>
      <c r="H12965" t="s">
        <v>5</v>
      </c>
    </row>
    <row r="12966" spans="2:8" x14ac:dyDescent="0.2">
      <c r="B12966" s="3">
        <v>45684</v>
      </c>
      <c r="C12966" s="29"/>
      <c r="D12966" s="28"/>
      <c r="G12966" s="2">
        <f t="shared" si="202"/>
        <v>0</v>
      </c>
      <c r="H12966" s="1"/>
    </row>
    <row r="12967" spans="2:8" x14ac:dyDescent="0.2">
      <c r="B12967" s="3">
        <v>45684</v>
      </c>
      <c r="C12967" s="29"/>
      <c r="G12967" s="2">
        <f t="shared" si="202"/>
        <v>0</v>
      </c>
      <c r="H12967" t="s">
        <v>0</v>
      </c>
    </row>
    <row r="12968" spans="2:8" x14ac:dyDescent="0.2">
      <c r="B12968" s="3">
        <v>45685</v>
      </c>
      <c r="F12968" s="1">
        <v>10000</v>
      </c>
      <c r="G12968" s="2">
        <f t="shared" si="202"/>
        <v>-10000</v>
      </c>
      <c r="H12968" t="s">
        <v>14</v>
      </c>
    </row>
    <row r="12969" spans="2:8" x14ac:dyDescent="0.2">
      <c r="B12969" s="3">
        <v>45685</v>
      </c>
      <c r="G12969" s="2">
        <f t="shared" si="202"/>
        <v>0</v>
      </c>
      <c r="H12969" t="s">
        <v>13</v>
      </c>
    </row>
    <row r="12970" spans="2:8" x14ac:dyDescent="0.2">
      <c r="B12970" s="3">
        <v>45685</v>
      </c>
      <c r="C12970" s="29"/>
      <c r="D12970" s="28"/>
      <c r="G12970" s="2">
        <f t="shared" si="202"/>
        <v>0</v>
      </c>
      <c r="H12970" t="s">
        <v>11</v>
      </c>
    </row>
    <row r="12971" spans="2:8" x14ac:dyDescent="0.2">
      <c r="B12971" s="3">
        <v>45685</v>
      </c>
      <c r="C12971" s="29"/>
      <c r="D12971" s="28"/>
      <c r="G12971" s="2">
        <f t="shared" si="202"/>
        <v>0</v>
      </c>
      <c r="H12971" t="s">
        <v>10</v>
      </c>
    </row>
    <row r="12972" spans="2:8" x14ac:dyDescent="0.2">
      <c r="B12972" s="3">
        <v>45685</v>
      </c>
      <c r="C12972" s="29"/>
      <c r="D12972" s="28"/>
      <c r="F12972" s="1">
        <v>20000</v>
      </c>
      <c r="G12972" s="2">
        <f t="shared" si="202"/>
        <v>-20000</v>
      </c>
      <c r="H12972" t="s">
        <v>9</v>
      </c>
    </row>
    <row r="12973" spans="2:8" x14ac:dyDescent="0.2">
      <c r="B12973" s="3">
        <v>45685</v>
      </c>
      <c r="C12973" s="29"/>
      <c r="D12973" s="28"/>
      <c r="G12973" s="2">
        <f t="shared" si="202"/>
        <v>0</v>
      </c>
      <c r="H12973" t="s">
        <v>8</v>
      </c>
    </row>
    <row r="12974" spans="2:8" x14ac:dyDescent="0.2">
      <c r="B12974" s="3">
        <v>45685</v>
      </c>
      <c r="C12974" s="29"/>
      <c r="D12974" s="28"/>
      <c r="G12974" s="2">
        <f t="shared" si="202"/>
        <v>0</v>
      </c>
      <c r="H12974" t="s">
        <v>7</v>
      </c>
    </row>
    <row r="12975" spans="2:8" x14ac:dyDescent="0.2">
      <c r="B12975" s="3">
        <v>45685</v>
      </c>
      <c r="C12975" s="29"/>
      <c r="D12975" s="28"/>
      <c r="G12975" s="2">
        <f t="shared" si="202"/>
        <v>0</v>
      </c>
      <c r="H12975" t="s">
        <v>6</v>
      </c>
    </row>
    <row r="12976" spans="2:8" x14ac:dyDescent="0.2">
      <c r="B12976" s="3">
        <v>45685</v>
      </c>
      <c r="C12976" s="29"/>
      <c r="D12976" s="28"/>
      <c r="G12976" s="2">
        <f t="shared" si="202"/>
        <v>0</v>
      </c>
      <c r="H12976" t="s">
        <v>5</v>
      </c>
    </row>
    <row r="12977" spans="2:8" x14ac:dyDescent="0.2">
      <c r="B12977" s="3">
        <v>45685</v>
      </c>
      <c r="C12977" s="29"/>
      <c r="D12977" s="28"/>
      <c r="G12977" s="2">
        <f t="shared" si="202"/>
        <v>0</v>
      </c>
      <c r="H12977" s="1"/>
    </row>
    <row r="12978" spans="2:8" x14ac:dyDescent="0.2">
      <c r="B12978" s="3">
        <v>45685</v>
      </c>
      <c r="C12978" s="29"/>
      <c r="F12978" s="1">
        <v>100000</v>
      </c>
      <c r="G12978" s="2">
        <f t="shared" si="202"/>
        <v>-100000</v>
      </c>
      <c r="H12978" t="s">
        <v>0</v>
      </c>
    </row>
    <row r="12979" spans="2:8" x14ac:dyDescent="0.2">
      <c r="B12979" s="3">
        <v>45686</v>
      </c>
      <c r="G12979" s="2">
        <f t="shared" si="202"/>
        <v>0</v>
      </c>
      <c r="H12979" t="s">
        <v>14</v>
      </c>
    </row>
    <row r="12980" spans="2:8" x14ac:dyDescent="0.2">
      <c r="B12980" s="3">
        <v>45686</v>
      </c>
      <c r="G12980" s="2">
        <f t="shared" si="202"/>
        <v>0</v>
      </c>
      <c r="H12980" t="s">
        <v>13</v>
      </c>
    </row>
    <row r="12981" spans="2:8" x14ac:dyDescent="0.2">
      <c r="B12981" s="3">
        <v>45686</v>
      </c>
      <c r="C12981" s="29"/>
      <c r="D12981" s="28"/>
      <c r="G12981" s="2">
        <f t="shared" si="202"/>
        <v>0</v>
      </c>
      <c r="H12981" t="s">
        <v>11</v>
      </c>
    </row>
    <row r="12982" spans="2:8" x14ac:dyDescent="0.2">
      <c r="B12982" s="3">
        <v>45686</v>
      </c>
      <c r="C12982" s="29"/>
      <c r="D12982" s="28"/>
      <c r="G12982" s="2">
        <f t="shared" si="202"/>
        <v>0</v>
      </c>
      <c r="H12982" t="s">
        <v>10</v>
      </c>
    </row>
    <row r="12983" spans="2:8" x14ac:dyDescent="0.2">
      <c r="B12983" s="3">
        <v>45686</v>
      </c>
      <c r="C12983" s="29"/>
      <c r="D12983" s="28"/>
      <c r="G12983" s="2">
        <f t="shared" si="202"/>
        <v>0</v>
      </c>
      <c r="H12983" t="s">
        <v>9</v>
      </c>
    </row>
    <row r="12984" spans="2:8" x14ac:dyDescent="0.2">
      <c r="B12984" s="3">
        <v>45686</v>
      </c>
      <c r="C12984" s="29"/>
      <c r="D12984" s="28"/>
      <c r="G12984" s="2">
        <f t="shared" si="202"/>
        <v>0</v>
      </c>
      <c r="H12984" t="s">
        <v>8</v>
      </c>
    </row>
    <row r="12985" spans="2:8" x14ac:dyDescent="0.2">
      <c r="B12985" s="3">
        <v>45686</v>
      </c>
      <c r="C12985" s="29"/>
      <c r="D12985" s="28"/>
      <c r="G12985" s="2">
        <f t="shared" si="202"/>
        <v>0</v>
      </c>
      <c r="H12985" t="s">
        <v>7</v>
      </c>
    </row>
    <row r="12986" spans="2:8" x14ac:dyDescent="0.2">
      <c r="B12986" s="3">
        <v>45686</v>
      </c>
      <c r="C12986" s="29"/>
      <c r="D12986" s="28"/>
      <c r="G12986" s="2">
        <f t="shared" si="202"/>
        <v>0</v>
      </c>
      <c r="H12986" t="s">
        <v>6</v>
      </c>
    </row>
    <row r="12987" spans="2:8" x14ac:dyDescent="0.2">
      <c r="B12987" s="3">
        <v>45686</v>
      </c>
      <c r="C12987" s="1">
        <v>10</v>
      </c>
      <c r="D12987" s="28">
        <v>14180</v>
      </c>
      <c r="E12987" s="1">
        <v>14920</v>
      </c>
      <c r="F12987" s="1">
        <v>14920</v>
      </c>
      <c r="G12987" s="2">
        <f t="shared" si="202"/>
        <v>0</v>
      </c>
      <c r="H12987" t="s">
        <v>5</v>
      </c>
    </row>
    <row r="12988" spans="2:8" x14ac:dyDescent="0.2">
      <c r="B12988" s="3">
        <v>45686</v>
      </c>
      <c r="C12988" s="29"/>
      <c r="D12988" s="28"/>
      <c r="G12988" s="2">
        <f t="shared" si="202"/>
        <v>0</v>
      </c>
      <c r="H12988" s="1"/>
    </row>
    <row r="12989" spans="2:8" x14ac:dyDescent="0.2">
      <c r="B12989" s="3">
        <v>45686</v>
      </c>
      <c r="C12989" s="1">
        <v>10308</v>
      </c>
      <c r="D12989" s="1">
        <v>410566.18500000006</v>
      </c>
      <c r="E12989" s="1">
        <v>425695.58499999996</v>
      </c>
      <c r="G12989" s="2">
        <f t="shared" si="202"/>
        <v>425695.58499999996</v>
      </c>
      <c r="H12989" t="s">
        <v>0</v>
      </c>
    </row>
    <row r="12990" spans="2:8" x14ac:dyDescent="0.2">
      <c r="B12990" s="3">
        <v>45687</v>
      </c>
      <c r="G12990" s="2">
        <f t="shared" si="202"/>
        <v>0</v>
      </c>
      <c r="H12990" t="s">
        <v>14</v>
      </c>
    </row>
    <row r="12991" spans="2:8" x14ac:dyDescent="0.2">
      <c r="B12991" s="3">
        <v>45687</v>
      </c>
      <c r="G12991" s="2">
        <f t="shared" si="202"/>
        <v>0</v>
      </c>
      <c r="H12991" t="s">
        <v>13</v>
      </c>
    </row>
    <row r="12992" spans="2:8" x14ac:dyDescent="0.2">
      <c r="B12992" s="3">
        <v>45687</v>
      </c>
      <c r="C12992" s="29"/>
      <c r="D12992" s="28"/>
      <c r="G12992" s="2">
        <f t="shared" si="202"/>
        <v>0</v>
      </c>
      <c r="H12992" t="s">
        <v>11</v>
      </c>
    </row>
    <row r="12993" spans="2:8" x14ac:dyDescent="0.2">
      <c r="B12993" s="3">
        <v>45687</v>
      </c>
      <c r="C12993" s="29"/>
      <c r="D12993" s="28"/>
      <c r="G12993" s="2">
        <f t="shared" si="202"/>
        <v>0</v>
      </c>
      <c r="H12993" t="s">
        <v>10</v>
      </c>
    </row>
    <row r="12994" spans="2:8" x14ac:dyDescent="0.2">
      <c r="B12994" s="3">
        <v>45687</v>
      </c>
      <c r="C12994" s="1">
        <v>11</v>
      </c>
      <c r="D12994" s="28">
        <v>41250</v>
      </c>
      <c r="E12994" s="1">
        <v>43750</v>
      </c>
      <c r="F12994" s="1">
        <v>10000</v>
      </c>
      <c r="G12994" s="2">
        <f t="shared" si="202"/>
        <v>33750</v>
      </c>
      <c r="H12994" t="s">
        <v>9</v>
      </c>
    </row>
    <row r="12995" spans="2:8" x14ac:dyDescent="0.2">
      <c r="B12995" s="3">
        <v>45687</v>
      </c>
      <c r="C12995" s="29"/>
      <c r="D12995" s="28"/>
      <c r="G12995" s="2">
        <f t="shared" ref="G12995:G13058" si="203">E12995-F12995</f>
        <v>0</v>
      </c>
      <c r="H12995" t="s">
        <v>8</v>
      </c>
    </row>
    <row r="12996" spans="2:8" x14ac:dyDescent="0.2">
      <c r="B12996" s="3">
        <v>45687</v>
      </c>
      <c r="C12996" s="29"/>
      <c r="D12996" s="28"/>
      <c r="G12996" s="2">
        <f t="shared" si="203"/>
        <v>0</v>
      </c>
      <c r="H12996" t="s">
        <v>7</v>
      </c>
    </row>
    <row r="12997" spans="2:8" x14ac:dyDescent="0.2">
      <c r="B12997" s="3">
        <v>45687</v>
      </c>
      <c r="C12997" s="29"/>
      <c r="D12997" s="28"/>
      <c r="G12997" s="2">
        <f t="shared" si="203"/>
        <v>0</v>
      </c>
      <c r="H12997" t="s">
        <v>6</v>
      </c>
    </row>
    <row r="12998" spans="2:8" x14ac:dyDescent="0.2">
      <c r="B12998" s="3">
        <v>45687</v>
      </c>
      <c r="C12998" s="29"/>
      <c r="D12998" s="28"/>
      <c r="G12998" s="2">
        <f t="shared" si="203"/>
        <v>0</v>
      </c>
      <c r="H12998" t="s">
        <v>5</v>
      </c>
    </row>
    <row r="12999" spans="2:8" x14ac:dyDescent="0.2">
      <c r="B12999" s="3">
        <v>45687</v>
      </c>
      <c r="C12999" s="29"/>
      <c r="D12999" s="28"/>
      <c r="G12999" s="2">
        <f t="shared" si="203"/>
        <v>0</v>
      </c>
      <c r="H12999" s="1"/>
    </row>
    <row r="13000" spans="2:8" x14ac:dyDescent="0.2">
      <c r="B13000" s="3">
        <v>45687</v>
      </c>
      <c r="C13000" s="29"/>
      <c r="G13000" s="2">
        <f t="shared" si="203"/>
        <v>0</v>
      </c>
      <c r="H13000" t="s">
        <v>0</v>
      </c>
    </row>
    <row r="13001" spans="2:8" x14ac:dyDescent="0.2">
      <c r="B13001" s="3">
        <v>45688</v>
      </c>
      <c r="G13001" s="2">
        <f t="shared" si="203"/>
        <v>0</v>
      </c>
      <c r="H13001" t="s">
        <v>14</v>
      </c>
    </row>
    <row r="13002" spans="2:8" x14ac:dyDescent="0.2">
      <c r="B13002" s="3">
        <v>45688</v>
      </c>
      <c r="G13002" s="2">
        <f t="shared" si="203"/>
        <v>0</v>
      </c>
      <c r="H13002" t="s">
        <v>13</v>
      </c>
    </row>
    <row r="13003" spans="2:8" x14ac:dyDescent="0.2">
      <c r="B13003" s="3">
        <v>45688</v>
      </c>
      <c r="C13003" s="29"/>
      <c r="D13003" s="28"/>
      <c r="G13003" s="2">
        <f t="shared" si="203"/>
        <v>0</v>
      </c>
      <c r="H13003" t="s">
        <v>11</v>
      </c>
    </row>
    <row r="13004" spans="2:8" x14ac:dyDescent="0.2">
      <c r="B13004" s="3">
        <v>45688</v>
      </c>
      <c r="C13004" s="29"/>
      <c r="D13004" s="28"/>
      <c r="G13004" s="2">
        <f t="shared" si="203"/>
        <v>0</v>
      </c>
      <c r="H13004" t="s">
        <v>10</v>
      </c>
    </row>
    <row r="13005" spans="2:8" x14ac:dyDescent="0.2">
      <c r="B13005" s="3">
        <v>45688</v>
      </c>
      <c r="C13005" s="29"/>
      <c r="D13005" s="28"/>
      <c r="G13005" s="2">
        <f t="shared" si="203"/>
        <v>0</v>
      </c>
      <c r="H13005" t="s">
        <v>9</v>
      </c>
    </row>
    <row r="13006" spans="2:8" x14ac:dyDescent="0.2">
      <c r="B13006" s="3">
        <v>45688</v>
      </c>
      <c r="C13006" s="29"/>
      <c r="D13006" s="28"/>
      <c r="G13006" s="2">
        <f t="shared" si="203"/>
        <v>0</v>
      </c>
      <c r="H13006" t="s">
        <v>8</v>
      </c>
    </row>
    <row r="13007" spans="2:8" x14ac:dyDescent="0.2">
      <c r="B13007" s="3">
        <v>45688</v>
      </c>
      <c r="C13007" s="29"/>
      <c r="D13007" s="28"/>
      <c r="G13007" s="2">
        <f t="shared" si="203"/>
        <v>0</v>
      </c>
      <c r="H13007" t="s">
        <v>7</v>
      </c>
    </row>
    <row r="13008" spans="2:8" x14ac:dyDescent="0.2">
      <c r="B13008" s="3">
        <v>45688</v>
      </c>
      <c r="C13008" s="29"/>
      <c r="D13008" s="28"/>
      <c r="G13008" s="2">
        <f t="shared" si="203"/>
        <v>0</v>
      </c>
      <c r="H13008" t="s">
        <v>6</v>
      </c>
    </row>
    <row r="13009" spans="2:8" x14ac:dyDescent="0.2">
      <c r="B13009" s="3">
        <v>45688</v>
      </c>
      <c r="C13009" s="29"/>
      <c r="D13009" s="28"/>
      <c r="G13009" s="2">
        <f t="shared" si="203"/>
        <v>0</v>
      </c>
      <c r="H13009" t="s">
        <v>5</v>
      </c>
    </row>
    <row r="13010" spans="2:8" x14ac:dyDescent="0.2">
      <c r="B13010" s="3">
        <v>45688</v>
      </c>
      <c r="C13010" s="29"/>
      <c r="D13010" s="28"/>
      <c r="G13010" s="2">
        <f t="shared" si="203"/>
        <v>0</v>
      </c>
      <c r="H13010" s="1"/>
    </row>
    <row r="13011" spans="2:8" x14ac:dyDescent="0.2">
      <c r="B13011" s="3">
        <v>45688</v>
      </c>
      <c r="C13011" s="29"/>
      <c r="G13011" s="2">
        <f t="shared" si="203"/>
        <v>0</v>
      </c>
      <c r="H13011" t="s">
        <v>0</v>
      </c>
    </row>
    <row r="13012" spans="2:8" x14ac:dyDescent="0.2">
      <c r="B13012" s="3">
        <v>45689</v>
      </c>
      <c r="G13012" s="2">
        <f t="shared" si="203"/>
        <v>0</v>
      </c>
      <c r="H13012" t="s">
        <v>14</v>
      </c>
    </row>
    <row r="13013" spans="2:8" x14ac:dyDescent="0.2">
      <c r="B13013" s="3">
        <v>45689</v>
      </c>
      <c r="G13013" s="2">
        <f t="shared" si="203"/>
        <v>0</v>
      </c>
      <c r="H13013" t="s">
        <v>13</v>
      </c>
    </row>
    <row r="13014" spans="2:8" x14ac:dyDescent="0.2">
      <c r="B13014" s="3">
        <v>45689</v>
      </c>
      <c r="C13014" s="29"/>
      <c r="D13014" s="28"/>
      <c r="G13014" s="2">
        <f t="shared" si="203"/>
        <v>0</v>
      </c>
      <c r="H13014" t="s">
        <v>11</v>
      </c>
    </row>
    <row r="13015" spans="2:8" x14ac:dyDescent="0.2">
      <c r="B13015" s="3">
        <v>45689</v>
      </c>
      <c r="C13015" s="29"/>
      <c r="D13015" s="28"/>
      <c r="G13015" s="2">
        <f t="shared" si="203"/>
        <v>0</v>
      </c>
      <c r="H13015" t="s">
        <v>10</v>
      </c>
    </row>
    <row r="13016" spans="2:8" x14ac:dyDescent="0.2">
      <c r="B13016" s="3">
        <v>45689</v>
      </c>
      <c r="C13016" s="29"/>
      <c r="D13016" s="28"/>
      <c r="G13016" s="2">
        <f t="shared" si="203"/>
        <v>0</v>
      </c>
      <c r="H13016" t="s">
        <v>9</v>
      </c>
    </row>
    <row r="13017" spans="2:8" x14ac:dyDescent="0.2">
      <c r="B13017" s="3">
        <v>45689</v>
      </c>
      <c r="C13017" s="29"/>
      <c r="D13017" s="28"/>
      <c r="G13017" s="2">
        <f t="shared" si="203"/>
        <v>0</v>
      </c>
      <c r="H13017" t="s">
        <v>8</v>
      </c>
    </row>
    <row r="13018" spans="2:8" x14ac:dyDescent="0.2">
      <c r="B13018" s="3">
        <v>45689</v>
      </c>
      <c r="C13018" s="29"/>
      <c r="D13018" s="28"/>
      <c r="G13018" s="2">
        <f t="shared" si="203"/>
        <v>0</v>
      </c>
      <c r="H13018" t="s">
        <v>7</v>
      </c>
    </row>
    <row r="13019" spans="2:8" x14ac:dyDescent="0.2">
      <c r="B13019" s="3">
        <v>45689</v>
      </c>
      <c r="C13019" s="29"/>
      <c r="D13019" s="28"/>
      <c r="G13019" s="2">
        <f t="shared" si="203"/>
        <v>0</v>
      </c>
      <c r="H13019" t="s">
        <v>6</v>
      </c>
    </row>
    <row r="13020" spans="2:8" x14ac:dyDescent="0.2">
      <c r="B13020" s="3">
        <v>45689</v>
      </c>
      <c r="C13020" s="29"/>
      <c r="D13020" s="28"/>
      <c r="G13020" s="2">
        <f t="shared" si="203"/>
        <v>0</v>
      </c>
      <c r="H13020" t="s">
        <v>5</v>
      </c>
    </row>
    <row r="13021" spans="2:8" x14ac:dyDescent="0.2">
      <c r="B13021" s="3">
        <v>45689</v>
      </c>
      <c r="C13021" s="1">
        <v>12</v>
      </c>
      <c r="D13021" s="28">
        <v>9449</v>
      </c>
      <c r="E13021" s="1">
        <v>9926</v>
      </c>
      <c r="G13021" s="2">
        <f t="shared" si="203"/>
        <v>9926</v>
      </c>
      <c r="H13021" s="1" t="s">
        <v>1</v>
      </c>
    </row>
    <row r="13022" spans="2:8" x14ac:dyDescent="0.2">
      <c r="B13022" s="3">
        <v>45689</v>
      </c>
      <c r="C13022" s="29"/>
      <c r="G13022" s="2">
        <f t="shared" si="203"/>
        <v>0</v>
      </c>
      <c r="H13022" t="s">
        <v>0</v>
      </c>
    </row>
    <row r="13023" spans="2:8" x14ac:dyDescent="0.2">
      <c r="B13023" s="3">
        <v>45690</v>
      </c>
      <c r="G13023" s="2">
        <f t="shared" si="203"/>
        <v>0</v>
      </c>
      <c r="H13023" t="s">
        <v>14</v>
      </c>
    </row>
    <row r="13024" spans="2:8" x14ac:dyDescent="0.2">
      <c r="B13024" s="3">
        <v>45690</v>
      </c>
      <c r="G13024" s="2">
        <f t="shared" si="203"/>
        <v>0</v>
      </c>
      <c r="H13024" t="s">
        <v>13</v>
      </c>
    </row>
    <row r="13025" spans="2:8" x14ac:dyDescent="0.2">
      <c r="B13025" s="3">
        <v>45690</v>
      </c>
      <c r="C13025" s="29"/>
      <c r="D13025" s="28"/>
      <c r="G13025" s="2">
        <f t="shared" si="203"/>
        <v>0</v>
      </c>
      <c r="H13025" t="s">
        <v>11</v>
      </c>
    </row>
    <row r="13026" spans="2:8" x14ac:dyDescent="0.2">
      <c r="B13026" s="3">
        <v>45690</v>
      </c>
      <c r="C13026" s="29"/>
      <c r="D13026" s="28"/>
      <c r="G13026" s="2">
        <f t="shared" si="203"/>
        <v>0</v>
      </c>
      <c r="H13026" t="s">
        <v>10</v>
      </c>
    </row>
    <row r="13027" spans="2:8" x14ac:dyDescent="0.2">
      <c r="B13027" s="3">
        <v>45690</v>
      </c>
      <c r="C13027" s="29"/>
      <c r="D13027" s="28"/>
      <c r="G13027" s="2">
        <f t="shared" si="203"/>
        <v>0</v>
      </c>
      <c r="H13027" t="s">
        <v>9</v>
      </c>
    </row>
    <row r="13028" spans="2:8" x14ac:dyDescent="0.2">
      <c r="B13028" s="3">
        <v>45690</v>
      </c>
      <c r="C13028" s="1">
        <v>14</v>
      </c>
      <c r="D13028" s="28">
        <v>15150</v>
      </c>
      <c r="E13028" s="1">
        <v>17500</v>
      </c>
      <c r="G13028" s="2">
        <f t="shared" si="203"/>
        <v>17500</v>
      </c>
      <c r="H13028" t="s">
        <v>8</v>
      </c>
    </row>
    <row r="13029" spans="2:8" x14ac:dyDescent="0.2">
      <c r="B13029" s="3">
        <v>45690</v>
      </c>
      <c r="C13029" s="29"/>
      <c r="D13029" s="28"/>
      <c r="G13029" s="2">
        <f t="shared" si="203"/>
        <v>0</v>
      </c>
      <c r="H13029" t="s">
        <v>7</v>
      </c>
    </row>
    <row r="13030" spans="2:8" x14ac:dyDescent="0.2">
      <c r="B13030" s="3">
        <v>45690</v>
      </c>
      <c r="C13030" s="29"/>
      <c r="D13030" s="28"/>
      <c r="G13030" s="2">
        <f t="shared" si="203"/>
        <v>0</v>
      </c>
      <c r="H13030" t="s">
        <v>6</v>
      </c>
    </row>
    <row r="13031" spans="2:8" x14ac:dyDescent="0.2">
      <c r="B13031" s="3">
        <v>45690</v>
      </c>
      <c r="C13031" s="1">
        <v>13</v>
      </c>
      <c r="D13031" s="28">
        <v>5325</v>
      </c>
      <c r="E13031" s="1">
        <v>5437.5</v>
      </c>
      <c r="G13031" s="2">
        <f t="shared" si="203"/>
        <v>5437.5</v>
      </c>
      <c r="H13031" t="s">
        <v>5</v>
      </c>
    </row>
    <row r="13032" spans="2:8" x14ac:dyDescent="0.2">
      <c r="B13032" s="3">
        <v>45690</v>
      </c>
      <c r="C13032" s="29"/>
      <c r="D13032" s="28"/>
      <c r="G13032" s="2">
        <f t="shared" si="203"/>
        <v>0</v>
      </c>
      <c r="H13032" s="1"/>
    </row>
    <row r="13033" spans="2:8" x14ac:dyDescent="0.2">
      <c r="B13033" s="3">
        <v>45690</v>
      </c>
      <c r="C13033" s="29"/>
      <c r="G13033" s="2">
        <f t="shared" si="203"/>
        <v>0</v>
      </c>
      <c r="H13033" t="s">
        <v>0</v>
      </c>
    </row>
    <row r="13034" spans="2:8" x14ac:dyDescent="0.2">
      <c r="B13034" s="3">
        <v>45691</v>
      </c>
      <c r="C13034" s="1">
        <v>15</v>
      </c>
      <c r="D13034" s="1">
        <v>3944</v>
      </c>
      <c r="E13034" s="1">
        <v>4520</v>
      </c>
      <c r="G13034" s="2">
        <f t="shared" si="203"/>
        <v>4520</v>
      </c>
      <c r="H13034" t="s">
        <v>14</v>
      </c>
    </row>
    <row r="13035" spans="2:8" x14ac:dyDescent="0.2">
      <c r="B13035" s="3">
        <v>45691</v>
      </c>
      <c r="G13035" s="2">
        <f t="shared" si="203"/>
        <v>0</v>
      </c>
      <c r="H13035" t="s">
        <v>13</v>
      </c>
    </row>
    <row r="13036" spans="2:8" x14ac:dyDescent="0.2">
      <c r="B13036" s="3">
        <v>45691</v>
      </c>
      <c r="C13036" s="29"/>
      <c r="D13036" s="28"/>
      <c r="G13036" s="2">
        <f t="shared" si="203"/>
        <v>0</v>
      </c>
      <c r="H13036" t="s">
        <v>11</v>
      </c>
    </row>
    <row r="13037" spans="2:8" x14ac:dyDescent="0.2">
      <c r="B13037" s="3">
        <v>45691</v>
      </c>
      <c r="C13037" s="29"/>
      <c r="D13037" s="28"/>
      <c r="G13037" s="2">
        <f t="shared" si="203"/>
        <v>0</v>
      </c>
      <c r="H13037" t="s">
        <v>10</v>
      </c>
    </row>
    <row r="13038" spans="2:8" x14ac:dyDescent="0.2">
      <c r="B13038" s="3">
        <v>45691</v>
      </c>
      <c r="C13038" s="29"/>
      <c r="D13038" s="28"/>
      <c r="G13038" s="2">
        <f t="shared" si="203"/>
        <v>0</v>
      </c>
      <c r="H13038" t="s">
        <v>9</v>
      </c>
    </row>
    <row r="13039" spans="2:8" x14ac:dyDescent="0.2">
      <c r="B13039" s="3">
        <v>45691</v>
      </c>
      <c r="C13039" s="29"/>
      <c r="D13039" s="28"/>
      <c r="G13039" s="2">
        <f t="shared" si="203"/>
        <v>0</v>
      </c>
      <c r="H13039" t="s">
        <v>8</v>
      </c>
    </row>
    <row r="13040" spans="2:8" x14ac:dyDescent="0.2">
      <c r="B13040" s="3">
        <v>45691</v>
      </c>
      <c r="C13040" s="29"/>
      <c r="D13040" s="28"/>
      <c r="G13040" s="2">
        <f t="shared" si="203"/>
        <v>0</v>
      </c>
      <c r="H13040" t="s">
        <v>7</v>
      </c>
    </row>
    <row r="13041" spans="2:8" x14ac:dyDescent="0.2">
      <c r="B13041" s="3">
        <v>45691</v>
      </c>
      <c r="C13041" s="29"/>
      <c r="D13041" s="28"/>
      <c r="G13041" s="2">
        <f t="shared" si="203"/>
        <v>0</v>
      </c>
      <c r="H13041" t="s">
        <v>6</v>
      </c>
    </row>
    <row r="13042" spans="2:8" x14ac:dyDescent="0.2">
      <c r="B13042" s="3">
        <v>45691</v>
      </c>
      <c r="C13042" s="29"/>
      <c r="D13042" s="28"/>
      <c r="G13042" s="2">
        <f t="shared" si="203"/>
        <v>0</v>
      </c>
      <c r="H13042" t="s">
        <v>5</v>
      </c>
    </row>
    <row r="13043" spans="2:8" x14ac:dyDescent="0.2">
      <c r="B13043" s="3">
        <v>45691</v>
      </c>
      <c r="C13043" s="29"/>
      <c r="D13043" s="28"/>
      <c r="G13043" s="2">
        <f t="shared" si="203"/>
        <v>0</v>
      </c>
      <c r="H13043" s="1"/>
    </row>
    <row r="13044" spans="2:8" x14ac:dyDescent="0.2">
      <c r="B13044" s="3">
        <v>45691</v>
      </c>
      <c r="C13044" s="29"/>
      <c r="G13044" s="2">
        <f t="shared" si="203"/>
        <v>0</v>
      </c>
      <c r="H13044" t="s">
        <v>0</v>
      </c>
    </row>
    <row r="13045" spans="2:8" x14ac:dyDescent="0.2">
      <c r="B13045" s="3">
        <v>45692</v>
      </c>
      <c r="G13045" s="2">
        <f t="shared" si="203"/>
        <v>0</v>
      </c>
      <c r="H13045" t="s">
        <v>14</v>
      </c>
    </row>
    <row r="13046" spans="2:8" x14ac:dyDescent="0.2">
      <c r="B13046" s="3">
        <v>45692</v>
      </c>
      <c r="G13046" s="2">
        <f t="shared" si="203"/>
        <v>0</v>
      </c>
      <c r="H13046" t="s">
        <v>13</v>
      </c>
    </row>
    <row r="13047" spans="2:8" x14ac:dyDescent="0.2">
      <c r="B13047" s="3">
        <v>45692</v>
      </c>
      <c r="C13047" s="29"/>
      <c r="D13047" s="28"/>
      <c r="G13047" s="2">
        <f t="shared" si="203"/>
        <v>0</v>
      </c>
      <c r="H13047" t="s">
        <v>11</v>
      </c>
    </row>
    <row r="13048" spans="2:8" x14ac:dyDescent="0.2">
      <c r="B13048" s="3">
        <v>45692</v>
      </c>
      <c r="C13048" s="29"/>
      <c r="D13048" s="28"/>
      <c r="G13048" s="2">
        <f t="shared" si="203"/>
        <v>0</v>
      </c>
      <c r="H13048" t="s">
        <v>10</v>
      </c>
    </row>
    <row r="13049" spans="2:8" x14ac:dyDescent="0.2">
      <c r="B13049" s="3">
        <v>45692</v>
      </c>
      <c r="C13049" s="29"/>
      <c r="D13049" s="28"/>
      <c r="G13049" s="2">
        <f t="shared" si="203"/>
        <v>0</v>
      </c>
      <c r="H13049" t="s">
        <v>9</v>
      </c>
    </row>
    <row r="13050" spans="2:8" x14ac:dyDescent="0.2">
      <c r="B13050" s="3">
        <v>45692</v>
      </c>
      <c r="C13050" s="29"/>
      <c r="D13050" s="28"/>
      <c r="G13050" s="2">
        <f t="shared" si="203"/>
        <v>0</v>
      </c>
      <c r="H13050" t="s">
        <v>8</v>
      </c>
    </row>
    <row r="13051" spans="2:8" x14ac:dyDescent="0.2">
      <c r="B13051" s="3">
        <v>45692</v>
      </c>
      <c r="C13051" s="29"/>
      <c r="D13051" s="28"/>
      <c r="G13051" s="2">
        <f t="shared" si="203"/>
        <v>0</v>
      </c>
      <c r="H13051" t="s">
        <v>7</v>
      </c>
    </row>
    <row r="13052" spans="2:8" x14ac:dyDescent="0.2">
      <c r="B13052" s="3">
        <v>45692</v>
      </c>
      <c r="C13052" s="29"/>
      <c r="D13052" s="28"/>
      <c r="G13052" s="2">
        <f t="shared" si="203"/>
        <v>0</v>
      </c>
      <c r="H13052" t="s">
        <v>6</v>
      </c>
    </row>
    <row r="13053" spans="2:8" x14ac:dyDescent="0.2">
      <c r="B13053" s="3">
        <v>45692</v>
      </c>
      <c r="C13053" s="29"/>
      <c r="D13053" s="28"/>
      <c r="G13053" s="2">
        <f t="shared" si="203"/>
        <v>0</v>
      </c>
      <c r="H13053" t="s">
        <v>5</v>
      </c>
    </row>
    <row r="13054" spans="2:8" x14ac:dyDescent="0.2">
      <c r="B13054" s="3">
        <v>45692</v>
      </c>
      <c r="C13054" s="29"/>
      <c r="D13054" s="28"/>
      <c r="G13054" s="2">
        <f t="shared" si="203"/>
        <v>0</v>
      </c>
      <c r="H13054" s="1"/>
    </row>
    <row r="13055" spans="2:8" x14ac:dyDescent="0.2">
      <c r="B13055" s="3">
        <v>45692</v>
      </c>
      <c r="C13055" s="29"/>
      <c r="G13055" s="2">
        <f t="shared" si="203"/>
        <v>0</v>
      </c>
      <c r="H13055" t="s">
        <v>0</v>
      </c>
    </row>
    <row r="13056" spans="2:8" x14ac:dyDescent="0.2">
      <c r="B13056" s="3">
        <v>45693</v>
      </c>
      <c r="F13056" s="1">
        <v>10000</v>
      </c>
      <c r="G13056" s="2">
        <f t="shared" si="203"/>
        <v>-10000</v>
      </c>
      <c r="H13056" t="s">
        <v>14</v>
      </c>
    </row>
    <row r="13057" spans="2:8" x14ac:dyDescent="0.2">
      <c r="B13057" s="3">
        <v>45693</v>
      </c>
      <c r="G13057" s="2">
        <f t="shared" si="203"/>
        <v>0</v>
      </c>
      <c r="H13057" t="s">
        <v>13</v>
      </c>
    </row>
    <row r="13058" spans="2:8" x14ac:dyDescent="0.2">
      <c r="B13058" s="3">
        <v>45693</v>
      </c>
      <c r="C13058" s="29"/>
      <c r="D13058" s="28"/>
      <c r="G13058" s="2">
        <f t="shared" si="203"/>
        <v>0</v>
      </c>
      <c r="H13058" t="s">
        <v>11</v>
      </c>
    </row>
    <row r="13059" spans="2:8" x14ac:dyDescent="0.2">
      <c r="B13059" s="3">
        <v>45693</v>
      </c>
      <c r="C13059" s="29"/>
      <c r="D13059" s="28"/>
      <c r="G13059" s="2">
        <f t="shared" ref="G13059:G13122" si="204">E13059-F13059</f>
        <v>0</v>
      </c>
      <c r="H13059" t="s">
        <v>10</v>
      </c>
    </row>
    <row r="13060" spans="2:8" x14ac:dyDescent="0.2">
      <c r="B13060" s="3">
        <v>45693</v>
      </c>
      <c r="C13060" s="29"/>
      <c r="D13060" s="28"/>
      <c r="F13060" s="1">
        <v>15000</v>
      </c>
      <c r="G13060" s="2">
        <f t="shared" si="204"/>
        <v>-15000</v>
      </c>
      <c r="H13060" t="s">
        <v>9</v>
      </c>
    </row>
    <row r="13061" spans="2:8" x14ac:dyDescent="0.2">
      <c r="B13061" s="3">
        <v>45693</v>
      </c>
      <c r="C13061" s="29"/>
      <c r="D13061" s="28"/>
      <c r="F13061" s="1">
        <v>30000</v>
      </c>
      <c r="G13061" s="2">
        <f t="shared" si="204"/>
        <v>-30000</v>
      </c>
      <c r="H13061" t="s">
        <v>8</v>
      </c>
    </row>
    <row r="13062" spans="2:8" x14ac:dyDescent="0.2">
      <c r="B13062" s="3">
        <v>45693</v>
      </c>
      <c r="C13062" s="29"/>
      <c r="D13062" s="28"/>
      <c r="G13062" s="2">
        <f t="shared" si="204"/>
        <v>0</v>
      </c>
      <c r="H13062" t="s">
        <v>7</v>
      </c>
    </row>
    <row r="13063" spans="2:8" x14ac:dyDescent="0.2">
      <c r="B13063" s="3">
        <v>45693</v>
      </c>
      <c r="C13063" s="29"/>
      <c r="D13063" s="28"/>
      <c r="G13063" s="2">
        <f t="shared" si="204"/>
        <v>0</v>
      </c>
      <c r="H13063" t="s">
        <v>6</v>
      </c>
    </row>
    <row r="13064" spans="2:8" x14ac:dyDescent="0.2">
      <c r="B13064" s="3">
        <v>45693</v>
      </c>
      <c r="C13064" s="29"/>
      <c r="D13064" s="28"/>
      <c r="G13064" s="2">
        <f t="shared" si="204"/>
        <v>0</v>
      </c>
      <c r="H13064" t="s">
        <v>5</v>
      </c>
    </row>
    <row r="13065" spans="2:8" x14ac:dyDescent="0.2">
      <c r="B13065" s="3">
        <v>45693</v>
      </c>
      <c r="C13065" s="29"/>
      <c r="D13065" s="28"/>
      <c r="G13065" s="2">
        <f t="shared" si="204"/>
        <v>0</v>
      </c>
      <c r="H13065" s="1"/>
    </row>
    <row r="13066" spans="2:8" x14ac:dyDescent="0.2">
      <c r="B13066" s="3">
        <v>45693</v>
      </c>
      <c r="C13066" s="29"/>
      <c r="F13066" s="1">
        <v>40000</v>
      </c>
      <c r="G13066" s="2">
        <f t="shared" si="204"/>
        <v>-40000</v>
      </c>
      <c r="H13066" t="s">
        <v>0</v>
      </c>
    </row>
    <row r="13067" spans="2:8" x14ac:dyDescent="0.2">
      <c r="B13067" s="3">
        <v>45694</v>
      </c>
      <c r="G13067" s="2">
        <f t="shared" si="204"/>
        <v>0</v>
      </c>
      <c r="H13067" t="s">
        <v>14</v>
      </c>
    </row>
    <row r="13068" spans="2:8" x14ac:dyDescent="0.2">
      <c r="B13068" s="3">
        <v>45694</v>
      </c>
      <c r="G13068" s="2">
        <f t="shared" si="204"/>
        <v>0</v>
      </c>
      <c r="H13068" t="s">
        <v>13</v>
      </c>
    </row>
    <row r="13069" spans="2:8" x14ac:dyDescent="0.2">
      <c r="B13069" s="3">
        <v>45694</v>
      </c>
      <c r="C13069" s="29"/>
      <c r="D13069" s="28"/>
      <c r="G13069" s="2">
        <f t="shared" si="204"/>
        <v>0</v>
      </c>
      <c r="H13069" t="s">
        <v>11</v>
      </c>
    </row>
    <row r="13070" spans="2:8" x14ac:dyDescent="0.2">
      <c r="B13070" s="3">
        <v>45694</v>
      </c>
      <c r="C13070" s="29"/>
      <c r="D13070" s="28"/>
      <c r="G13070" s="2">
        <f t="shared" si="204"/>
        <v>0</v>
      </c>
      <c r="H13070" t="s">
        <v>10</v>
      </c>
    </row>
    <row r="13071" spans="2:8" x14ac:dyDescent="0.2">
      <c r="B13071" s="3">
        <v>45694</v>
      </c>
      <c r="C13071" s="29"/>
      <c r="D13071" s="28"/>
      <c r="G13071" s="2">
        <f t="shared" si="204"/>
        <v>0</v>
      </c>
      <c r="H13071" t="s">
        <v>9</v>
      </c>
    </row>
    <row r="13072" spans="2:8" x14ac:dyDescent="0.2">
      <c r="B13072" s="3">
        <v>45694</v>
      </c>
      <c r="C13072" s="29"/>
      <c r="D13072" s="28"/>
      <c r="G13072" s="2">
        <f t="shared" si="204"/>
        <v>0</v>
      </c>
      <c r="H13072" t="s">
        <v>8</v>
      </c>
    </row>
    <row r="13073" spans="2:8" x14ac:dyDescent="0.2">
      <c r="B13073" s="3">
        <v>45694</v>
      </c>
      <c r="C13073" s="29"/>
      <c r="D13073" s="28"/>
      <c r="G13073" s="2">
        <f t="shared" si="204"/>
        <v>0</v>
      </c>
      <c r="H13073" t="s">
        <v>7</v>
      </c>
    </row>
    <row r="13074" spans="2:8" x14ac:dyDescent="0.2">
      <c r="B13074" s="3">
        <v>45694</v>
      </c>
      <c r="C13074" s="29"/>
      <c r="D13074" s="28"/>
      <c r="G13074" s="2">
        <f t="shared" si="204"/>
        <v>0</v>
      </c>
      <c r="H13074" t="s">
        <v>6</v>
      </c>
    </row>
    <row r="13075" spans="2:8" x14ac:dyDescent="0.2">
      <c r="B13075" s="3">
        <v>45694</v>
      </c>
      <c r="C13075" s="29"/>
      <c r="D13075" s="28"/>
      <c r="G13075" s="2">
        <f t="shared" si="204"/>
        <v>0</v>
      </c>
      <c r="H13075" t="s">
        <v>5</v>
      </c>
    </row>
    <row r="13076" spans="2:8" x14ac:dyDescent="0.2">
      <c r="B13076" s="3">
        <v>45694</v>
      </c>
      <c r="C13076" s="29"/>
      <c r="D13076" s="28"/>
      <c r="G13076" s="2">
        <f t="shared" si="204"/>
        <v>0</v>
      </c>
      <c r="H13076" s="1"/>
    </row>
    <row r="13077" spans="2:8" x14ac:dyDescent="0.2">
      <c r="B13077" s="3">
        <v>45694</v>
      </c>
      <c r="C13077" s="29"/>
      <c r="G13077" s="2">
        <f t="shared" si="204"/>
        <v>0</v>
      </c>
      <c r="H13077" t="s">
        <v>0</v>
      </c>
    </row>
    <row r="13078" spans="2:8" x14ac:dyDescent="0.2">
      <c r="B13078" s="3">
        <v>45695</v>
      </c>
      <c r="G13078" s="2">
        <f t="shared" si="204"/>
        <v>0</v>
      </c>
      <c r="H13078" t="s">
        <v>14</v>
      </c>
    </row>
    <row r="13079" spans="2:8" x14ac:dyDescent="0.2">
      <c r="B13079" s="3">
        <v>45695</v>
      </c>
      <c r="G13079" s="2">
        <f t="shared" si="204"/>
        <v>0</v>
      </c>
      <c r="H13079" t="s">
        <v>13</v>
      </c>
    </row>
    <row r="13080" spans="2:8" x14ac:dyDescent="0.2">
      <c r="B13080" s="3">
        <v>45695</v>
      </c>
      <c r="C13080" s="29"/>
      <c r="D13080" s="28"/>
      <c r="G13080" s="2">
        <f t="shared" si="204"/>
        <v>0</v>
      </c>
      <c r="H13080" t="s">
        <v>11</v>
      </c>
    </row>
    <row r="13081" spans="2:8" x14ac:dyDescent="0.2">
      <c r="B13081" s="3">
        <v>45695</v>
      </c>
      <c r="C13081" s="29"/>
      <c r="D13081" s="28"/>
      <c r="G13081" s="2">
        <f t="shared" si="204"/>
        <v>0</v>
      </c>
      <c r="H13081" t="s">
        <v>10</v>
      </c>
    </row>
    <row r="13082" spans="2:8" x14ac:dyDescent="0.2">
      <c r="B13082" s="3">
        <v>45695</v>
      </c>
      <c r="C13082" s="29"/>
      <c r="D13082" s="28"/>
      <c r="G13082" s="2">
        <f t="shared" si="204"/>
        <v>0</v>
      </c>
      <c r="H13082" t="s">
        <v>9</v>
      </c>
    </row>
    <row r="13083" spans="2:8" x14ac:dyDescent="0.2">
      <c r="B13083" s="3">
        <v>45695</v>
      </c>
      <c r="C13083" s="29"/>
      <c r="D13083" s="28"/>
      <c r="G13083" s="2">
        <f t="shared" si="204"/>
        <v>0</v>
      </c>
      <c r="H13083" t="s">
        <v>8</v>
      </c>
    </row>
    <row r="13084" spans="2:8" x14ac:dyDescent="0.2">
      <c r="B13084" s="3">
        <v>45695</v>
      </c>
      <c r="C13084" s="29"/>
      <c r="D13084" s="28"/>
      <c r="G13084" s="2">
        <f t="shared" si="204"/>
        <v>0</v>
      </c>
      <c r="H13084" t="s">
        <v>7</v>
      </c>
    </row>
    <row r="13085" spans="2:8" x14ac:dyDescent="0.2">
      <c r="B13085" s="3">
        <v>45695</v>
      </c>
      <c r="C13085" s="29"/>
      <c r="D13085" s="28"/>
      <c r="G13085" s="2">
        <f t="shared" si="204"/>
        <v>0</v>
      </c>
      <c r="H13085" t="s">
        <v>6</v>
      </c>
    </row>
    <row r="13086" spans="2:8" x14ac:dyDescent="0.2">
      <c r="B13086" s="3">
        <v>45695</v>
      </c>
      <c r="C13086" s="29"/>
      <c r="D13086" s="28"/>
      <c r="G13086" s="2">
        <f t="shared" si="204"/>
        <v>0</v>
      </c>
      <c r="H13086" t="s">
        <v>5</v>
      </c>
    </row>
    <row r="13087" spans="2:8" x14ac:dyDescent="0.2">
      <c r="B13087" s="3">
        <v>45695</v>
      </c>
      <c r="C13087" s="29"/>
      <c r="D13087" s="28"/>
      <c r="G13087" s="2">
        <f t="shared" si="204"/>
        <v>0</v>
      </c>
      <c r="H13087" s="1"/>
    </row>
    <row r="13088" spans="2:8" x14ac:dyDescent="0.2">
      <c r="B13088" s="3">
        <v>45695</v>
      </c>
      <c r="C13088" s="29"/>
      <c r="G13088" s="2">
        <f t="shared" si="204"/>
        <v>0</v>
      </c>
      <c r="H13088" t="s">
        <v>0</v>
      </c>
    </row>
    <row r="13089" spans="2:8" x14ac:dyDescent="0.2">
      <c r="B13089" s="3">
        <v>45696</v>
      </c>
      <c r="G13089" s="2">
        <f t="shared" si="204"/>
        <v>0</v>
      </c>
      <c r="H13089" t="s">
        <v>14</v>
      </c>
    </row>
    <row r="13090" spans="2:8" x14ac:dyDescent="0.2">
      <c r="B13090" s="3">
        <v>45696</v>
      </c>
      <c r="G13090" s="2">
        <f t="shared" si="204"/>
        <v>0</v>
      </c>
      <c r="H13090" t="s">
        <v>13</v>
      </c>
    </row>
    <row r="13091" spans="2:8" x14ac:dyDescent="0.2">
      <c r="B13091" s="3">
        <v>45696</v>
      </c>
      <c r="C13091" s="29"/>
      <c r="D13091" s="28"/>
      <c r="G13091" s="2">
        <f t="shared" si="204"/>
        <v>0</v>
      </c>
      <c r="H13091" t="s">
        <v>11</v>
      </c>
    </row>
    <row r="13092" spans="2:8" x14ac:dyDescent="0.2">
      <c r="B13092" s="3">
        <v>45696</v>
      </c>
      <c r="C13092" s="29"/>
      <c r="D13092" s="28"/>
      <c r="G13092" s="2">
        <f t="shared" si="204"/>
        <v>0</v>
      </c>
      <c r="H13092" t="s">
        <v>10</v>
      </c>
    </row>
    <row r="13093" spans="2:8" x14ac:dyDescent="0.2">
      <c r="B13093" s="3">
        <v>45696</v>
      </c>
      <c r="C13093" s="29"/>
      <c r="D13093" s="28"/>
      <c r="G13093" s="2">
        <f t="shared" si="204"/>
        <v>0</v>
      </c>
      <c r="H13093" t="s">
        <v>9</v>
      </c>
    </row>
    <row r="13094" spans="2:8" x14ac:dyDescent="0.2">
      <c r="B13094" s="3">
        <v>45696</v>
      </c>
      <c r="C13094" s="29"/>
      <c r="D13094" s="28"/>
      <c r="G13094" s="2">
        <f t="shared" si="204"/>
        <v>0</v>
      </c>
      <c r="H13094" t="s">
        <v>8</v>
      </c>
    </row>
    <row r="13095" spans="2:8" x14ac:dyDescent="0.2">
      <c r="B13095" s="3">
        <v>45696</v>
      </c>
      <c r="C13095" s="1">
        <v>16</v>
      </c>
      <c r="D13095" s="28">
        <v>15010</v>
      </c>
      <c r="E13095" s="1">
        <v>16331</v>
      </c>
      <c r="G13095" s="2">
        <f t="shared" si="204"/>
        <v>16331</v>
      </c>
      <c r="H13095" t="s">
        <v>7</v>
      </c>
    </row>
    <row r="13096" spans="2:8" x14ac:dyDescent="0.2">
      <c r="B13096" s="3">
        <v>45696</v>
      </c>
      <c r="C13096" s="29"/>
      <c r="D13096" s="28"/>
      <c r="G13096" s="2">
        <f t="shared" si="204"/>
        <v>0</v>
      </c>
      <c r="H13096" t="s">
        <v>6</v>
      </c>
    </row>
    <row r="13097" spans="2:8" x14ac:dyDescent="0.2">
      <c r="B13097" s="3">
        <v>45696</v>
      </c>
      <c r="C13097" s="29"/>
      <c r="D13097" s="28"/>
      <c r="G13097" s="2">
        <f t="shared" si="204"/>
        <v>0</v>
      </c>
      <c r="H13097" t="s">
        <v>5</v>
      </c>
    </row>
    <row r="13098" spans="2:8" x14ac:dyDescent="0.2">
      <c r="B13098" s="3">
        <v>45696</v>
      </c>
      <c r="C13098" s="29"/>
      <c r="D13098" s="28"/>
      <c r="G13098" s="2">
        <f t="shared" si="204"/>
        <v>0</v>
      </c>
      <c r="H13098" s="1"/>
    </row>
    <row r="13099" spans="2:8" x14ac:dyDescent="0.2">
      <c r="B13099" s="3">
        <v>45696</v>
      </c>
      <c r="C13099" s="29"/>
      <c r="F13099" s="1">
        <v>50800</v>
      </c>
      <c r="G13099" s="2">
        <f t="shared" si="204"/>
        <v>-50800</v>
      </c>
      <c r="H13099" t="s">
        <v>0</v>
      </c>
    </row>
    <row r="13100" spans="2:8" x14ac:dyDescent="0.2">
      <c r="B13100" s="3">
        <v>45697</v>
      </c>
      <c r="G13100" s="2">
        <f t="shared" si="204"/>
        <v>0</v>
      </c>
      <c r="H13100" t="s">
        <v>14</v>
      </c>
    </row>
    <row r="13101" spans="2:8" x14ac:dyDescent="0.2">
      <c r="B13101" s="3">
        <v>45697</v>
      </c>
      <c r="G13101" s="2">
        <f t="shared" si="204"/>
        <v>0</v>
      </c>
      <c r="H13101" t="s">
        <v>13</v>
      </c>
    </row>
    <row r="13102" spans="2:8" x14ac:dyDescent="0.2">
      <c r="B13102" s="3">
        <v>45697</v>
      </c>
      <c r="C13102" s="29"/>
      <c r="D13102" s="28"/>
      <c r="G13102" s="2">
        <f t="shared" si="204"/>
        <v>0</v>
      </c>
      <c r="H13102" t="s">
        <v>11</v>
      </c>
    </row>
    <row r="13103" spans="2:8" x14ac:dyDescent="0.2">
      <c r="B13103" s="3">
        <v>45697</v>
      </c>
      <c r="C13103" s="29"/>
      <c r="D13103" s="28"/>
      <c r="G13103" s="2">
        <f t="shared" si="204"/>
        <v>0</v>
      </c>
      <c r="H13103" t="s">
        <v>10</v>
      </c>
    </row>
    <row r="13104" spans="2:8" x14ac:dyDescent="0.2">
      <c r="B13104" s="3">
        <v>45697</v>
      </c>
      <c r="C13104" s="29"/>
      <c r="D13104" s="28"/>
      <c r="G13104" s="2">
        <f t="shared" si="204"/>
        <v>0</v>
      </c>
      <c r="H13104" t="s">
        <v>9</v>
      </c>
    </row>
    <row r="13105" spans="2:8" x14ac:dyDescent="0.2">
      <c r="B13105" s="3">
        <v>45697</v>
      </c>
      <c r="C13105" s="29"/>
      <c r="D13105" s="28"/>
      <c r="G13105" s="2">
        <f t="shared" si="204"/>
        <v>0</v>
      </c>
      <c r="H13105" t="s">
        <v>8</v>
      </c>
    </row>
    <row r="13106" spans="2:8" x14ac:dyDescent="0.2">
      <c r="B13106" s="3">
        <v>45697</v>
      </c>
      <c r="C13106" s="29"/>
      <c r="D13106" s="28"/>
      <c r="G13106" s="2">
        <f t="shared" si="204"/>
        <v>0</v>
      </c>
      <c r="H13106" t="s">
        <v>7</v>
      </c>
    </row>
    <row r="13107" spans="2:8" x14ac:dyDescent="0.2">
      <c r="B13107" s="3">
        <v>45697</v>
      </c>
      <c r="C13107" s="29"/>
      <c r="D13107" s="28"/>
      <c r="G13107" s="2">
        <f t="shared" si="204"/>
        <v>0</v>
      </c>
      <c r="H13107" t="s">
        <v>6</v>
      </c>
    </row>
    <row r="13108" spans="2:8" x14ac:dyDescent="0.2">
      <c r="B13108" s="3">
        <v>45697</v>
      </c>
      <c r="C13108" s="29"/>
      <c r="D13108" s="28"/>
      <c r="G13108" s="2">
        <f t="shared" si="204"/>
        <v>0</v>
      </c>
      <c r="H13108" t="s">
        <v>5</v>
      </c>
    </row>
    <row r="13109" spans="2:8" x14ac:dyDescent="0.2">
      <c r="B13109" s="3">
        <v>45697</v>
      </c>
      <c r="C13109" s="29"/>
      <c r="D13109" s="28"/>
      <c r="G13109" s="2">
        <f t="shared" si="204"/>
        <v>0</v>
      </c>
      <c r="H13109" s="1"/>
    </row>
    <row r="13110" spans="2:8" x14ac:dyDescent="0.2">
      <c r="B13110" s="3">
        <v>45697</v>
      </c>
      <c r="C13110" s="29"/>
      <c r="G13110" s="2">
        <f t="shared" si="204"/>
        <v>0</v>
      </c>
      <c r="H13110" t="s">
        <v>0</v>
      </c>
    </row>
    <row r="13111" spans="2:8" x14ac:dyDescent="0.2">
      <c r="B13111" s="3">
        <v>45698</v>
      </c>
      <c r="F13111" s="1">
        <v>10000</v>
      </c>
      <c r="G13111" s="2">
        <f t="shared" si="204"/>
        <v>-10000</v>
      </c>
      <c r="H13111" t="s">
        <v>14</v>
      </c>
    </row>
    <row r="13112" spans="2:8" x14ac:dyDescent="0.2">
      <c r="B13112" s="3">
        <v>45698</v>
      </c>
      <c r="G13112" s="2">
        <f t="shared" si="204"/>
        <v>0</v>
      </c>
      <c r="H13112" t="s">
        <v>13</v>
      </c>
    </row>
    <row r="13113" spans="2:8" x14ac:dyDescent="0.2">
      <c r="B13113" s="3">
        <v>45698</v>
      </c>
      <c r="C13113" s="29"/>
      <c r="D13113" s="28"/>
      <c r="G13113" s="2">
        <f t="shared" si="204"/>
        <v>0</v>
      </c>
      <c r="H13113" t="s">
        <v>11</v>
      </c>
    </row>
    <row r="13114" spans="2:8" x14ac:dyDescent="0.2">
      <c r="B13114" s="3">
        <v>45698</v>
      </c>
      <c r="C13114" s="29"/>
      <c r="D13114" s="28"/>
      <c r="G13114" s="2">
        <f t="shared" si="204"/>
        <v>0</v>
      </c>
      <c r="H13114" t="s">
        <v>10</v>
      </c>
    </row>
    <row r="13115" spans="2:8" x14ac:dyDescent="0.2">
      <c r="B13115" s="3">
        <v>45698</v>
      </c>
      <c r="C13115" s="29"/>
      <c r="D13115" s="28"/>
      <c r="G13115" s="2">
        <f t="shared" si="204"/>
        <v>0</v>
      </c>
      <c r="H13115" t="s">
        <v>9</v>
      </c>
    </row>
    <row r="13116" spans="2:8" x14ac:dyDescent="0.2">
      <c r="B13116" s="3">
        <v>45698</v>
      </c>
      <c r="C13116" s="29"/>
      <c r="D13116" s="28"/>
      <c r="G13116" s="2">
        <f t="shared" si="204"/>
        <v>0</v>
      </c>
      <c r="H13116" t="s">
        <v>8</v>
      </c>
    </row>
    <row r="13117" spans="2:8" x14ac:dyDescent="0.2">
      <c r="B13117" s="3">
        <v>45698</v>
      </c>
      <c r="C13117" s="29"/>
      <c r="D13117" s="28"/>
      <c r="G13117" s="2">
        <f t="shared" si="204"/>
        <v>0</v>
      </c>
      <c r="H13117" t="s">
        <v>7</v>
      </c>
    </row>
    <row r="13118" spans="2:8" x14ac:dyDescent="0.2">
      <c r="B13118" s="3">
        <v>45698</v>
      </c>
      <c r="C13118" s="29"/>
      <c r="D13118" s="28"/>
      <c r="G13118" s="2">
        <f t="shared" si="204"/>
        <v>0</v>
      </c>
      <c r="H13118" t="s">
        <v>6</v>
      </c>
    </row>
    <row r="13119" spans="2:8" x14ac:dyDescent="0.2">
      <c r="B13119" s="3">
        <v>45698</v>
      </c>
      <c r="C13119" s="29"/>
      <c r="D13119" s="28"/>
      <c r="G13119" s="2">
        <f t="shared" si="204"/>
        <v>0</v>
      </c>
      <c r="H13119" t="s">
        <v>5</v>
      </c>
    </row>
    <row r="13120" spans="2:8" x14ac:dyDescent="0.2">
      <c r="B13120" s="3">
        <v>45698</v>
      </c>
      <c r="C13120" s="29"/>
      <c r="D13120" s="28"/>
      <c r="G13120" s="2">
        <f t="shared" si="204"/>
        <v>0</v>
      </c>
      <c r="H13120" s="1"/>
    </row>
    <row r="13121" spans="2:8" x14ac:dyDescent="0.2">
      <c r="B13121" s="3">
        <v>45698</v>
      </c>
      <c r="C13121" s="29"/>
      <c r="G13121" s="2">
        <f t="shared" si="204"/>
        <v>0</v>
      </c>
      <c r="H13121" t="s">
        <v>0</v>
      </c>
    </row>
    <row r="13122" spans="2:8" x14ac:dyDescent="0.2">
      <c r="B13122" s="3">
        <v>45699</v>
      </c>
      <c r="G13122" s="2">
        <f t="shared" si="204"/>
        <v>0</v>
      </c>
      <c r="H13122" t="s">
        <v>14</v>
      </c>
    </row>
    <row r="13123" spans="2:8" x14ac:dyDescent="0.2">
      <c r="B13123" s="3">
        <v>45699</v>
      </c>
      <c r="G13123" s="2">
        <f t="shared" ref="G13123:G13186" si="205">E13123-F13123</f>
        <v>0</v>
      </c>
      <c r="H13123" t="s">
        <v>13</v>
      </c>
    </row>
    <row r="13124" spans="2:8" x14ac:dyDescent="0.2">
      <c r="B13124" s="3">
        <v>45699</v>
      </c>
      <c r="C13124" s="29"/>
      <c r="D13124" s="28"/>
      <c r="G13124" s="2">
        <f t="shared" si="205"/>
        <v>0</v>
      </c>
      <c r="H13124" t="s">
        <v>11</v>
      </c>
    </row>
    <row r="13125" spans="2:8" x14ac:dyDescent="0.2">
      <c r="B13125" s="3">
        <v>45699</v>
      </c>
      <c r="C13125" s="29"/>
      <c r="D13125" s="28"/>
      <c r="G13125" s="2">
        <f t="shared" si="205"/>
        <v>0</v>
      </c>
      <c r="H13125" t="s">
        <v>10</v>
      </c>
    </row>
    <row r="13126" spans="2:8" x14ac:dyDescent="0.2">
      <c r="B13126" s="3">
        <v>45699</v>
      </c>
      <c r="C13126" s="29"/>
      <c r="D13126" s="28"/>
      <c r="G13126" s="2">
        <f t="shared" si="205"/>
        <v>0</v>
      </c>
      <c r="H13126" t="s">
        <v>9</v>
      </c>
    </row>
    <row r="13127" spans="2:8" x14ac:dyDescent="0.2">
      <c r="B13127" s="3">
        <v>45699</v>
      </c>
      <c r="C13127" s="1">
        <v>17</v>
      </c>
      <c r="D13127" s="28">
        <v>40800</v>
      </c>
      <c r="E13127" s="1">
        <v>46650</v>
      </c>
      <c r="F13127" s="1">
        <v>30000</v>
      </c>
      <c r="G13127" s="2">
        <f t="shared" si="205"/>
        <v>16650</v>
      </c>
      <c r="H13127" t="s">
        <v>8</v>
      </c>
    </row>
    <row r="13128" spans="2:8" x14ac:dyDescent="0.2">
      <c r="B13128" s="3">
        <v>45699</v>
      </c>
      <c r="C13128" s="29"/>
      <c r="D13128" s="28"/>
      <c r="G13128" s="2">
        <f t="shared" si="205"/>
        <v>0</v>
      </c>
      <c r="H13128" t="s">
        <v>7</v>
      </c>
    </row>
    <row r="13129" spans="2:8" x14ac:dyDescent="0.2">
      <c r="B13129" s="3">
        <v>45699</v>
      </c>
      <c r="C13129" s="29"/>
      <c r="D13129" s="28"/>
      <c r="G13129" s="2">
        <f t="shared" si="205"/>
        <v>0</v>
      </c>
      <c r="H13129" t="s">
        <v>6</v>
      </c>
    </row>
    <row r="13130" spans="2:8" x14ac:dyDescent="0.2">
      <c r="B13130" s="3">
        <v>45699</v>
      </c>
      <c r="C13130" s="29"/>
      <c r="D13130" s="28"/>
      <c r="G13130" s="2">
        <f t="shared" si="205"/>
        <v>0</v>
      </c>
      <c r="H13130" t="s">
        <v>5</v>
      </c>
    </row>
    <row r="13131" spans="2:8" x14ac:dyDescent="0.2">
      <c r="B13131" s="3">
        <v>45699</v>
      </c>
      <c r="C13131" s="29"/>
      <c r="D13131" s="28"/>
      <c r="G13131" s="2">
        <f t="shared" si="205"/>
        <v>0</v>
      </c>
      <c r="H13131" s="1"/>
    </row>
    <row r="13132" spans="2:8" x14ac:dyDescent="0.2">
      <c r="B13132" s="3">
        <v>45699</v>
      </c>
      <c r="C13132" s="29"/>
      <c r="G13132" s="2">
        <f t="shared" si="205"/>
        <v>0</v>
      </c>
      <c r="H13132" t="s">
        <v>0</v>
      </c>
    </row>
    <row r="13133" spans="2:8" x14ac:dyDescent="0.2">
      <c r="B13133" s="3">
        <v>45700</v>
      </c>
      <c r="G13133" s="2">
        <f t="shared" si="205"/>
        <v>0</v>
      </c>
      <c r="H13133" t="s">
        <v>14</v>
      </c>
    </row>
    <row r="13134" spans="2:8" x14ac:dyDescent="0.2">
      <c r="B13134" s="3">
        <v>45700</v>
      </c>
      <c r="G13134" s="2">
        <f t="shared" si="205"/>
        <v>0</v>
      </c>
      <c r="H13134" t="s">
        <v>13</v>
      </c>
    </row>
    <row r="13135" spans="2:8" x14ac:dyDescent="0.2">
      <c r="B13135" s="3">
        <v>45700</v>
      </c>
      <c r="C13135" s="29"/>
      <c r="D13135" s="28"/>
      <c r="G13135" s="2">
        <f t="shared" si="205"/>
        <v>0</v>
      </c>
      <c r="H13135" t="s">
        <v>11</v>
      </c>
    </row>
    <row r="13136" spans="2:8" x14ac:dyDescent="0.2">
      <c r="B13136" s="3">
        <v>45700</v>
      </c>
      <c r="C13136" s="29"/>
      <c r="D13136" s="28"/>
      <c r="G13136" s="2">
        <f t="shared" si="205"/>
        <v>0</v>
      </c>
      <c r="H13136" t="s">
        <v>10</v>
      </c>
    </row>
    <row r="13137" spans="2:8" x14ac:dyDescent="0.2">
      <c r="B13137" s="3">
        <v>45700</v>
      </c>
      <c r="C13137" s="29"/>
      <c r="D13137" s="28"/>
      <c r="G13137" s="2">
        <f t="shared" si="205"/>
        <v>0</v>
      </c>
      <c r="H13137" t="s">
        <v>9</v>
      </c>
    </row>
    <row r="13138" spans="2:8" x14ac:dyDescent="0.2">
      <c r="B13138" s="3">
        <v>45700</v>
      </c>
      <c r="C13138" s="29"/>
      <c r="D13138" s="28"/>
      <c r="G13138" s="2">
        <f t="shared" si="205"/>
        <v>0</v>
      </c>
      <c r="H13138" t="s">
        <v>8</v>
      </c>
    </row>
    <row r="13139" spans="2:8" x14ac:dyDescent="0.2">
      <c r="B13139" s="3">
        <v>45700</v>
      </c>
      <c r="C13139" s="29"/>
      <c r="D13139" s="28"/>
      <c r="G13139" s="2">
        <f t="shared" si="205"/>
        <v>0</v>
      </c>
      <c r="H13139" t="s">
        <v>7</v>
      </c>
    </row>
    <row r="13140" spans="2:8" x14ac:dyDescent="0.2">
      <c r="B13140" s="3">
        <v>45700</v>
      </c>
      <c r="C13140" s="29"/>
      <c r="D13140" s="28"/>
      <c r="G13140" s="2">
        <f t="shared" si="205"/>
        <v>0</v>
      </c>
      <c r="H13140" t="s">
        <v>6</v>
      </c>
    </row>
    <row r="13141" spans="2:8" x14ac:dyDescent="0.2">
      <c r="B13141" s="3">
        <v>45700</v>
      </c>
      <c r="C13141" s="29"/>
      <c r="D13141" s="28"/>
      <c r="F13141" s="1">
        <v>5438</v>
      </c>
      <c r="G13141" s="2">
        <f t="shared" si="205"/>
        <v>-5438</v>
      </c>
      <c r="H13141" t="s">
        <v>5</v>
      </c>
    </row>
    <row r="13142" spans="2:8" x14ac:dyDescent="0.2">
      <c r="B13142" s="3">
        <v>45700</v>
      </c>
      <c r="C13142" s="29"/>
      <c r="D13142" s="28"/>
      <c r="G13142" s="2">
        <f t="shared" si="205"/>
        <v>0</v>
      </c>
      <c r="H13142" s="1"/>
    </row>
    <row r="13143" spans="2:8" x14ac:dyDescent="0.2">
      <c r="B13143" s="3">
        <v>45700</v>
      </c>
      <c r="C13143" s="29"/>
      <c r="F13143" s="1">
        <v>50000</v>
      </c>
      <c r="G13143" s="2">
        <f t="shared" si="205"/>
        <v>-50000</v>
      </c>
      <c r="H13143" t="s">
        <v>0</v>
      </c>
    </row>
    <row r="13144" spans="2:8" x14ac:dyDescent="0.2">
      <c r="B13144" s="3">
        <v>45701</v>
      </c>
      <c r="G13144" s="2">
        <f t="shared" si="205"/>
        <v>0</v>
      </c>
      <c r="H13144" t="s">
        <v>14</v>
      </c>
    </row>
    <row r="13145" spans="2:8" x14ac:dyDescent="0.2">
      <c r="B13145" s="3">
        <v>45701</v>
      </c>
      <c r="G13145" s="2">
        <f t="shared" si="205"/>
        <v>0</v>
      </c>
      <c r="H13145" t="s">
        <v>13</v>
      </c>
    </row>
    <row r="13146" spans="2:8" x14ac:dyDescent="0.2">
      <c r="B13146" s="3">
        <v>45701</v>
      </c>
      <c r="C13146" s="29"/>
      <c r="D13146" s="28"/>
      <c r="G13146" s="2">
        <f t="shared" si="205"/>
        <v>0</v>
      </c>
      <c r="H13146" t="s">
        <v>11</v>
      </c>
    </row>
    <row r="13147" spans="2:8" x14ac:dyDescent="0.2">
      <c r="B13147" s="3">
        <v>45701</v>
      </c>
      <c r="C13147" s="29"/>
      <c r="D13147" s="28"/>
      <c r="G13147" s="2">
        <f t="shared" si="205"/>
        <v>0</v>
      </c>
      <c r="H13147" t="s">
        <v>10</v>
      </c>
    </row>
    <row r="13148" spans="2:8" x14ac:dyDescent="0.2">
      <c r="B13148" s="3">
        <v>45701</v>
      </c>
      <c r="C13148" s="29"/>
      <c r="D13148" s="28"/>
      <c r="F13148" s="1">
        <v>20000</v>
      </c>
      <c r="G13148" s="2">
        <f t="shared" si="205"/>
        <v>-20000</v>
      </c>
      <c r="H13148" t="s">
        <v>9</v>
      </c>
    </row>
    <row r="13149" spans="2:8" x14ac:dyDescent="0.2">
      <c r="B13149" s="3">
        <v>45701</v>
      </c>
      <c r="C13149" s="29"/>
      <c r="D13149" s="28"/>
      <c r="G13149" s="2">
        <f t="shared" si="205"/>
        <v>0</v>
      </c>
      <c r="H13149" t="s">
        <v>8</v>
      </c>
    </row>
    <row r="13150" spans="2:8" x14ac:dyDescent="0.2">
      <c r="B13150" s="3">
        <v>45701</v>
      </c>
      <c r="C13150" s="29"/>
      <c r="D13150" s="28"/>
      <c r="G13150" s="2">
        <f t="shared" si="205"/>
        <v>0</v>
      </c>
      <c r="H13150" t="s">
        <v>7</v>
      </c>
    </row>
    <row r="13151" spans="2:8" x14ac:dyDescent="0.2">
      <c r="B13151" s="3">
        <v>45701</v>
      </c>
      <c r="C13151" s="29"/>
      <c r="D13151" s="28"/>
      <c r="G13151" s="2">
        <f t="shared" si="205"/>
        <v>0</v>
      </c>
      <c r="H13151" t="s">
        <v>6</v>
      </c>
    </row>
    <row r="13152" spans="2:8" x14ac:dyDescent="0.2">
      <c r="B13152" s="3">
        <v>45701</v>
      </c>
      <c r="C13152" s="29"/>
      <c r="D13152" s="28"/>
      <c r="G13152" s="2">
        <f t="shared" si="205"/>
        <v>0</v>
      </c>
      <c r="H13152" t="s">
        <v>5</v>
      </c>
    </row>
    <row r="13153" spans="2:8" x14ac:dyDescent="0.2">
      <c r="B13153" s="3">
        <v>45701</v>
      </c>
      <c r="C13153" s="29"/>
      <c r="D13153" s="28"/>
      <c r="G13153" s="2">
        <f t="shared" si="205"/>
        <v>0</v>
      </c>
      <c r="H13153" s="1"/>
    </row>
    <row r="13154" spans="2:8" x14ac:dyDescent="0.2">
      <c r="B13154" s="3">
        <v>45701</v>
      </c>
      <c r="C13154" s="29"/>
      <c r="G13154" s="2">
        <f t="shared" si="205"/>
        <v>0</v>
      </c>
      <c r="H13154" t="s">
        <v>0</v>
      </c>
    </row>
    <row r="13155" spans="2:8" x14ac:dyDescent="0.2">
      <c r="B13155" s="3">
        <v>45702</v>
      </c>
      <c r="G13155" s="2">
        <f t="shared" si="205"/>
        <v>0</v>
      </c>
      <c r="H13155" t="s">
        <v>14</v>
      </c>
    </row>
    <row r="13156" spans="2:8" x14ac:dyDescent="0.2">
      <c r="B13156" s="3">
        <v>45702</v>
      </c>
      <c r="G13156" s="2">
        <f t="shared" si="205"/>
        <v>0</v>
      </c>
      <c r="H13156" t="s">
        <v>13</v>
      </c>
    </row>
    <row r="13157" spans="2:8" x14ac:dyDescent="0.2">
      <c r="B13157" s="3">
        <v>45702</v>
      </c>
      <c r="C13157" s="29"/>
      <c r="D13157" s="28"/>
      <c r="G13157" s="2">
        <f t="shared" si="205"/>
        <v>0</v>
      </c>
      <c r="H13157" t="s">
        <v>11</v>
      </c>
    </row>
    <row r="13158" spans="2:8" x14ac:dyDescent="0.2">
      <c r="B13158" s="3">
        <v>45702</v>
      </c>
      <c r="C13158" s="29"/>
      <c r="D13158" s="28"/>
      <c r="G13158" s="2">
        <f t="shared" si="205"/>
        <v>0</v>
      </c>
      <c r="H13158" t="s">
        <v>10</v>
      </c>
    </row>
    <row r="13159" spans="2:8" x14ac:dyDescent="0.2">
      <c r="B13159" s="3">
        <v>45702</v>
      </c>
      <c r="C13159" s="29"/>
      <c r="D13159" s="28"/>
      <c r="G13159" s="2">
        <f t="shared" si="205"/>
        <v>0</v>
      </c>
      <c r="H13159" t="s">
        <v>9</v>
      </c>
    </row>
    <row r="13160" spans="2:8" x14ac:dyDescent="0.2">
      <c r="B13160" s="3">
        <v>45702</v>
      </c>
      <c r="C13160" s="29"/>
      <c r="D13160" s="28"/>
      <c r="G13160" s="2">
        <f t="shared" si="205"/>
        <v>0</v>
      </c>
      <c r="H13160" t="s">
        <v>8</v>
      </c>
    </row>
    <row r="13161" spans="2:8" x14ac:dyDescent="0.2">
      <c r="B13161" s="3">
        <v>45702</v>
      </c>
      <c r="C13161" s="29"/>
      <c r="D13161" s="28"/>
      <c r="G13161" s="2">
        <f t="shared" si="205"/>
        <v>0</v>
      </c>
      <c r="H13161" t="s">
        <v>7</v>
      </c>
    </row>
    <row r="13162" spans="2:8" x14ac:dyDescent="0.2">
      <c r="B13162" s="3">
        <v>45702</v>
      </c>
      <c r="C13162" s="29"/>
      <c r="D13162" s="28"/>
      <c r="G13162" s="2">
        <f t="shared" si="205"/>
        <v>0</v>
      </c>
      <c r="H13162" t="s">
        <v>6</v>
      </c>
    </row>
    <row r="13163" spans="2:8" x14ac:dyDescent="0.2">
      <c r="B13163" s="3">
        <v>45702</v>
      </c>
      <c r="C13163" s="29"/>
      <c r="D13163" s="28"/>
      <c r="G13163" s="2">
        <f t="shared" si="205"/>
        <v>0</v>
      </c>
      <c r="H13163" t="s">
        <v>5</v>
      </c>
    </row>
    <row r="13164" spans="2:8" x14ac:dyDescent="0.2">
      <c r="B13164" s="3">
        <v>45702</v>
      </c>
      <c r="C13164" s="29"/>
      <c r="D13164" s="28"/>
      <c r="G13164" s="2">
        <f t="shared" si="205"/>
        <v>0</v>
      </c>
      <c r="H13164" s="1"/>
    </row>
    <row r="13165" spans="2:8" x14ac:dyDescent="0.2">
      <c r="B13165" s="3">
        <v>45702</v>
      </c>
      <c r="C13165" s="29"/>
      <c r="G13165" s="2">
        <f t="shared" si="205"/>
        <v>0</v>
      </c>
      <c r="H13165" t="s">
        <v>0</v>
      </c>
    </row>
    <row r="13166" spans="2:8" x14ac:dyDescent="0.2">
      <c r="B13166" s="3">
        <v>45703</v>
      </c>
      <c r="G13166" s="2">
        <f t="shared" si="205"/>
        <v>0</v>
      </c>
      <c r="H13166" t="s">
        <v>14</v>
      </c>
    </row>
    <row r="13167" spans="2:8" x14ac:dyDescent="0.2">
      <c r="B13167" s="3">
        <v>45703</v>
      </c>
      <c r="G13167" s="2">
        <f t="shared" si="205"/>
        <v>0</v>
      </c>
      <c r="H13167" t="s">
        <v>13</v>
      </c>
    </row>
    <row r="13168" spans="2:8" x14ac:dyDescent="0.2">
      <c r="B13168" s="3">
        <v>45703</v>
      </c>
      <c r="C13168" s="29"/>
      <c r="D13168" s="28"/>
      <c r="G13168" s="2">
        <f t="shared" si="205"/>
        <v>0</v>
      </c>
      <c r="H13168" t="s">
        <v>11</v>
      </c>
    </row>
    <row r="13169" spans="2:8" x14ac:dyDescent="0.2">
      <c r="B13169" s="3">
        <v>45703</v>
      </c>
      <c r="C13169" s="29"/>
      <c r="D13169" s="28"/>
      <c r="G13169" s="2">
        <f t="shared" si="205"/>
        <v>0</v>
      </c>
      <c r="H13169" t="s">
        <v>10</v>
      </c>
    </row>
    <row r="13170" spans="2:8" x14ac:dyDescent="0.2">
      <c r="B13170" s="3">
        <v>45703</v>
      </c>
      <c r="C13170" s="29"/>
      <c r="D13170" s="28"/>
      <c r="G13170" s="2">
        <f t="shared" si="205"/>
        <v>0</v>
      </c>
      <c r="H13170" t="s">
        <v>9</v>
      </c>
    </row>
    <row r="13171" spans="2:8" x14ac:dyDescent="0.2">
      <c r="B13171" s="3">
        <v>45703</v>
      </c>
      <c r="C13171" s="29"/>
      <c r="D13171" s="28"/>
      <c r="G13171" s="2">
        <f t="shared" si="205"/>
        <v>0</v>
      </c>
      <c r="H13171" t="s">
        <v>8</v>
      </c>
    </row>
    <row r="13172" spans="2:8" x14ac:dyDescent="0.2">
      <c r="B13172" s="3">
        <v>45703</v>
      </c>
      <c r="C13172" s="29"/>
      <c r="D13172" s="28"/>
      <c r="G13172" s="2">
        <f t="shared" si="205"/>
        <v>0</v>
      </c>
      <c r="H13172" t="s">
        <v>7</v>
      </c>
    </row>
    <row r="13173" spans="2:8" x14ac:dyDescent="0.2">
      <c r="B13173" s="3">
        <v>45703</v>
      </c>
      <c r="C13173" s="29"/>
      <c r="D13173" s="28"/>
      <c r="G13173" s="2">
        <f t="shared" si="205"/>
        <v>0</v>
      </c>
      <c r="H13173" t="s">
        <v>6</v>
      </c>
    </row>
    <row r="13174" spans="2:8" x14ac:dyDescent="0.2">
      <c r="B13174" s="3">
        <v>45703</v>
      </c>
      <c r="C13174" s="29"/>
      <c r="D13174" s="28"/>
      <c r="G13174" s="2">
        <f t="shared" si="205"/>
        <v>0</v>
      </c>
      <c r="H13174" t="s">
        <v>5</v>
      </c>
    </row>
    <row r="13175" spans="2:8" x14ac:dyDescent="0.2">
      <c r="B13175" s="3">
        <v>45703</v>
      </c>
      <c r="C13175" s="29"/>
      <c r="D13175" s="28"/>
      <c r="G13175" s="2">
        <f t="shared" si="205"/>
        <v>0</v>
      </c>
      <c r="H13175" s="1"/>
    </row>
    <row r="13176" spans="2:8" x14ac:dyDescent="0.2">
      <c r="B13176" s="3">
        <v>45703</v>
      </c>
      <c r="C13176" s="29"/>
      <c r="F13176" s="1">
        <v>10000</v>
      </c>
      <c r="G13176" s="2">
        <f t="shared" si="205"/>
        <v>-10000</v>
      </c>
      <c r="H13176" t="s">
        <v>0</v>
      </c>
    </row>
    <row r="13177" spans="2:8" x14ac:dyDescent="0.2">
      <c r="B13177" s="3">
        <v>45704</v>
      </c>
      <c r="G13177" s="2">
        <f t="shared" si="205"/>
        <v>0</v>
      </c>
      <c r="H13177" t="s">
        <v>14</v>
      </c>
    </row>
    <row r="13178" spans="2:8" x14ac:dyDescent="0.2">
      <c r="B13178" s="3">
        <v>45704</v>
      </c>
      <c r="G13178" s="2">
        <f t="shared" si="205"/>
        <v>0</v>
      </c>
      <c r="H13178" t="s">
        <v>13</v>
      </c>
    </row>
    <row r="13179" spans="2:8" x14ac:dyDescent="0.2">
      <c r="B13179" s="3">
        <v>45704</v>
      </c>
      <c r="C13179" s="29"/>
      <c r="D13179" s="28"/>
      <c r="G13179" s="2">
        <f t="shared" si="205"/>
        <v>0</v>
      </c>
      <c r="H13179" t="s">
        <v>11</v>
      </c>
    </row>
    <row r="13180" spans="2:8" x14ac:dyDescent="0.2">
      <c r="B13180" s="3">
        <v>45704</v>
      </c>
      <c r="C13180" s="29"/>
      <c r="D13180" s="28"/>
      <c r="G13180" s="2">
        <f t="shared" si="205"/>
        <v>0</v>
      </c>
      <c r="H13180" t="s">
        <v>10</v>
      </c>
    </row>
    <row r="13181" spans="2:8" x14ac:dyDescent="0.2">
      <c r="B13181" s="3">
        <v>45704</v>
      </c>
      <c r="C13181" s="29"/>
      <c r="D13181" s="28"/>
      <c r="G13181" s="2">
        <f t="shared" si="205"/>
        <v>0</v>
      </c>
      <c r="H13181" t="s">
        <v>9</v>
      </c>
    </row>
    <row r="13182" spans="2:8" x14ac:dyDescent="0.2">
      <c r="B13182" s="3">
        <v>45704</v>
      </c>
      <c r="C13182" s="29"/>
      <c r="D13182" s="28"/>
      <c r="G13182" s="2">
        <f t="shared" si="205"/>
        <v>0</v>
      </c>
      <c r="H13182" t="s">
        <v>8</v>
      </c>
    </row>
    <row r="13183" spans="2:8" x14ac:dyDescent="0.2">
      <c r="B13183" s="3">
        <v>45704</v>
      </c>
      <c r="C13183" s="29"/>
      <c r="D13183" s="28"/>
      <c r="G13183" s="2">
        <f t="shared" si="205"/>
        <v>0</v>
      </c>
      <c r="H13183" t="s">
        <v>7</v>
      </c>
    </row>
    <row r="13184" spans="2:8" x14ac:dyDescent="0.2">
      <c r="B13184" s="3">
        <v>45704</v>
      </c>
      <c r="C13184" s="29"/>
      <c r="D13184" s="28"/>
      <c r="G13184" s="2">
        <f t="shared" si="205"/>
        <v>0</v>
      </c>
      <c r="H13184" t="s">
        <v>6</v>
      </c>
    </row>
    <row r="13185" spans="2:8" x14ac:dyDescent="0.2">
      <c r="B13185" s="3">
        <v>45704</v>
      </c>
      <c r="C13185" s="29"/>
      <c r="D13185" s="28"/>
      <c r="G13185" s="2">
        <f t="shared" si="205"/>
        <v>0</v>
      </c>
      <c r="H13185" t="s">
        <v>5</v>
      </c>
    </row>
    <row r="13186" spans="2:8" x14ac:dyDescent="0.2">
      <c r="B13186" s="3">
        <v>45704</v>
      </c>
      <c r="C13186" s="29"/>
      <c r="D13186" s="28"/>
      <c r="G13186" s="2">
        <f t="shared" si="205"/>
        <v>0</v>
      </c>
      <c r="H13186" s="1"/>
    </row>
    <row r="13187" spans="2:8" x14ac:dyDescent="0.2">
      <c r="B13187" s="3">
        <v>45704</v>
      </c>
      <c r="C13187" s="29"/>
      <c r="G13187" s="2">
        <f t="shared" ref="G13187:G13250" si="206">E13187-F13187</f>
        <v>0</v>
      </c>
      <c r="H13187" t="s">
        <v>0</v>
      </c>
    </row>
    <row r="13188" spans="2:8" x14ac:dyDescent="0.2">
      <c r="B13188" s="3">
        <v>45705</v>
      </c>
      <c r="G13188" s="2">
        <f t="shared" si="206"/>
        <v>0</v>
      </c>
      <c r="H13188" t="s">
        <v>14</v>
      </c>
    </row>
    <row r="13189" spans="2:8" x14ac:dyDescent="0.2">
      <c r="B13189" s="3">
        <v>45705</v>
      </c>
      <c r="G13189" s="2">
        <f t="shared" si="206"/>
        <v>0</v>
      </c>
      <c r="H13189" t="s">
        <v>13</v>
      </c>
    </row>
    <row r="13190" spans="2:8" x14ac:dyDescent="0.2">
      <c r="B13190" s="3">
        <v>45705</v>
      </c>
      <c r="C13190" s="29"/>
      <c r="D13190" s="28"/>
      <c r="E13190" s="32"/>
      <c r="G13190" s="2">
        <f t="shared" si="206"/>
        <v>0</v>
      </c>
      <c r="H13190" t="s">
        <v>11</v>
      </c>
    </row>
    <row r="13191" spans="2:8" x14ac:dyDescent="0.2">
      <c r="B13191" s="3">
        <v>45705</v>
      </c>
      <c r="C13191" s="29"/>
      <c r="D13191" s="28"/>
      <c r="G13191" s="2">
        <f t="shared" si="206"/>
        <v>0</v>
      </c>
      <c r="H13191" t="s">
        <v>10</v>
      </c>
    </row>
    <row r="13192" spans="2:8" x14ac:dyDescent="0.2">
      <c r="B13192" s="3">
        <v>45705</v>
      </c>
      <c r="C13192" s="29"/>
      <c r="D13192" s="28"/>
      <c r="G13192" s="2">
        <f t="shared" si="206"/>
        <v>0</v>
      </c>
      <c r="H13192" t="s">
        <v>9</v>
      </c>
    </row>
    <row r="13193" spans="2:8" x14ac:dyDescent="0.2">
      <c r="B13193" s="3">
        <v>45705</v>
      </c>
      <c r="C13193" s="29"/>
      <c r="D13193" s="28"/>
      <c r="G13193" s="2">
        <f t="shared" si="206"/>
        <v>0</v>
      </c>
      <c r="H13193" t="s">
        <v>8</v>
      </c>
    </row>
    <row r="13194" spans="2:8" x14ac:dyDescent="0.2">
      <c r="B13194" s="3">
        <v>45705</v>
      </c>
      <c r="C13194" s="29"/>
      <c r="D13194" s="28"/>
      <c r="F13194" s="1">
        <v>3000</v>
      </c>
      <c r="G13194" s="2">
        <f t="shared" si="206"/>
        <v>-3000</v>
      </c>
      <c r="H13194" t="s">
        <v>7</v>
      </c>
    </row>
    <row r="13195" spans="2:8" x14ac:dyDescent="0.2">
      <c r="B13195" s="3">
        <v>45705</v>
      </c>
      <c r="C13195" s="29"/>
      <c r="D13195" s="28"/>
      <c r="G13195" s="2">
        <f t="shared" si="206"/>
        <v>0</v>
      </c>
      <c r="H13195" t="s">
        <v>6</v>
      </c>
    </row>
    <row r="13196" spans="2:8" x14ac:dyDescent="0.2">
      <c r="B13196" s="3">
        <v>45705</v>
      </c>
      <c r="C13196" s="29"/>
      <c r="D13196" s="28"/>
      <c r="G13196" s="2">
        <f t="shared" si="206"/>
        <v>0</v>
      </c>
      <c r="H13196" t="s">
        <v>5</v>
      </c>
    </row>
    <row r="13197" spans="2:8" x14ac:dyDescent="0.2">
      <c r="B13197" s="3">
        <v>45705</v>
      </c>
      <c r="C13197" s="29"/>
      <c r="D13197" s="28"/>
      <c r="G13197" s="2">
        <f t="shared" si="206"/>
        <v>0</v>
      </c>
      <c r="H13197" s="1"/>
    </row>
    <row r="13198" spans="2:8" x14ac:dyDescent="0.2">
      <c r="B13198" s="3">
        <v>45705</v>
      </c>
      <c r="C13198" s="29"/>
      <c r="G13198" s="2">
        <f t="shared" si="206"/>
        <v>0</v>
      </c>
      <c r="H13198" t="s">
        <v>0</v>
      </c>
    </row>
    <row r="13199" spans="2:8" x14ac:dyDescent="0.2">
      <c r="B13199" s="3">
        <v>45706</v>
      </c>
      <c r="G13199" s="2">
        <f t="shared" si="206"/>
        <v>0</v>
      </c>
      <c r="H13199" t="s">
        <v>14</v>
      </c>
    </row>
    <row r="13200" spans="2:8" x14ac:dyDescent="0.2">
      <c r="B13200" s="3">
        <v>45706</v>
      </c>
      <c r="G13200" s="2">
        <f t="shared" si="206"/>
        <v>0</v>
      </c>
      <c r="H13200" t="s">
        <v>13</v>
      </c>
    </row>
    <row r="13201" spans="2:8" x14ac:dyDescent="0.2">
      <c r="B13201" s="3">
        <v>45706</v>
      </c>
      <c r="C13201" s="29"/>
      <c r="D13201" s="28"/>
      <c r="G13201" s="2">
        <f t="shared" si="206"/>
        <v>0</v>
      </c>
      <c r="H13201" t="s">
        <v>11</v>
      </c>
    </row>
    <row r="13202" spans="2:8" x14ac:dyDescent="0.2">
      <c r="B13202" s="3">
        <v>45706</v>
      </c>
      <c r="C13202" s="29"/>
      <c r="D13202" s="28"/>
      <c r="G13202" s="2">
        <f t="shared" si="206"/>
        <v>0</v>
      </c>
      <c r="H13202" t="s">
        <v>10</v>
      </c>
    </row>
    <row r="13203" spans="2:8" x14ac:dyDescent="0.2">
      <c r="B13203" s="3">
        <v>45706</v>
      </c>
      <c r="C13203" s="29"/>
      <c r="D13203" s="28"/>
      <c r="G13203" s="2">
        <f t="shared" si="206"/>
        <v>0</v>
      </c>
      <c r="H13203" t="s">
        <v>9</v>
      </c>
    </row>
    <row r="13204" spans="2:8" x14ac:dyDescent="0.2">
      <c r="B13204" s="3">
        <v>45706</v>
      </c>
      <c r="C13204" s="29"/>
      <c r="D13204" s="28"/>
      <c r="F13204" s="1">
        <v>25000</v>
      </c>
      <c r="G13204" s="2">
        <f t="shared" si="206"/>
        <v>-25000</v>
      </c>
      <c r="H13204" t="s">
        <v>8</v>
      </c>
    </row>
    <row r="13205" spans="2:8" x14ac:dyDescent="0.2">
      <c r="B13205" s="3">
        <v>45706</v>
      </c>
      <c r="C13205" s="29"/>
      <c r="D13205" s="28"/>
      <c r="G13205" s="2">
        <f t="shared" si="206"/>
        <v>0</v>
      </c>
      <c r="H13205" t="s">
        <v>7</v>
      </c>
    </row>
    <row r="13206" spans="2:8" x14ac:dyDescent="0.2">
      <c r="B13206" s="3">
        <v>45706</v>
      </c>
      <c r="C13206" s="29"/>
      <c r="D13206" s="28"/>
      <c r="G13206" s="2">
        <f t="shared" si="206"/>
        <v>0</v>
      </c>
      <c r="H13206" t="s">
        <v>6</v>
      </c>
    </row>
    <row r="13207" spans="2:8" x14ac:dyDescent="0.2">
      <c r="B13207" s="3">
        <v>45706</v>
      </c>
      <c r="C13207" s="29"/>
      <c r="D13207" s="28"/>
      <c r="G13207" s="2">
        <f t="shared" si="206"/>
        <v>0</v>
      </c>
      <c r="H13207" t="s">
        <v>5</v>
      </c>
    </row>
    <row r="13208" spans="2:8" x14ac:dyDescent="0.2">
      <c r="B13208" s="3">
        <v>45706</v>
      </c>
      <c r="C13208" s="29"/>
      <c r="D13208" s="28"/>
      <c r="G13208" s="2">
        <f t="shared" si="206"/>
        <v>0</v>
      </c>
      <c r="H13208" s="1"/>
    </row>
    <row r="13209" spans="2:8" x14ac:dyDescent="0.2">
      <c r="B13209" s="3">
        <v>45706</v>
      </c>
      <c r="C13209" s="29"/>
      <c r="F13209" s="1">
        <v>50000</v>
      </c>
      <c r="G13209" s="2">
        <f t="shared" si="206"/>
        <v>-50000</v>
      </c>
      <c r="H13209" t="s">
        <v>0</v>
      </c>
    </row>
    <row r="13210" spans="2:8" x14ac:dyDescent="0.2">
      <c r="B13210" s="3">
        <v>45707</v>
      </c>
      <c r="G13210" s="2">
        <f t="shared" si="206"/>
        <v>0</v>
      </c>
      <c r="H13210" t="s">
        <v>14</v>
      </c>
    </row>
    <row r="13211" spans="2:8" x14ac:dyDescent="0.2">
      <c r="B13211" s="3">
        <v>45707</v>
      </c>
      <c r="G13211" s="2">
        <f t="shared" si="206"/>
        <v>0</v>
      </c>
      <c r="H13211" t="s">
        <v>13</v>
      </c>
    </row>
    <row r="13212" spans="2:8" x14ac:dyDescent="0.2">
      <c r="B13212" s="3">
        <v>45707</v>
      </c>
      <c r="C13212" s="29"/>
      <c r="D13212" s="28"/>
      <c r="G13212" s="2">
        <f t="shared" si="206"/>
        <v>0</v>
      </c>
      <c r="H13212" t="s">
        <v>11</v>
      </c>
    </row>
    <row r="13213" spans="2:8" x14ac:dyDescent="0.2">
      <c r="B13213" s="3">
        <v>45707</v>
      </c>
      <c r="C13213" s="29"/>
      <c r="D13213" s="28"/>
      <c r="G13213" s="2">
        <f t="shared" si="206"/>
        <v>0</v>
      </c>
      <c r="H13213" t="s">
        <v>10</v>
      </c>
    </row>
    <row r="13214" spans="2:8" x14ac:dyDescent="0.2">
      <c r="B13214" s="3">
        <v>45707</v>
      </c>
      <c r="C13214" s="29"/>
      <c r="D13214" s="28"/>
      <c r="G13214" s="2">
        <f t="shared" si="206"/>
        <v>0</v>
      </c>
      <c r="H13214" t="s">
        <v>9</v>
      </c>
    </row>
    <row r="13215" spans="2:8" x14ac:dyDescent="0.2">
      <c r="B13215" s="3">
        <v>45707</v>
      </c>
      <c r="C13215" s="1">
        <v>18</v>
      </c>
      <c r="D13215" s="28">
        <v>28280</v>
      </c>
      <c r="E13215" s="1">
        <v>31220</v>
      </c>
      <c r="G13215" s="2">
        <f t="shared" si="206"/>
        <v>31220</v>
      </c>
      <c r="H13215" t="s">
        <v>8</v>
      </c>
    </row>
    <row r="13216" spans="2:8" x14ac:dyDescent="0.2">
      <c r="B13216" s="3">
        <v>45707</v>
      </c>
      <c r="C13216" s="29"/>
      <c r="D13216" s="28"/>
      <c r="G13216" s="2">
        <f t="shared" si="206"/>
        <v>0</v>
      </c>
      <c r="H13216" t="s">
        <v>7</v>
      </c>
    </row>
    <row r="13217" spans="2:8" x14ac:dyDescent="0.2">
      <c r="B13217" s="3">
        <v>45707</v>
      </c>
      <c r="C13217" s="29"/>
      <c r="D13217" s="28"/>
      <c r="G13217" s="2">
        <f t="shared" si="206"/>
        <v>0</v>
      </c>
      <c r="H13217" t="s">
        <v>6</v>
      </c>
    </row>
    <row r="13218" spans="2:8" x14ac:dyDescent="0.2">
      <c r="B13218" s="3">
        <v>45707</v>
      </c>
      <c r="C13218" s="1">
        <v>19</v>
      </c>
      <c r="D13218" s="28">
        <v>27050</v>
      </c>
      <c r="E13218" s="1">
        <v>27400</v>
      </c>
      <c r="F13218" s="1">
        <v>27400</v>
      </c>
      <c r="G13218" s="2">
        <f t="shared" si="206"/>
        <v>0</v>
      </c>
      <c r="H13218" t="s">
        <v>5</v>
      </c>
    </row>
    <row r="13219" spans="2:8" x14ac:dyDescent="0.2">
      <c r="B13219" s="3">
        <v>45707</v>
      </c>
      <c r="C13219" s="29"/>
      <c r="D13219" s="28"/>
      <c r="G13219" s="2">
        <f t="shared" si="206"/>
        <v>0</v>
      </c>
      <c r="H13219" s="1"/>
    </row>
    <row r="13220" spans="2:8" x14ac:dyDescent="0.2">
      <c r="B13220" s="3">
        <v>45707</v>
      </c>
      <c r="C13220" s="29"/>
      <c r="G13220" s="2">
        <f t="shared" si="206"/>
        <v>0</v>
      </c>
      <c r="H13220" t="s">
        <v>0</v>
      </c>
    </row>
    <row r="13221" spans="2:8" x14ac:dyDescent="0.2">
      <c r="B13221" s="3">
        <v>45708</v>
      </c>
      <c r="G13221" s="2">
        <f t="shared" si="206"/>
        <v>0</v>
      </c>
      <c r="H13221" t="s">
        <v>14</v>
      </c>
    </row>
    <row r="13222" spans="2:8" x14ac:dyDescent="0.2">
      <c r="B13222" s="3">
        <v>45708</v>
      </c>
      <c r="G13222" s="2">
        <f t="shared" si="206"/>
        <v>0</v>
      </c>
      <c r="H13222" t="s">
        <v>13</v>
      </c>
    </row>
    <row r="13223" spans="2:8" x14ac:dyDescent="0.2">
      <c r="B13223" s="3">
        <v>45708</v>
      </c>
      <c r="C13223" s="29"/>
      <c r="D13223" s="28"/>
      <c r="E13223" s="32"/>
      <c r="G13223" s="2">
        <f t="shared" si="206"/>
        <v>0</v>
      </c>
      <c r="H13223" t="s">
        <v>11</v>
      </c>
    </row>
    <row r="13224" spans="2:8" x14ac:dyDescent="0.2">
      <c r="B13224" s="3">
        <v>45708</v>
      </c>
      <c r="C13224" s="29"/>
      <c r="D13224" s="28"/>
      <c r="G13224" s="2">
        <f t="shared" si="206"/>
        <v>0</v>
      </c>
      <c r="H13224" t="s">
        <v>10</v>
      </c>
    </row>
    <row r="13225" spans="2:8" x14ac:dyDescent="0.2">
      <c r="B13225" s="3">
        <v>45708</v>
      </c>
      <c r="C13225" s="29"/>
      <c r="D13225" s="28"/>
      <c r="G13225" s="2">
        <f t="shared" si="206"/>
        <v>0</v>
      </c>
      <c r="H13225" t="s">
        <v>9</v>
      </c>
    </row>
    <row r="13226" spans="2:8" x14ac:dyDescent="0.2">
      <c r="B13226" s="3">
        <v>45708</v>
      </c>
      <c r="C13226" s="29"/>
      <c r="D13226" s="28"/>
      <c r="G13226" s="2">
        <f t="shared" si="206"/>
        <v>0</v>
      </c>
      <c r="H13226" t="s">
        <v>8</v>
      </c>
    </row>
    <row r="13227" spans="2:8" x14ac:dyDescent="0.2">
      <c r="B13227" s="3">
        <v>45708</v>
      </c>
      <c r="C13227" s="29"/>
      <c r="D13227" s="28"/>
      <c r="G13227" s="2">
        <f t="shared" si="206"/>
        <v>0</v>
      </c>
      <c r="H13227" t="s">
        <v>7</v>
      </c>
    </row>
    <row r="13228" spans="2:8" x14ac:dyDescent="0.2">
      <c r="B13228" s="3">
        <v>45708</v>
      </c>
      <c r="C13228" s="29"/>
      <c r="D13228" s="28"/>
      <c r="G13228" s="2">
        <f t="shared" si="206"/>
        <v>0</v>
      </c>
      <c r="H13228" t="s">
        <v>6</v>
      </c>
    </row>
    <row r="13229" spans="2:8" x14ac:dyDescent="0.2">
      <c r="B13229" s="3">
        <v>45708</v>
      </c>
      <c r="C13229" s="29"/>
      <c r="D13229" s="28"/>
      <c r="G13229" s="2">
        <f t="shared" si="206"/>
        <v>0</v>
      </c>
      <c r="H13229" t="s">
        <v>5</v>
      </c>
    </row>
    <row r="13230" spans="2:8" x14ac:dyDescent="0.2">
      <c r="B13230" s="3">
        <v>45708</v>
      </c>
      <c r="C13230" s="29"/>
      <c r="D13230" s="28"/>
      <c r="F13230" s="1">
        <v>1940</v>
      </c>
      <c r="G13230" s="2">
        <f t="shared" si="206"/>
        <v>-1940</v>
      </c>
      <c r="H13230" s="1"/>
    </row>
    <row r="13231" spans="2:8" x14ac:dyDescent="0.2">
      <c r="B13231" s="3">
        <v>45708</v>
      </c>
      <c r="C13231" s="1">
        <v>10309</v>
      </c>
      <c r="D13231" s="1">
        <v>185677.59999999995</v>
      </c>
      <c r="E13231" s="1">
        <v>192407.47999999995</v>
      </c>
      <c r="G13231" s="2">
        <f t="shared" si="206"/>
        <v>192407.47999999995</v>
      </c>
      <c r="H13231" t="s">
        <v>0</v>
      </c>
    </row>
    <row r="13232" spans="2:8" x14ac:dyDescent="0.2">
      <c r="B13232" s="3">
        <v>45709</v>
      </c>
      <c r="G13232" s="2">
        <f t="shared" si="206"/>
        <v>0</v>
      </c>
      <c r="H13232" t="s">
        <v>14</v>
      </c>
    </row>
    <row r="13233" spans="2:8" x14ac:dyDescent="0.2">
      <c r="B13233" s="3">
        <v>45709</v>
      </c>
      <c r="G13233" s="2">
        <f t="shared" si="206"/>
        <v>0</v>
      </c>
      <c r="H13233" t="s">
        <v>13</v>
      </c>
    </row>
    <row r="13234" spans="2:8" x14ac:dyDescent="0.2">
      <c r="B13234" s="3">
        <v>45709</v>
      </c>
      <c r="C13234" s="29"/>
      <c r="D13234" s="28"/>
      <c r="G13234" s="2">
        <f t="shared" si="206"/>
        <v>0</v>
      </c>
      <c r="H13234" t="s">
        <v>11</v>
      </c>
    </row>
    <row r="13235" spans="2:8" x14ac:dyDescent="0.2">
      <c r="B13235" s="3">
        <v>45709</v>
      </c>
      <c r="C13235" s="29"/>
      <c r="D13235" s="28"/>
      <c r="G13235" s="2">
        <f t="shared" si="206"/>
        <v>0</v>
      </c>
      <c r="H13235" t="s">
        <v>10</v>
      </c>
    </row>
    <row r="13236" spans="2:8" x14ac:dyDescent="0.2">
      <c r="B13236" s="3">
        <v>45709</v>
      </c>
      <c r="C13236" s="29"/>
      <c r="D13236" s="28"/>
      <c r="G13236" s="2">
        <f t="shared" si="206"/>
        <v>0</v>
      </c>
      <c r="H13236" t="s">
        <v>9</v>
      </c>
    </row>
    <row r="13237" spans="2:8" x14ac:dyDescent="0.2">
      <c r="B13237" s="3">
        <v>45709</v>
      </c>
      <c r="C13237" s="29"/>
      <c r="D13237" s="28"/>
      <c r="G13237" s="2">
        <f t="shared" si="206"/>
        <v>0</v>
      </c>
      <c r="H13237" t="s">
        <v>8</v>
      </c>
    </row>
    <row r="13238" spans="2:8" x14ac:dyDescent="0.2">
      <c r="B13238" s="3">
        <v>45709</v>
      </c>
      <c r="C13238" s="29"/>
      <c r="D13238" s="28"/>
      <c r="G13238" s="2">
        <f t="shared" si="206"/>
        <v>0</v>
      </c>
      <c r="H13238" t="s">
        <v>7</v>
      </c>
    </row>
    <row r="13239" spans="2:8" x14ac:dyDescent="0.2">
      <c r="B13239" s="3">
        <v>45709</v>
      </c>
      <c r="C13239" s="29"/>
      <c r="D13239" s="28"/>
      <c r="G13239" s="2">
        <f t="shared" si="206"/>
        <v>0</v>
      </c>
      <c r="H13239" t="s">
        <v>6</v>
      </c>
    </row>
    <row r="13240" spans="2:8" x14ac:dyDescent="0.2">
      <c r="B13240" s="3">
        <v>45709</v>
      </c>
      <c r="C13240" s="29"/>
      <c r="D13240" s="28"/>
      <c r="G13240" s="2">
        <f t="shared" si="206"/>
        <v>0</v>
      </c>
      <c r="H13240" t="s">
        <v>5</v>
      </c>
    </row>
    <row r="13241" spans="2:8" x14ac:dyDescent="0.2">
      <c r="B13241" s="3">
        <v>45709</v>
      </c>
      <c r="C13241" s="29"/>
      <c r="D13241" s="28"/>
      <c r="G13241" s="2">
        <f t="shared" si="206"/>
        <v>0</v>
      </c>
      <c r="H13241" s="1"/>
    </row>
    <row r="13242" spans="2:8" x14ac:dyDescent="0.2">
      <c r="B13242" s="3">
        <v>45709</v>
      </c>
      <c r="C13242" s="29"/>
      <c r="G13242" s="2">
        <f t="shared" si="206"/>
        <v>0</v>
      </c>
      <c r="H13242" t="s">
        <v>0</v>
      </c>
    </row>
    <row r="13243" spans="2:8" x14ac:dyDescent="0.2">
      <c r="B13243" s="3">
        <v>45710</v>
      </c>
      <c r="G13243" s="2">
        <f t="shared" si="206"/>
        <v>0</v>
      </c>
      <c r="H13243" t="s">
        <v>14</v>
      </c>
    </row>
    <row r="13244" spans="2:8" x14ac:dyDescent="0.2">
      <c r="B13244" s="3">
        <v>45710</v>
      </c>
      <c r="G13244" s="2">
        <f t="shared" si="206"/>
        <v>0</v>
      </c>
      <c r="H13244" t="s">
        <v>13</v>
      </c>
    </row>
    <row r="13245" spans="2:8" x14ac:dyDescent="0.2">
      <c r="B13245" s="3">
        <v>45710</v>
      </c>
      <c r="C13245" s="29"/>
      <c r="D13245" s="28"/>
      <c r="G13245" s="2">
        <f t="shared" si="206"/>
        <v>0</v>
      </c>
      <c r="H13245" t="s">
        <v>11</v>
      </c>
    </row>
    <row r="13246" spans="2:8" x14ac:dyDescent="0.2">
      <c r="B13246" s="3">
        <v>45710</v>
      </c>
      <c r="C13246" s="29"/>
      <c r="D13246" s="28"/>
      <c r="G13246" s="2">
        <f t="shared" si="206"/>
        <v>0</v>
      </c>
      <c r="H13246" t="s">
        <v>10</v>
      </c>
    </row>
    <row r="13247" spans="2:8" x14ac:dyDescent="0.2">
      <c r="B13247" s="3">
        <v>45710</v>
      </c>
      <c r="C13247" s="29"/>
      <c r="D13247" s="28"/>
      <c r="G13247" s="2">
        <f t="shared" si="206"/>
        <v>0</v>
      </c>
      <c r="H13247" t="s">
        <v>9</v>
      </c>
    </row>
    <row r="13248" spans="2:8" x14ac:dyDescent="0.2">
      <c r="B13248" s="3">
        <v>45710</v>
      </c>
      <c r="C13248" s="29"/>
      <c r="D13248" s="28"/>
      <c r="G13248" s="2">
        <f t="shared" si="206"/>
        <v>0</v>
      </c>
      <c r="H13248" t="s">
        <v>8</v>
      </c>
    </row>
    <row r="13249" spans="2:8" x14ac:dyDescent="0.2">
      <c r="B13249" s="3">
        <v>45710</v>
      </c>
      <c r="C13249" s="29"/>
      <c r="D13249" s="28"/>
      <c r="G13249" s="2">
        <f t="shared" si="206"/>
        <v>0</v>
      </c>
      <c r="H13249" t="s">
        <v>7</v>
      </c>
    </row>
    <row r="13250" spans="2:8" x14ac:dyDescent="0.2">
      <c r="B13250" s="3">
        <v>45710</v>
      </c>
      <c r="C13250" s="29"/>
      <c r="D13250" s="28"/>
      <c r="G13250" s="2">
        <f t="shared" si="206"/>
        <v>0</v>
      </c>
      <c r="H13250" t="s">
        <v>6</v>
      </c>
    </row>
    <row r="13251" spans="2:8" x14ac:dyDescent="0.2">
      <c r="B13251" s="3">
        <v>45710</v>
      </c>
      <c r="C13251" s="29"/>
      <c r="D13251" s="28"/>
      <c r="G13251" s="2">
        <f t="shared" ref="G13251:G13314" si="207">E13251-F13251</f>
        <v>0</v>
      </c>
      <c r="H13251" t="s">
        <v>5</v>
      </c>
    </row>
    <row r="13252" spans="2:8" x14ac:dyDescent="0.2">
      <c r="B13252" s="3">
        <v>45710</v>
      </c>
      <c r="C13252" s="29"/>
      <c r="D13252" s="28"/>
      <c r="G13252" s="2">
        <f t="shared" si="207"/>
        <v>0</v>
      </c>
      <c r="H13252" s="1"/>
    </row>
    <row r="13253" spans="2:8" x14ac:dyDescent="0.2">
      <c r="B13253" s="3">
        <v>45710</v>
      </c>
      <c r="C13253" s="29"/>
      <c r="F13253" s="1">
        <v>90000</v>
      </c>
      <c r="G13253" s="2">
        <f t="shared" si="207"/>
        <v>-90000</v>
      </c>
      <c r="H13253" t="s">
        <v>0</v>
      </c>
    </row>
    <row r="13254" spans="2:8" x14ac:dyDescent="0.2">
      <c r="B13254" s="3">
        <v>45711</v>
      </c>
      <c r="G13254" s="2">
        <f t="shared" si="207"/>
        <v>0</v>
      </c>
      <c r="H13254" t="s">
        <v>14</v>
      </c>
    </row>
    <row r="13255" spans="2:8" x14ac:dyDescent="0.2">
      <c r="B13255" s="3">
        <v>45711</v>
      </c>
      <c r="G13255" s="2">
        <f t="shared" si="207"/>
        <v>0</v>
      </c>
      <c r="H13255" t="s">
        <v>13</v>
      </c>
    </row>
    <row r="13256" spans="2:8" x14ac:dyDescent="0.2">
      <c r="B13256" s="3">
        <v>45711</v>
      </c>
      <c r="C13256" s="29"/>
      <c r="D13256" s="28"/>
      <c r="G13256" s="2">
        <f t="shared" si="207"/>
        <v>0</v>
      </c>
      <c r="H13256" t="s">
        <v>11</v>
      </c>
    </row>
    <row r="13257" spans="2:8" x14ac:dyDescent="0.2">
      <c r="B13257" s="3">
        <v>45711</v>
      </c>
      <c r="C13257" s="29"/>
      <c r="D13257" s="28"/>
      <c r="G13257" s="2">
        <f t="shared" si="207"/>
        <v>0</v>
      </c>
      <c r="H13257" t="s">
        <v>10</v>
      </c>
    </row>
    <row r="13258" spans="2:8" x14ac:dyDescent="0.2">
      <c r="B13258" s="3">
        <v>45711</v>
      </c>
      <c r="C13258" s="29"/>
      <c r="D13258" s="28"/>
      <c r="G13258" s="2">
        <f t="shared" si="207"/>
        <v>0</v>
      </c>
      <c r="H13258" t="s">
        <v>9</v>
      </c>
    </row>
    <row r="13259" spans="2:8" x14ac:dyDescent="0.2">
      <c r="B13259" s="3">
        <v>45711</v>
      </c>
      <c r="C13259" s="29"/>
      <c r="D13259" s="28"/>
      <c r="G13259" s="2">
        <f t="shared" si="207"/>
        <v>0</v>
      </c>
      <c r="H13259" t="s">
        <v>8</v>
      </c>
    </row>
    <row r="13260" spans="2:8" x14ac:dyDescent="0.2">
      <c r="B13260" s="3">
        <v>45711</v>
      </c>
      <c r="C13260" s="29"/>
      <c r="D13260" s="28"/>
      <c r="G13260" s="2">
        <f t="shared" si="207"/>
        <v>0</v>
      </c>
      <c r="H13260" t="s">
        <v>7</v>
      </c>
    </row>
    <row r="13261" spans="2:8" x14ac:dyDescent="0.2">
      <c r="B13261" s="3">
        <v>45711</v>
      </c>
      <c r="C13261" s="29"/>
      <c r="D13261" s="28"/>
      <c r="G13261" s="2">
        <f t="shared" si="207"/>
        <v>0</v>
      </c>
      <c r="H13261" t="s">
        <v>6</v>
      </c>
    </row>
    <row r="13262" spans="2:8" x14ac:dyDescent="0.2">
      <c r="B13262" s="3">
        <v>45711</v>
      </c>
      <c r="C13262" s="29"/>
      <c r="D13262" s="28"/>
      <c r="G13262" s="2">
        <f t="shared" si="207"/>
        <v>0</v>
      </c>
      <c r="H13262" t="s">
        <v>5</v>
      </c>
    </row>
    <row r="13263" spans="2:8" x14ac:dyDescent="0.2">
      <c r="B13263" s="3">
        <v>45711</v>
      </c>
      <c r="C13263" s="29"/>
      <c r="D13263" s="28"/>
      <c r="G13263" s="2">
        <f t="shared" si="207"/>
        <v>0</v>
      </c>
      <c r="H13263" s="1"/>
    </row>
    <row r="13264" spans="2:8" x14ac:dyDescent="0.2">
      <c r="B13264" s="3">
        <v>45711</v>
      </c>
      <c r="C13264" s="29"/>
      <c r="G13264" s="2">
        <f t="shared" si="207"/>
        <v>0</v>
      </c>
      <c r="H13264" t="s">
        <v>0</v>
      </c>
    </row>
    <row r="13265" spans="2:8" x14ac:dyDescent="0.2">
      <c r="B13265" s="3">
        <v>45712</v>
      </c>
      <c r="C13265" s="1">
        <v>20</v>
      </c>
      <c r="D13265" s="1">
        <v>15345</v>
      </c>
      <c r="E13265" s="1">
        <v>15755</v>
      </c>
      <c r="G13265" s="2">
        <f t="shared" si="207"/>
        <v>15755</v>
      </c>
      <c r="H13265" t="s">
        <v>14</v>
      </c>
    </row>
    <row r="13266" spans="2:8" x14ac:dyDescent="0.2">
      <c r="B13266" s="3">
        <v>45712</v>
      </c>
      <c r="G13266" s="2">
        <f t="shared" si="207"/>
        <v>0</v>
      </c>
      <c r="H13266" t="s">
        <v>13</v>
      </c>
    </row>
    <row r="13267" spans="2:8" x14ac:dyDescent="0.2">
      <c r="B13267" s="3">
        <v>45712</v>
      </c>
      <c r="C13267" s="29"/>
      <c r="D13267" s="28"/>
      <c r="G13267" s="2">
        <f t="shared" si="207"/>
        <v>0</v>
      </c>
      <c r="H13267" t="s">
        <v>11</v>
      </c>
    </row>
    <row r="13268" spans="2:8" x14ac:dyDescent="0.2">
      <c r="B13268" s="3">
        <v>45712</v>
      </c>
      <c r="C13268" s="29"/>
      <c r="D13268" s="28"/>
      <c r="G13268" s="2">
        <f t="shared" si="207"/>
        <v>0</v>
      </c>
      <c r="H13268" t="s">
        <v>10</v>
      </c>
    </row>
    <row r="13269" spans="2:8" x14ac:dyDescent="0.2">
      <c r="B13269" s="3">
        <v>45712</v>
      </c>
      <c r="C13269" s="29"/>
      <c r="D13269" s="28"/>
      <c r="G13269" s="2">
        <f t="shared" si="207"/>
        <v>0</v>
      </c>
      <c r="H13269" t="s">
        <v>9</v>
      </c>
    </row>
    <row r="13270" spans="2:8" x14ac:dyDescent="0.2">
      <c r="B13270" s="3">
        <v>45712</v>
      </c>
      <c r="C13270" s="29"/>
      <c r="D13270" s="28"/>
      <c r="G13270" s="2">
        <f t="shared" si="207"/>
        <v>0</v>
      </c>
      <c r="H13270" t="s">
        <v>8</v>
      </c>
    </row>
    <row r="13271" spans="2:8" x14ac:dyDescent="0.2">
      <c r="B13271" s="3">
        <v>45712</v>
      </c>
      <c r="C13271" s="29"/>
      <c r="D13271" s="28"/>
      <c r="G13271" s="2">
        <f t="shared" si="207"/>
        <v>0</v>
      </c>
      <c r="H13271" t="s">
        <v>7</v>
      </c>
    </row>
    <row r="13272" spans="2:8" x14ac:dyDescent="0.2">
      <c r="B13272" s="3">
        <v>45712</v>
      </c>
      <c r="C13272" s="29"/>
      <c r="D13272" s="28"/>
      <c r="G13272" s="2">
        <f t="shared" si="207"/>
        <v>0</v>
      </c>
      <c r="H13272" t="s">
        <v>6</v>
      </c>
    </row>
    <row r="13273" spans="2:8" x14ac:dyDescent="0.2">
      <c r="B13273" s="3">
        <v>45712</v>
      </c>
      <c r="C13273" s="29"/>
      <c r="D13273" s="28"/>
      <c r="G13273" s="2">
        <f t="shared" si="207"/>
        <v>0</v>
      </c>
      <c r="H13273" t="s">
        <v>5</v>
      </c>
    </row>
    <row r="13274" spans="2:8" x14ac:dyDescent="0.2">
      <c r="B13274" s="3">
        <v>45712</v>
      </c>
      <c r="C13274" s="29"/>
      <c r="D13274" s="28"/>
      <c r="G13274" s="2">
        <f t="shared" si="207"/>
        <v>0</v>
      </c>
      <c r="H13274" s="1"/>
    </row>
    <row r="13275" spans="2:8" x14ac:dyDescent="0.2">
      <c r="B13275" s="3">
        <v>45712</v>
      </c>
      <c r="C13275" s="29"/>
      <c r="G13275" s="2">
        <f t="shared" si="207"/>
        <v>0</v>
      </c>
      <c r="H13275" t="s">
        <v>0</v>
      </c>
    </row>
    <row r="13276" spans="2:8" x14ac:dyDescent="0.2">
      <c r="B13276" s="3">
        <v>45713</v>
      </c>
      <c r="G13276" s="2">
        <f t="shared" si="207"/>
        <v>0</v>
      </c>
      <c r="H13276" t="s">
        <v>14</v>
      </c>
    </row>
    <row r="13277" spans="2:8" x14ac:dyDescent="0.2">
      <c r="B13277" s="3">
        <v>45713</v>
      </c>
      <c r="G13277" s="2">
        <f t="shared" si="207"/>
        <v>0</v>
      </c>
      <c r="H13277" t="s">
        <v>13</v>
      </c>
    </row>
    <row r="13278" spans="2:8" x14ac:dyDescent="0.2">
      <c r="B13278" s="3">
        <v>45713</v>
      </c>
      <c r="C13278" s="29"/>
      <c r="D13278" s="28"/>
      <c r="G13278" s="2">
        <f t="shared" si="207"/>
        <v>0</v>
      </c>
      <c r="H13278" t="s">
        <v>11</v>
      </c>
    </row>
    <row r="13279" spans="2:8" x14ac:dyDescent="0.2">
      <c r="B13279" s="3">
        <v>45713</v>
      </c>
      <c r="C13279" s="29"/>
      <c r="D13279" s="28"/>
      <c r="G13279" s="2">
        <f t="shared" si="207"/>
        <v>0</v>
      </c>
      <c r="H13279" t="s">
        <v>10</v>
      </c>
    </row>
    <row r="13280" spans="2:8" x14ac:dyDescent="0.2">
      <c r="B13280" s="3">
        <v>45713</v>
      </c>
      <c r="C13280" s="29"/>
      <c r="D13280" s="28"/>
      <c r="G13280" s="2">
        <f t="shared" si="207"/>
        <v>0</v>
      </c>
      <c r="H13280" t="s">
        <v>9</v>
      </c>
    </row>
    <row r="13281" spans="2:8" x14ac:dyDescent="0.2">
      <c r="B13281" s="3">
        <v>45713</v>
      </c>
      <c r="C13281" s="29"/>
      <c r="D13281" s="28"/>
      <c r="G13281" s="2">
        <f t="shared" si="207"/>
        <v>0</v>
      </c>
      <c r="H13281" t="s">
        <v>8</v>
      </c>
    </row>
    <row r="13282" spans="2:8" x14ac:dyDescent="0.2">
      <c r="B13282" s="3">
        <v>45713</v>
      </c>
      <c r="C13282" s="29"/>
      <c r="D13282" s="28"/>
      <c r="G13282" s="2">
        <f t="shared" si="207"/>
        <v>0</v>
      </c>
      <c r="H13282" t="s">
        <v>7</v>
      </c>
    </row>
    <row r="13283" spans="2:8" x14ac:dyDescent="0.2">
      <c r="B13283" s="3">
        <v>45713</v>
      </c>
      <c r="C13283" s="29"/>
      <c r="D13283" s="28"/>
      <c r="G13283" s="2">
        <f t="shared" si="207"/>
        <v>0</v>
      </c>
      <c r="H13283" t="s">
        <v>6</v>
      </c>
    </row>
    <row r="13284" spans="2:8" x14ac:dyDescent="0.2">
      <c r="B13284" s="3">
        <v>45713</v>
      </c>
      <c r="C13284" s="29"/>
      <c r="D13284" s="28"/>
      <c r="G13284" s="2">
        <f t="shared" si="207"/>
        <v>0</v>
      </c>
      <c r="H13284" t="s">
        <v>5</v>
      </c>
    </row>
    <row r="13285" spans="2:8" x14ac:dyDescent="0.2">
      <c r="B13285" s="3">
        <v>45713</v>
      </c>
      <c r="C13285" s="29"/>
      <c r="D13285" s="28"/>
      <c r="G13285" s="2">
        <f t="shared" si="207"/>
        <v>0</v>
      </c>
      <c r="H13285" s="1"/>
    </row>
    <row r="13286" spans="2:8" x14ac:dyDescent="0.2">
      <c r="B13286" s="3">
        <v>45713</v>
      </c>
      <c r="C13286" s="29"/>
      <c r="G13286" s="2">
        <f t="shared" si="207"/>
        <v>0</v>
      </c>
      <c r="H13286" t="s">
        <v>0</v>
      </c>
    </row>
    <row r="13287" spans="2:8" x14ac:dyDescent="0.2">
      <c r="B13287" s="3">
        <v>45714</v>
      </c>
      <c r="F13287" s="1">
        <v>10000</v>
      </c>
      <c r="G13287" s="2">
        <f t="shared" si="207"/>
        <v>-10000</v>
      </c>
      <c r="H13287" t="s">
        <v>14</v>
      </c>
    </row>
    <row r="13288" spans="2:8" x14ac:dyDescent="0.2">
      <c r="B13288" s="3">
        <v>45714</v>
      </c>
      <c r="G13288" s="2">
        <f t="shared" si="207"/>
        <v>0</v>
      </c>
      <c r="H13288" t="s">
        <v>13</v>
      </c>
    </row>
    <row r="13289" spans="2:8" x14ac:dyDescent="0.2">
      <c r="B13289" s="3">
        <v>45714</v>
      </c>
      <c r="C13289" s="1">
        <v>21</v>
      </c>
      <c r="D13289" s="28">
        <v>7480</v>
      </c>
      <c r="E13289" s="1">
        <v>7831</v>
      </c>
      <c r="G13289" s="2">
        <f t="shared" si="207"/>
        <v>7831</v>
      </c>
      <c r="H13289" t="s">
        <v>11</v>
      </c>
    </row>
    <row r="13290" spans="2:8" x14ac:dyDescent="0.2">
      <c r="B13290" s="3">
        <v>45714</v>
      </c>
      <c r="C13290" s="29"/>
      <c r="D13290" s="28"/>
      <c r="G13290" s="2">
        <f t="shared" si="207"/>
        <v>0</v>
      </c>
      <c r="H13290" t="s">
        <v>10</v>
      </c>
    </row>
    <row r="13291" spans="2:8" x14ac:dyDescent="0.2">
      <c r="B13291" s="3">
        <v>45714</v>
      </c>
      <c r="C13291" s="29"/>
      <c r="D13291" s="28"/>
      <c r="G13291" s="2">
        <f t="shared" si="207"/>
        <v>0</v>
      </c>
      <c r="H13291" t="s">
        <v>9</v>
      </c>
    </row>
    <row r="13292" spans="2:8" x14ac:dyDescent="0.2">
      <c r="B13292" s="3">
        <v>45714</v>
      </c>
      <c r="C13292" s="29"/>
      <c r="D13292" s="28"/>
      <c r="G13292" s="2">
        <f t="shared" si="207"/>
        <v>0</v>
      </c>
      <c r="H13292" t="s">
        <v>8</v>
      </c>
    </row>
    <row r="13293" spans="2:8" x14ac:dyDescent="0.2">
      <c r="B13293" s="3">
        <v>45714</v>
      </c>
      <c r="C13293" s="29"/>
      <c r="D13293" s="28"/>
      <c r="G13293" s="2">
        <f t="shared" si="207"/>
        <v>0</v>
      </c>
      <c r="H13293" t="s">
        <v>7</v>
      </c>
    </row>
    <row r="13294" spans="2:8" x14ac:dyDescent="0.2">
      <c r="B13294" s="3">
        <v>45714</v>
      </c>
      <c r="C13294" s="29"/>
      <c r="D13294" s="28"/>
      <c r="G13294" s="2">
        <f t="shared" si="207"/>
        <v>0</v>
      </c>
      <c r="H13294" t="s">
        <v>6</v>
      </c>
    </row>
    <row r="13295" spans="2:8" x14ac:dyDescent="0.2">
      <c r="B13295" s="3">
        <v>45714</v>
      </c>
      <c r="C13295" s="29"/>
      <c r="D13295" s="28"/>
      <c r="G13295" s="2">
        <f t="shared" si="207"/>
        <v>0</v>
      </c>
      <c r="H13295" t="s">
        <v>5</v>
      </c>
    </row>
    <row r="13296" spans="2:8" x14ac:dyDescent="0.2">
      <c r="B13296" s="3">
        <v>45714</v>
      </c>
      <c r="D13296" s="28"/>
      <c r="G13296" s="2">
        <f t="shared" si="207"/>
        <v>0</v>
      </c>
      <c r="H13296" s="1" t="s">
        <v>4</v>
      </c>
    </row>
    <row r="13297" spans="2:8" x14ac:dyDescent="0.2">
      <c r="B13297" s="3">
        <v>45714</v>
      </c>
      <c r="C13297" s="29"/>
      <c r="F13297" s="1">
        <v>80000</v>
      </c>
      <c r="G13297" s="2">
        <f t="shared" si="207"/>
        <v>-80000</v>
      </c>
      <c r="H13297" t="s">
        <v>0</v>
      </c>
    </row>
    <row r="13298" spans="2:8" x14ac:dyDescent="0.2">
      <c r="B13298" s="3">
        <v>45715</v>
      </c>
      <c r="F13298" s="1">
        <v>15000</v>
      </c>
      <c r="G13298" s="2">
        <f t="shared" si="207"/>
        <v>-15000</v>
      </c>
      <c r="H13298" t="s">
        <v>14</v>
      </c>
    </row>
    <row r="13299" spans="2:8" x14ac:dyDescent="0.2">
      <c r="B13299" s="3">
        <v>45715</v>
      </c>
      <c r="G13299" s="2">
        <f t="shared" si="207"/>
        <v>0</v>
      </c>
      <c r="H13299" t="s">
        <v>13</v>
      </c>
    </row>
    <row r="13300" spans="2:8" x14ac:dyDescent="0.2">
      <c r="B13300" s="3">
        <v>45715</v>
      </c>
      <c r="C13300" s="29"/>
      <c r="D13300" s="28"/>
      <c r="G13300" s="2">
        <f t="shared" si="207"/>
        <v>0</v>
      </c>
      <c r="H13300" t="s">
        <v>11</v>
      </c>
    </row>
    <row r="13301" spans="2:8" x14ac:dyDescent="0.2">
      <c r="B13301" s="3">
        <v>45715</v>
      </c>
      <c r="C13301" s="1">
        <v>22</v>
      </c>
      <c r="D13301" s="28">
        <v>1320</v>
      </c>
      <c r="E13301" s="1">
        <v>1340</v>
      </c>
      <c r="G13301" s="2">
        <f t="shared" si="207"/>
        <v>1340</v>
      </c>
      <c r="H13301" t="s">
        <v>10</v>
      </c>
    </row>
    <row r="13302" spans="2:8" x14ac:dyDescent="0.2">
      <c r="B13302" s="3">
        <v>45715</v>
      </c>
      <c r="C13302" s="29"/>
      <c r="D13302" s="28"/>
      <c r="G13302" s="2">
        <f t="shared" si="207"/>
        <v>0</v>
      </c>
      <c r="H13302" t="s">
        <v>9</v>
      </c>
    </row>
    <row r="13303" spans="2:8" x14ac:dyDescent="0.2">
      <c r="B13303" s="3">
        <v>45715</v>
      </c>
      <c r="C13303" s="29"/>
      <c r="D13303" s="28"/>
      <c r="G13303" s="2">
        <f t="shared" si="207"/>
        <v>0</v>
      </c>
      <c r="H13303" t="s">
        <v>8</v>
      </c>
    </row>
    <row r="13304" spans="2:8" x14ac:dyDescent="0.2">
      <c r="B13304" s="3">
        <v>45715</v>
      </c>
      <c r="C13304" s="29"/>
      <c r="D13304" s="28"/>
      <c r="F13304" s="1">
        <v>3000</v>
      </c>
      <c r="G13304" s="2">
        <f t="shared" si="207"/>
        <v>-3000</v>
      </c>
      <c r="H13304" t="s">
        <v>7</v>
      </c>
    </row>
    <row r="13305" spans="2:8" x14ac:dyDescent="0.2">
      <c r="B13305" s="3">
        <v>45715</v>
      </c>
      <c r="C13305" s="29"/>
      <c r="D13305" s="28"/>
      <c r="G13305" s="2">
        <f t="shared" si="207"/>
        <v>0</v>
      </c>
      <c r="H13305" t="s">
        <v>6</v>
      </c>
    </row>
    <row r="13306" spans="2:8" x14ac:dyDescent="0.2">
      <c r="B13306" s="3">
        <v>45715</v>
      </c>
      <c r="C13306" s="29"/>
      <c r="D13306" s="28"/>
      <c r="G13306" s="2">
        <f t="shared" si="207"/>
        <v>0</v>
      </c>
      <c r="H13306" t="s">
        <v>5</v>
      </c>
    </row>
    <row r="13307" spans="2:8" x14ac:dyDescent="0.2">
      <c r="B13307" s="3">
        <v>45715</v>
      </c>
      <c r="D13307" s="28"/>
      <c r="G13307" s="2">
        <f t="shared" si="207"/>
        <v>0</v>
      </c>
      <c r="H13307" s="1"/>
    </row>
    <row r="13308" spans="2:8" x14ac:dyDescent="0.2">
      <c r="B13308" s="3">
        <v>45715</v>
      </c>
      <c r="C13308" s="29"/>
      <c r="G13308" s="2">
        <f t="shared" si="207"/>
        <v>0</v>
      </c>
      <c r="H13308" t="s">
        <v>0</v>
      </c>
    </row>
    <row r="13309" spans="2:8" x14ac:dyDescent="0.2">
      <c r="B13309" s="3">
        <v>45716</v>
      </c>
      <c r="C13309" s="1">
        <v>23</v>
      </c>
      <c r="D13309" s="1">
        <v>2191</v>
      </c>
      <c r="E13309" s="1">
        <v>2352</v>
      </c>
      <c r="G13309" s="2">
        <f t="shared" si="207"/>
        <v>2352</v>
      </c>
      <c r="H13309" t="s">
        <v>14</v>
      </c>
    </row>
    <row r="13310" spans="2:8" x14ac:dyDescent="0.2">
      <c r="B13310" s="3">
        <v>45716</v>
      </c>
      <c r="G13310" s="2">
        <f t="shared" si="207"/>
        <v>0</v>
      </c>
      <c r="H13310" t="s">
        <v>13</v>
      </c>
    </row>
    <row r="13311" spans="2:8" x14ac:dyDescent="0.2">
      <c r="B13311" s="3">
        <v>45716</v>
      </c>
      <c r="C13311" s="29"/>
      <c r="D13311" s="28"/>
      <c r="G13311" s="2">
        <f t="shared" si="207"/>
        <v>0</v>
      </c>
      <c r="H13311" t="s">
        <v>11</v>
      </c>
    </row>
    <row r="13312" spans="2:8" x14ac:dyDescent="0.2">
      <c r="B13312" s="3">
        <v>45716</v>
      </c>
      <c r="C13312" s="29"/>
      <c r="D13312" s="28"/>
      <c r="G13312" s="2">
        <f t="shared" si="207"/>
        <v>0</v>
      </c>
      <c r="H13312" t="s">
        <v>10</v>
      </c>
    </row>
    <row r="13313" spans="2:8" x14ac:dyDescent="0.2">
      <c r="B13313" s="3">
        <v>45716</v>
      </c>
      <c r="C13313" s="29"/>
      <c r="D13313" s="28"/>
      <c r="G13313" s="2">
        <f t="shared" si="207"/>
        <v>0</v>
      </c>
      <c r="H13313" t="s">
        <v>9</v>
      </c>
    </row>
    <row r="13314" spans="2:8" x14ac:dyDescent="0.2">
      <c r="B13314" s="3">
        <v>45716</v>
      </c>
      <c r="C13314" s="29"/>
      <c r="D13314" s="28"/>
      <c r="G13314" s="2">
        <f t="shared" si="207"/>
        <v>0</v>
      </c>
      <c r="H13314" t="s">
        <v>8</v>
      </c>
    </row>
    <row r="13315" spans="2:8" x14ac:dyDescent="0.2">
      <c r="B13315" s="3">
        <v>45716</v>
      </c>
      <c r="C13315" s="29"/>
      <c r="D13315" s="28"/>
      <c r="G13315" s="2">
        <f t="shared" ref="G13315:G13378" si="208">E13315-F13315</f>
        <v>0</v>
      </c>
      <c r="H13315" t="s">
        <v>7</v>
      </c>
    </row>
    <row r="13316" spans="2:8" x14ac:dyDescent="0.2">
      <c r="B13316" s="3">
        <v>45716</v>
      </c>
      <c r="C13316" s="29"/>
      <c r="D13316" s="28"/>
      <c r="G13316" s="2">
        <f t="shared" si="208"/>
        <v>0</v>
      </c>
      <c r="H13316" t="s">
        <v>6</v>
      </c>
    </row>
    <row r="13317" spans="2:8" x14ac:dyDescent="0.2">
      <c r="B13317" s="3">
        <v>45716</v>
      </c>
      <c r="C13317" s="29"/>
      <c r="D13317" s="28"/>
      <c r="G13317" s="2">
        <f t="shared" si="208"/>
        <v>0</v>
      </c>
      <c r="H13317" t="s">
        <v>5</v>
      </c>
    </row>
    <row r="13318" spans="2:8" x14ac:dyDescent="0.2">
      <c r="B13318" s="3">
        <v>45716</v>
      </c>
      <c r="C13318" s="29"/>
      <c r="D13318" s="28"/>
      <c r="G13318" s="2">
        <f t="shared" si="208"/>
        <v>0</v>
      </c>
      <c r="H13318" s="1"/>
    </row>
    <row r="13319" spans="2:8" x14ac:dyDescent="0.2">
      <c r="B13319" s="3">
        <v>45716</v>
      </c>
      <c r="C13319" s="29"/>
      <c r="G13319" s="2">
        <f t="shared" si="208"/>
        <v>0</v>
      </c>
      <c r="H13319" t="s">
        <v>0</v>
      </c>
    </row>
    <row r="13320" spans="2:8" x14ac:dyDescent="0.2">
      <c r="B13320" s="3">
        <v>45717</v>
      </c>
      <c r="G13320" s="2">
        <f t="shared" si="208"/>
        <v>0</v>
      </c>
      <c r="H13320" t="s">
        <v>14</v>
      </c>
    </row>
    <row r="13321" spans="2:8" x14ac:dyDescent="0.2">
      <c r="B13321" s="3">
        <v>45717</v>
      </c>
      <c r="G13321" s="2">
        <f t="shared" si="208"/>
        <v>0</v>
      </c>
      <c r="H13321" t="s">
        <v>13</v>
      </c>
    </row>
    <row r="13322" spans="2:8" x14ac:dyDescent="0.2">
      <c r="B13322" s="3">
        <v>45717</v>
      </c>
      <c r="C13322" s="29"/>
      <c r="D13322" s="28"/>
      <c r="G13322" s="2">
        <f t="shared" si="208"/>
        <v>0</v>
      </c>
      <c r="H13322" t="s">
        <v>11</v>
      </c>
    </row>
    <row r="13323" spans="2:8" x14ac:dyDescent="0.2">
      <c r="B13323" s="3">
        <v>45717</v>
      </c>
      <c r="C13323" s="29"/>
      <c r="D13323" s="28"/>
      <c r="G13323" s="2">
        <f t="shared" si="208"/>
        <v>0</v>
      </c>
      <c r="H13323" t="s">
        <v>10</v>
      </c>
    </row>
    <row r="13324" spans="2:8" x14ac:dyDescent="0.2">
      <c r="B13324" s="3">
        <v>45717</v>
      </c>
      <c r="C13324" s="29"/>
      <c r="D13324" s="28"/>
      <c r="G13324" s="2">
        <f t="shared" si="208"/>
        <v>0</v>
      </c>
      <c r="H13324" t="s">
        <v>9</v>
      </c>
    </row>
    <row r="13325" spans="2:8" x14ac:dyDescent="0.2">
      <c r="B13325" s="3">
        <v>45717</v>
      </c>
      <c r="C13325" s="29"/>
      <c r="D13325" s="28"/>
      <c r="G13325" s="2">
        <f t="shared" si="208"/>
        <v>0</v>
      </c>
      <c r="H13325" t="s">
        <v>8</v>
      </c>
    </row>
    <row r="13326" spans="2:8" x14ac:dyDescent="0.2">
      <c r="B13326" s="3">
        <v>45717</v>
      </c>
      <c r="C13326" s="29"/>
      <c r="D13326" s="28"/>
      <c r="G13326" s="2">
        <f t="shared" si="208"/>
        <v>0</v>
      </c>
      <c r="H13326" t="s">
        <v>7</v>
      </c>
    </row>
    <row r="13327" spans="2:8" x14ac:dyDescent="0.2">
      <c r="B13327" s="3">
        <v>45717</v>
      </c>
      <c r="C13327" s="29"/>
      <c r="D13327" s="28"/>
      <c r="G13327" s="2">
        <f t="shared" si="208"/>
        <v>0</v>
      </c>
      <c r="H13327" t="s">
        <v>6</v>
      </c>
    </row>
    <row r="13328" spans="2:8" x14ac:dyDescent="0.2">
      <c r="B13328" s="3">
        <v>45717</v>
      </c>
      <c r="C13328" s="29"/>
      <c r="D13328" s="28"/>
      <c r="G13328" s="2">
        <f t="shared" si="208"/>
        <v>0</v>
      </c>
      <c r="H13328" t="s">
        <v>5</v>
      </c>
    </row>
    <row r="13329" spans="2:8" x14ac:dyDescent="0.2">
      <c r="B13329" s="3">
        <v>45717</v>
      </c>
      <c r="C13329" s="29"/>
      <c r="D13329" s="28"/>
      <c r="G13329" s="2">
        <f t="shared" si="208"/>
        <v>0</v>
      </c>
      <c r="H13329" s="1"/>
    </row>
    <row r="13330" spans="2:8" x14ac:dyDescent="0.2">
      <c r="B13330" s="3">
        <v>45717</v>
      </c>
      <c r="C13330" s="29"/>
      <c r="G13330" s="2">
        <f t="shared" si="208"/>
        <v>0</v>
      </c>
      <c r="H13330" t="s">
        <v>0</v>
      </c>
    </row>
    <row r="13331" spans="2:8" x14ac:dyDescent="0.2">
      <c r="B13331" s="3">
        <v>45718</v>
      </c>
      <c r="G13331" s="2">
        <f t="shared" si="208"/>
        <v>0</v>
      </c>
      <c r="H13331" t="s">
        <v>14</v>
      </c>
    </row>
    <row r="13332" spans="2:8" x14ac:dyDescent="0.2">
      <c r="B13332" s="3">
        <v>45718</v>
      </c>
      <c r="G13332" s="2">
        <f t="shared" si="208"/>
        <v>0</v>
      </c>
      <c r="H13332" t="s">
        <v>13</v>
      </c>
    </row>
    <row r="13333" spans="2:8" x14ac:dyDescent="0.2">
      <c r="B13333" s="3">
        <v>45718</v>
      </c>
      <c r="C13333" s="29"/>
      <c r="D13333" s="28"/>
      <c r="G13333" s="2">
        <f t="shared" si="208"/>
        <v>0</v>
      </c>
      <c r="H13333" t="s">
        <v>11</v>
      </c>
    </row>
    <row r="13334" spans="2:8" x14ac:dyDescent="0.2">
      <c r="B13334" s="3">
        <v>45718</v>
      </c>
      <c r="C13334" s="29"/>
      <c r="D13334" s="28"/>
      <c r="G13334" s="2">
        <f t="shared" si="208"/>
        <v>0</v>
      </c>
      <c r="H13334" t="s">
        <v>10</v>
      </c>
    </row>
    <row r="13335" spans="2:8" x14ac:dyDescent="0.2">
      <c r="B13335" s="3">
        <v>45718</v>
      </c>
      <c r="C13335" s="29"/>
      <c r="D13335" s="28"/>
      <c r="G13335" s="2">
        <f t="shared" si="208"/>
        <v>0</v>
      </c>
      <c r="H13335" t="s">
        <v>9</v>
      </c>
    </row>
    <row r="13336" spans="2:8" x14ac:dyDescent="0.2">
      <c r="B13336" s="3">
        <v>45718</v>
      </c>
      <c r="C13336" s="1">
        <v>24</v>
      </c>
      <c r="D13336" s="28">
        <v>32850</v>
      </c>
      <c r="E13336" s="1">
        <v>36940</v>
      </c>
      <c r="G13336" s="2">
        <f t="shared" si="208"/>
        <v>36940</v>
      </c>
      <c r="H13336" t="s">
        <v>8</v>
      </c>
    </row>
    <row r="13337" spans="2:8" x14ac:dyDescent="0.2">
      <c r="B13337" s="3">
        <v>45718</v>
      </c>
      <c r="C13337" s="29"/>
      <c r="D13337" s="28"/>
      <c r="G13337" s="2">
        <f t="shared" si="208"/>
        <v>0</v>
      </c>
      <c r="H13337" t="s">
        <v>7</v>
      </c>
    </row>
    <row r="13338" spans="2:8" x14ac:dyDescent="0.2">
      <c r="B13338" s="3">
        <v>45718</v>
      </c>
      <c r="C13338" s="29"/>
      <c r="D13338" s="28"/>
      <c r="G13338" s="2">
        <f t="shared" si="208"/>
        <v>0</v>
      </c>
      <c r="H13338" t="s">
        <v>6</v>
      </c>
    </row>
    <row r="13339" spans="2:8" x14ac:dyDescent="0.2">
      <c r="B13339" s="3">
        <v>45718</v>
      </c>
      <c r="C13339" s="29"/>
      <c r="D13339" s="28"/>
      <c r="G13339" s="2">
        <f t="shared" si="208"/>
        <v>0</v>
      </c>
      <c r="H13339" t="s">
        <v>5</v>
      </c>
    </row>
    <row r="13340" spans="2:8" x14ac:dyDescent="0.2">
      <c r="B13340" s="3">
        <v>45718</v>
      </c>
      <c r="C13340" s="29"/>
      <c r="D13340" s="28"/>
      <c r="G13340" s="2">
        <f t="shared" si="208"/>
        <v>0</v>
      </c>
      <c r="H13340" s="1"/>
    </row>
    <row r="13341" spans="2:8" x14ac:dyDescent="0.2">
      <c r="B13341" s="3">
        <v>45718</v>
      </c>
      <c r="C13341" s="29"/>
      <c r="F13341" s="1">
        <v>50000</v>
      </c>
      <c r="G13341" s="2">
        <f t="shared" si="208"/>
        <v>-50000</v>
      </c>
      <c r="H13341" t="s">
        <v>0</v>
      </c>
    </row>
    <row r="13342" spans="2:8" x14ac:dyDescent="0.2">
      <c r="B13342" s="3">
        <v>45719</v>
      </c>
      <c r="G13342" s="2">
        <f t="shared" si="208"/>
        <v>0</v>
      </c>
      <c r="H13342" t="s">
        <v>14</v>
      </c>
    </row>
    <row r="13343" spans="2:8" x14ac:dyDescent="0.2">
      <c r="B13343" s="3">
        <v>45719</v>
      </c>
      <c r="G13343" s="2">
        <f t="shared" si="208"/>
        <v>0</v>
      </c>
      <c r="H13343" t="s">
        <v>13</v>
      </c>
    </row>
    <row r="13344" spans="2:8" x14ac:dyDescent="0.2">
      <c r="B13344" s="3">
        <v>45719</v>
      </c>
      <c r="C13344" s="29"/>
      <c r="D13344" s="28"/>
      <c r="G13344" s="2">
        <f t="shared" si="208"/>
        <v>0</v>
      </c>
      <c r="H13344" t="s">
        <v>11</v>
      </c>
    </row>
    <row r="13345" spans="2:8" x14ac:dyDescent="0.2">
      <c r="B13345" s="3">
        <v>45719</v>
      </c>
      <c r="C13345" s="29"/>
      <c r="D13345" s="28"/>
      <c r="G13345" s="2">
        <f t="shared" si="208"/>
        <v>0</v>
      </c>
      <c r="H13345" t="s">
        <v>10</v>
      </c>
    </row>
    <row r="13346" spans="2:8" x14ac:dyDescent="0.2">
      <c r="B13346" s="3">
        <v>45719</v>
      </c>
      <c r="C13346" s="29"/>
      <c r="D13346" s="28"/>
      <c r="G13346" s="2">
        <f t="shared" si="208"/>
        <v>0</v>
      </c>
      <c r="H13346" t="s">
        <v>9</v>
      </c>
    </row>
    <row r="13347" spans="2:8" x14ac:dyDescent="0.2">
      <c r="B13347" s="3">
        <v>45719</v>
      </c>
      <c r="C13347" s="29"/>
      <c r="D13347" s="28"/>
      <c r="F13347" s="1">
        <v>20000</v>
      </c>
      <c r="G13347" s="2">
        <f t="shared" si="208"/>
        <v>-20000</v>
      </c>
      <c r="H13347" t="s">
        <v>8</v>
      </c>
    </row>
    <row r="13348" spans="2:8" x14ac:dyDescent="0.2">
      <c r="B13348" s="3">
        <v>45719</v>
      </c>
      <c r="C13348" s="29"/>
      <c r="D13348" s="28"/>
      <c r="G13348" s="2">
        <f t="shared" si="208"/>
        <v>0</v>
      </c>
      <c r="H13348" t="s">
        <v>7</v>
      </c>
    </row>
    <row r="13349" spans="2:8" x14ac:dyDescent="0.2">
      <c r="B13349" s="3">
        <v>45719</v>
      </c>
      <c r="C13349" s="29"/>
      <c r="D13349" s="28"/>
      <c r="G13349" s="2">
        <f t="shared" si="208"/>
        <v>0</v>
      </c>
      <c r="H13349" t="s">
        <v>6</v>
      </c>
    </row>
    <row r="13350" spans="2:8" x14ac:dyDescent="0.2">
      <c r="B13350" s="3">
        <v>45719</v>
      </c>
      <c r="C13350" s="29"/>
      <c r="D13350" s="28"/>
      <c r="G13350" s="2">
        <f t="shared" si="208"/>
        <v>0</v>
      </c>
      <c r="H13350" t="s">
        <v>5</v>
      </c>
    </row>
    <row r="13351" spans="2:8" x14ac:dyDescent="0.2">
      <c r="B13351" s="3">
        <v>45719</v>
      </c>
      <c r="C13351" s="1">
        <v>26</v>
      </c>
      <c r="D13351" s="28">
        <v>13200</v>
      </c>
      <c r="E13351" s="1">
        <v>14000</v>
      </c>
      <c r="F13351" s="1">
        <v>14000</v>
      </c>
      <c r="G13351" s="2">
        <f t="shared" si="208"/>
        <v>0</v>
      </c>
      <c r="H13351" s="1" t="s">
        <v>39</v>
      </c>
    </row>
    <row r="13352" spans="2:8" x14ac:dyDescent="0.2">
      <c r="B13352" s="3">
        <v>45719</v>
      </c>
      <c r="C13352" s="29"/>
      <c r="G13352" s="2">
        <f t="shared" si="208"/>
        <v>0</v>
      </c>
      <c r="H13352" t="s">
        <v>0</v>
      </c>
    </row>
    <row r="13353" spans="2:8" x14ac:dyDescent="0.2">
      <c r="B13353" s="3">
        <v>45720</v>
      </c>
      <c r="G13353" s="2">
        <f t="shared" si="208"/>
        <v>0</v>
      </c>
      <c r="H13353" t="s">
        <v>14</v>
      </c>
    </row>
    <row r="13354" spans="2:8" x14ac:dyDescent="0.2">
      <c r="B13354" s="3">
        <v>45720</v>
      </c>
      <c r="G13354" s="2">
        <f t="shared" si="208"/>
        <v>0</v>
      </c>
      <c r="H13354" t="s">
        <v>13</v>
      </c>
    </row>
    <row r="13355" spans="2:8" x14ac:dyDescent="0.2">
      <c r="B13355" s="3">
        <v>45720</v>
      </c>
      <c r="C13355" s="1">
        <v>25</v>
      </c>
      <c r="D13355" s="28">
        <v>1503</v>
      </c>
      <c r="E13355" s="1">
        <v>1385</v>
      </c>
      <c r="G13355" s="2">
        <f t="shared" si="208"/>
        <v>1385</v>
      </c>
      <c r="H13355" t="s">
        <v>11</v>
      </c>
    </row>
    <row r="13356" spans="2:8" x14ac:dyDescent="0.2">
      <c r="B13356" s="3">
        <v>45720</v>
      </c>
      <c r="C13356" s="29"/>
      <c r="D13356" s="28"/>
      <c r="G13356" s="2">
        <f t="shared" si="208"/>
        <v>0</v>
      </c>
      <c r="H13356" t="s">
        <v>10</v>
      </c>
    </row>
    <row r="13357" spans="2:8" x14ac:dyDescent="0.2">
      <c r="B13357" s="3">
        <v>45720</v>
      </c>
      <c r="C13357" s="29"/>
      <c r="D13357" s="28"/>
      <c r="G13357" s="2">
        <f t="shared" si="208"/>
        <v>0</v>
      </c>
      <c r="H13357" t="s">
        <v>9</v>
      </c>
    </row>
    <row r="13358" spans="2:8" x14ac:dyDescent="0.2">
      <c r="B13358" s="3">
        <v>45720</v>
      </c>
      <c r="C13358" s="29"/>
      <c r="D13358" s="28"/>
      <c r="G13358" s="2">
        <f t="shared" si="208"/>
        <v>0</v>
      </c>
      <c r="H13358" t="s">
        <v>8</v>
      </c>
    </row>
    <row r="13359" spans="2:8" x14ac:dyDescent="0.2">
      <c r="B13359" s="3">
        <v>45720</v>
      </c>
      <c r="C13359" s="29"/>
      <c r="D13359" s="28"/>
      <c r="G13359" s="2">
        <f t="shared" si="208"/>
        <v>0</v>
      </c>
      <c r="H13359" t="s">
        <v>7</v>
      </c>
    </row>
    <row r="13360" spans="2:8" x14ac:dyDescent="0.2">
      <c r="B13360" s="3">
        <v>45720</v>
      </c>
      <c r="C13360" s="29"/>
      <c r="D13360" s="28"/>
      <c r="G13360" s="2">
        <f t="shared" si="208"/>
        <v>0</v>
      </c>
      <c r="H13360" t="s">
        <v>6</v>
      </c>
    </row>
    <row r="13361" spans="2:8" x14ac:dyDescent="0.2">
      <c r="B13361" s="3">
        <v>45720</v>
      </c>
      <c r="C13361" s="29"/>
      <c r="D13361" s="28"/>
      <c r="G13361" s="2">
        <f t="shared" si="208"/>
        <v>0</v>
      </c>
      <c r="H13361" t="s">
        <v>5</v>
      </c>
    </row>
    <row r="13362" spans="2:8" x14ac:dyDescent="0.2">
      <c r="B13362" s="3">
        <v>45720</v>
      </c>
      <c r="D13362" s="28"/>
      <c r="G13362" s="2">
        <f t="shared" si="208"/>
        <v>0</v>
      </c>
      <c r="H13362" s="1" t="s">
        <v>4</v>
      </c>
    </row>
    <row r="13363" spans="2:8" x14ac:dyDescent="0.2">
      <c r="B13363" s="3">
        <v>45720</v>
      </c>
      <c r="C13363" s="1">
        <v>10310</v>
      </c>
      <c r="D13363" s="1">
        <v>63418.680000000008</v>
      </c>
      <c r="E13363" s="1">
        <v>67339.62</v>
      </c>
      <c r="G13363" s="2">
        <f t="shared" si="208"/>
        <v>67339.62</v>
      </c>
      <c r="H13363" t="s">
        <v>0</v>
      </c>
    </row>
    <row r="13364" spans="2:8" x14ac:dyDescent="0.2">
      <c r="B13364" s="3">
        <v>45721</v>
      </c>
      <c r="G13364" s="2">
        <f t="shared" si="208"/>
        <v>0</v>
      </c>
      <c r="H13364" t="s">
        <v>14</v>
      </c>
    </row>
    <row r="13365" spans="2:8" x14ac:dyDescent="0.2">
      <c r="B13365" s="3">
        <v>45721</v>
      </c>
      <c r="G13365" s="2">
        <f t="shared" si="208"/>
        <v>0</v>
      </c>
      <c r="H13365" t="s">
        <v>13</v>
      </c>
    </row>
    <row r="13366" spans="2:8" x14ac:dyDescent="0.2">
      <c r="B13366" s="3">
        <v>45721</v>
      </c>
      <c r="D13366" s="28"/>
      <c r="G13366" s="2">
        <f t="shared" si="208"/>
        <v>0</v>
      </c>
      <c r="H13366" t="s">
        <v>11</v>
      </c>
    </row>
    <row r="13367" spans="2:8" x14ac:dyDescent="0.2">
      <c r="B13367" s="3">
        <v>45721</v>
      </c>
      <c r="C13367" s="29"/>
      <c r="D13367" s="28"/>
      <c r="G13367" s="2">
        <f t="shared" si="208"/>
        <v>0</v>
      </c>
      <c r="H13367" t="s">
        <v>10</v>
      </c>
    </row>
    <row r="13368" spans="2:8" x14ac:dyDescent="0.2">
      <c r="B13368" s="3">
        <v>45721</v>
      </c>
      <c r="C13368" s="29"/>
      <c r="D13368" s="28"/>
      <c r="F13368" s="1">
        <v>15000</v>
      </c>
      <c r="G13368" s="2">
        <f t="shared" si="208"/>
        <v>-15000</v>
      </c>
      <c r="H13368" t="s">
        <v>9</v>
      </c>
    </row>
    <row r="13369" spans="2:8" x14ac:dyDescent="0.2">
      <c r="B13369" s="3">
        <v>45721</v>
      </c>
      <c r="C13369" s="29"/>
      <c r="D13369" s="28"/>
      <c r="G13369" s="2">
        <f t="shared" si="208"/>
        <v>0</v>
      </c>
      <c r="H13369" t="s">
        <v>8</v>
      </c>
    </row>
    <row r="13370" spans="2:8" x14ac:dyDescent="0.2">
      <c r="B13370" s="3">
        <v>45721</v>
      </c>
      <c r="C13370" s="29"/>
      <c r="D13370" s="28"/>
      <c r="G13370" s="2">
        <f t="shared" si="208"/>
        <v>0</v>
      </c>
      <c r="H13370" t="s">
        <v>7</v>
      </c>
    </row>
    <row r="13371" spans="2:8" x14ac:dyDescent="0.2">
      <c r="B13371" s="3">
        <v>45721</v>
      </c>
      <c r="C13371" s="29"/>
      <c r="D13371" s="28"/>
      <c r="G13371" s="2">
        <f t="shared" si="208"/>
        <v>0</v>
      </c>
      <c r="H13371" t="s">
        <v>6</v>
      </c>
    </row>
    <row r="13372" spans="2:8" x14ac:dyDescent="0.2">
      <c r="B13372" s="3">
        <v>45721</v>
      </c>
      <c r="C13372" s="29"/>
      <c r="D13372" s="28"/>
      <c r="G13372" s="2">
        <f t="shared" si="208"/>
        <v>0</v>
      </c>
      <c r="H13372" t="s">
        <v>5</v>
      </c>
    </row>
    <row r="13373" spans="2:8" x14ac:dyDescent="0.2">
      <c r="B13373" s="3">
        <v>45721</v>
      </c>
      <c r="C13373" s="29"/>
      <c r="D13373" s="28"/>
      <c r="G13373" s="2">
        <f t="shared" si="208"/>
        <v>0</v>
      </c>
      <c r="H13373" s="1"/>
    </row>
    <row r="13374" spans="2:8" x14ac:dyDescent="0.2">
      <c r="B13374" s="3">
        <v>45721</v>
      </c>
      <c r="C13374" s="29"/>
      <c r="F13374" s="1">
        <v>40000</v>
      </c>
      <c r="G13374" s="2">
        <f t="shared" si="208"/>
        <v>-40000</v>
      </c>
      <c r="H13374" t="s">
        <v>0</v>
      </c>
    </row>
    <row r="13375" spans="2:8" x14ac:dyDescent="0.2">
      <c r="B13375" s="3">
        <v>45722</v>
      </c>
      <c r="F13375" s="1">
        <v>10000</v>
      </c>
      <c r="G13375" s="2">
        <f t="shared" si="208"/>
        <v>-10000</v>
      </c>
      <c r="H13375" t="s">
        <v>14</v>
      </c>
    </row>
    <row r="13376" spans="2:8" x14ac:dyDescent="0.2">
      <c r="B13376" s="3">
        <v>45722</v>
      </c>
      <c r="G13376" s="2">
        <f t="shared" si="208"/>
        <v>0</v>
      </c>
      <c r="H13376" t="s">
        <v>13</v>
      </c>
    </row>
    <row r="13377" spans="2:8" x14ac:dyDescent="0.2">
      <c r="B13377" s="3">
        <v>45722</v>
      </c>
      <c r="D13377" s="28"/>
      <c r="G13377" s="2">
        <f t="shared" si="208"/>
        <v>0</v>
      </c>
      <c r="H13377" t="s">
        <v>11</v>
      </c>
    </row>
    <row r="13378" spans="2:8" x14ac:dyDescent="0.2">
      <c r="B13378" s="3">
        <v>45722</v>
      </c>
      <c r="C13378" s="29"/>
      <c r="D13378" s="28"/>
      <c r="G13378" s="2">
        <f t="shared" si="208"/>
        <v>0</v>
      </c>
      <c r="H13378" t="s">
        <v>10</v>
      </c>
    </row>
    <row r="13379" spans="2:8" x14ac:dyDescent="0.2">
      <c r="B13379" s="3">
        <v>45722</v>
      </c>
      <c r="C13379" s="29"/>
      <c r="D13379" s="28"/>
      <c r="G13379" s="2">
        <f t="shared" ref="G13379:G13442" si="209">E13379-F13379</f>
        <v>0</v>
      </c>
      <c r="H13379" t="s">
        <v>9</v>
      </c>
    </row>
    <row r="13380" spans="2:8" x14ac:dyDescent="0.2">
      <c r="B13380" s="3">
        <v>45722</v>
      </c>
      <c r="C13380" s="29"/>
      <c r="D13380" s="28"/>
      <c r="G13380" s="2">
        <f t="shared" si="209"/>
        <v>0</v>
      </c>
      <c r="H13380" t="s">
        <v>8</v>
      </c>
    </row>
    <row r="13381" spans="2:8" x14ac:dyDescent="0.2">
      <c r="B13381" s="3">
        <v>45722</v>
      </c>
      <c r="C13381" s="29"/>
      <c r="D13381" s="28"/>
      <c r="G13381" s="2">
        <f t="shared" si="209"/>
        <v>0</v>
      </c>
      <c r="H13381" t="s">
        <v>7</v>
      </c>
    </row>
    <row r="13382" spans="2:8" x14ac:dyDescent="0.2">
      <c r="B13382" s="3">
        <v>45722</v>
      </c>
      <c r="C13382" s="29"/>
      <c r="D13382" s="28"/>
      <c r="G13382" s="2">
        <f t="shared" si="209"/>
        <v>0</v>
      </c>
      <c r="H13382" t="s">
        <v>6</v>
      </c>
    </row>
    <row r="13383" spans="2:8" x14ac:dyDescent="0.2">
      <c r="B13383" s="3">
        <v>45722</v>
      </c>
      <c r="C13383" s="29"/>
      <c r="D13383" s="28"/>
      <c r="G13383" s="2">
        <f t="shared" si="209"/>
        <v>0</v>
      </c>
      <c r="H13383" t="s">
        <v>5</v>
      </c>
    </row>
    <row r="13384" spans="2:8" x14ac:dyDescent="0.2">
      <c r="B13384" s="3">
        <v>45722</v>
      </c>
      <c r="C13384" s="29"/>
      <c r="D13384" s="28"/>
      <c r="G13384" s="2">
        <f t="shared" si="209"/>
        <v>0</v>
      </c>
      <c r="H13384" s="1"/>
    </row>
    <row r="13385" spans="2:8" x14ac:dyDescent="0.2">
      <c r="B13385" s="3">
        <v>45722</v>
      </c>
      <c r="C13385" s="29"/>
      <c r="G13385" s="2">
        <f t="shared" si="209"/>
        <v>0</v>
      </c>
      <c r="H13385" t="s">
        <v>0</v>
      </c>
    </row>
    <row r="13386" spans="2:8" x14ac:dyDescent="0.2">
      <c r="B13386" s="3">
        <v>45723</v>
      </c>
      <c r="G13386" s="2">
        <f t="shared" si="209"/>
        <v>0</v>
      </c>
      <c r="H13386" t="s">
        <v>14</v>
      </c>
    </row>
    <row r="13387" spans="2:8" x14ac:dyDescent="0.2">
      <c r="B13387" s="3">
        <v>45723</v>
      </c>
      <c r="G13387" s="2">
        <f t="shared" si="209"/>
        <v>0</v>
      </c>
      <c r="H13387" t="s">
        <v>13</v>
      </c>
    </row>
    <row r="13388" spans="2:8" x14ac:dyDescent="0.2">
      <c r="B13388" s="3">
        <v>45723</v>
      </c>
      <c r="D13388" s="28"/>
      <c r="G13388" s="2">
        <f t="shared" si="209"/>
        <v>0</v>
      </c>
      <c r="H13388" t="s">
        <v>11</v>
      </c>
    </row>
    <row r="13389" spans="2:8" x14ac:dyDescent="0.2">
      <c r="B13389" s="3">
        <v>45723</v>
      </c>
      <c r="C13389" s="29"/>
      <c r="D13389" s="28"/>
      <c r="F13389" s="1">
        <v>1340</v>
      </c>
      <c r="G13389" s="2">
        <f t="shared" si="209"/>
        <v>-1340</v>
      </c>
      <c r="H13389" t="s">
        <v>10</v>
      </c>
    </row>
    <row r="13390" spans="2:8" x14ac:dyDescent="0.2">
      <c r="B13390" s="3">
        <v>45723</v>
      </c>
      <c r="C13390" s="29"/>
      <c r="D13390" s="28"/>
      <c r="G13390" s="2">
        <f t="shared" si="209"/>
        <v>0</v>
      </c>
      <c r="H13390" t="s">
        <v>9</v>
      </c>
    </row>
    <row r="13391" spans="2:8" x14ac:dyDescent="0.2">
      <c r="B13391" s="3">
        <v>45723</v>
      </c>
      <c r="C13391" s="29"/>
      <c r="D13391" s="28"/>
      <c r="G13391" s="2">
        <f t="shared" si="209"/>
        <v>0</v>
      </c>
      <c r="H13391" t="s">
        <v>8</v>
      </c>
    </row>
    <row r="13392" spans="2:8" x14ac:dyDescent="0.2">
      <c r="B13392" s="3">
        <v>45723</v>
      </c>
      <c r="C13392" s="29"/>
      <c r="D13392" s="28"/>
      <c r="G13392" s="2">
        <f t="shared" si="209"/>
        <v>0</v>
      </c>
      <c r="H13392" t="s">
        <v>7</v>
      </c>
    </row>
    <row r="13393" spans="2:8" x14ac:dyDescent="0.2">
      <c r="B13393" s="3">
        <v>45723</v>
      </c>
      <c r="C13393" s="29"/>
      <c r="D13393" s="28"/>
      <c r="G13393" s="2">
        <f t="shared" si="209"/>
        <v>0</v>
      </c>
      <c r="H13393" t="s">
        <v>6</v>
      </c>
    </row>
    <row r="13394" spans="2:8" x14ac:dyDescent="0.2">
      <c r="B13394" s="3">
        <v>45723</v>
      </c>
      <c r="C13394" s="29"/>
      <c r="D13394" s="28"/>
      <c r="G13394" s="2">
        <f t="shared" si="209"/>
        <v>0</v>
      </c>
      <c r="H13394" t="s">
        <v>5</v>
      </c>
    </row>
    <row r="13395" spans="2:8" x14ac:dyDescent="0.2">
      <c r="B13395" s="3">
        <v>45723</v>
      </c>
      <c r="C13395" s="29"/>
      <c r="D13395" s="28"/>
      <c r="G13395" s="2">
        <f t="shared" si="209"/>
        <v>0</v>
      </c>
      <c r="H13395" s="1"/>
    </row>
    <row r="13396" spans="2:8" x14ac:dyDescent="0.2">
      <c r="B13396" s="3">
        <v>45723</v>
      </c>
      <c r="C13396" s="29"/>
      <c r="G13396" s="2">
        <f t="shared" si="209"/>
        <v>0</v>
      </c>
      <c r="H13396" t="s">
        <v>0</v>
      </c>
    </row>
    <row r="13397" spans="2:8" x14ac:dyDescent="0.2">
      <c r="B13397" s="3">
        <v>45724</v>
      </c>
      <c r="G13397" s="2">
        <f t="shared" si="209"/>
        <v>0</v>
      </c>
      <c r="H13397" t="s">
        <v>14</v>
      </c>
    </row>
    <row r="13398" spans="2:8" x14ac:dyDescent="0.2">
      <c r="B13398" s="3">
        <v>45724</v>
      </c>
      <c r="G13398" s="2">
        <f t="shared" si="209"/>
        <v>0</v>
      </c>
      <c r="H13398" t="s">
        <v>13</v>
      </c>
    </row>
    <row r="13399" spans="2:8" x14ac:dyDescent="0.2">
      <c r="B13399" s="3">
        <v>45724</v>
      </c>
      <c r="D13399" s="28"/>
      <c r="G13399" s="2">
        <f t="shared" si="209"/>
        <v>0</v>
      </c>
      <c r="H13399" t="s">
        <v>11</v>
      </c>
    </row>
    <row r="13400" spans="2:8" x14ac:dyDescent="0.2">
      <c r="B13400" s="3">
        <v>45724</v>
      </c>
      <c r="C13400" s="29"/>
      <c r="D13400" s="28"/>
      <c r="G13400" s="2">
        <f t="shared" si="209"/>
        <v>0</v>
      </c>
      <c r="H13400" t="s">
        <v>10</v>
      </c>
    </row>
    <row r="13401" spans="2:8" x14ac:dyDescent="0.2">
      <c r="B13401" s="3">
        <v>45724</v>
      </c>
      <c r="C13401" s="3"/>
      <c r="D13401" s="6"/>
      <c r="E13401" s="2"/>
      <c r="F13401" s="2"/>
      <c r="G13401" s="2">
        <f t="shared" si="209"/>
        <v>0</v>
      </c>
      <c r="H13401" t="s">
        <v>9</v>
      </c>
    </row>
    <row r="13402" spans="2:8" x14ac:dyDescent="0.2">
      <c r="B13402" s="3">
        <v>45724</v>
      </c>
      <c r="C13402" s="3"/>
      <c r="D13402" s="6"/>
      <c r="E13402" s="2"/>
      <c r="F13402" s="2"/>
      <c r="G13402" s="2">
        <f t="shared" si="209"/>
        <v>0</v>
      </c>
      <c r="H13402" t="s">
        <v>8</v>
      </c>
    </row>
    <row r="13403" spans="2:8" x14ac:dyDescent="0.2">
      <c r="B13403" s="3">
        <v>45724</v>
      </c>
      <c r="C13403" s="3"/>
      <c r="D13403" s="6"/>
      <c r="E13403" s="2"/>
      <c r="F13403" s="2">
        <v>3000</v>
      </c>
      <c r="G13403" s="2">
        <f t="shared" si="209"/>
        <v>-3000</v>
      </c>
      <c r="H13403" t="s">
        <v>7</v>
      </c>
    </row>
    <row r="13404" spans="2:8" x14ac:dyDescent="0.2">
      <c r="B13404" s="3">
        <v>45724</v>
      </c>
      <c r="C13404" s="3"/>
      <c r="D13404" s="6"/>
      <c r="E13404" s="2"/>
      <c r="F13404" s="2"/>
      <c r="G13404" s="2">
        <f t="shared" si="209"/>
        <v>0</v>
      </c>
      <c r="H13404" t="s">
        <v>6</v>
      </c>
    </row>
    <row r="13405" spans="2:8" x14ac:dyDescent="0.2">
      <c r="B13405" s="3">
        <v>45724</v>
      </c>
      <c r="C13405" s="3"/>
      <c r="D13405" s="6"/>
      <c r="E13405" s="2"/>
      <c r="F13405" s="2"/>
      <c r="G13405" s="2">
        <f t="shared" si="209"/>
        <v>0</v>
      </c>
      <c r="H13405" t="s">
        <v>5</v>
      </c>
    </row>
    <row r="13406" spans="2:8" x14ac:dyDescent="0.2">
      <c r="B13406" s="3">
        <v>45724</v>
      </c>
      <c r="C13406" s="3"/>
      <c r="D13406" s="6"/>
      <c r="E13406" s="2"/>
      <c r="F13406" s="2"/>
      <c r="G13406" s="2">
        <f t="shared" si="209"/>
        <v>0</v>
      </c>
      <c r="H13406" s="1"/>
    </row>
    <row r="13407" spans="2:8" x14ac:dyDescent="0.2">
      <c r="B13407" s="3">
        <v>45724</v>
      </c>
      <c r="C13407" s="3"/>
      <c r="D13407" s="2"/>
      <c r="E13407" s="2"/>
      <c r="F13407" s="2">
        <v>60000</v>
      </c>
      <c r="G13407" s="2">
        <f t="shared" si="209"/>
        <v>-60000</v>
      </c>
      <c r="H13407" t="s">
        <v>0</v>
      </c>
    </row>
    <row r="13408" spans="2:8" x14ac:dyDescent="0.2">
      <c r="B13408" s="3">
        <v>45725</v>
      </c>
      <c r="C13408" s="2"/>
      <c r="D13408" s="2"/>
      <c r="E13408" s="2"/>
      <c r="F13408" s="2"/>
      <c r="G13408" s="2">
        <f t="shared" si="209"/>
        <v>0</v>
      </c>
      <c r="H13408" t="s">
        <v>14</v>
      </c>
    </row>
    <row r="13409" spans="2:8" x14ac:dyDescent="0.2">
      <c r="B13409" s="3">
        <v>45725</v>
      </c>
      <c r="C13409" s="2"/>
      <c r="D13409" s="2"/>
      <c r="E13409" s="2"/>
      <c r="F13409" s="2"/>
      <c r="G13409" s="2">
        <f t="shared" si="209"/>
        <v>0</v>
      </c>
      <c r="H13409" t="s">
        <v>13</v>
      </c>
    </row>
    <row r="13410" spans="2:8" x14ac:dyDescent="0.2">
      <c r="B13410" s="3">
        <v>45725</v>
      </c>
      <c r="C13410" s="2"/>
      <c r="D13410" s="6"/>
      <c r="E13410" s="2"/>
      <c r="F13410" s="2"/>
      <c r="G13410" s="2">
        <f t="shared" si="209"/>
        <v>0</v>
      </c>
      <c r="H13410" t="s">
        <v>11</v>
      </c>
    </row>
    <row r="13411" spans="2:8" x14ac:dyDescent="0.2">
      <c r="B13411" s="3">
        <v>45725</v>
      </c>
      <c r="C13411" s="2">
        <v>27</v>
      </c>
      <c r="D13411" s="6">
        <v>6256</v>
      </c>
      <c r="E13411" s="2">
        <v>6641</v>
      </c>
      <c r="F13411" s="2"/>
      <c r="G13411" s="2">
        <f t="shared" si="209"/>
        <v>6641</v>
      </c>
      <c r="H13411" t="s">
        <v>10</v>
      </c>
    </row>
    <row r="13412" spans="2:8" x14ac:dyDescent="0.2">
      <c r="B13412" s="3">
        <v>45725</v>
      </c>
      <c r="C13412" s="3"/>
      <c r="D13412" s="6"/>
      <c r="E13412" s="2"/>
      <c r="F13412" s="2"/>
      <c r="G13412" s="2">
        <f t="shared" si="209"/>
        <v>0</v>
      </c>
      <c r="H13412" t="s">
        <v>9</v>
      </c>
    </row>
    <row r="13413" spans="2:8" x14ac:dyDescent="0.2">
      <c r="B13413" s="3">
        <v>45725</v>
      </c>
      <c r="C13413" s="3"/>
      <c r="D13413" s="6"/>
      <c r="E13413" s="2"/>
      <c r="F13413" s="2"/>
      <c r="G13413" s="2">
        <f t="shared" si="209"/>
        <v>0</v>
      </c>
      <c r="H13413" t="s">
        <v>8</v>
      </c>
    </row>
    <row r="13414" spans="2:8" x14ac:dyDescent="0.2">
      <c r="B13414" s="3">
        <v>45725</v>
      </c>
      <c r="C13414" s="3"/>
      <c r="D13414" s="6"/>
      <c r="E13414" s="2"/>
      <c r="F13414" s="2"/>
      <c r="G13414" s="2">
        <f t="shared" si="209"/>
        <v>0</v>
      </c>
      <c r="H13414" t="s">
        <v>7</v>
      </c>
    </row>
    <row r="13415" spans="2:8" x14ac:dyDescent="0.2">
      <c r="B13415" s="3">
        <v>45725</v>
      </c>
      <c r="C13415" s="3"/>
      <c r="D13415" s="6"/>
      <c r="E13415" s="2"/>
      <c r="F13415" s="2"/>
      <c r="G13415" s="2">
        <f t="shared" si="209"/>
        <v>0</v>
      </c>
      <c r="H13415" t="s">
        <v>6</v>
      </c>
    </row>
    <row r="13416" spans="2:8" x14ac:dyDescent="0.2">
      <c r="B13416" s="3">
        <v>45725</v>
      </c>
      <c r="C13416" s="3"/>
      <c r="D13416" s="6"/>
      <c r="E13416" s="2"/>
      <c r="F13416" s="2"/>
      <c r="G13416" s="2">
        <f t="shared" si="209"/>
        <v>0</v>
      </c>
      <c r="H13416" t="s">
        <v>5</v>
      </c>
    </row>
    <row r="13417" spans="2:8" x14ac:dyDescent="0.2">
      <c r="B13417" s="3">
        <v>45725</v>
      </c>
      <c r="C13417" s="2"/>
      <c r="D13417" s="6"/>
      <c r="E13417" s="2"/>
      <c r="F13417" s="2"/>
      <c r="G13417" s="2">
        <f t="shared" si="209"/>
        <v>0</v>
      </c>
      <c r="H13417" s="1"/>
    </row>
    <row r="13418" spans="2:8" x14ac:dyDescent="0.2">
      <c r="B13418" s="3">
        <v>45725</v>
      </c>
      <c r="C13418" s="3"/>
      <c r="D13418" s="2"/>
      <c r="E13418" s="2"/>
      <c r="F13418" s="2"/>
      <c r="G13418" s="2">
        <f t="shared" si="209"/>
        <v>0</v>
      </c>
      <c r="H13418" t="s">
        <v>0</v>
      </c>
    </row>
    <row r="13419" spans="2:8" x14ac:dyDescent="0.2">
      <c r="B13419" s="3">
        <v>45726</v>
      </c>
      <c r="C13419" s="2">
        <v>28</v>
      </c>
      <c r="D13419" s="2">
        <v>7100</v>
      </c>
      <c r="E13419" s="2">
        <v>9000</v>
      </c>
      <c r="F13419" s="2"/>
      <c r="G13419" s="2">
        <f t="shared" si="209"/>
        <v>9000</v>
      </c>
      <c r="H13419" t="s">
        <v>14</v>
      </c>
    </row>
    <row r="13420" spans="2:8" x14ac:dyDescent="0.2">
      <c r="B13420" s="3">
        <v>45726</v>
      </c>
      <c r="C13420" s="2"/>
      <c r="D13420" s="2"/>
      <c r="E13420" s="2"/>
      <c r="F13420" s="2"/>
      <c r="G13420" s="2">
        <f t="shared" si="209"/>
        <v>0</v>
      </c>
      <c r="H13420" t="s">
        <v>13</v>
      </c>
    </row>
    <row r="13421" spans="2:8" x14ac:dyDescent="0.2">
      <c r="B13421" s="3">
        <v>45726</v>
      </c>
      <c r="C13421" s="2">
        <v>30</v>
      </c>
      <c r="D13421" s="6">
        <v>10250</v>
      </c>
      <c r="E13421" s="2">
        <v>10545</v>
      </c>
      <c r="F13421" s="2">
        <v>9220</v>
      </c>
      <c r="G13421" s="2">
        <f t="shared" si="209"/>
        <v>1325</v>
      </c>
      <c r="H13421" t="s">
        <v>11</v>
      </c>
    </row>
    <row r="13422" spans="2:8" x14ac:dyDescent="0.2">
      <c r="B13422" s="3">
        <v>45726</v>
      </c>
      <c r="C13422" s="3"/>
      <c r="D13422" s="6"/>
      <c r="E13422" s="2"/>
      <c r="F13422" s="2"/>
      <c r="G13422" s="2">
        <f t="shared" si="209"/>
        <v>0</v>
      </c>
      <c r="H13422" t="s">
        <v>10</v>
      </c>
    </row>
    <row r="13423" spans="2:8" x14ac:dyDescent="0.2">
      <c r="B13423" s="3">
        <v>45726</v>
      </c>
      <c r="C13423" s="3"/>
      <c r="D13423" s="6"/>
      <c r="E13423" s="2"/>
      <c r="F13423" s="2"/>
      <c r="G13423" s="2">
        <f t="shared" si="209"/>
        <v>0</v>
      </c>
      <c r="H13423" t="s">
        <v>9</v>
      </c>
    </row>
    <row r="13424" spans="2:8" x14ac:dyDescent="0.2">
      <c r="B13424" s="3">
        <v>45726</v>
      </c>
      <c r="C13424" s="2">
        <v>29</v>
      </c>
      <c r="D13424" s="6">
        <v>23275</v>
      </c>
      <c r="E13424" s="2">
        <v>26875</v>
      </c>
      <c r="F13424" s="2"/>
      <c r="G13424" s="2">
        <f t="shared" si="209"/>
        <v>26875</v>
      </c>
      <c r="H13424" t="s">
        <v>8</v>
      </c>
    </row>
    <row r="13425" spans="2:8" x14ac:dyDescent="0.2">
      <c r="B13425" s="3">
        <v>45726</v>
      </c>
      <c r="C13425" s="3"/>
      <c r="D13425" s="6"/>
      <c r="E13425" s="2"/>
      <c r="F13425" s="2"/>
      <c r="G13425" s="2">
        <f t="shared" si="209"/>
        <v>0</v>
      </c>
      <c r="H13425" t="s">
        <v>7</v>
      </c>
    </row>
    <row r="13426" spans="2:8" x14ac:dyDescent="0.2">
      <c r="B13426" s="3">
        <v>45726</v>
      </c>
      <c r="C13426" s="3"/>
      <c r="D13426" s="6"/>
      <c r="E13426" s="2"/>
      <c r="F13426" s="2"/>
      <c r="G13426" s="2">
        <f t="shared" si="209"/>
        <v>0</v>
      </c>
      <c r="H13426" t="s">
        <v>6</v>
      </c>
    </row>
    <row r="13427" spans="2:8" x14ac:dyDescent="0.2">
      <c r="B13427" s="3">
        <v>45726</v>
      </c>
      <c r="C13427" s="3"/>
      <c r="D13427" s="6"/>
      <c r="E13427" s="2"/>
      <c r="F13427" s="2"/>
      <c r="G13427" s="2">
        <f t="shared" si="209"/>
        <v>0</v>
      </c>
      <c r="H13427" t="s">
        <v>5</v>
      </c>
    </row>
    <row r="13428" spans="2:8" x14ac:dyDescent="0.2">
      <c r="B13428" s="3">
        <v>45726</v>
      </c>
      <c r="C13428" s="2"/>
      <c r="D13428" s="6"/>
      <c r="E13428" s="2"/>
      <c r="F13428" s="2"/>
      <c r="G13428" s="2">
        <f t="shared" si="209"/>
        <v>0</v>
      </c>
      <c r="H13428" s="1" t="s">
        <v>4</v>
      </c>
    </row>
    <row r="13429" spans="2:8" x14ac:dyDescent="0.2">
      <c r="B13429" s="3">
        <v>45726</v>
      </c>
      <c r="C13429" s="3"/>
      <c r="D13429" s="2"/>
      <c r="E13429" s="2"/>
      <c r="F13429" s="2"/>
      <c r="G13429" s="2">
        <f t="shared" si="209"/>
        <v>0</v>
      </c>
      <c r="H13429" t="s">
        <v>0</v>
      </c>
    </row>
    <row r="13430" spans="2:8" x14ac:dyDescent="0.2">
      <c r="B13430" s="3">
        <v>45727</v>
      </c>
      <c r="C13430" s="2"/>
      <c r="D13430" s="2"/>
      <c r="E13430" s="2"/>
      <c r="F13430" s="2"/>
      <c r="G13430" s="2">
        <f t="shared" si="209"/>
        <v>0</v>
      </c>
      <c r="H13430" t="s">
        <v>14</v>
      </c>
    </row>
    <row r="13431" spans="2:8" x14ac:dyDescent="0.2">
      <c r="B13431" s="3">
        <v>45727</v>
      </c>
      <c r="C13431" s="2"/>
      <c r="D13431" s="2"/>
      <c r="E13431" s="2"/>
      <c r="F13431" s="2"/>
      <c r="G13431" s="2">
        <f t="shared" si="209"/>
        <v>0</v>
      </c>
      <c r="H13431" t="s">
        <v>13</v>
      </c>
    </row>
    <row r="13432" spans="2:8" x14ac:dyDescent="0.2">
      <c r="B13432" s="3">
        <v>45727</v>
      </c>
      <c r="C13432" s="3"/>
      <c r="D13432" s="6"/>
      <c r="E13432" s="2"/>
      <c r="F13432" s="2"/>
      <c r="G13432" s="2">
        <f t="shared" si="209"/>
        <v>0</v>
      </c>
      <c r="H13432" t="s">
        <v>11</v>
      </c>
    </row>
    <row r="13433" spans="2:8" x14ac:dyDescent="0.2">
      <c r="B13433" s="3">
        <v>45727</v>
      </c>
      <c r="C13433" s="3"/>
      <c r="D13433" s="6"/>
      <c r="E13433" s="2"/>
      <c r="F13433" s="2"/>
      <c r="G13433" s="2">
        <f t="shared" si="209"/>
        <v>0</v>
      </c>
      <c r="H13433" t="s">
        <v>10</v>
      </c>
    </row>
    <row r="13434" spans="2:8" x14ac:dyDescent="0.2">
      <c r="B13434" s="3">
        <v>45727</v>
      </c>
      <c r="C13434" s="3"/>
      <c r="D13434" s="6"/>
      <c r="E13434" s="2"/>
      <c r="F13434" s="2"/>
      <c r="G13434" s="2">
        <f t="shared" si="209"/>
        <v>0</v>
      </c>
      <c r="H13434" t="s">
        <v>9</v>
      </c>
    </row>
    <row r="13435" spans="2:8" x14ac:dyDescent="0.2">
      <c r="B13435" s="3">
        <v>45727</v>
      </c>
      <c r="C13435" s="3"/>
      <c r="D13435" s="6"/>
      <c r="E13435" s="2"/>
      <c r="F13435" s="2"/>
      <c r="G13435" s="2">
        <f t="shared" si="209"/>
        <v>0</v>
      </c>
      <c r="H13435" t="s">
        <v>8</v>
      </c>
    </row>
    <row r="13436" spans="2:8" x14ac:dyDescent="0.2">
      <c r="B13436" s="3">
        <v>45727</v>
      </c>
      <c r="C13436" s="3"/>
      <c r="D13436" s="6"/>
      <c r="E13436" s="2"/>
      <c r="F13436" s="2"/>
      <c r="G13436" s="2">
        <f t="shared" si="209"/>
        <v>0</v>
      </c>
      <c r="H13436" t="s">
        <v>7</v>
      </c>
    </row>
    <row r="13437" spans="2:8" x14ac:dyDescent="0.2">
      <c r="B13437" s="3">
        <v>45727</v>
      </c>
      <c r="C13437" s="3"/>
      <c r="D13437" s="6"/>
      <c r="E13437" s="2"/>
      <c r="F13437" s="2"/>
      <c r="G13437" s="2">
        <f t="shared" si="209"/>
        <v>0</v>
      </c>
      <c r="H13437" t="s">
        <v>6</v>
      </c>
    </row>
    <row r="13438" spans="2:8" x14ac:dyDescent="0.2">
      <c r="B13438" s="3">
        <v>45727</v>
      </c>
      <c r="C13438" s="3"/>
      <c r="D13438" s="6"/>
      <c r="E13438" s="2"/>
      <c r="F13438" s="2"/>
      <c r="G13438" s="2">
        <f t="shared" si="209"/>
        <v>0</v>
      </c>
      <c r="H13438" t="s">
        <v>5</v>
      </c>
    </row>
    <row r="13439" spans="2:8" x14ac:dyDescent="0.2">
      <c r="B13439" s="3">
        <v>45727</v>
      </c>
      <c r="C13439" s="3"/>
      <c r="D13439" s="6"/>
      <c r="E13439" s="2"/>
      <c r="F13439" s="2"/>
      <c r="G13439" s="2">
        <f t="shared" si="209"/>
        <v>0</v>
      </c>
      <c r="H13439" s="1"/>
    </row>
    <row r="13440" spans="2:8" x14ac:dyDescent="0.2">
      <c r="B13440" s="3">
        <v>45727</v>
      </c>
      <c r="C13440" s="3"/>
      <c r="D13440" s="2"/>
      <c r="E13440" s="2"/>
      <c r="F13440" s="2"/>
      <c r="G13440" s="2">
        <f t="shared" si="209"/>
        <v>0</v>
      </c>
      <c r="H13440" t="s">
        <v>0</v>
      </c>
    </row>
    <row r="13441" spans="2:8" x14ac:dyDescent="0.2">
      <c r="B13441" s="3">
        <v>45728</v>
      </c>
      <c r="C13441" s="2"/>
      <c r="D13441" s="2"/>
      <c r="E13441" s="2"/>
      <c r="F13441" s="2"/>
      <c r="G13441" s="2">
        <f t="shared" si="209"/>
        <v>0</v>
      </c>
      <c r="H13441" t="s">
        <v>14</v>
      </c>
    </row>
    <row r="13442" spans="2:8" x14ac:dyDescent="0.2">
      <c r="B13442" s="3">
        <v>45728</v>
      </c>
      <c r="C13442" s="2"/>
      <c r="D13442" s="2"/>
      <c r="E13442" s="2"/>
      <c r="F13442" s="2"/>
      <c r="G13442" s="2">
        <f t="shared" si="209"/>
        <v>0</v>
      </c>
      <c r="H13442" t="s">
        <v>13</v>
      </c>
    </row>
    <row r="13443" spans="2:8" x14ac:dyDescent="0.2">
      <c r="B13443" s="3">
        <v>45728</v>
      </c>
      <c r="C13443" s="3"/>
      <c r="D13443" s="6"/>
      <c r="E13443" s="2"/>
      <c r="F13443" s="2"/>
      <c r="G13443" s="2">
        <f t="shared" ref="G13443:G13506" si="210">E13443-F13443</f>
        <v>0</v>
      </c>
      <c r="H13443" t="s">
        <v>11</v>
      </c>
    </row>
    <row r="13444" spans="2:8" x14ac:dyDescent="0.2">
      <c r="B13444" s="3">
        <v>45728</v>
      </c>
      <c r="C13444" s="3"/>
      <c r="D13444" s="6"/>
      <c r="E13444" s="2"/>
      <c r="F13444" s="2"/>
      <c r="G13444" s="2">
        <f t="shared" si="210"/>
        <v>0</v>
      </c>
      <c r="H13444" t="s">
        <v>10</v>
      </c>
    </row>
    <row r="13445" spans="2:8" x14ac:dyDescent="0.2">
      <c r="B13445" s="3">
        <v>45728</v>
      </c>
      <c r="C13445" s="3"/>
      <c r="D13445" s="6"/>
      <c r="E13445" s="2"/>
      <c r="F13445" s="2"/>
      <c r="G13445" s="2">
        <f t="shared" si="210"/>
        <v>0</v>
      </c>
      <c r="H13445" t="s">
        <v>9</v>
      </c>
    </row>
    <row r="13446" spans="2:8" x14ac:dyDescent="0.2">
      <c r="B13446" s="3">
        <v>45728</v>
      </c>
      <c r="C13446" s="3"/>
      <c r="D13446" s="6"/>
      <c r="E13446" s="2"/>
      <c r="F13446" s="2"/>
      <c r="G13446" s="2">
        <f t="shared" si="210"/>
        <v>0</v>
      </c>
      <c r="H13446" t="s">
        <v>8</v>
      </c>
    </row>
    <row r="13447" spans="2:8" x14ac:dyDescent="0.2">
      <c r="B13447" s="3">
        <v>45728</v>
      </c>
      <c r="C13447" s="3"/>
      <c r="D13447" s="6"/>
      <c r="E13447" s="2"/>
      <c r="F13447" s="2"/>
      <c r="G13447" s="2">
        <f t="shared" si="210"/>
        <v>0</v>
      </c>
      <c r="H13447" t="s">
        <v>7</v>
      </c>
    </row>
    <row r="13448" spans="2:8" x14ac:dyDescent="0.2">
      <c r="B13448" s="3">
        <v>45728</v>
      </c>
      <c r="C13448" s="3"/>
      <c r="D13448" s="6"/>
      <c r="E13448" s="2"/>
      <c r="F13448" s="2"/>
      <c r="G13448" s="2">
        <f t="shared" si="210"/>
        <v>0</v>
      </c>
      <c r="H13448" t="s">
        <v>6</v>
      </c>
    </row>
    <row r="13449" spans="2:8" x14ac:dyDescent="0.2">
      <c r="B13449" s="3">
        <v>45728</v>
      </c>
      <c r="C13449" s="3"/>
      <c r="D13449" s="6"/>
      <c r="E13449" s="2"/>
      <c r="F13449" s="2"/>
      <c r="G13449" s="2">
        <f t="shared" si="210"/>
        <v>0</v>
      </c>
      <c r="H13449" t="s">
        <v>5</v>
      </c>
    </row>
    <row r="13450" spans="2:8" x14ac:dyDescent="0.2">
      <c r="B13450" s="3">
        <v>45728</v>
      </c>
      <c r="C13450" s="3"/>
      <c r="D13450" s="6"/>
      <c r="E13450" s="2"/>
      <c r="F13450" s="2"/>
      <c r="G13450" s="2">
        <f t="shared" si="210"/>
        <v>0</v>
      </c>
      <c r="H13450" s="1"/>
    </row>
    <row r="13451" spans="2:8" x14ac:dyDescent="0.2">
      <c r="B13451" s="3">
        <v>45728</v>
      </c>
      <c r="C13451" s="3"/>
      <c r="D13451" s="2"/>
      <c r="E13451" s="2"/>
      <c r="F13451" s="2">
        <v>40000</v>
      </c>
      <c r="G13451" s="2">
        <f t="shared" si="210"/>
        <v>-40000</v>
      </c>
      <c r="H13451" t="s">
        <v>0</v>
      </c>
    </row>
    <row r="13452" spans="2:8" x14ac:dyDescent="0.2">
      <c r="B13452" s="3">
        <v>45729</v>
      </c>
      <c r="C13452" s="2"/>
      <c r="D13452" s="2"/>
      <c r="E13452" s="2"/>
      <c r="F13452" s="2"/>
      <c r="G13452" s="2">
        <f t="shared" si="210"/>
        <v>0</v>
      </c>
      <c r="H13452" t="s">
        <v>14</v>
      </c>
    </row>
    <row r="13453" spans="2:8" x14ac:dyDescent="0.2">
      <c r="B13453" s="3">
        <v>45729</v>
      </c>
      <c r="C13453" s="2"/>
      <c r="D13453" s="2"/>
      <c r="E13453" s="2"/>
      <c r="F13453" s="2"/>
      <c r="G13453" s="2">
        <f t="shared" si="210"/>
        <v>0</v>
      </c>
      <c r="H13453" t="s">
        <v>13</v>
      </c>
    </row>
    <row r="13454" spans="2:8" x14ac:dyDescent="0.2">
      <c r="B13454" s="3">
        <v>45729</v>
      </c>
      <c r="C13454" s="3"/>
      <c r="D13454" s="6"/>
      <c r="E13454" s="13"/>
      <c r="F13454" s="2"/>
      <c r="G13454" s="2">
        <f t="shared" si="210"/>
        <v>0</v>
      </c>
      <c r="H13454" t="s">
        <v>11</v>
      </c>
    </row>
    <row r="13455" spans="2:8" x14ac:dyDescent="0.2">
      <c r="B13455" s="3">
        <v>45729</v>
      </c>
      <c r="C13455" s="3"/>
      <c r="D13455" s="6"/>
      <c r="E13455" s="2"/>
      <c r="F13455" s="2"/>
      <c r="G13455" s="2">
        <f t="shared" si="210"/>
        <v>0</v>
      </c>
      <c r="H13455" t="s">
        <v>10</v>
      </c>
    </row>
    <row r="13456" spans="2:8" x14ac:dyDescent="0.2">
      <c r="B13456" s="3">
        <v>45729</v>
      </c>
      <c r="C13456" s="3"/>
      <c r="D13456" s="6"/>
      <c r="E13456" s="2"/>
      <c r="F13456" s="2"/>
      <c r="G13456" s="2">
        <f t="shared" si="210"/>
        <v>0</v>
      </c>
      <c r="H13456" t="s">
        <v>9</v>
      </c>
    </row>
    <row r="13457" spans="2:8" x14ac:dyDescent="0.2">
      <c r="B13457" s="3">
        <v>45729</v>
      </c>
      <c r="C13457" s="3"/>
      <c r="D13457" s="6"/>
      <c r="E13457" s="2"/>
      <c r="F13457" s="2">
        <v>20000</v>
      </c>
      <c r="G13457" s="2">
        <f t="shared" si="210"/>
        <v>-20000</v>
      </c>
      <c r="H13457" t="s">
        <v>8</v>
      </c>
    </row>
    <row r="13458" spans="2:8" x14ac:dyDescent="0.2">
      <c r="B13458" s="3">
        <v>45729</v>
      </c>
      <c r="C13458" s="3"/>
      <c r="D13458" s="6"/>
      <c r="E13458" s="2"/>
      <c r="F13458" s="2"/>
      <c r="G13458" s="2">
        <f t="shared" si="210"/>
        <v>0</v>
      </c>
      <c r="H13458" t="s">
        <v>7</v>
      </c>
    </row>
    <row r="13459" spans="2:8" x14ac:dyDescent="0.2">
      <c r="B13459" s="3">
        <v>45729</v>
      </c>
      <c r="C13459" s="3"/>
      <c r="D13459" s="6"/>
      <c r="E13459" s="2"/>
      <c r="F13459" s="2"/>
      <c r="G13459" s="2">
        <f t="shared" si="210"/>
        <v>0</v>
      </c>
      <c r="H13459" t="s">
        <v>6</v>
      </c>
    </row>
    <row r="13460" spans="2:8" x14ac:dyDescent="0.2">
      <c r="B13460" s="3">
        <v>45729</v>
      </c>
      <c r="C13460" s="3"/>
      <c r="D13460" s="6"/>
      <c r="E13460" s="2"/>
      <c r="F13460" s="2"/>
      <c r="G13460" s="2">
        <f t="shared" si="210"/>
        <v>0</v>
      </c>
      <c r="H13460" t="s">
        <v>5</v>
      </c>
    </row>
    <row r="13461" spans="2:8" x14ac:dyDescent="0.2">
      <c r="B13461" s="3">
        <v>45729</v>
      </c>
      <c r="C13461" s="3"/>
      <c r="D13461" s="6"/>
      <c r="E13461" s="2"/>
      <c r="F13461" s="2"/>
      <c r="G13461" s="2">
        <f t="shared" si="210"/>
        <v>0</v>
      </c>
      <c r="H13461" s="1"/>
    </row>
    <row r="13462" spans="2:8" x14ac:dyDescent="0.2">
      <c r="B13462" s="3">
        <v>45729</v>
      </c>
      <c r="C13462" s="3"/>
      <c r="D13462" s="2"/>
      <c r="E13462" s="2"/>
      <c r="F13462" s="2"/>
      <c r="G13462" s="2">
        <f t="shared" si="210"/>
        <v>0</v>
      </c>
      <c r="H13462" t="s">
        <v>0</v>
      </c>
    </row>
    <row r="13463" spans="2:8" x14ac:dyDescent="0.2">
      <c r="B13463" s="3">
        <v>45730</v>
      </c>
      <c r="C13463" s="2"/>
      <c r="D13463" s="2"/>
      <c r="E13463" s="2"/>
      <c r="F13463" s="2"/>
      <c r="G13463" s="2">
        <f t="shared" si="210"/>
        <v>0</v>
      </c>
      <c r="H13463" t="s">
        <v>14</v>
      </c>
    </row>
    <row r="13464" spans="2:8" x14ac:dyDescent="0.2">
      <c r="B13464" s="3">
        <v>45730</v>
      </c>
      <c r="C13464" s="2"/>
      <c r="D13464" s="2"/>
      <c r="E13464" s="2"/>
      <c r="F13464" s="2"/>
      <c r="G13464" s="2">
        <f t="shared" si="210"/>
        <v>0</v>
      </c>
      <c r="H13464" t="s">
        <v>13</v>
      </c>
    </row>
    <row r="13465" spans="2:8" x14ac:dyDescent="0.2">
      <c r="B13465" s="3">
        <v>45730</v>
      </c>
      <c r="C13465" s="3"/>
      <c r="D13465" s="6"/>
      <c r="E13465" s="2"/>
      <c r="F13465" s="2"/>
      <c r="G13465" s="2">
        <f t="shared" si="210"/>
        <v>0</v>
      </c>
      <c r="H13465" t="s">
        <v>11</v>
      </c>
    </row>
    <row r="13466" spans="2:8" x14ac:dyDescent="0.2">
      <c r="B13466" s="3">
        <v>45730</v>
      </c>
      <c r="C13466" s="3"/>
      <c r="D13466" s="6"/>
      <c r="E13466" s="2"/>
      <c r="F13466" s="2"/>
      <c r="G13466" s="2">
        <f t="shared" si="210"/>
        <v>0</v>
      </c>
      <c r="H13466" t="s">
        <v>10</v>
      </c>
    </row>
    <row r="13467" spans="2:8" x14ac:dyDescent="0.2">
      <c r="B13467" s="3">
        <v>45730</v>
      </c>
      <c r="C13467" s="3"/>
      <c r="D13467" s="6"/>
      <c r="E13467" s="2"/>
      <c r="F13467" s="2"/>
      <c r="G13467" s="2">
        <f t="shared" si="210"/>
        <v>0</v>
      </c>
      <c r="H13467" t="s">
        <v>9</v>
      </c>
    </row>
    <row r="13468" spans="2:8" x14ac:dyDescent="0.2">
      <c r="B13468" s="3">
        <v>45730</v>
      </c>
      <c r="C13468" s="3"/>
      <c r="D13468" s="6"/>
      <c r="E13468" s="2"/>
      <c r="F13468" s="2"/>
      <c r="G13468" s="2">
        <f t="shared" si="210"/>
        <v>0</v>
      </c>
      <c r="H13468" t="s">
        <v>8</v>
      </c>
    </row>
    <row r="13469" spans="2:8" x14ac:dyDescent="0.2">
      <c r="B13469" s="3">
        <v>45730</v>
      </c>
      <c r="C13469" s="3"/>
      <c r="D13469" s="6"/>
      <c r="E13469" s="2"/>
      <c r="F13469" s="2"/>
      <c r="G13469" s="2">
        <f t="shared" si="210"/>
        <v>0</v>
      </c>
      <c r="H13469" t="s">
        <v>7</v>
      </c>
    </row>
    <row r="13470" spans="2:8" x14ac:dyDescent="0.2">
      <c r="B13470" s="3">
        <v>45730</v>
      </c>
      <c r="C13470" s="3"/>
      <c r="D13470" s="6"/>
      <c r="E13470" s="2"/>
      <c r="F13470" s="2"/>
      <c r="G13470" s="2">
        <f t="shared" si="210"/>
        <v>0</v>
      </c>
      <c r="H13470" t="s">
        <v>6</v>
      </c>
    </row>
    <row r="13471" spans="2:8" x14ac:dyDescent="0.2">
      <c r="B13471" s="3">
        <v>45730</v>
      </c>
      <c r="C13471" s="3"/>
      <c r="D13471" s="6"/>
      <c r="E13471" s="2"/>
      <c r="F13471" s="2"/>
      <c r="G13471" s="2">
        <f t="shared" si="210"/>
        <v>0</v>
      </c>
      <c r="H13471" t="s">
        <v>5</v>
      </c>
    </row>
    <row r="13472" spans="2:8" x14ac:dyDescent="0.2">
      <c r="B13472" s="3">
        <v>45730</v>
      </c>
      <c r="C13472" s="3"/>
      <c r="D13472" s="6"/>
      <c r="E13472" s="2"/>
      <c r="F13472" s="2"/>
      <c r="G13472" s="2">
        <f t="shared" si="210"/>
        <v>0</v>
      </c>
      <c r="H13472" s="1"/>
    </row>
    <row r="13473" spans="2:8" x14ac:dyDescent="0.2">
      <c r="B13473" s="3">
        <v>45730</v>
      </c>
      <c r="C13473" s="3"/>
      <c r="D13473" s="2"/>
      <c r="E13473" s="2"/>
      <c r="F13473" s="2"/>
      <c r="G13473" s="2">
        <f t="shared" si="210"/>
        <v>0</v>
      </c>
      <c r="H13473" t="s">
        <v>0</v>
      </c>
    </row>
    <row r="13474" spans="2:8" x14ac:dyDescent="0.2">
      <c r="B13474" s="3">
        <v>45731</v>
      </c>
      <c r="C13474" s="2"/>
      <c r="D13474" s="2"/>
      <c r="E13474" s="2"/>
      <c r="F13474" s="2"/>
      <c r="G13474" s="2">
        <f t="shared" si="210"/>
        <v>0</v>
      </c>
      <c r="H13474" t="s">
        <v>14</v>
      </c>
    </row>
    <row r="13475" spans="2:8" x14ac:dyDescent="0.2">
      <c r="B13475" s="3">
        <v>45731</v>
      </c>
      <c r="C13475" s="2"/>
      <c r="D13475" s="2"/>
      <c r="E13475" s="2"/>
      <c r="F13475" s="2"/>
      <c r="G13475" s="2">
        <f t="shared" si="210"/>
        <v>0</v>
      </c>
      <c r="H13475" t="s">
        <v>13</v>
      </c>
    </row>
    <row r="13476" spans="2:8" x14ac:dyDescent="0.2">
      <c r="B13476" s="3">
        <v>45731</v>
      </c>
      <c r="C13476" s="3"/>
      <c r="D13476" s="6"/>
      <c r="E13476" s="2"/>
      <c r="F13476" s="2"/>
      <c r="G13476" s="2">
        <f t="shared" si="210"/>
        <v>0</v>
      </c>
      <c r="H13476" t="s">
        <v>11</v>
      </c>
    </row>
    <row r="13477" spans="2:8" x14ac:dyDescent="0.2">
      <c r="B13477" s="3">
        <v>45731</v>
      </c>
      <c r="C13477" s="3"/>
      <c r="D13477" s="6"/>
      <c r="E13477" s="2"/>
      <c r="F13477" s="2"/>
      <c r="G13477" s="2">
        <f t="shared" si="210"/>
        <v>0</v>
      </c>
      <c r="H13477" t="s">
        <v>10</v>
      </c>
    </row>
    <row r="13478" spans="2:8" x14ac:dyDescent="0.2">
      <c r="B13478" s="3">
        <v>45731</v>
      </c>
      <c r="C13478" s="3"/>
      <c r="D13478" s="6"/>
      <c r="E13478" s="2"/>
      <c r="F13478" s="2"/>
      <c r="G13478" s="2">
        <f t="shared" si="210"/>
        <v>0</v>
      </c>
      <c r="H13478" t="s">
        <v>9</v>
      </c>
    </row>
    <row r="13479" spans="2:8" x14ac:dyDescent="0.2">
      <c r="B13479" s="3">
        <v>45731</v>
      </c>
      <c r="C13479" s="3"/>
      <c r="D13479" s="6"/>
      <c r="E13479" s="2"/>
      <c r="F13479" s="2"/>
      <c r="G13479" s="2">
        <f t="shared" si="210"/>
        <v>0</v>
      </c>
      <c r="H13479" t="s">
        <v>8</v>
      </c>
    </row>
    <row r="13480" spans="2:8" x14ac:dyDescent="0.2">
      <c r="B13480" s="3">
        <v>45731</v>
      </c>
      <c r="C13480" s="3"/>
      <c r="D13480" s="6"/>
      <c r="E13480" s="2"/>
      <c r="F13480" s="2"/>
      <c r="G13480" s="2">
        <f t="shared" si="210"/>
        <v>0</v>
      </c>
      <c r="H13480" t="s">
        <v>7</v>
      </c>
    </row>
    <row r="13481" spans="2:8" x14ac:dyDescent="0.2">
      <c r="B13481" s="3">
        <v>45731</v>
      </c>
      <c r="C13481" s="3"/>
      <c r="D13481" s="6"/>
      <c r="E13481" s="2"/>
      <c r="F13481" s="2"/>
      <c r="G13481" s="2">
        <f t="shared" si="210"/>
        <v>0</v>
      </c>
      <c r="H13481" t="s">
        <v>6</v>
      </c>
    </row>
    <row r="13482" spans="2:8" x14ac:dyDescent="0.2">
      <c r="B13482" s="3">
        <v>45731</v>
      </c>
      <c r="C13482" s="3"/>
      <c r="D13482" s="6"/>
      <c r="E13482" s="2"/>
      <c r="F13482" s="2"/>
      <c r="G13482" s="2">
        <f t="shared" si="210"/>
        <v>0</v>
      </c>
      <c r="H13482" t="s">
        <v>5</v>
      </c>
    </row>
    <row r="13483" spans="2:8" x14ac:dyDescent="0.2">
      <c r="B13483" s="3">
        <v>45731</v>
      </c>
      <c r="C13483" s="3"/>
      <c r="D13483" s="6"/>
      <c r="E13483" s="2"/>
      <c r="F13483" s="2"/>
      <c r="G13483" s="2">
        <f t="shared" si="210"/>
        <v>0</v>
      </c>
      <c r="H13483" s="1"/>
    </row>
    <row r="13484" spans="2:8" x14ac:dyDescent="0.2">
      <c r="B13484" s="3">
        <v>45731</v>
      </c>
      <c r="C13484" s="3"/>
      <c r="D13484" s="2"/>
      <c r="E13484" s="2"/>
      <c r="F13484" s="2"/>
      <c r="G13484" s="2">
        <f t="shared" si="210"/>
        <v>0</v>
      </c>
      <c r="H13484" t="s">
        <v>0</v>
      </c>
    </row>
    <row r="13485" spans="2:8" x14ac:dyDescent="0.2">
      <c r="B13485" s="3">
        <v>45732</v>
      </c>
      <c r="C13485" s="2"/>
      <c r="D13485" s="2"/>
      <c r="E13485" s="2"/>
      <c r="F13485" s="2">
        <v>10000</v>
      </c>
      <c r="G13485" s="2">
        <f t="shared" si="210"/>
        <v>-10000</v>
      </c>
      <c r="H13485" t="s">
        <v>14</v>
      </c>
    </row>
    <row r="13486" spans="2:8" x14ac:dyDescent="0.2">
      <c r="B13486" s="3">
        <v>45732</v>
      </c>
      <c r="C13486" s="2"/>
      <c r="D13486" s="2"/>
      <c r="E13486" s="2"/>
      <c r="F13486" s="2"/>
      <c r="G13486" s="2">
        <f t="shared" si="210"/>
        <v>0</v>
      </c>
      <c r="H13486" t="s">
        <v>13</v>
      </c>
    </row>
    <row r="13487" spans="2:8" x14ac:dyDescent="0.2">
      <c r="B13487" s="3">
        <v>45732</v>
      </c>
      <c r="C13487" s="3"/>
      <c r="D13487" s="6"/>
      <c r="E13487" s="2"/>
      <c r="F13487" s="2"/>
      <c r="G13487" s="2">
        <f t="shared" si="210"/>
        <v>0</v>
      </c>
      <c r="H13487" t="s">
        <v>11</v>
      </c>
    </row>
    <row r="13488" spans="2:8" x14ac:dyDescent="0.2">
      <c r="B13488" s="3">
        <v>45732</v>
      </c>
      <c r="C13488" s="3"/>
      <c r="D13488" s="6"/>
      <c r="E13488" s="2"/>
      <c r="F13488" s="2"/>
      <c r="G13488" s="2">
        <f t="shared" si="210"/>
        <v>0</v>
      </c>
      <c r="H13488" t="s">
        <v>10</v>
      </c>
    </row>
    <row r="13489" spans="2:8" x14ac:dyDescent="0.2">
      <c r="B13489" s="3">
        <v>45732</v>
      </c>
      <c r="C13489" s="3"/>
      <c r="D13489" s="6"/>
      <c r="E13489" s="2"/>
      <c r="F13489" s="2"/>
      <c r="G13489" s="2">
        <f t="shared" si="210"/>
        <v>0</v>
      </c>
      <c r="H13489" t="s">
        <v>9</v>
      </c>
    </row>
    <row r="13490" spans="2:8" x14ac:dyDescent="0.2">
      <c r="B13490" s="3">
        <v>45732</v>
      </c>
      <c r="C13490" s="3"/>
      <c r="D13490" s="6"/>
      <c r="E13490" s="2"/>
      <c r="F13490" s="2"/>
      <c r="G13490" s="2">
        <f t="shared" si="210"/>
        <v>0</v>
      </c>
      <c r="H13490" t="s">
        <v>8</v>
      </c>
    </row>
    <row r="13491" spans="2:8" x14ac:dyDescent="0.2">
      <c r="B13491" s="3">
        <v>45732</v>
      </c>
      <c r="C13491" s="3"/>
      <c r="D13491" s="6"/>
      <c r="E13491" s="2"/>
      <c r="F13491" s="2"/>
      <c r="G13491" s="2">
        <f t="shared" si="210"/>
        <v>0</v>
      </c>
      <c r="H13491" t="s">
        <v>7</v>
      </c>
    </row>
    <row r="13492" spans="2:8" x14ac:dyDescent="0.2">
      <c r="B13492" s="3">
        <v>45732</v>
      </c>
      <c r="C13492" s="3"/>
      <c r="D13492" s="6"/>
      <c r="E13492" s="2"/>
      <c r="F13492" s="2"/>
      <c r="G13492" s="2">
        <f t="shared" si="210"/>
        <v>0</v>
      </c>
      <c r="H13492" t="s">
        <v>6</v>
      </c>
    </row>
    <row r="13493" spans="2:8" x14ac:dyDescent="0.2">
      <c r="B13493" s="3">
        <v>45732</v>
      </c>
      <c r="C13493" s="2">
        <v>31</v>
      </c>
      <c r="D13493" s="6">
        <v>43550</v>
      </c>
      <c r="E13493" s="2">
        <v>43950</v>
      </c>
      <c r="F13493" s="2"/>
      <c r="G13493" s="2">
        <f t="shared" si="210"/>
        <v>43950</v>
      </c>
      <c r="H13493" t="s">
        <v>5</v>
      </c>
    </row>
    <row r="13494" spans="2:8" x14ac:dyDescent="0.2">
      <c r="B13494" s="3">
        <v>45732</v>
      </c>
      <c r="C13494" s="3"/>
      <c r="D13494" s="6"/>
      <c r="E13494" s="2"/>
      <c r="F13494" s="2"/>
      <c r="G13494" s="2">
        <f t="shared" si="210"/>
        <v>0</v>
      </c>
      <c r="H13494" s="1"/>
    </row>
    <row r="13495" spans="2:8" x14ac:dyDescent="0.2">
      <c r="B13495" s="3">
        <v>45732</v>
      </c>
      <c r="C13495" s="3"/>
      <c r="D13495" s="2"/>
      <c r="E13495" s="2"/>
      <c r="F13495" s="2">
        <v>50000</v>
      </c>
      <c r="G13495" s="2">
        <f t="shared" si="210"/>
        <v>-50000</v>
      </c>
      <c r="H13495" t="s">
        <v>0</v>
      </c>
    </row>
    <row r="13496" spans="2:8" x14ac:dyDescent="0.2">
      <c r="B13496" s="3">
        <v>45733</v>
      </c>
      <c r="C13496" s="2"/>
      <c r="D13496" s="2"/>
      <c r="E13496" s="2"/>
      <c r="F13496" s="2"/>
      <c r="G13496" s="2">
        <f t="shared" si="210"/>
        <v>0</v>
      </c>
      <c r="H13496" t="s">
        <v>14</v>
      </c>
    </row>
    <row r="13497" spans="2:8" x14ac:dyDescent="0.2">
      <c r="B13497" s="3">
        <v>45733</v>
      </c>
      <c r="C13497" s="2"/>
      <c r="D13497" s="2"/>
      <c r="E13497" s="2"/>
      <c r="F13497" s="2"/>
      <c r="G13497" s="2">
        <f t="shared" si="210"/>
        <v>0</v>
      </c>
      <c r="H13497" t="s">
        <v>13</v>
      </c>
    </row>
    <row r="13498" spans="2:8" x14ac:dyDescent="0.2">
      <c r="B13498" s="3">
        <v>45733</v>
      </c>
      <c r="C13498" s="3"/>
      <c r="D13498" s="6"/>
      <c r="E13498" s="2"/>
      <c r="F13498" s="2"/>
      <c r="G13498" s="2">
        <f t="shared" si="210"/>
        <v>0</v>
      </c>
      <c r="H13498" t="s">
        <v>11</v>
      </c>
    </row>
    <row r="13499" spans="2:8" x14ac:dyDescent="0.2">
      <c r="B13499" s="3">
        <v>45733</v>
      </c>
      <c r="C13499" s="3"/>
      <c r="D13499" s="6"/>
      <c r="E13499" s="2"/>
      <c r="F13499" s="2"/>
      <c r="G13499" s="2">
        <f t="shared" si="210"/>
        <v>0</v>
      </c>
      <c r="H13499" t="s">
        <v>10</v>
      </c>
    </row>
    <row r="13500" spans="2:8" x14ac:dyDescent="0.2">
      <c r="B13500" s="3">
        <v>45733</v>
      </c>
      <c r="C13500" s="3"/>
      <c r="D13500" s="6"/>
      <c r="E13500" s="2"/>
      <c r="F13500" s="2"/>
      <c r="G13500" s="2">
        <f t="shared" si="210"/>
        <v>0</v>
      </c>
      <c r="H13500" t="s">
        <v>9</v>
      </c>
    </row>
    <row r="13501" spans="2:8" x14ac:dyDescent="0.2">
      <c r="B13501" s="3">
        <v>45733</v>
      </c>
      <c r="C13501" s="3"/>
      <c r="D13501" s="6"/>
      <c r="E13501" s="2"/>
      <c r="F13501" s="2"/>
      <c r="G13501" s="2">
        <f t="shared" si="210"/>
        <v>0</v>
      </c>
      <c r="H13501" t="s">
        <v>8</v>
      </c>
    </row>
    <row r="13502" spans="2:8" x14ac:dyDescent="0.2">
      <c r="B13502" s="3">
        <v>45733</v>
      </c>
      <c r="C13502" s="3"/>
      <c r="D13502" s="6"/>
      <c r="E13502" s="2"/>
      <c r="F13502" s="2">
        <v>3000</v>
      </c>
      <c r="G13502" s="2">
        <f t="shared" si="210"/>
        <v>-3000</v>
      </c>
      <c r="H13502" t="s">
        <v>7</v>
      </c>
    </row>
    <row r="13503" spans="2:8" x14ac:dyDescent="0.2">
      <c r="B13503" s="3">
        <v>45733</v>
      </c>
      <c r="C13503" s="3"/>
      <c r="D13503" s="6"/>
      <c r="E13503" s="5"/>
      <c r="F13503" s="2"/>
      <c r="G13503" s="2">
        <f t="shared" si="210"/>
        <v>0</v>
      </c>
      <c r="H13503" t="s">
        <v>6</v>
      </c>
    </row>
    <row r="13504" spans="2:8" x14ac:dyDescent="0.2">
      <c r="B13504" s="3">
        <v>45733</v>
      </c>
      <c r="C13504" s="3"/>
      <c r="D13504" s="6"/>
      <c r="E13504" s="2"/>
      <c r="F13504" s="2">
        <v>43950</v>
      </c>
      <c r="G13504" s="2">
        <f t="shared" si="210"/>
        <v>-43950</v>
      </c>
      <c r="H13504" t="s">
        <v>5</v>
      </c>
    </row>
    <row r="13505" spans="2:8" x14ac:dyDescent="0.2">
      <c r="B13505" s="3">
        <v>45733</v>
      </c>
      <c r="C13505" s="3"/>
      <c r="D13505" s="6"/>
      <c r="E13505" s="2"/>
      <c r="F13505" s="2"/>
      <c r="G13505" s="2">
        <f t="shared" si="210"/>
        <v>0</v>
      </c>
      <c r="H13505" s="1"/>
    </row>
    <row r="13506" spans="2:8" x14ac:dyDescent="0.2">
      <c r="B13506" s="3">
        <v>45733</v>
      </c>
      <c r="C13506" s="3"/>
      <c r="D13506" s="2"/>
      <c r="E13506" s="2"/>
      <c r="F13506" s="2"/>
      <c r="G13506" s="2">
        <f t="shared" si="210"/>
        <v>0</v>
      </c>
      <c r="H13506" t="s">
        <v>0</v>
      </c>
    </row>
    <row r="13507" spans="2:8" x14ac:dyDescent="0.2">
      <c r="B13507" s="3">
        <v>45734</v>
      </c>
      <c r="C13507" s="2"/>
      <c r="D13507" s="2"/>
      <c r="E13507" s="2"/>
      <c r="F13507" s="2"/>
      <c r="G13507" s="2">
        <f t="shared" ref="G13507:G13570" si="211">E13507-F13507</f>
        <v>0</v>
      </c>
      <c r="H13507" t="s">
        <v>14</v>
      </c>
    </row>
    <row r="13508" spans="2:8" x14ac:dyDescent="0.2">
      <c r="B13508" s="3">
        <v>45734</v>
      </c>
      <c r="C13508" s="2"/>
      <c r="D13508" s="2"/>
      <c r="E13508" s="2"/>
      <c r="F13508" s="2"/>
      <c r="G13508" s="2">
        <f t="shared" si="211"/>
        <v>0</v>
      </c>
      <c r="H13508" t="s">
        <v>13</v>
      </c>
    </row>
    <row r="13509" spans="2:8" x14ac:dyDescent="0.2">
      <c r="B13509" s="3">
        <v>45734</v>
      </c>
      <c r="C13509" s="3"/>
      <c r="D13509" s="6"/>
      <c r="E13509" s="2"/>
      <c r="F13509" s="2"/>
      <c r="G13509" s="2">
        <f t="shared" si="211"/>
        <v>0</v>
      </c>
      <c r="H13509" t="s">
        <v>11</v>
      </c>
    </row>
    <row r="13510" spans="2:8" x14ac:dyDescent="0.2">
      <c r="B13510" s="3">
        <v>45734</v>
      </c>
      <c r="C13510" s="3"/>
      <c r="D13510" s="6"/>
      <c r="E13510" s="9"/>
      <c r="F13510" s="2"/>
      <c r="G13510" s="2">
        <f t="shared" si="211"/>
        <v>0</v>
      </c>
      <c r="H13510" t="s">
        <v>10</v>
      </c>
    </row>
    <row r="13511" spans="2:8" x14ac:dyDescent="0.2">
      <c r="B13511" s="3">
        <v>45734</v>
      </c>
      <c r="C13511" s="3"/>
      <c r="D13511" s="6"/>
      <c r="E13511" s="2"/>
      <c r="F13511" s="2">
        <v>9195</v>
      </c>
      <c r="G13511" s="2">
        <f t="shared" si="211"/>
        <v>-9195</v>
      </c>
      <c r="H13511" t="s">
        <v>9</v>
      </c>
    </row>
    <row r="13512" spans="2:8" x14ac:dyDescent="0.2">
      <c r="B13512" s="3">
        <v>45734</v>
      </c>
      <c r="C13512" s="3"/>
      <c r="D13512" s="6"/>
      <c r="E13512" s="2"/>
      <c r="F13512" s="2"/>
      <c r="G13512" s="2">
        <f t="shared" si="211"/>
        <v>0</v>
      </c>
      <c r="H13512" t="s">
        <v>8</v>
      </c>
    </row>
    <row r="13513" spans="2:8" x14ac:dyDescent="0.2">
      <c r="B13513" s="3">
        <v>45734</v>
      </c>
      <c r="C13513" s="3"/>
      <c r="D13513" s="6"/>
      <c r="E13513" s="2"/>
      <c r="F13513" s="2"/>
      <c r="G13513" s="2">
        <f t="shared" si="211"/>
        <v>0</v>
      </c>
      <c r="H13513" t="s">
        <v>7</v>
      </c>
    </row>
    <row r="13514" spans="2:8" x14ac:dyDescent="0.2">
      <c r="B13514" s="3">
        <v>45734</v>
      </c>
      <c r="C13514" s="3"/>
      <c r="D13514" s="6"/>
      <c r="E13514" s="2"/>
      <c r="F13514" s="2"/>
      <c r="G13514" s="2">
        <f t="shared" si="211"/>
        <v>0</v>
      </c>
      <c r="H13514" t="s">
        <v>6</v>
      </c>
    </row>
    <row r="13515" spans="2:8" x14ac:dyDescent="0.2">
      <c r="B13515" s="3">
        <v>45734</v>
      </c>
      <c r="C13515" s="3"/>
      <c r="D13515" s="6"/>
      <c r="E13515" s="2"/>
      <c r="F13515" s="2"/>
      <c r="G13515" s="2">
        <f t="shared" si="211"/>
        <v>0</v>
      </c>
      <c r="H13515" t="s">
        <v>5</v>
      </c>
    </row>
    <row r="13516" spans="2:8" x14ac:dyDescent="0.2">
      <c r="B13516" s="3">
        <v>45734</v>
      </c>
      <c r="C13516" s="3"/>
      <c r="D13516" s="6"/>
      <c r="E13516" s="2"/>
      <c r="F13516" s="2"/>
      <c r="G13516" s="2">
        <f t="shared" si="211"/>
        <v>0</v>
      </c>
      <c r="H13516" s="1"/>
    </row>
    <row r="13517" spans="2:8" x14ac:dyDescent="0.2">
      <c r="B13517" s="3">
        <v>45734</v>
      </c>
      <c r="C13517" s="3"/>
      <c r="D13517" s="2"/>
      <c r="E13517" s="2"/>
      <c r="F13517" s="2"/>
      <c r="G13517" s="2">
        <f t="shared" si="211"/>
        <v>0</v>
      </c>
      <c r="H13517" t="s">
        <v>0</v>
      </c>
    </row>
    <row r="13518" spans="2:8" x14ac:dyDescent="0.2">
      <c r="B13518" s="3">
        <v>45735</v>
      </c>
      <c r="C13518" s="2">
        <v>32</v>
      </c>
      <c r="D13518" s="2">
        <v>23150</v>
      </c>
      <c r="E13518" s="2">
        <v>25600</v>
      </c>
      <c r="F13518" s="2"/>
      <c r="G13518" s="2">
        <f t="shared" si="211"/>
        <v>25600</v>
      </c>
      <c r="H13518" t="s">
        <v>14</v>
      </c>
    </row>
    <row r="13519" spans="2:8" x14ac:dyDescent="0.2">
      <c r="B13519" s="3">
        <v>45735</v>
      </c>
      <c r="C13519" s="2"/>
      <c r="D13519" s="2"/>
      <c r="E13519" s="2"/>
      <c r="F13519" s="2"/>
      <c r="G13519" s="2">
        <f t="shared" si="211"/>
        <v>0</v>
      </c>
      <c r="H13519" t="s">
        <v>13</v>
      </c>
    </row>
    <row r="13520" spans="2:8" x14ac:dyDescent="0.2">
      <c r="B13520" s="3">
        <v>45735</v>
      </c>
      <c r="C13520" s="3"/>
      <c r="D13520" s="6"/>
      <c r="E13520" s="2"/>
      <c r="F13520" s="2"/>
      <c r="G13520" s="2">
        <f t="shared" si="211"/>
        <v>0</v>
      </c>
      <c r="H13520" t="s">
        <v>11</v>
      </c>
    </row>
    <row r="13521" spans="2:8" x14ac:dyDescent="0.2">
      <c r="B13521" s="3">
        <v>45735</v>
      </c>
      <c r="C13521" s="3"/>
      <c r="D13521" s="6"/>
      <c r="E13521" s="2"/>
      <c r="F13521" s="2"/>
      <c r="G13521" s="2">
        <f t="shared" si="211"/>
        <v>0</v>
      </c>
      <c r="H13521" t="s">
        <v>10</v>
      </c>
    </row>
    <row r="13522" spans="2:8" x14ac:dyDescent="0.2">
      <c r="B13522" s="3">
        <v>45735</v>
      </c>
      <c r="C13522" s="3"/>
      <c r="D13522" s="6"/>
      <c r="E13522" s="2"/>
      <c r="F13522" s="2"/>
      <c r="G13522" s="2">
        <f t="shared" si="211"/>
        <v>0</v>
      </c>
      <c r="H13522" t="s">
        <v>9</v>
      </c>
    </row>
    <row r="13523" spans="2:8" x14ac:dyDescent="0.2">
      <c r="B13523" s="3">
        <v>45735</v>
      </c>
      <c r="C13523" s="3"/>
      <c r="D13523" s="6"/>
      <c r="E13523" s="2"/>
      <c r="F13523" s="2">
        <v>20000</v>
      </c>
      <c r="G13523" s="2">
        <f t="shared" si="211"/>
        <v>-20000</v>
      </c>
      <c r="H13523" t="s">
        <v>8</v>
      </c>
    </row>
    <row r="13524" spans="2:8" x14ac:dyDescent="0.2">
      <c r="B13524" s="3">
        <v>45735</v>
      </c>
      <c r="C13524" s="3"/>
      <c r="D13524" s="6"/>
      <c r="E13524" s="2"/>
      <c r="F13524" s="2"/>
      <c r="G13524" s="2">
        <f t="shared" si="211"/>
        <v>0</v>
      </c>
      <c r="H13524" t="s">
        <v>7</v>
      </c>
    </row>
    <row r="13525" spans="2:8" x14ac:dyDescent="0.2">
      <c r="B13525" s="3">
        <v>45735</v>
      </c>
      <c r="C13525" s="3"/>
      <c r="D13525" s="6"/>
      <c r="E13525" s="5"/>
      <c r="F13525" s="2"/>
      <c r="G13525" s="2">
        <f t="shared" si="211"/>
        <v>0</v>
      </c>
      <c r="H13525" t="s">
        <v>6</v>
      </c>
    </row>
    <row r="13526" spans="2:8" x14ac:dyDescent="0.2">
      <c r="B13526" s="3">
        <v>45735</v>
      </c>
      <c r="C13526" s="3"/>
      <c r="D13526" s="6"/>
      <c r="E13526" s="2"/>
      <c r="F13526" s="2"/>
      <c r="G13526" s="2">
        <f t="shared" si="211"/>
        <v>0</v>
      </c>
      <c r="H13526" t="s">
        <v>5</v>
      </c>
    </row>
    <row r="13527" spans="2:8" x14ac:dyDescent="0.2">
      <c r="B13527" s="3">
        <v>45735</v>
      </c>
      <c r="C13527" s="3"/>
      <c r="D13527" s="6"/>
      <c r="E13527" s="2"/>
      <c r="F13527" s="2"/>
      <c r="G13527" s="2">
        <f t="shared" si="211"/>
        <v>0</v>
      </c>
      <c r="H13527" s="1"/>
    </row>
    <row r="13528" spans="2:8" x14ac:dyDescent="0.2">
      <c r="B13528" s="3">
        <v>45735</v>
      </c>
      <c r="C13528" s="3"/>
      <c r="D13528" s="2"/>
      <c r="E13528" s="2"/>
      <c r="F13528" s="2">
        <v>34360</v>
      </c>
      <c r="G13528" s="2">
        <f t="shared" si="211"/>
        <v>-34360</v>
      </c>
      <c r="H13528" t="s">
        <v>0</v>
      </c>
    </row>
    <row r="13529" spans="2:8" x14ac:dyDescent="0.2">
      <c r="B13529" s="3">
        <v>45736</v>
      </c>
      <c r="C13529" s="2"/>
      <c r="D13529" s="2"/>
      <c r="E13529" s="2"/>
      <c r="F13529" s="2"/>
      <c r="G13529" s="2">
        <f t="shared" si="211"/>
        <v>0</v>
      </c>
      <c r="H13529" t="s">
        <v>14</v>
      </c>
    </row>
    <row r="13530" spans="2:8" x14ac:dyDescent="0.2">
      <c r="B13530" s="3">
        <v>45736</v>
      </c>
      <c r="C13530" s="2"/>
      <c r="D13530" s="2"/>
      <c r="E13530" s="2"/>
      <c r="F13530" s="2"/>
      <c r="G13530" s="2">
        <f t="shared" si="211"/>
        <v>0</v>
      </c>
      <c r="H13530" t="s">
        <v>13</v>
      </c>
    </row>
    <row r="13531" spans="2:8" x14ac:dyDescent="0.2">
      <c r="B13531" s="3">
        <v>45736</v>
      </c>
      <c r="C13531" s="3"/>
      <c r="D13531" s="6"/>
      <c r="E13531" s="2"/>
      <c r="F13531" s="2"/>
      <c r="G13531" s="2">
        <f t="shared" si="211"/>
        <v>0</v>
      </c>
      <c r="H13531" t="s">
        <v>11</v>
      </c>
    </row>
    <row r="13532" spans="2:8" x14ac:dyDescent="0.2">
      <c r="B13532" s="3">
        <v>45736</v>
      </c>
      <c r="C13532" s="3"/>
      <c r="D13532" s="6"/>
      <c r="E13532" s="2"/>
      <c r="F13532" s="2">
        <v>6641</v>
      </c>
      <c r="G13532" s="2">
        <f t="shared" si="211"/>
        <v>-6641</v>
      </c>
      <c r="H13532" t="s">
        <v>10</v>
      </c>
    </row>
    <row r="13533" spans="2:8" x14ac:dyDescent="0.2">
      <c r="B13533" s="3">
        <v>45736</v>
      </c>
      <c r="C13533" s="3"/>
      <c r="D13533" s="6"/>
      <c r="E13533" s="2"/>
      <c r="F13533" s="2"/>
      <c r="G13533" s="2">
        <f t="shared" si="211"/>
        <v>0</v>
      </c>
      <c r="H13533" t="s">
        <v>9</v>
      </c>
    </row>
    <row r="13534" spans="2:8" x14ac:dyDescent="0.2">
      <c r="B13534" s="3">
        <v>45736</v>
      </c>
      <c r="C13534" s="3"/>
      <c r="D13534" s="6"/>
      <c r="E13534" s="2"/>
      <c r="F13534" s="2"/>
      <c r="G13534" s="2">
        <f t="shared" si="211"/>
        <v>0</v>
      </c>
      <c r="H13534" t="s">
        <v>8</v>
      </c>
    </row>
    <row r="13535" spans="2:8" x14ac:dyDescent="0.2">
      <c r="B13535" s="3">
        <v>45736</v>
      </c>
      <c r="C13535" s="3"/>
      <c r="D13535" s="6"/>
      <c r="E13535" s="2"/>
      <c r="F13535" s="2"/>
      <c r="G13535" s="2">
        <f t="shared" si="211"/>
        <v>0</v>
      </c>
      <c r="H13535" t="s">
        <v>7</v>
      </c>
    </row>
    <row r="13536" spans="2:8" x14ac:dyDescent="0.2">
      <c r="B13536" s="3">
        <v>45736</v>
      </c>
      <c r="C13536" s="3"/>
      <c r="D13536" s="6"/>
      <c r="E13536" s="2"/>
      <c r="F13536" s="2"/>
      <c r="G13536" s="2">
        <f t="shared" si="211"/>
        <v>0</v>
      </c>
      <c r="H13536" t="s">
        <v>6</v>
      </c>
    </row>
    <row r="13537" spans="2:8" x14ac:dyDescent="0.2">
      <c r="B13537" s="3">
        <v>45736</v>
      </c>
      <c r="C13537" s="3"/>
      <c r="D13537" s="6"/>
      <c r="E13537" s="2"/>
      <c r="F13537" s="2"/>
      <c r="G13537" s="2">
        <f t="shared" si="211"/>
        <v>0</v>
      </c>
      <c r="H13537" t="s">
        <v>5</v>
      </c>
    </row>
    <row r="13538" spans="2:8" x14ac:dyDescent="0.2">
      <c r="B13538" s="3">
        <v>45736</v>
      </c>
      <c r="C13538" s="3"/>
      <c r="D13538" s="6">
        <v>19778.400000000001</v>
      </c>
      <c r="E13538" s="2">
        <v>20140</v>
      </c>
      <c r="F13538" s="2">
        <v>20000</v>
      </c>
      <c r="G13538" s="2">
        <f t="shared" si="211"/>
        <v>140</v>
      </c>
      <c r="H13538" s="1" t="s">
        <v>1</v>
      </c>
    </row>
    <row r="13539" spans="2:8" x14ac:dyDescent="0.2">
      <c r="B13539" s="3">
        <v>45736</v>
      </c>
      <c r="C13539" s="3"/>
      <c r="D13539" s="2"/>
      <c r="E13539" s="2"/>
      <c r="F13539" s="2"/>
      <c r="G13539" s="2">
        <f t="shared" si="211"/>
        <v>0</v>
      </c>
      <c r="H13539" t="s">
        <v>0</v>
      </c>
    </row>
    <row r="13540" spans="2:8" x14ac:dyDescent="0.2">
      <c r="B13540" s="3">
        <v>45737</v>
      </c>
      <c r="C13540" s="2"/>
      <c r="D13540" s="2"/>
      <c r="E13540" s="2"/>
      <c r="F13540" s="2"/>
      <c r="G13540" s="2">
        <f t="shared" si="211"/>
        <v>0</v>
      </c>
      <c r="H13540" t="s">
        <v>14</v>
      </c>
    </row>
    <row r="13541" spans="2:8" x14ac:dyDescent="0.2">
      <c r="B13541" s="3">
        <v>45737</v>
      </c>
      <c r="C13541" s="2"/>
      <c r="D13541" s="2"/>
      <c r="E13541" s="2"/>
      <c r="F13541" s="2"/>
      <c r="G13541" s="2">
        <f t="shared" si="211"/>
        <v>0</v>
      </c>
      <c r="H13541" t="s">
        <v>13</v>
      </c>
    </row>
    <row r="13542" spans="2:8" x14ac:dyDescent="0.2">
      <c r="B13542" s="3">
        <v>45737</v>
      </c>
      <c r="C13542" s="3"/>
      <c r="D13542" s="6"/>
      <c r="E13542" s="2"/>
      <c r="F13542" s="2"/>
      <c r="G13542" s="2">
        <f t="shared" si="211"/>
        <v>0</v>
      </c>
      <c r="H13542" t="s">
        <v>11</v>
      </c>
    </row>
    <row r="13543" spans="2:8" x14ac:dyDescent="0.2">
      <c r="B13543" s="3">
        <v>45737</v>
      </c>
      <c r="C13543" s="3"/>
      <c r="D13543" s="6"/>
      <c r="E13543" s="2"/>
      <c r="F13543" s="2"/>
      <c r="G13543" s="2">
        <f t="shared" si="211"/>
        <v>0</v>
      </c>
      <c r="H13543" t="s">
        <v>10</v>
      </c>
    </row>
    <row r="13544" spans="2:8" x14ac:dyDescent="0.2">
      <c r="B13544" s="3">
        <v>45737</v>
      </c>
      <c r="C13544" s="3"/>
      <c r="D13544" s="6"/>
      <c r="E13544" s="2"/>
      <c r="F13544" s="2"/>
      <c r="G13544" s="2">
        <f t="shared" si="211"/>
        <v>0</v>
      </c>
      <c r="H13544" t="s">
        <v>9</v>
      </c>
    </row>
    <row r="13545" spans="2:8" x14ac:dyDescent="0.2">
      <c r="B13545" s="3">
        <v>45737</v>
      </c>
      <c r="C13545" s="3"/>
      <c r="D13545" s="6"/>
      <c r="E13545" s="2"/>
      <c r="F13545" s="2"/>
      <c r="G13545" s="2">
        <f t="shared" si="211"/>
        <v>0</v>
      </c>
      <c r="H13545" t="s">
        <v>8</v>
      </c>
    </row>
    <row r="13546" spans="2:8" x14ac:dyDescent="0.2">
      <c r="B13546" s="3">
        <v>45737</v>
      </c>
      <c r="C13546" s="3"/>
      <c r="D13546" s="6"/>
      <c r="E13546" s="2"/>
      <c r="F13546" s="2"/>
      <c r="G13546" s="2">
        <f t="shared" si="211"/>
        <v>0</v>
      </c>
      <c r="H13546" t="s">
        <v>7</v>
      </c>
    </row>
    <row r="13547" spans="2:8" x14ac:dyDescent="0.2">
      <c r="B13547" s="3">
        <v>45737</v>
      </c>
      <c r="C13547" s="3"/>
      <c r="D13547" s="6"/>
      <c r="E13547" s="2"/>
      <c r="F13547" s="2"/>
      <c r="G13547" s="2">
        <f t="shared" si="211"/>
        <v>0</v>
      </c>
      <c r="H13547" t="s">
        <v>6</v>
      </c>
    </row>
    <row r="13548" spans="2:8" x14ac:dyDescent="0.2">
      <c r="B13548" s="3">
        <v>45737</v>
      </c>
      <c r="C13548" s="3"/>
      <c r="D13548" s="6"/>
      <c r="E13548" s="2"/>
      <c r="F13548" s="2"/>
      <c r="G13548" s="2">
        <f t="shared" si="211"/>
        <v>0</v>
      </c>
      <c r="H13548" t="s">
        <v>5</v>
      </c>
    </row>
    <row r="13549" spans="2:8" x14ac:dyDescent="0.2">
      <c r="B13549" s="3">
        <v>45737</v>
      </c>
      <c r="C13549" s="3"/>
      <c r="D13549" s="6"/>
      <c r="E13549" s="2"/>
      <c r="F13549" s="2"/>
      <c r="G13549" s="2">
        <f t="shared" si="211"/>
        <v>0</v>
      </c>
      <c r="H13549" s="1"/>
    </row>
    <row r="13550" spans="2:8" x14ac:dyDescent="0.2">
      <c r="B13550" s="3">
        <v>45737</v>
      </c>
      <c r="C13550" s="3"/>
      <c r="D13550" s="2"/>
      <c r="E13550" s="2"/>
      <c r="F13550" s="2"/>
      <c r="G13550" s="2">
        <f t="shared" si="211"/>
        <v>0</v>
      </c>
      <c r="H13550" t="s">
        <v>0</v>
      </c>
    </row>
    <row r="13551" spans="2:8" x14ac:dyDescent="0.2">
      <c r="B13551" s="3">
        <v>45738</v>
      </c>
      <c r="C13551" s="2"/>
      <c r="D13551" s="2"/>
      <c r="E13551" s="2"/>
      <c r="F13551" s="2"/>
      <c r="G13551" s="2">
        <f t="shared" si="211"/>
        <v>0</v>
      </c>
      <c r="H13551" t="s">
        <v>14</v>
      </c>
    </row>
    <row r="13552" spans="2:8" x14ac:dyDescent="0.2">
      <c r="B13552" s="3">
        <v>45738</v>
      </c>
      <c r="C13552" s="2"/>
      <c r="D13552" s="2"/>
      <c r="E13552" s="2"/>
      <c r="F13552" s="2"/>
      <c r="G13552" s="2">
        <f t="shared" si="211"/>
        <v>0</v>
      </c>
      <c r="H13552" t="s">
        <v>13</v>
      </c>
    </row>
    <row r="13553" spans="2:8" x14ac:dyDescent="0.2">
      <c r="B13553" s="3">
        <v>45738</v>
      </c>
      <c r="C13553" s="3"/>
      <c r="D13553" s="6"/>
      <c r="E13553" s="2"/>
      <c r="F13553" s="2"/>
      <c r="G13553" s="2">
        <f t="shared" si="211"/>
        <v>0</v>
      </c>
      <c r="H13553" t="s">
        <v>11</v>
      </c>
    </row>
    <row r="13554" spans="2:8" x14ac:dyDescent="0.2">
      <c r="B13554" s="3">
        <v>45738</v>
      </c>
      <c r="C13554" s="3"/>
      <c r="D13554" s="6"/>
      <c r="E13554" s="2"/>
      <c r="F13554" s="2"/>
      <c r="G13554" s="2">
        <f t="shared" si="211"/>
        <v>0</v>
      </c>
      <c r="H13554" t="s">
        <v>10</v>
      </c>
    </row>
    <row r="13555" spans="2:8" x14ac:dyDescent="0.2">
      <c r="B13555" s="3">
        <v>45738</v>
      </c>
      <c r="C13555" s="3"/>
      <c r="D13555" s="6"/>
      <c r="E13555" s="2"/>
      <c r="F13555" s="2"/>
      <c r="G13555" s="2">
        <f t="shared" si="211"/>
        <v>0</v>
      </c>
      <c r="H13555" t="s">
        <v>9</v>
      </c>
    </row>
    <row r="13556" spans="2:8" x14ac:dyDescent="0.2">
      <c r="B13556" s="3">
        <v>45738</v>
      </c>
      <c r="C13556" s="3"/>
      <c r="D13556" s="6"/>
      <c r="E13556" s="2"/>
      <c r="F13556" s="2"/>
      <c r="G13556" s="2">
        <f t="shared" si="211"/>
        <v>0</v>
      </c>
      <c r="H13556" t="s">
        <v>8</v>
      </c>
    </row>
    <row r="13557" spans="2:8" x14ac:dyDescent="0.2">
      <c r="B13557" s="3">
        <v>45738</v>
      </c>
      <c r="C13557" s="3"/>
      <c r="D13557" s="6"/>
      <c r="E13557" s="2"/>
      <c r="F13557" s="2"/>
      <c r="G13557" s="2">
        <f t="shared" si="211"/>
        <v>0</v>
      </c>
      <c r="H13557" t="s">
        <v>7</v>
      </c>
    </row>
    <row r="13558" spans="2:8" x14ac:dyDescent="0.2">
      <c r="B13558" s="3">
        <v>45738</v>
      </c>
      <c r="C13558" s="3"/>
      <c r="D13558" s="6"/>
      <c r="E13558" s="2"/>
      <c r="F13558" s="2"/>
      <c r="G13558" s="2">
        <f t="shared" si="211"/>
        <v>0</v>
      </c>
      <c r="H13558" t="s">
        <v>6</v>
      </c>
    </row>
    <row r="13559" spans="2:8" x14ac:dyDescent="0.2">
      <c r="B13559" s="3">
        <v>45738</v>
      </c>
      <c r="C13559" s="3"/>
      <c r="D13559" s="6"/>
      <c r="E13559" s="2"/>
      <c r="F13559" s="2"/>
      <c r="G13559" s="2">
        <f t="shared" si="211"/>
        <v>0</v>
      </c>
      <c r="H13559" t="s">
        <v>5</v>
      </c>
    </row>
    <row r="13560" spans="2:8" x14ac:dyDescent="0.2">
      <c r="B13560" s="3">
        <v>45738</v>
      </c>
      <c r="C13560" s="3"/>
      <c r="D13560" s="6"/>
      <c r="E13560" s="2"/>
      <c r="F13560" s="2"/>
      <c r="G13560" s="2">
        <f t="shared" si="211"/>
        <v>0</v>
      </c>
      <c r="H13560" s="1"/>
    </row>
    <row r="13561" spans="2:8" x14ac:dyDescent="0.2">
      <c r="B13561" s="3">
        <v>45738</v>
      </c>
      <c r="C13561" s="3"/>
      <c r="D13561" s="2"/>
      <c r="E13561" s="2"/>
      <c r="F13561" s="2"/>
      <c r="G13561" s="2">
        <f t="shared" si="211"/>
        <v>0</v>
      </c>
      <c r="H13561" t="s">
        <v>0</v>
      </c>
    </row>
    <row r="13562" spans="2:8" x14ac:dyDescent="0.2">
      <c r="B13562" s="3">
        <v>45739</v>
      </c>
      <c r="C13562" s="2"/>
      <c r="D13562" s="2"/>
      <c r="E13562" s="2"/>
      <c r="F13562" s="2"/>
      <c r="G13562" s="2">
        <f t="shared" si="211"/>
        <v>0</v>
      </c>
      <c r="H13562" t="s">
        <v>14</v>
      </c>
    </row>
    <row r="13563" spans="2:8" x14ac:dyDescent="0.2">
      <c r="B13563" s="3">
        <v>45739</v>
      </c>
      <c r="C13563" s="2"/>
      <c r="D13563" s="2"/>
      <c r="E13563" s="2"/>
      <c r="F13563" s="2"/>
      <c r="G13563" s="2">
        <f t="shared" si="211"/>
        <v>0</v>
      </c>
      <c r="H13563" t="s">
        <v>13</v>
      </c>
    </row>
    <row r="13564" spans="2:8" x14ac:dyDescent="0.2">
      <c r="B13564" s="3">
        <v>45739</v>
      </c>
      <c r="C13564" s="3"/>
      <c r="D13564" s="6"/>
      <c r="E13564" s="2"/>
      <c r="F13564" s="2"/>
      <c r="G13564" s="2">
        <f t="shared" si="211"/>
        <v>0</v>
      </c>
      <c r="H13564" t="s">
        <v>11</v>
      </c>
    </row>
    <row r="13565" spans="2:8" x14ac:dyDescent="0.2">
      <c r="B13565" s="3">
        <v>45739</v>
      </c>
      <c r="C13565" s="3"/>
      <c r="D13565" s="6"/>
      <c r="E13565" s="2"/>
      <c r="F13565" s="2"/>
      <c r="G13565" s="2">
        <f t="shared" si="211"/>
        <v>0</v>
      </c>
      <c r="H13565" t="s">
        <v>10</v>
      </c>
    </row>
    <row r="13566" spans="2:8" x14ac:dyDescent="0.2">
      <c r="B13566" s="3">
        <v>45739</v>
      </c>
      <c r="C13566" s="3"/>
      <c r="D13566" s="6"/>
      <c r="E13566" s="2"/>
      <c r="F13566" s="2"/>
      <c r="G13566" s="2">
        <f t="shared" si="211"/>
        <v>0</v>
      </c>
      <c r="H13566" t="s">
        <v>9</v>
      </c>
    </row>
    <row r="13567" spans="2:8" x14ac:dyDescent="0.2">
      <c r="B13567" s="3">
        <v>45739</v>
      </c>
      <c r="C13567" s="3"/>
      <c r="D13567" s="6"/>
      <c r="E13567" s="2"/>
      <c r="F13567" s="2"/>
      <c r="G13567" s="2">
        <f t="shared" si="211"/>
        <v>0</v>
      </c>
      <c r="H13567" t="s">
        <v>8</v>
      </c>
    </row>
    <row r="13568" spans="2:8" x14ac:dyDescent="0.2">
      <c r="B13568" s="3">
        <v>45739</v>
      </c>
      <c r="C13568" s="3"/>
      <c r="D13568" s="6"/>
      <c r="E13568" s="2"/>
      <c r="F13568" s="2"/>
      <c r="G13568" s="2">
        <f t="shared" si="211"/>
        <v>0</v>
      </c>
      <c r="H13568" t="s">
        <v>7</v>
      </c>
    </row>
    <row r="13569" spans="2:8" x14ac:dyDescent="0.2">
      <c r="B13569" s="3">
        <v>45739</v>
      </c>
      <c r="C13569" s="3"/>
      <c r="D13569" s="6"/>
      <c r="E13569" s="2"/>
      <c r="F13569" s="2"/>
      <c r="G13569" s="2">
        <f t="shared" si="211"/>
        <v>0</v>
      </c>
      <c r="H13569" t="s">
        <v>6</v>
      </c>
    </row>
    <row r="13570" spans="2:8" x14ac:dyDescent="0.2">
      <c r="B13570" s="3">
        <v>45739</v>
      </c>
      <c r="C13570" s="3"/>
      <c r="D13570" s="6"/>
      <c r="E13570" s="2"/>
      <c r="F13570" s="2"/>
      <c r="G13570" s="2">
        <f t="shared" si="211"/>
        <v>0</v>
      </c>
      <c r="H13570" t="s">
        <v>5</v>
      </c>
    </row>
    <row r="13571" spans="2:8" x14ac:dyDescent="0.2">
      <c r="B13571" s="3">
        <v>45739</v>
      </c>
      <c r="C13571" s="3"/>
      <c r="D13571" s="6">
        <v>51358</v>
      </c>
      <c r="E13571" s="2">
        <v>57707</v>
      </c>
      <c r="F13571" s="2"/>
      <c r="G13571" s="2">
        <f t="shared" ref="G13571:G13634" si="212">E13571-F13571</f>
        <v>57707</v>
      </c>
      <c r="H13571" s="1" t="s">
        <v>84</v>
      </c>
    </row>
    <row r="13572" spans="2:8" x14ac:dyDescent="0.2">
      <c r="B13572" s="3">
        <v>45739</v>
      </c>
      <c r="C13572" s="2">
        <v>10311</v>
      </c>
      <c r="D13572" s="2">
        <v>41040</v>
      </c>
      <c r="E13572" s="2">
        <v>42120</v>
      </c>
      <c r="F13572" s="2">
        <v>38050</v>
      </c>
      <c r="G13572" s="2">
        <f t="shared" si="212"/>
        <v>4070</v>
      </c>
      <c r="H13572" t="s">
        <v>0</v>
      </c>
    </row>
    <row r="13573" spans="2:8" x14ac:dyDescent="0.2">
      <c r="B13573" s="3">
        <v>45740</v>
      </c>
      <c r="C13573" s="2"/>
      <c r="D13573" s="2"/>
      <c r="E13573" s="2"/>
      <c r="F13573" s="2"/>
      <c r="G13573" s="2">
        <f t="shared" si="212"/>
        <v>0</v>
      </c>
      <c r="H13573" t="s">
        <v>14</v>
      </c>
    </row>
    <row r="13574" spans="2:8" x14ac:dyDescent="0.2">
      <c r="B13574" s="3">
        <v>45740</v>
      </c>
      <c r="C13574" s="2"/>
      <c r="D13574" s="2"/>
      <c r="E13574" s="2"/>
      <c r="F13574" s="2"/>
      <c r="G13574" s="2">
        <f t="shared" si="212"/>
        <v>0</v>
      </c>
      <c r="H13574" t="s">
        <v>13</v>
      </c>
    </row>
    <row r="13575" spans="2:8" x14ac:dyDescent="0.2">
      <c r="B13575" s="3">
        <v>45740</v>
      </c>
      <c r="C13575" s="3"/>
      <c r="D13575" s="6"/>
      <c r="E13575" s="2"/>
      <c r="F13575" s="2"/>
      <c r="G13575" s="2">
        <f t="shared" si="212"/>
        <v>0</v>
      </c>
      <c r="H13575" t="s">
        <v>11</v>
      </c>
    </row>
    <row r="13576" spans="2:8" x14ac:dyDescent="0.2">
      <c r="B13576" s="3">
        <v>45740</v>
      </c>
      <c r="C13576" s="2">
        <v>34</v>
      </c>
      <c r="D13576" s="6">
        <v>1770</v>
      </c>
      <c r="E13576" s="2">
        <v>1860</v>
      </c>
      <c r="F13576" s="2"/>
      <c r="G13576" s="2">
        <f t="shared" si="212"/>
        <v>1860</v>
      </c>
      <c r="H13576" t="s">
        <v>10</v>
      </c>
    </row>
    <row r="13577" spans="2:8" x14ac:dyDescent="0.2">
      <c r="B13577" s="3">
        <v>45740</v>
      </c>
      <c r="C13577" s="2">
        <v>36</v>
      </c>
      <c r="D13577" s="6">
        <v>34930</v>
      </c>
      <c r="E13577" s="2">
        <v>37100</v>
      </c>
      <c r="F13577" s="2"/>
      <c r="G13577" s="2">
        <f t="shared" si="212"/>
        <v>37100</v>
      </c>
      <c r="H13577" t="s">
        <v>9</v>
      </c>
    </row>
    <row r="13578" spans="2:8" x14ac:dyDescent="0.2">
      <c r="B13578" s="3">
        <v>45740</v>
      </c>
      <c r="C13578" s="2">
        <v>37</v>
      </c>
      <c r="D13578" s="6">
        <v>1575</v>
      </c>
      <c r="E13578" s="2">
        <v>1755</v>
      </c>
      <c r="F13578" s="2"/>
      <c r="G13578" s="2">
        <f t="shared" si="212"/>
        <v>1755</v>
      </c>
      <c r="H13578" t="s">
        <v>8</v>
      </c>
    </row>
    <row r="13579" spans="2:8" x14ac:dyDescent="0.2">
      <c r="B13579" s="3">
        <v>45740</v>
      </c>
      <c r="C13579" s="3"/>
      <c r="D13579" s="6"/>
      <c r="E13579" s="2"/>
      <c r="F13579" s="2"/>
      <c r="G13579" s="2">
        <f t="shared" si="212"/>
        <v>0</v>
      </c>
      <c r="H13579" t="s">
        <v>7</v>
      </c>
    </row>
    <row r="13580" spans="2:8" x14ac:dyDescent="0.2">
      <c r="B13580" s="3">
        <v>45740</v>
      </c>
      <c r="C13580" s="2">
        <v>33</v>
      </c>
      <c r="D13580" s="6">
        <v>18970</v>
      </c>
      <c r="E13580" s="2">
        <v>19390</v>
      </c>
      <c r="F13580" s="2">
        <v>5000</v>
      </c>
      <c r="G13580" s="2">
        <f t="shared" si="212"/>
        <v>14390</v>
      </c>
      <c r="H13580" t="s">
        <v>6</v>
      </c>
    </row>
    <row r="13581" spans="2:8" x14ac:dyDescent="0.2">
      <c r="B13581" s="3">
        <v>45740</v>
      </c>
      <c r="C13581" s="2">
        <v>35</v>
      </c>
      <c r="D13581" s="6">
        <v>8890</v>
      </c>
      <c r="E13581" s="2">
        <v>9300</v>
      </c>
      <c r="F13581" s="2">
        <v>9300</v>
      </c>
      <c r="G13581" s="2">
        <f t="shared" si="212"/>
        <v>0</v>
      </c>
      <c r="H13581" t="s">
        <v>5</v>
      </c>
    </row>
    <row r="13582" spans="2:8" x14ac:dyDescent="0.2">
      <c r="B13582" s="3">
        <v>45740</v>
      </c>
      <c r="C13582" s="2"/>
      <c r="D13582" s="6"/>
      <c r="E13582" s="2"/>
      <c r="F13582" s="2">
        <v>57707</v>
      </c>
      <c r="G13582" s="2">
        <f t="shared" si="212"/>
        <v>-57707</v>
      </c>
      <c r="H13582" s="1" t="s">
        <v>84</v>
      </c>
    </row>
    <row r="13583" spans="2:8" x14ac:dyDescent="0.2">
      <c r="B13583" s="3">
        <v>45740</v>
      </c>
      <c r="C13583" s="3"/>
      <c r="D13583" s="2"/>
      <c r="E13583" s="2"/>
      <c r="F13583" s="2"/>
      <c r="G13583" s="2">
        <f t="shared" si="212"/>
        <v>0</v>
      </c>
      <c r="H13583" t="s">
        <v>0</v>
      </c>
    </row>
    <row r="13584" spans="2:8" x14ac:dyDescent="0.2">
      <c r="B13584" s="3">
        <v>45741</v>
      </c>
      <c r="C13584" s="2"/>
      <c r="D13584" s="2"/>
      <c r="E13584" s="2"/>
      <c r="F13584" s="2"/>
      <c r="G13584" s="2">
        <f t="shared" si="212"/>
        <v>0</v>
      </c>
      <c r="H13584" t="s">
        <v>14</v>
      </c>
    </row>
    <row r="13585" spans="2:8" x14ac:dyDescent="0.2">
      <c r="B13585" s="3">
        <v>45741</v>
      </c>
      <c r="C13585" s="2"/>
      <c r="D13585" s="2"/>
      <c r="E13585" s="2"/>
      <c r="F13585" s="2">
        <v>10000</v>
      </c>
      <c r="G13585" s="2">
        <f t="shared" si="212"/>
        <v>-10000</v>
      </c>
      <c r="H13585" t="s">
        <v>13</v>
      </c>
    </row>
    <row r="13586" spans="2:8" x14ac:dyDescent="0.2">
      <c r="B13586" s="3">
        <v>45741</v>
      </c>
      <c r="C13586" s="3"/>
      <c r="D13586" s="6"/>
      <c r="E13586" s="2"/>
      <c r="F13586" s="2"/>
      <c r="G13586" s="2">
        <f t="shared" si="212"/>
        <v>0</v>
      </c>
      <c r="H13586" t="s">
        <v>11</v>
      </c>
    </row>
    <row r="13587" spans="2:8" x14ac:dyDescent="0.2">
      <c r="B13587" s="3">
        <v>45741</v>
      </c>
      <c r="C13587" s="3"/>
      <c r="D13587" s="6"/>
      <c r="E13587" s="2"/>
      <c r="F13587" s="2"/>
      <c r="G13587" s="2">
        <f t="shared" si="212"/>
        <v>0</v>
      </c>
      <c r="H13587" t="s">
        <v>10</v>
      </c>
    </row>
    <row r="13588" spans="2:8" x14ac:dyDescent="0.2">
      <c r="B13588" s="3">
        <v>45741</v>
      </c>
      <c r="C13588" s="3"/>
      <c r="D13588" s="6"/>
      <c r="E13588" s="2"/>
      <c r="F13588" s="2"/>
      <c r="G13588" s="2">
        <f t="shared" si="212"/>
        <v>0</v>
      </c>
      <c r="H13588" t="s">
        <v>9</v>
      </c>
    </row>
    <row r="13589" spans="2:8" x14ac:dyDescent="0.2">
      <c r="B13589" s="3">
        <v>45741</v>
      </c>
      <c r="C13589" s="3"/>
      <c r="D13589" s="6"/>
      <c r="E13589" s="2"/>
      <c r="F13589" s="2"/>
      <c r="G13589" s="2">
        <f t="shared" si="212"/>
        <v>0</v>
      </c>
      <c r="H13589" t="s">
        <v>8</v>
      </c>
    </row>
    <row r="13590" spans="2:8" x14ac:dyDescent="0.2">
      <c r="B13590" s="3">
        <v>45741</v>
      </c>
      <c r="C13590" s="3"/>
      <c r="D13590" s="6"/>
      <c r="E13590" s="2"/>
      <c r="F13590" s="2"/>
      <c r="G13590" s="2">
        <f t="shared" si="212"/>
        <v>0</v>
      </c>
      <c r="H13590" t="s">
        <v>7</v>
      </c>
    </row>
    <row r="13591" spans="2:8" x14ac:dyDescent="0.2">
      <c r="B13591" s="3">
        <v>45741</v>
      </c>
      <c r="C13591" s="3"/>
      <c r="D13591" s="6"/>
      <c r="E13591" s="2"/>
      <c r="F13591" s="2"/>
      <c r="G13591" s="2">
        <f t="shared" si="212"/>
        <v>0</v>
      </c>
      <c r="H13591" t="s">
        <v>6</v>
      </c>
    </row>
    <row r="13592" spans="2:8" x14ac:dyDescent="0.2">
      <c r="B13592" s="3">
        <v>45741</v>
      </c>
      <c r="C13592" s="3"/>
      <c r="D13592" s="6"/>
      <c r="E13592" s="2"/>
      <c r="F13592" s="2"/>
      <c r="G13592" s="2">
        <f t="shared" si="212"/>
        <v>0</v>
      </c>
      <c r="H13592" t="s">
        <v>5</v>
      </c>
    </row>
    <row r="13593" spans="2:8" x14ac:dyDescent="0.2">
      <c r="B13593" s="3">
        <v>45741</v>
      </c>
      <c r="C13593" s="3"/>
      <c r="D13593" s="6"/>
      <c r="E13593" s="2"/>
      <c r="F13593" s="2"/>
      <c r="G13593" s="2">
        <f t="shared" si="212"/>
        <v>0</v>
      </c>
      <c r="H13593" s="1"/>
    </row>
    <row r="13594" spans="2:8" x14ac:dyDescent="0.2">
      <c r="B13594" s="3">
        <v>45741</v>
      </c>
      <c r="C13594" s="2">
        <v>10312</v>
      </c>
      <c r="D13594" s="2">
        <v>265078.14999999997</v>
      </c>
      <c r="E13594" s="2">
        <v>276412.73</v>
      </c>
      <c r="F13594" s="2">
        <v>32340</v>
      </c>
      <c r="G13594" s="2">
        <f t="shared" si="212"/>
        <v>244072.72999999998</v>
      </c>
      <c r="H13594" t="s">
        <v>0</v>
      </c>
    </row>
    <row r="13595" spans="2:8" x14ac:dyDescent="0.2">
      <c r="B13595" s="3">
        <v>45742</v>
      </c>
      <c r="C13595" s="2"/>
      <c r="D13595" s="2"/>
      <c r="E13595" s="2"/>
      <c r="F13595" s="2">
        <v>20000</v>
      </c>
      <c r="G13595" s="2">
        <f t="shared" si="212"/>
        <v>-20000</v>
      </c>
      <c r="H13595" t="s">
        <v>14</v>
      </c>
    </row>
    <row r="13596" spans="2:8" x14ac:dyDescent="0.2">
      <c r="B13596" s="3">
        <v>45742</v>
      </c>
      <c r="C13596" s="2"/>
      <c r="D13596" s="2"/>
      <c r="E13596" s="2"/>
      <c r="F13596" s="2"/>
      <c r="G13596" s="2">
        <f t="shared" si="212"/>
        <v>0</v>
      </c>
      <c r="H13596" t="s">
        <v>13</v>
      </c>
    </row>
    <row r="13597" spans="2:8" x14ac:dyDescent="0.2">
      <c r="B13597" s="3">
        <v>45742</v>
      </c>
      <c r="C13597" s="3"/>
      <c r="D13597" s="6"/>
      <c r="E13597" s="2"/>
      <c r="F13597" s="2"/>
      <c r="G13597" s="2">
        <f t="shared" si="212"/>
        <v>0</v>
      </c>
      <c r="H13597" t="s">
        <v>11</v>
      </c>
    </row>
    <row r="13598" spans="2:8" x14ac:dyDescent="0.2">
      <c r="B13598" s="3">
        <v>45742</v>
      </c>
      <c r="C13598" s="3"/>
      <c r="D13598" s="6"/>
      <c r="E13598" s="2"/>
      <c r="F13598" s="2"/>
      <c r="G13598" s="2">
        <f t="shared" si="212"/>
        <v>0</v>
      </c>
      <c r="H13598" t="s">
        <v>10</v>
      </c>
    </row>
    <row r="13599" spans="2:8" x14ac:dyDescent="0.2">
      <c r="B13599" s="3">
        <v>45742</v>
      </c>
      <c r="C13599" s="3"/>
      <c r="D13599" s="6"/>
      <c r="E13599" s="2"/>
      <c r="F13599" s="2">
        <v>20000</v>
      </c>
      <c r="G13599" s="2">
        <f t="shared" si="212"/>
        <v>-20000</v>
      </c>
      <c r="H13599" t="s">
        <v>9</v>
      </c>
    </row>
    <row r="13600" spans="2:8" x14ac:dyDescent="0.2">
      <c r="B13600" s="3">
        <v>45742</v>
      </c>
      <c r="C13600" s="3"/>
      <c r="D13600" s="6"/>
      <c r="E13600" s="2"/>
      <c r="F13600" s="2"/>
      <c r="G13600" s="2">
        <f t="shared" si="212"/>
        <v>0</v>
      </c>
      <c r="H13600" t="s">
        <v>8</v>
      </c>
    </row>
    <row r="13601" spans="2:8" x14ac:dyDescent="0.2">
      <c r="B13601" s="3">
        <v>45742</v>
      </c>
      <c r="C13601" s="3"/>
      <c r="D13601" s="6"/>
      <c r="E13601" s="2"/>
      <c r="F13601" s="2"/>
      <c r="G13601" s="2">
        <f t="shared" si="212"/>
        <v>0</v>
      </c>
      <c r="H13601" t="s">
        <v>7</v>
      </c>
    </row>
    <row r="13602" spans="2:8" x14ac:dyDescent="0.2">
      <c r="B13602" s="3">
        <v>45742</v>
      </c>
      <c r="C13602" s="3"/>
      <c r="D13602" s="6"/>
      <c r="E13602" s="2"/>
      <c r="F13602" s="5"/>
      <c r="G13602" s="2">
        <f t="shared" si="212"/>
        <v>0</v>
      </c>
      <c r="H13602" t="s">
        <v>6</v>
      </c>
    </row>
    <row r="13603" spans="2:8" x14ac:dyDescent="0.2">
      <c r="B13603" s="3">
        <v>45742</v>
      </c>
      <c r="C13603" s="3"/>
      <c r="D13603" s="6"/>
      <c r="E13603" s="2"/>
      <c r="F13603" s="2"/>
      <c r="G13603" s="2">
        <f t="shared" si="212"/>
        <v>0</v>
      </c>
      <c r="H13603" t="s">
        <v>5</v>
      </c>
    </row>
    <row r="13604" spans="2:8" x14ac:dyDescent="0.2">
      <c r="B13604" s="3">
        <v>45742</v>
      </c>
      <c r="C13604" s="3"/>
      <c r="D13604" s="6"/>
      <c r="E13604" s="2"/>
      <c r="F13604" s="2"/>
      <c r="G13604" s="2">
        <f t="shared" si="212"/>
        <v>0</v>
      </c>
      <c r="H13604" s="1"/>
    </row>
    <row r="13605" spans="2:8" x14ac:dyDescent="0.2">
      <c r="B13605" s="3">
        <v>45742</v>
      </c>
      <c r="C13605" s="3"/>
      <c r="D13605" s="2"/>
      <c r="E13605" s="2"/>
      <c r="F13605" s="2"/>
      <c r="G13605" s="2">
        <f t="shared" si="212"/>
        <v>0</v>
      </c>
      <c r="H13605" t="s">
        <v>0</v>
      </c>
    </row>
    <row r="13606" spans="2:8" x14ac:dyDescent="0.2">
      <c r="B13606" s="3">
        <v>45743</v>
      </c>
      <c r="C13606" s="2">
        <v>38</v>
      </c>
      <c r="D13606" s="2">
        <v>14620</v>
      </c>
      <c r="E13606" s="2">
        <v>16620</v>
      </c>
      <c r="F13606" s="2"/>
      <c r="G13606" s="2">
        <f t="shared" si="212"/>
        <v>16620</v>
      </c>
      <c r="H13606" t="s">
        <v>14</v>
      </c>
    </row>
    <row r="13607" spans="2:8" x14ac:dyDescent="0.2">
      <c r="B13607" s="3">
        <v>45743</v>
      </c>
      <c r="C13607" s="2"/>
      <c r="D13607" s="2"/>
      <c r="E13607" s="2"/>
      <c r="F13607" s="2"/>
      <c r="G13607" s="2">
        <f t="shared" si="212"/>
        <v>0</v>
      </c>
      <c r="H13607" t="s">
        <v>13</v>
      </c>
    </row>
    <row r="13608" spans="2:8" x14ac:dyDescent="0.2">
      <c r="B13608" s="3">
        <v>45743</v>
      </c>
      <c r="C13608" s="2">
        <v>41</v>
      </c>
      <c r="D13608" s="6">
        <v>570</v>
      </c>
      <c r="E13608" s="2">
        <v>600</v>
      </c>
      <c r="F13608" s="2">
        <v>11145</v>
      </c>
      <c r="G13608" s="2">
        <f t="shared" si="212"/>
        <v>-10545</v>
      </c>
      <c r="H13608" t="s">
        <v>11</v>
      </c>
    </row>
    <row r="13609" spans="2:8" x14ac:dyDescent="0.2">
      <c r="B13609" s="3">
        <v>45743</v>
      </c>
      <c r="C13609" s="3"/>
      <c r="D13609" s="6"/>
      <c r="E13609" s="2"/>
      <c r="F13609" s="2"/>
      <c r="G13609" s="2">
        <f t="shared" si="212"/>
        <v>0</v>
      </c>
      <c r="H13609" t="s">
        <v>10</v>
      </c>
    </row>
    <row r="13610" spans="2:8" x14ac:dyDescent="0.2">
      <c r="B13610" s="3">
        <v>45743</v>
      </c>
      <c r="C13610" s="2">
        <v>39</v>
      </c>
      <c r="D13610" s="6">
        <v>140040</v>
      </c>
      <c r="E13610" s="2">
        <v>149000</v>
      </c>
      <c r="F13610" s="2">
        <v>20000</v>
      </c>
      <c r="G13610" s="2">
        <f t="shared" si="212"/>
        <v>129000</v>
      </c>
      <c r="H13610" t="s">
        <v>9</v>
      </c>
    </row>
    <row r="13611" spans="2:8" x14ac:dyDescent="0.2">
      <c r="B13611" s="3">
        <v>45743</v>
      </c>
      <c r="C13611" s="2">
        <v>40</v>
      </c>
      <c r="D13611" s="6">
        <v>60190.5</v>
      </c>
      <c r="E13611" s="2">
        <v>67187.5</v>
      </c>
      <c r="F13611" s="2"/>
      <c r="G13611" s="2">
        <f t="shared" si="212"/>
        <v>67187.5</v>
      </c>
      <c r="H13611" t="s">
        <v>8</v>
      </c>
    </row>
    <row r="13612" spans="2:8" x14ac:dyDescent="0.2">
      <c r="B13612" s="3">
        <v>45743</v>
      </c>
      <c r="C13612" s="3"/>
      <c r="D13612" s="6"/>
      <c r="E13612" s="2"/>
      <c r="F13612" s="2"/>
      <c r="G13612" s="2">
        <f t="shared" si="212"/>
        <v>0</v>
      </c>
      <c r="H13612" t="s">
        <v>7</v>
      </c>
    </row>
    <row r="13613" spans="2:8" x14ac:dyDescent="0.2">
      <c r="B13613" s="3">
        <v>45743</v>
      </c>
      <c r="C13613" s="3"/>
      <c r="D13613" s="6"/>
      <c r="E13613" s="2"/>
      <c r="F13613" s="2"/>
      <c r="G13613" s="2">
        <f t="shared" si="212"/>
        <v>0</v>
      </c>
      <c r="H13613" t="s">
        <v>6</v>
      </c>
    </row>
    <row r="13614" spans="2:8" x14ac:dyDescent="0.2">
      <c r="B13614" s="3">
        <v>45743</v>
      </c>
      <c r="C13614" s="3"/>
      <c r="D13614" s="6"/>
      <c r="E13614" s="2"/>
      <c r="F13614" s="2"/>
      <c r="G13614" s="2">
        <f t="shared" si="212"/>
        <v>0</v>
      </c>
      <c r="H13614" t="s">
        <v>5</v>
      </c>
    </row>
    <row r="13615" spans="2:8" x14ac:dyDescent="0.2">
      <c r="B13615" s="3">
        <v>45743</v>
      </c>
      <c r="C13615" s="3"/>
      <c r="D13615" s="6"/>
      <c r="E13615" s="2"/>
      <c r="F13615" s="2"/>
      <c r="G13615" s="2">
        <f t="shared" si="212"/>
        <v>0</v>
      </c>
      <c r="H13615" s="1"/>
    </row>
    <row r="13616" spans="2:8" x14ac:dyDescent="0.2">
      <c r="B13616" s="3">
        <v>45743</v>
      </c>
      <c r="C13616" s="3"/>
      <c r="D13616" s="2"/>
      <c r="E13616" s="2"/>
      <c r="F13616" s="2"/>
      <c r="G13616" s="2">
        <f t="shared" si="212"/>
        <v>0</v>
      </c>
      <c r="H13616" t="s">
        <v>0</v>
      </c>
    </row>
    <row r="13617" spans="2:8" x14ac:dyDescent="0.2">
      <c r="B13617" s="3">
        <v>45744</v>
      </c>
      <c r="C13617" s="2"/>
      <c r="D13617" s="2"/>
      <c r="E13617" s="2"/>
      <c r="F13617" s="2"/>
      <c r="G13617" s="2">
        <f t="shared" si="212"/>
        <v>0</v>
      </c>
      <c r="H13617" t="s">
        <v>14</v>
      </c>
    </row>
    <row r="13618" spans="2:8" x14ac:dyDescent="0.2">
      <c r="B13618" s="3">
        <v>45744</v>
      </c>
      <c r="C13618" s="2"/>
      <c r="D13618" s="2"/>
      <c r="E13618" s="2"/>
      <c r="F13618" s="2"/>
      <c r="G13618" s="2">
        <f t="shared" si="212"/>
        <v>0</v>
      </c>
      <c r="H13618" t="s">
        <v>13</v>
      </c>
    </row>
    <row r="13619" spans="2:8" x14ac:dyDescent="0.2">
      <c r="B13619" s="3">
        <v>45744</v>
      </c>
      <c r="C13619" s="3"/>
      <c r="D13619" s="6"/>
      <c r="E13619" s="2"/>
      <c r="F13619" s="2"/>
      <c r="G13619" s="2">
        <f t="shared" si="212"/>
        <v>0</v>
      </c>
      <c r="H13619" t="s">
        <v>11</v>
      </c>
    </row>
    <row r="13620" spans="2:8" x14ac:dyDescent="0.2">
      <c r="B13620" s="3">
        <v>45744</v>
      </c>
      <c r="C13620" s="3"/>
      <c r="D13620" s="6"/>
      <c r="E13620" s="4"/>
      <c r="F13620" s="2"/>
      <c r="G13620" s="2">
        <f t="shared" si="212"/>
        <v>0</v>
      </c>
      <c r="H13620" t="s">
        <v>10</v>
      </c>
    </row>
    <row r="13621" spans="2:8" x14ac:dyDescent="0.2">
      <c r="B13621" s="3">
        <v>45744</v>
      </c>
      <c r="C13621" s="3"/>
      <c r="D13621" s="6"/>
      <c r="E13621" s="2"/>
      <c r="F13621" s="2"/>
      <c r="G13621" s="2">
        <f t="shared" si="212"/>
        <v>0</v>
      </c>
      <c r="H13621" t="s">
        <v>9</v>
      </c>
    </row>
    <row r="13622" spans="2:8" x14ac:dyDescent="0.2">
      <c r="B13622" s="3">
        <v>45744</v>
      </c>
      <c r="C13622" s="3"/>
      <c r="D13622" s="6"/>
      <c r="E13622" s="2"/>
      <c r="F13622" s="2"/>
      <c r="G13622" s="2">
        <f t="shared" si="212"/>
        <v>0</v>
      </c>
      <c r="H13622" t="s">
        <v>8</v>
      </c>
    </row>
    <row r="13623" spans="2:8" x14ac:dyDescent="0.2">
      <c r="B13623" s="3">
        <v>45744</v>
      </c>
      <c r="C13623" s="3"/>
      <c r="D13623" s="6"/>
      <c r="E13623" s="2"/>
      <c r="F13623" s="2"/>
      <c r="G13623" s="2">
        <f t="shared" si="212"/>
        <v>0</v>
      </c>
      <c r="H13623" t="s">
        <v>7</v>
      </c>
    </row>
    <row r="13624" spans="2:8" x14ac:dyDescent="0.2">
      <c r="B13624" s="3">
        <v>45744</v>
      </c>
      <c r="C13624" s="3"/>
      <c r="D13624" s="6"/>
      <c r="E13624" s="2"/>
      <c r="F13624" s="2"/>
      <c r="G13624" s="2">
        <f t="shared" si="212"/>
        <v>0</v>
      </c>
      <c r="H13624" t="s">
        <v>6</v>
      </c>
    </row>
    <row r="13625" spans="2:8" x14ac:dyDescent="0.2">
      <c r="B13625" s="3">
        <v>45744</v>
      </c>
      <c r="C13625" s="3"/>
      <c r="D13625" s="6"/>
      <c r="E13625" s="2"/>
      <c r="F13625" s="2"/>
      <c r="G13625" s="2">
        <f t="shared" si="212"/>
        <v>0</v>
      </c>
      <c r="H13625" t="s">
        <v>5</v>
      </c>
    </row>
    <row r="13626" spans="2:8" x14ac:dyDescent="0.2">
      <c r="B13626" s="3">
        <v>45744</v>
      </c>
      <c r="C13626" s="3"/>
      <c r="D13626" s="6"/>
      <c r="E13626" s="2"/>
      <c r="F13626" s="2"/>
      <c r="G13626" s="2">
        <f t="shared" si="212"/>
        <v>0</v>
      </c>
      <c r="H13626" s="1"/>
    </row>
    <row r="13627" spans="2:8" x14ac:dyDescent="0.2">
      <c r="B13627" s="3">
        <v>45744</v>
      </c>
      <c r="C13627" s="3"/>
      <c r="D13627" s="2"/>
      <c r="E13627" s="2"/>
      <c r="F13627" s="2"/>
      <c r="G13627" s="2">
        <f t="shared" si="212"/>
        <v>0</v>
      </c>
      <c r="H13627" t="s">
        <v>0</v>
      </c>
    </row>
    <row r="13628" spans="2:8" x14ac:dyDescent="0.2">
      <c r="B13628" s="3">
        <v>45745</v>
      </c>
      <c r="C13628" s="2"/>
      <c r="D13628" s="2"/>
      <c r="E13628" s="2"/>
      <c r="F13628" s="2"/>
      <c r="G13628" s="2">
        <f t="shared" si="212"/>
        <v>0</v>
      </c>
      <c r="H13628" t="s">
        <v>14</v>
      </c>
    </row>
    <row r="13629" spans="2:8" x14ac:dyDescent="0.2">
      <c r="B13629" s="3">
        <v>45745</v>
      </c>
      <c r="C13629" s="2"/>
      <c r="D13629" s="2"/>
      <c r="E13629" s="2"/>
      <c r="F13629" s="2"/>
      <c r="G13629" s="2">
        <f t="shared" si="212"/>
        <v>0</v>
      </c>
      <c r="H13629" t="s">
        <v>13</v>
      </c>
    </row>
    <row r="13630" spans="2:8" x14ac:dyDescent="0.2">
      <c r="B13630" s="3">
        <v>45745</v>
      </c>
      <c r="C13630" s="3"/>
      <c r="D13630" s="6"/>
      <c r="E13630" s="2"/>
      <c r="F13630" s="2"/>
      <c r="G13630" s="2">
        <f t="shared" si="212"/>
        <v>0</v>
      </c>
      <c r="H13630" t="s">
        <v>11</v>
      </c>
    </row>
    <row r="13631" spans="2:8" x14ac:dyDescent="0.2">
      <c r="B13631" s="3">
        <v>45745</v>
      </c>
      <c r="C13631" s="3"/>
      <c r="D13631" s="6"/>
      <c r="E13631" s="2"/>
      <c r="F13631" s="2"/>
      <c r="G13631" s="2">
        <f t="shared" si="212"/>
        <v>0</v>
      </c>
      <c r="H13631" t="s">
        <v>10</v>
      </c>
    </row>
    <row r="13632" spans="2:8" x14ac:dyDescent="0.2">
      <c r="B13632" s="3">
        <v>45745</v>
      </c>
      <c r="C13632" s="3"/>
      <c r="D13632" s="6"/>
      <c r="E13632" s="2"/>
      <c r="F13632" s="2"/>
      <c r="G13632" s="2">
        <f t="shared" si="212"/>
        <v>0</v>
      </c>
      <c r="H13632" t="s">
        <v>9</v>
      </c>
    </row>
    <row r="13633" spans="2:8" x14ac:dyDescent="0.2">
      <c r="B13633" s="3">
        <v>45745</v>
      </c>
      <c r="C13633" s="3"/>
      <c r="D13633" s="6"/>
      <c r="E13633" s="2"/>
      <c r="F13633" s="2">
        <v>25000</v>
      </c>
      <c r="G13633" s="2">
        <f t="shared" si="212"/>
        <v>-25000</v>
      </c>
      <c r="H13633" t="s">
        <v>8</v>
      </c>
    </row>
    <row r="13634" spans="2:8" x14ac:dyDescent="0.2">
      <c r="B13634" s="3">
        <v>45745</v>
      </c>
      <c r="C13634" s="3"/>
      <c r="D13634" s="6"/>
      <c r="E13634" s="2"/>
      <c r="F13634" s="2"/>
      <c r="G13634" s="2">
        <f t="shared" si="212"/>
        <v>0</v>
      </c>
      <c r="H13634" t="s">
        <v>7</v>
      </c>
    </row>
    <row r="13635" spans="2:8" x14ac:dyDescent="0.2">
      <c r="B13635" s="3">
        <v>45745</v>
      </c>
      <c r="C13635" s="3"/>
      <c r="D13635" s="6"/>
      <c r="E13635" s="2"/>
      <c r="F13635" s="5"/>
      <c r="G13635" s="2">
        <f t="shared" ref="G13635:G13698" si="213">E13635-F13635</f>
        <v>0</v>
      </c>
      <c r="H13635" t="s">
        <v>6</v>
      </c>
    </row>
    <row r="13636" spans="2:8" x14ac:dyDescent="0.2">
      <c r="B13636" s="3">
        <v>45745</v>
      </c>
      <c r="C13636" s="3"/>
      <c r="D13636" s="6"/>
      <c r="E13636" s="2"/>
      <c r="F13636" s="2"/>
      <c r="G13636" s="2">
        <f t="shared" si="213"/>
        <v>0</v>
      </c>
      <c r="H13636" t="s">
        <v>5</v>
      </c>
    </row>
    <row r="13637" spans="2:8" x14ac:dyDescent="0.2">
      <c r="B13637" s="3">
        <v>45745</v>
      </c>
      <c r="C13637" s="3"/>
      <c r="D13637" s="6"/>
      <c r="E13637" s="2"/>
      <c r="F13637" s="2"/>
      <c r="G13637" s="2">
        <f t="shared" si="213"/>
        <v>0</v>
      </c>
      <c r="H13637" s="1"/>
    </row>
    <row r="13638" spans="2:8" x14ac:dyDescent="0.2">
      <c r="B13638" s="3">
        <v>45745</v>
      </c>
      <c r="C13638" s="3"/>
      <c r="D13638" s="2"/>
      <c r="E13638" s="2"/>
      <c r="F13638" s="2">
        <v>120000</v>
      </c>
      <c r="G13638" s="2">
        <f t="shared" si="213"/>
        <v>-120000</v>
      </c>
      <c r="H13638" t="s">
        <v>0</v>
      </c>
    </row>
    <row r="13639" spans="2:8" x14ac:dyDescent="0.2">
      <c r="B13639" s="3">
        <v>45746</v>
      </c>
      <c r="C13639" s="2"/>
      <c r="D13639" s="2"/>
      <c r="E13639" s="2"/>
      <c r="F13639" s="2"/>
      <c r="G13639" s="2">
        <f t="shared" si="213"/>
        <v>0</v>
      </c>
      <c r="H13639" t="s">
        <v>14</v>
      </c>
    </row>
    <row r="13640" spans="2:8" x14ac:dyDescent="0.2">
      <c r="B13640" s="3">
        <v>45746</v>
      </c>
      <c r="C13640" s="2"/>
      <c r="D13640" s="2"/>
      <c r="E13640" s="2"/>
      <c r="F13640" s="2"/>
      <c r="G13640" s="2">
        <f t="shared" si="213"/>
        <v>0</v>
      </c>
      <c r="H13640" t="s">
        <v>13</v>
      </c>
    </row>
    <row r="13641" spans="2:8" x14ac:dyDescent="0.2">
      <c r="B13641" s="3">
        <v>45746</v>
      </c>
      <c r="C13641" s="3"/>
      <c r="D13641" s="6"/>
      <c r="E13641" s="2"/>
      <c r="F13641" s="2"/>
      <c r="G13641" s="2">
        <f t="shared" si="213"/>
        <v>0</v>
      </c>
      <c r="H13641" t="s">
        <v>11</v>
      </c>
    </row>
    <row r="13642" spans="2:8" x14ac:dyDescent="0.2">
      <c r="B13642" s="3">
        <v>45746</v>
      </c>
      <c r="C13642" s="3"/>
      <c r="D13642" s="6"/>
      <c r="E13642" s="2"/>
      <c r="F13642" s="2"/>
      <c r="G13642" s="2">
        <f t="shared" si="213"/>
        <v>0</v>
      </c>
      <c r="H13642" t="s">
        <v>10</v>
      </c>
    </row>
    <row r="13643" spans="2:8" x14ac:dyDescent="0.2">
      <c r="B13643" s="3">
        <v>45746</v>
      </c>
      <c r="C13643" s="3"/>
      <c r="D13643" s="6"/>
      <c r="E13643" s="2"/>
      <c r="F13643" s="2"/>
      <c r="G13643" s="2">
        <f t="shared" si="213"/>
        <v>0</v>
      </c>
      <c r="H13643" t="s">
        <v>9</v>
      </c>
    </row>
    <row r="13644" spans="2:8" x14ac:dyDescent="0.2">
      <c r="B13644" s="3">
        <v>45746</v>
      </c>
      <c r="C13644" s="3"/>
      <c r="D13644" s="6"/>
      <c r="E13644" s="2"/>
      <c r="F13644" s="2"/>
      <c r="G13644" s="2">
        <f t="shared" si="213"/>
        <v>0</v>
      </c>
      <c r="H13644" t="s">
        <v>8</v>
      </c>
    </row>
    <row r="13645" spans="2:8" x14ac:dyDescent="0.2">
      <c r="B13645" s="3">
        <v>45746</v>
      </c>
      <c r="C13645" s="3"/>
      <c r="D13645" s="6"/>
      <c r="E13645" s="2"/>
      <c r="F13645" s="2"/>
      <c r="G13645" s="2">
        <f t="shared" si="213"/>
        <v>0</v>
      </c>
      <c r="H13645" t="s">
        <v>7</v>
      </c>
    </row>
    <row r="13646" spans="2:8" x14ac:dyDescent="0.2">
      <c r="B13646" s="3">
        <v>45746</v>
      </c>
      <c r="C13646" s="3"/>
      <c r="D13646" s="6"/>
      <c r="E13646" s="2"/>
      <c r="F13646" s="2"/>
      <c r="G13646" s="2">
        <f t="shared" si="213"/>
        <v>0</v>
      </c>
      <c r="H13646" t="s">
        <v>6</v>
      </c>
    </row>
    <row r="13647" spans="2:8" x14ac:dyDescent="0.2">
      <c r="B13647" s="3">
        <v>45746</v>
      </c>
      <c r="C13647" s="3"/>
      <c r="D13647" s="6"/>
      <c r="E13647" s="2"/>
      <c r="F13647" s="2"/>
      <c r="G13647" s="2">
        <f t="shared" si="213"/>
        <v>0</v>
      </c>
      <c r="H13647" t="s">
        <v>5</v>
      </c>
    </row>
    <row r="13648" spans="2:8" x14ac:dyDescent="0.2">
      <c r="B13648" s="3">
        <v>45746</v>
      </c>
      <c r="C13648" s="3"/>
      <c r="D13648" s="6">
        <v>9033.1200000000008</v>
      </c>
      <c r="E13648" s="2">
        <v>9363.6</v>
      </c>
      <c r="F13648" s="2"/>
      <c r="G13648" s="2">
        <f t="shared" si="213"/>
        <v>9363.6</v>
      </c>
      <c r="H13648" s="1" t="s">
        <v>1</v>
      </c>
    </row>
    <row r="13649" spans="2:8" x14ac:dyDescent="0.2">
      <c r="B13649" s="3">
        <v>45746</v>
      </c>
      <c r="C13649" s="3"/>
      <c r="D13649" s="2"/>
      <c r="E13649" s="2"/>
      <c r="F13649" s="2"/>
      <c r="G13649" s="2">
        <f t="shared" si="213"/>
        <v>0</v>
      </c>
      <c r="H13649" t="s">
        <v>0</v>
      </c>
    </row>
    <row r="13650" spans="2:8" x14ac:dyDescent="0.2">
      <c r="B13650" s="3">
        <v>45747</v>
      </c>
      <c r="C13650" s="2"/>
      <c r="D13650" s="2"/>
      <c r="E13650" s="2"/>
      <c r="F13650" s="2"/>
      <c r="G13650" s="2">
        <f t="shared" si="213"/>
        <v>0</v>
      </c>
      <c r="H13650" t="s">
        <v>14</v>
      </c>
    </row>
    <row r="13651" spans="2:8" x14ac:dyDescent="0.2">
      <c r="B13651" s="3">
        <v>45747</v>
      </c>
      <c r="C13651" s="2"/>
      <c r="D13651" s="2"/>
      <c r="E13651" s="2"/>
      <c r="F13651" s="2"/>
      <c r="G13651" s="2">
        <f t="shared" si="213"/>
        <v>0</v>
      </c>
      <c r="H13651" t="s">
        <v>13</v>
      </c>
    </row>
    <row r="13652" spans="2:8" x14ac:dyDescent="0.2">
      <c r="B13652" s="3">
        <v>45747</v>
      </c>
      <c r="C13652" s="3"/>
      <c r="D13652" s="6"/>
      <c r="E13652" s="2"/>
      <c r="F13652" s="2"/>
      <c r="G13652" s="2">
        <f t="shared" si="213"/>
        <v>0</v>
      </c>
      <c r="H13652" t="s">
        <v>11</v>
      </c>
    </row>
    <row r="13653" spans="2:8" x14ac:dyDescent="0.2">
      <c r="B13653" s="3">
        <v>45747</v>
      </c>
      <c r="C13653" s="3"/>
      <c r="D13653" s="6"/>
      <c r="E13653" s="2"/>
      <c r="F13653" s="2"/>
      <c r="G13653" s="2">
        <f t="shared" si="213"/>
        <v>0</v>
      </c>
      <c r="H13653" t="s">
        <v>10</v>
      </c>
    </row>
    <row r="13654" spans="2:8" x14ac:dyDescent="0.2">
      <c r="B13654" s="3">
        <v>45747</v>
      </c>
      <c r="C13654" s="3"/>
      <c r="D13654" s="6"/>
      <c r="E13654" s="2"/>
      <c r="F13654" s="2"/>
      <c r="G13654" s="2">
        <f t="shared" si="213"/>
        <v>0</v>
      </c>
      <c r="H13654" t="s">
        <v>9</v>
      </c>
    </row>
    <row r="13655" spans="2:8" x14ac:dyDescent="0.2">
      <c r="B13655" s="3">
        <v>45747</v>
      </c>
      <c r="C13655" s="3"/>
      <c r="D13655" s="6"/>
      <c r="E13655" s="10"/>
      <c r="F13655" s="2"/>
      <c r="G13655" s="2">
        <f t="shared" si="213"/>
        <v>0</v>
      </c>
      <c r="H13655" t="s">
        <v>8</v>
      </c>
    </row>
    <row r="13656" spans="2:8" x14ac:dyDescent="0.2">
      <c r="B13656" s="3">
        <v>45747</v>
      </c>
      <c r="C13656" s="3"/>
      <c r="D13656" s="6"/>
      <c r="E13656" s="2"/>
      <c r="F13656" s="2"/>
      <c r="G13656" s="2">
        <f t="shared" si="213"/>
        <v>0</v>
      </c>
      <c r="H13656" t="s">
        <v>7</v>
      </c>
    </row>
    <row r="13657" spans="2:8" x14ac:dyDescent="0.2">
      <c r="B13657" s="3">
        <v>45747</v>
      </c>
      <c r="C13657" s="3"/>
      <c r="D13657" s="6"/>
      <c r="E13657" s="5"/>
      <c r="F13657" s="2"/>
      <c r="G13657" s="2">
        <f t="shared" si="213"/>
        <v>0</v>
      </c>
      <c r="H13657" t="s">
        <v>6</v>
      </c>
    </row>
    <row r="13658" spans="2:8" x14ac:dyDescent="0.2">
      <c r="B13658" s="3">
        <v>45747</v>
      </c>
      <c r="C13658" s="3"/>
      <c r="D13658" s="6"/>
      <c r="E13658" s="2"/>
      <c r="F13658" s="2"/>
      <c r="G13658" s="2">
        <f t="shared" si="213"/>
        <v>0</v>
      </c>
      <c r="H13658" t="s">
        <v>5</v>
      </c>
    </row>
    <row r="13659" spans="2:8" x14ac:dyDescent="0.2">
      <c r="B13659" s="3">
        <v>45747</v>
      </c>
      <c r="C13659" s="3"/>
      <c r="D13659" s="6"/>
      <c r="E13659" s="2"/>
      <c r="F13659" s="2"/>
      <c r="G13659" s="2">
        <f t="shared" si="213"/>
        <v>0</v>
      </c>
      <c r="H13659" s="1"/>
    </row>
    <row r="13660" spans="2:8" x14ac:dyDescent="0.2">
      <c r="B13660" s="3">
        <v>45747</v>
      </c>
      <c r="C13660" s="3"/>
      <c r="D13660" s="2"/>
      <c r="E13660" s="2"/>
      <c r="F13660" s="2"/>
      <c r="G13660" s="2">
        <f t="shared" si="213"/>
        <v>0</v>
      </c>
      <c r="H13660" t="s">
        <v>0</v>
      </c>
    </row>
    <row r="13661" spans="2:8" x14ac:dyDescent="0.2">
      <c r="B13661" s="3">
        <v>45748</v>
      </c>
      <c r="C13661" s="2"/>
      <c r="D13661" s="2"/>
      <c r="E13661" s="2"/>
      <c r="F13661" s="2"/>
      <c r="G13661" s="2">
        <f t="shared" si="213"/>
        <v>0</v>
      </c>
      <c r="H13661" t="s">
        <v>14</v>
      </c>
    </row>
    <row r="13662" spans="2:8" x14ac:dyDescent="0.2">
      <c r="B13662" s="3">
        <v>45748</v>
      </c>
      <c r="C13662" s="2"/>
      <c r="D13662" s="2"/>
      <c r="E13662" s="2"/>
      <c r="F13662" s="2"/>
      <c r="G13662" s="2">
        <f t="shared" si="213"/>
        <v>0</v>
      </c>
      <c r="H13662" t="s">
        <v>13</v>
      </c>
    </row>
    <row r="13663" spans="2:8" x14ac:dyDescent="0.2">
      <c r="B13663" s="3">
        <v>45748</v>
      </c>
      <c r="C13663" s="3"/>
      <c r="D13663" s="6"/>
      <c r="E13663" s="2"/>
      <c r="F13663" s="2"/>
      <c r="G13663" s="2">
        <f t="shared" si="213"/>
        <v>0</v>
      </c>
      <c r="H13663" t="s">
        <v>11</v>
      </c>
    </row>
    <row r="13664" spans="2:8" x14ac:dyDescent="0.2">
      <c r="B13664" s="3">
        <v>45748</v>
      </c>
      <c r="C13664" s="3"/>
      <c r="D13664" s="6"/>
      <c r="E13664" s="2"/>
      <c r="F13664" s="2"/>
      <c r="G13664" s="2">
        <f t="shared" si="213"/>
        <v>0</v>
      </c>
      <c r="H13664" t="s">
        <v>10</v>
      </c>
    </row>
    <row r="13665" spans="2:8" x14ac:dyDescent="0.2">
      <c r="B13665" s="3">
        <v>45748</v>
      </c>
      <c r="C13665" s="3"/>
      <c r="D13665" s="6"/>
      <c r="E13665" s="2"/>
      <c r="F13665" s="2"/>
      <c r="G13665" s="2">
        <f t="shared" si="213"/>
        <v>0</v>
      </c>
      <c r="H13665" t="s">
        <v>9</v>
      </c>
    </row>
    <row r="13666" spans="2:8" x14ac:dyDescent="0.2">
      <c r="B13666" s="3">
        <v>45748</v>
      </c>
      <c r="C13666" s="3"/>
      <c r="D13666" s="6"/>
      <c r="E13666" s="2"/>
      <c r="F13666" s="2"/>
      <c r="G13666" s="2">
        <f t="shared" si="213"/>
        <v>0</v>
      </c>
      <c r="H13666" t="s">
        <v>8</v>
      </c>
    </row>
    <row r="13667" spans="2:8" x14ac:dyDescent="0.2">
      <c r="B13667" s="3">
        <v>45748</v>
      </c>
      <c r="C13667" s="3"/>
      <c r="D13667" s="6"/>
      <c r="E13667" s="2"/>
      <c r="F13667" s="2"/>
      <c r="G13667" s="2">
        <f t="shared" si="213"/>
        <v>0</v>
      </c>
      <c r="H13667" t="s">
        <v>7</v>
      </c>
    </row>
    <row r="13668" spans="2:8" x14ac:dyDescent="0.2">
      <c r="B13668" s="3">
        <v>45748</v>
      </c>
      <c r="C13668" s="3"/>
      <c r="D13668" s="6"/>
      <c r="E13668" s="2"/>
      <c r="F13668" s="2"/>
      <c r="G13668" s="2">
        <f t="shared" si="213"/>
        <v>0</v>
      </c>
      <c r="H13668" t="s">
        <v>6</v>
      </c>
    </row>
    <row r="13669" spans="2:8" x14ac:dyDescent="0.2">
      <c r="B13669" s="3">
        <v>45748</v>
      </c>
      <c r="C13669" s="3"/>
      <c r="D13669" s="6"/>
      <c r="E13669" s="2"/>
      <c r="F13669" s="2"/>
      <c r="G13669" s="2">
        <f t="shared" si="213"/>
        <v>0</v>
      </c>
      <c r="H13669" t="s">
        <v>5</v>
      </c>
    </row>
    <row r="13670" spans="2:8" x14ac:dyDescent="0.2">
      <c r="B13670" s="3">
        <v>45748</v>
      </c>
      <c r="C13670" s="3"/>
      <c r="D13670" s="6"/>
      <c r="E13670" s="2"/>
      <c r="F13670" s="2"/>
      <c r="G13670" s="2">
        <f t="shared" si="213"/>
        <v>0</v>
      </c>
      <c r="H13670" s="1"/>
    </row>
    <row r="13671" spans="2:8" x14ac:dyDescent="0.2">
      <c r="B13671" s="3">
        <v>45748</v>
      </c>
      <c r="C13671" s="3"/>
      <c r="D13671" s="2"/>
      <c r="E13671" s="2"/>
      <c r="F13671" s="2"/>
      <c r="G13671" s="2">
        <f t="shared" si="213"/>
        <v>0</v>
      </c>
      <c r="H13671" t="s">
        <v>0</v>
      </c>
    </row>
    <row r="13672" spans="2:8" x14ac:dyDescent="0.2">
      <c r="B13672" s="3">
        <v>45749</v>
      </c>
      <c r="C13672" s="2"/>
      <c r="D13672" s="2"/>
      <c r="E13672" s="2"/>
      <c r="F13672" s="2"/>
      <c r="G13672" s="2">
        <f t="shared" si="213"/>
        <v>0</v>
      </c>
      <c r="H13672" t="s">
        <v>14</v>
      </c>
    </row>
    <row r="13673" spans="2:8" x14ac:dyDescent="0.2">
      <c r="B13673" s="3">
        <v>45749</v>
      </c>
      <c r="C13673" s="2"/>
      <c r="D13673" s="2"/>
      <c r="E13673" s="2"/>
      <c r="F13673" s="2"/>
      <c r="G13673" s="2">
        <f t="shared" si="213"/>
        <v>0</v>
      </c>
      <c r="H13673" t="s">
        <v>13</v>
      </c>
    </row>
    <row r="13674" spans="2:8" x14ac:dyDescent="0.2">
      <c r="B13674" s="3">
        <v>45749</v>
      </c>
      <c r="C13674" s="3"/>
      <c r="D13674" s="6"/>
      <c r="E13674" s="2"/>
      <c r="F13674" s="2"/>
      <c r="G13674" s="2">
        <f t="shared" si="213"/>
        <v>0</v>
      </c>
      <c r="H13674" t="s">
        <v>11</v>
      </c>
    </row>
    <row r="13675" spans="2:8" x14ac:dyDescent="0.2">
      <c r="B13675" s="3">
        <v>45749</v>
      </c>
      <c r="C13675" s="3"/>
      <c r="D13675" s="6"/>
      <c r="E13675" s="4"/>
      <c r="F13675" s="2"/>
      <c r="G13675" s="2">
        <f t="shared" si="213"/>
        <v>0</v>
      </c>
      <c r="H13675" t="s">
        <v>10</v>
      </c>
    </row>
    <row r="13676" spans="2:8" x14ac:dyDescent="0.2">
      <c r="B13676" s="3">
        <v>45749</v>
      </c>
      <c r="C13676" s="3"/>
      <c r="D13676" s="6"/>
      <c r="E13676" s="2"/>
      <c r="F13676" s="2"/>
      <c r="G13676" s="2">
        <f t="shared" si="213"/>
        <v>0</v>
      </c>
      <c r="H13676" t="s">
        <v>9</v>
      </c>
    </row>
    <row r="13677" spans="2:8" x14ac:dyDescent="0.2">
      <c r="B13677" s="3">
        <v>45749</v>
      </c>
      <c r="C13677" s="3"/>
      <c r="D13677" s="6"/>
      <c r="E13677" s="2"/>
      <c r="F13677" s="2"/>
      <c r="G13677" s="2">
        <f t="shared" si="213"/>
        <v>0</v>
      </c>
      <c r="H13677" t="s">
        <v>8</v>
      </c>
    </row>
    <row r="13678" spans="2:8" x14ac:dyDescent="0.2">
      <c r="B13678" s="3">
        <v>45749</v>
      </c>
      <c r="C13678" s="3"/>
      <c r="D13678" s="6"/>
      <c r="E13678" s="2"/>
      <c r="F13678" s="2"/>
      <c r="G13678" s="2">
        <f t="shared" si="213"/>
        <v>0</v>
      </c>
      <c r="H13678" t="s">
        <v>7</v>
      </c>
    </row>
    <row r="13679" spans="2:8" x14ac:dyDescent="0.2">
      <c r="B13679" s="3">
        <v>45749</v>
      </c>
      <c r="C13679" s="3"/>
      <c r="D13679" s="6"/>
      <c r="E13679" s="5"/>
      <c r="F13679" s="5"/>
      <c r="G13679" s="2">
        <f t="shared" si="213"/>
        <v>0</v>
      </c>
      <c r="H13679" t="s">
        <v>6</v>
      </c>
    </row>
    <row r="13680" spans="2:8" x14ac:dyDescent="0.2">
      <c r="B13680" s="3">
        <v>45749</v>
      </c>
      <c r="C13680" s="3"/>
      <c r="D13680" s="6"/>
      <c r="E13680" s="2"/>
      <c r="F13680" s="2"/>
      <c r="G13680" s="2">
        <f t="shared" si="213"/>
        <v>0</v>
      </c>
      <c r="H13680" t="s">
        <v>5</v>
      </c>
    </row>
    <row r="13681" spans="2:8" x14ac:dyDescent="0.2">
      <c r="B13681" s="3">
        <v>45749</v>
      </c>
      <c r="C13681" s="3"/>
      <c r="D13681" s="6"/>
      <c r="E13681" s="2"/>
      <c r="F13681" s="2"/>
      <c r="G13681" s="2">
        <f t="shared" si="213"/>
        <v>0</v>
      </c>
      <c r="H13681" s="1"/>
    </row>
    <row r="13682" spans="2:8" x14ac:dyDescent="0.2">
      <c r="B13682" s="3">
        <v>45749</v>
      </c>
      <c r="C13682" s="3"/>
      <c r="D13682" s="2"/>
      <c r="E13682" s="2"/>
      <c r="F13682" s="2"/>
      <c r="G13682" s="2">
        <f t="shared" si="213"/>
        <v>0</v>
      </c>
      <c r="H13682" t="s">
        <v>0</v>
      </c>
    </row>
    <row r="13683" spans="2:8" x14ac:dyDescent="0.2">
      <c r="B13683" s="3">
        <v>45750</v>
      </c>
      <c r="C13683" s="2"/>
      <c r="D13683" s="2"/>
      <c r="E13683" s="2"/>
      <c r="F13683" s="2"/>
      <c r="G13683" s="2">
        <f t="shared" si="213"/>
        <v>0</v>
      </c>
      <c r="H13683" t="s">
        <v>14</v>
      </c>
    </row>
    <row r="13684" spans="2:8" x14ac:dyDescent="0.2">
      <c r="B13684" s="3">
        <v>45750</v>
      </c>
      <c r="C13684" s="2"/>
      <c r="D13684" s="2"/>
      <c r="E13684" s="2"/>
      <c r="F13684" s="2"/>
      <c r="G13684" s="2">
        <f t="shared" si="213"/>
        <v>0</v>
      </c>
      <c r="H13684" t="s">
        <v>13</v>
      </c>
    </row>
    <row r="13685" spans="2:8" x14ac:dyDescent="0.2">
      <c r="B13685" s="3">
        <v>45750</v>
      </c>
      <c r="C13685" s="3"/>
      <c r="D13685" s="6"/>
      <c r="E13685" s="2"/>
      <c r="F13685" s="2"/>
      <c r="G13685" s="2">
        <f t="shared" si="213"/>
        <v>0</v>
      </c>
      <c r="H13685" t="s">
        <v>11</v>
      </c>
    </row>
    <row r="13686" spans="2:8" x14ac:dyDescent="0.2">
      <c r="B13686" s="3">
        <v>45750</v>
      </c>
      <c r="C13686" s="3"/>
      <c r="D13686" s="6"/>
      <c r="E13686" s="4"/>
      <c r="F13686" s="2"/>
      <c r="G13686" s="2">
        <f t="shared" si="213"/>
        <v>0</v>
      </c>
      <c r="H13686" t="s">
        <v>10</v>
      </c>
    </row>
    <row r="13687" spans="2:8" x14ac:dyDescent="0.2">
      <c r="B13687" s="3">
        <v>45750</v>
      </c>
      <c r="C13687" s="3"/>
      <c r="D13687" s="6"/>
      <c r="E13687" s="2"/>
      <c r="F13687" s="2"/>
      <c r="G13687" s="2">
        <f t="shared" si="213"/>
        <v>0</v>
      </c>
      <c r="H13687" t="s">
        <v>9</v>
      </c>
    </row>
    <row r="13688" spans="2:8" x14ac:dyDescent="0.2">
      <c r="B13688" s="3">
        <v>45750</v>
      </c>
      <c r="C13688" s="3"/>
      <c r="D13688" s="6"/>
      <c r="E13688" s="2"/>
      <c r="F13688" s="2"/>
      <c r="G13688" s="2">
        <f t="shared" si="213"/>
        <v>0</v>
      </c>
      <c r="H13688" t="s">
        <v>8</v>
      </c>
    </row>
    <row r="13689" spans="2:8" x14ac:dyDescent="0.2">
      <c r="B13689" s="3">
        <v>45750</v>
      </c>
      <c r="C13689" s="3"/>
      <c r="D13689" s="6"/>
      <c r="E13689" s="2"/>
      <c r="F13689" s="2"/>
      <c r="G13689" s="2">
        <f t="shared" si="213"/>
        <v>0</v>
      </c>
      <c r="H13689" t="s">
        <v>7</v>
      </c>
    </row>
    <row r="13690" spans="2:8" x14ac:dyDescent="0.2">
      <c r="B13690" s="3">
        <v>45750</v>
      </c>
      <c r="C13690" s="3"/>
      <c r="D13690" s="6"/>
      <c r="E13690" s="2"/>
      <c r="F13690" s="2"/>
      <c r="G13690" s="2">
        <f t="shared" si="213"/>
        <v>0</v>
      </c>
      <c r="H13690" t="s">
        <v>6</v>
      </c>
    </row>
    <row r="13691" spans="2:8" x14ac:dyDescent="0.2">
      <c r="B13691" s="3">
        <v>45750</v>
      </c>
      <c r="C13691" s="3"/>
      <c r="D13691" s="6"/>
      <c r="E13691" s="2"/>
      <c r="F13691" s="2"/>
      <c r="G13691" s="2">
        <f t="shared" si="213"/>
        <v>0</v>
      </c>
      <c r="H13691" t="s">
        <v>5</v>
      </c>
    </row>
    <row r="13692" spans="2:8" x14ac:dyDescent="0.2">
      <c r="B13692" s="3">
        <v>45750</v>
      </c>
      <c r="C13692" s="3"/>
      <c r="D13692" s="6"/>
      <c r="E13692" s="2"/>
      <c r="F13692" s="2"/>
      <c r="G13692" s="2">
        <f t="shared" si="213"/>
        <v>0</v>
      </c>
      <c r="H13692" s="1"/>
    </row>
    <row r="13693" spans="2:8" x14ac:dyDescent="0.2">
      <c r="B13693" s="3">
        <v>45750</v>
      </c>
      <c r="C13693" s="3"/>
      <c r="D13693" s="2"/>
      <c r="E13693" s="2"/>
      <c r="F13693" s="2"/>
      <c r="G13693" s="2">
        <f t="shared" si="213"/>
        <v>0</v>
      </c>
      <c r="H13693" t="s">
        <v>0</v>
      </c>
    </row>
    <row r="13694" spans="2:8" x14ac:dyDescent="0.2">
      <c r="B13694" s="3">
        <v>45751</v>
      </c>
      <c r="C13694" s="2"/>
      <c r="D13694" s="2"/>
      <c r="E13694" s="2"/>
      <c r="F13694" s="2"/>
      <c r="G13694" s="2">
        <f t="shared" si="213"/>
        <v>0</v>
      </c>
      <c r="H13694" t="s">
        <v>14</v>
      </c>
    </row>
    <row r="13695" spans="2:8" x14ac:dyDescent="0.2">
      <c r="B13695" s="3">
        <v>45751</v>
      </c>
      <c r="C13695" s="2"/>
      <c r="D13695" s="2"/>
      <c r="E13695" s="2"/>
      <c r="F13695" s="2"/>
      <c r="G13695" s="2">
        <f t="shared" si="213"/>
        <v>0</v>
      </c>
      <c r="H13695" t="s">
        <v>13</v>
      </c>
    </row>
    <row r="13696" spans="2:8" x14ac:dyDescent="0.2">
      <c r="B13696" s="3">
        <v>45751</v>
      </c>
      <c r="C13696" s="3"/>
      <c r="D13696" s="6"/>
      <c r="E13696" s="2"/>
      <c r="F13696" s="2"/>
      <c r="G13696" s="2">
        <f t="shared" si="213"/>
        <v>0</v>
      </c>
      <c r="H13696" t="s">
        <v>11</v>
      </c>
    </row>
    <row r="13697" spans="2:8" x14ac:dyDescent="0.2">
      <c r="B13697" s="3">
        <v>45751</v>
      </c>
      <c r="C13697" s="3"/>
      <c r="D13697" s="6"/>
      <c r="E13697" s="2"/>
      <c r="F13697" s="2"/>
      <c r="G13697" s="2">
        <f t="shared" si="213"/>
        <v>0</v>
      </c>
      <c r="H13697" t="s">
        <v>10</v>
      </c>
    </row>
    <row r="13698" spans="2:8" x14ac:dyDescent="0.2">
      <c r="B13698" s="3">
        <v>45751</v>
      </c>
      <c r="C13698" s="3"/>
      <c r="D13698" s="6"/>
      <c r="E13698" s="2"/>
      <c r="F13698" s="2"/>
      <c r="G13698" s="2">
        <f t="shared" si="213"/>
        <v>0</v>
      </c>
      <c r="H13698" t="s">
        <v>9</v>
      </c>
    </row>
    <row r="13699" spans="2:8" x14ac:dyDescent="0.2">
      <c r="B13699" s="3">
        <v>45751</v>
      </c>
      <c r="C13699" s="3"/>
      <c r="D13699" s="6"/>
      <c r="E13699" s="2"/>
      <c r="F13699" s="2"/>
      <c r="G13699" s="2">
        <f t="shared" ref="G13699:G13762" si="214">E13699-F13699</f>
        <v>0</v>
      </c>
      <c r="H13699" t="s">
        <v>8</v>
      </c>
    </row>
    <row r="13700" spans="2:8" x14ac:dyDescent="0.2">
      <c r="B13700" s="3">
        <v>45751</v>
      </c>
      <c r="C13700" s="3"/>
      <c r="D13700" s="6"/>
      <c r="E13700" s="2"/>
      <c r="F13700" s="2"/>
      <c r="G13700" s="2">
        <f t="shared" si="214"/>
        <v>0</v>
      </c>
      <c r="H13700" t="s">
        <v>7</v>
      </c>
    </row>
    <row r="13701" spans="2:8" x14ac:dyDescent="0.2">
      <c r="B13701" s="3">
        <v>45751</v>
      </c>
      <c r="C13701" s="3"/>
      <c r="D13701" s="6"/>
      <c r="E13701" s="2"/>
      <c r="F13701" s="2"/>
      <c r="G13701" s="2">
        <f t="shared" si="214"/>
        <v>0</v>
      </c>
      <c r="H13701" t="s">
        <v>6</v>
      </c>
    </row>
    <row r="13702" spans="2:8" x14ac:dyDescent="0.2">
      <c r="B13702" s="3">
        <v>45751</v>
      </c>
      <c r="C13702" s="3"/>
      <c r="D13702" s="6"/>
      <c r="E13702" s="2"/>
      <c r="F13702" s="2"/>
      <c r="G13702" s="2">
        <f t="shared" si="214"/>
        <v>0</v>
      </c>
      <c r="H13702" t="s">
        <v>5</v>
      </c>
    </row>
    <row r="13703" spans="2:8" x14ac:dyDescent="0.2">
      <c r="B13703" s="3">
        <v>45751</v>
      </c>
      <c r="C13703" s="3"/>
      <c r="D13703" s="6"/>
      <c r="E13703" s="2"/>
      <c r="F13703" s="2"/>
      <c r="G13703" s="2">
        <f t="shared" si="214"/>
        <v>0</v>
      </c>
      <c r="H13703" s="1"/>
    </row>
    <row r="13704" spans="2:8" x14ac:dyDescent="0.2">
      <c r="B13704" s="3">
        <v>45751</v>
      </c>
      <c r="C13704" s="3"/>
      <c r="D13704" s="2"/>
      <c r="E13704" s="2"/>
      <c r="F13704" s="2"/>
      <c r="G13704" s="2">
        <f t="shared" si="214"/>
        <v>0</v>
      </c>
      <c r="H13704" t="s">
        <v>0</v>
      </c>
    </row>
    <row r="13705" spans="2:8" x14ac:dyDescent="0.2">
      <c r="B13705" s="3">
        <v>45752</v>
      </c>
      <c r="C13705" s="2"/>
      <c r="D13705" s="2"/>
      <c r="E13705" s="2"/>
      <c r="F13705" s="2"/>
      <c r="G13705" s="2">
        <f t="shared" si="214"/>
        <v>0</v>
      </c>
      <c r="H13705" t="s">
        <v>14</v>
      </c>
    </row>
    <row r="13706" spans="2:8" x14ac:dyDescent="0.2">
      <c r="B13706" s="3">
        <v>45752</v>
      </c>
      <c r="C13706" s="2"/>
      <c r="D13706" s="2"/>
      <c r="E13706" s="2"/>
      <c r="F13706" s="2"/>
      <c r="G13706" s="2">
        <f t="shared" si="214"/>
        <v>0</v>
      </c>
      <c r="H13706" t="s">
        <v>13</v>
      </c>
    </row>
    <row r="13707" spans="2:8" x14ac:dyDescent="0.2">
      <c r="B13707" s="3">
        <v>45752</v>
      </c>
      <c r="C13707" s="3"/>
      <c r="D13707" s="6"/>
      <c r="E13707" s="2"/>
      <c r="F13707" s="2"/>
      <c r="G13707" s="2">
        <f t="shared" si="214"/>
        <v>0</v>
      </c>
      <c r="H13707" t="s">
        <v>11</v>
      </c>
    </row>
    <row r="13708" spans="2:8" x14ac:dyDescent="0.2">
      <c r="B13708" s="3">
        <v>45752</v>
      </c>
      <c r="C13708" s="3"/>
      <c r="D13708" s="6"/>
      <c r="E13708" s="4"/>
      <c r="F13708" s="2"/>
      <c r="G13708" s="2">
        <f t="shared" si="214"/>
        <v>0</v>
      </c>
      <c r="H13708" t="s">
        <v>10</v>
      </c>
    </row>
    <row r="13709" spans="2:8" x14ac:dyDescent="0.2">
      <c r="B13709" s="3">
        <v>45752</v>
      </c>
      <c r="C13709" s="3"/>
      <c r="D13709" s="6"/>
      <c r="E13709" s="2"/>
      <c r="F13709" s="2"/>
      <c r="G13709" s="2">
        <f t="shared" si="214"/>
        <v>0</v>
      </c>
      <c r="H13709" t="s">
        <v>9</v>
      </c>
    </row>
    <row r="13710" spans="2:8" x14ac:dyDescent="0.2">
      <c r="B13710" s="3">
        <v>45752</v>
      </c>
      <c r="C13710" s="3"/>
      <c r="D13710" s="6"/>
      <c r="E13710" s="2"/>
      <c r="F13710" s="2"/>
      <c r="G13710" s="2">
        <f t="shared" si="214"/>
        <v>0</v>
      </c>
      <c r="H13710" t="s">
        <v>8</v>
      </c>
    </row>
    <row r="13711" spans="2:8" x14ac:dyDescent="0.2">
      <c r="B13711" s="3">
        <v>45752</v>
      </c>
      <c r="C13711" s="3"/>
      <c r="D13711" s="6"/>
      <c r="E13711" s="2"/>
      <c r="F13711" s="2"/>
      <c r="G13711" s="2">
        <f t="shared" si="214"/>
        <v>0</v>
      </c>
      <c r="H13711" t="s">
        <v>7</v>
      </c>
    </row>
    <row r="13712" spans="2:8" x14ac:dyDescent="0.2">
      <c r="B13712" s="3">
        <v>45752</v>
      </c>
      <c r="C13712" s="3"/>
      <c r="D13712" s="6"/>
      <c r="E13712" s="2"/>
      <c r="F13712" s="5"/>
      <c r="G13712" s="2">
        <f t="shared" si="214"/>
        <v>0</v>
      </c>
      <c r="H13712" t="s">
        <v>6</v>
      </c>
    </row>
    <row r="13713" spans="2:8" x14ac:dyDescent="0.2">
      <c r="B13713" s="3">
        <v>45752</v>
      </c>
      <c r="C13713" s="3"/>
      <c r="D13713" s="6"/>
      <c r="E13713" s="2"/>
      <c r="F13713" s="2"/>
      <c r="G13713" s="2">
        <f t="shared" si="214"/>
        <v>0</v>
      </c>
      <c r="H13713" t="s">
        <v>5</v>
      </c>
    </row>
    <row r="13714" spans="2:8" x14ac:dyDescent="0.2">
      <c r="B13714" s="3">
        <v>45752</v>
      </c>
      <c r="C13714" s="3"/>
      <c r="D13714" s="6"/>
      <c r="E13714" s="2"/>
      <c r="F13714" s="2"/>
      <c r="G13714" s="2">
        <f t="shared" si="214"/>
        <v>0</v>
      </c>
      <c r="H13714" s="1"/>
    </row>
    <row r="13715" spans="2:8" x14ac:dyDescent="0.2">
      <c r="B13715" s="3">
        <v>45752</v>
      </c>
      <c r="C13715" s="3"/>
      <c r="D13715" s="2"/>
      <c r="E13715" s="2"/>
      <c r="F13715" s="2"/>
      <c r="G13715" s="2">
        <f t="shared" si="214"/>
        <v>0</v>
      </c>
      <c r="H13715" t="s">
        <v>0</v>
      </c>
    </row>
    <row r="13716" spans="2:8" x14ac:dyDescent="0.2">
      <c r="B13716" s="3">
        <v>45753</v>
      </c>
      <c r="C13716" s="2"/>
      <c r="D13716" s="2"/>
      <c r="E13716" s="2"/>
      <c r="F13716" s="2"/>
      <c r="G13716" s="2">
        <f t="shared" si="214"/>
        <v>0</v>
      </c>
      <c r="H13716" t="s">
        <v>14</v>
      </c>
    </row>
    <row r="13717" spans="2:8" x14ac:dyDescent="0.2">
      <c r="B13717" s="3">
        <v>45753</v>
      </c>
      <c r="C13717" s="2"/>
      <c r="D13717" s="2"/>
      <c r="E13717" s="2"/>
      <c r="F13717" s="2"/>
      <c r="G13717" s="2">
        <f t="shared" si="214"/>
        <v>0</v>
      </c>
      <c r="H13717" t="s">
        <v>13</v>
      </c>
    </row>
    <row r="13718" spans="2:8" x14ac:dyDescent="0.2">
      <c r="B13718" s="3">
        <v>45753</v>
      </c>
      <c r="C13718" s="3"/>
      <c r="D13718" s="6"/>
      <c r="E13718" s="2"/>
      <c r="F13718" s="2"/>
      <c r="G13718" s="2">
        <f t="shared" si="214"/>
        <v>0</v>
      </c>
      <c r="H13718" t="s">
        <v>11</v>
      </c>
    </row>
    <row r="13719" spans="2:8" x14ac:dyDescent="0.2">
      <c r="B13719" s="3">
        <v>45753</v>
      </c>
      <c r="C13719" s="3"/>
      <c r="D13719" s="6"/>
      <c r="E13719" s="2"/>
      <c r="F13719" s="2"/>
      <c r="G13719" s="2">
        <f t="shared" si="214"/>
        <v>0</v>
      </c>
      <c r="H13719" t="s">
        <v>10</v>
      </c>
    </row>
    <row r="13720" spans="2:8" x14ac:dyDescent="0.2">
      <c r="B13720" s="3">
        <v>45753</v>
      </c>
      <c r="C13720" s="3"/>
      <c r="D13720" s="6"/>
      <c r="E13720" s="2"/>
      <c r="F13720" s="2">
        <v>20000</v>
      </c>
      <c r="G13720" s="2">
        <f t="shared" si="214"/>
        <v>-20000</v>
      </c>
      <c r="H13720" t="s">
        <v>9</v>
      </c>
    </row>
    <row r="13721" spans="2:8" x14ac:dyDescent="0.2">
      <c r="B13721" s="3">
        <v>45753</v>
      </c>
      <c r="C13721" s="2">
        <v>42</v>
      </c>
      <c r="D13721" s="6">
        <v>9225</v>
      </c>
      <c r="E13721" s="2">
        <v>10457.5</v>
      </c>
      <c r="F13721" s="2"/>
      <c r="G13721" s="2">
        <f t="shared" si="214"/>
        <v>10457.5</v>
      </c>
      <c r="H13721" t="s">
        <v>8</v>
      </c>
    </row>
    <row r="13722" spans="2:8" x14ac:dyDescent="0.2">
      <c r="B13722" s="3">
        <v>45753</v>
      </c>
      <c r="C13722" s="3"/>
      <c r="D13722" s="6"/>
      <c r="E13722" s="2"/>
      <c r="F13722" s="2"/>
      <c r="G13722" s="2">
        <f t="shared" si="214"/>
        <v>0</v>
      </c>
      <c r="H13722" t="s">
        <v>7</v>
      </c>
    </row>
    <row r="13723" spans="2:8" x14ac:dyDescent="0.2">
      <c r="B13723" s="3">
        <v>45753</v>
      </c>
      <c r="C13723" s="3"/>
      <c r="D13723" s="6"/>
      <c r="E13723" s="2"/>
      <c r="F13723" s="2"/>
      <c r="G13723" s="2">
        <f t="shared" si="214"/>
        <v>0</v>
      </c>
      <c r="H13723" t="s">
        <v>6</v>
      </c>
    </row>
    <row r="13724" spans="2:8" x14ac:dyDescent="0.2">
      <c r="B13724" s="3">
        <v>45753</v>
      </c>
      <c r="C13724" s="3"/>
      <c r="D13724" s="6"/>
      <c r="E13724" s="2"/>
      <c r="F13724" s="2"/>
      <c r="G13724" s="2">
        <f t="shared" si="214"/>
        <v>0</v>
      </c>
      <c r="H13724" t="s">
        <v>5</v>
      </c>
    </row>
    <row r="13725" spans="2:8" x14ac:dyDescent="0.2">
      <c r="B13725" s="3">
        <v>45753</v>
      </c>
      <c r="C13725" s="3"/>
      <c r="D13725" s="6"/>
      <c r="E13725" s="2"/>
      <c r="F13725" s="2"/>
      <c r="G13725" s="2">
        <f t="shared" si="214"/>
        <v>0</v>
      </c>
      <c r="H13725" s="1"/>
    </row>
    <row r="13726" spans="2:8" x14ac:dyDescent="0.2">
      <c r="B13726" s="3">
        <v>45753</v>
      </c>
      <c r="C13726" s="3"/>
      <c r="D13726" s="2"/>
      <c r="E13726" s="2"/>
      <c r="F13726" s="2"/>
      <c r="G13726" s="2">
        <f t="shared" si="214"/>
        <v>0</v>
      </c>
      <c r="H13726" t="s">
        <v>0</v>
      </c>
    </row>
    <row r="13727" spans="2:8" x14ac:dyDescent="0.2">
      <c r="B13727" s="3">
        <v>45754</v>
      </c>
      <c r="C13727" s="2"/>
      <c r="D13727" s="2"/>
      <c r="E13727" s="2"/>
      <c r="F13727" s="2"/>
      <c r="G13727" s="2">
        <f t="shared" si="214"/>
        <v>0</v>
      </c>
      <c r="H13727" t="s">
        <v>14</v>
      </c>
    </row>
    <row r="13728" spans="2:8" x14ac:dyDescent="0.2">
      <c r="B13728" s="3">
        <v>45754</v>
      </c>
      <c r="C13728" s="2"/>
      <c r="D13728" s="2"/>
      <c r="E13728" s="2"/>
      <c r="F13728" s="2"/>
      <c r="G13728" s="2">
        <f t="shared" si="214"/>
        <v>0</v>
      </c>
      <c r="H13728" t="s">
        <v>13</v>
      </c>
    </row>
    <row r="13729" spans="2:8" x14ac:dyDescent="0.2">
      <c r="B13729" s="3">
        <v>45754</v>
      </c>
      <c r="C13729" s="3"/>
      <c r="D13729" s="6"/>
      <c r="E13729" s="2"/>
      <c r="F13729" s="2"/>
      <c r="G13729" s="2">
        <f t="shared" si="214"/>
        <v>0</v>
      </c>
      <c r="H13729" t="s">
        <v>11</v>
      </c>
    </row>
    <row r="13730" spans="2:8" x14ac:dyDescent="0.2">
      <c r="B13730" s="3">
        <v>45754</v>
      </c>
      <c r="C13730" s="3"/>
      <c r="D13730" s="6"/>
      <c r="E13730" s="2"/>
      <c r="F13730" s="2"/>
      <c r="G13730" s="2">
        <f t="shared" si="214"/>
        <v>0</v>
      </c>
      <c r="H13730" t="s">
        <v>10</v>
      </c>
    </row>
    <row r="13731" spans="2:8" x14ac:dyDescent="0.2">
      <c r="B13731" s="3">
        <v>45754</v>
      </c>
      <c r="C13731" s="3"/>
      <c r="D13731" s="6"/>
      <c r="E13731" s="2"/>
      <c r="F13731" s="2"/>
      <c r="G13731" s="2">
        <f t="shared" si="214"/>
        <v>0</v>
      </c>
      <c r="H13731" t="s">
        <v>9</v>
      </c>
    </row>
    <row r="13732" spans="2:8" x14ac:dyDescent="0.2">
      <c r="B13732" s="3">
        <v>45754</v>
      </c>
      <c r="C13732" s="3"/>
      <c r="D13732" s="6"/>
      <c r="E13732" s="2"/>
      <c r="F13732" s="2"/>
      <c r="G13732" s="2">
        <f t="shared" si="214"/>
        <v>0</v>
      </c>
      <c r="H13732" t="s">
        <v>8</v>
      </c>
    </row>
    <row r="13733" spans="2:8" x14ac:dyDescent="0.2">
      <c r="B13733" s="3">
        <v>45754</v>
      </c>
      <c r="C13733" s="3"/>
      <c r="D13733" s="6"/>
      <c r="E13733" s="2"/>
      <c r="F13733" s="2"/>
      <c r="G13733" s="2">
        <f t="shared" si="214"/>
        <v>0</v>
      </c>
      <c r="H13733" t="s">
        <v>7</v>
      </c>
    </row>
    <row r="13734" spans="2:8" x14ac:dyDescent="0.2">
      <c r="B13734" s="3">
        <v>45754</v>
      </c>
      <c r="C13734" s="3"/>
      <c r="D13734" s="6"/>
      <c r="E13734" s="2"/>
      <c r="F13734" s="2"/>
      <c r="G13734" s="2">
        <f t="shared" si="214"/>
        <v>0</v>
      </c>
      <c r="H13734" t="s">
        <v>6</v>
      </c>
    </row>
    <row r="13735" spans="2:8" x14ac:dyDescent="0.2">
      <c r="B13735" s="3">
        <v>45754</v>
      </c>
      <c r="C13735" s="3"/>
      <c r="D13735" s="6"/>
      <c r="E13735" s="2"/>
      <c r="F13735" s="2"/>
      <c r="G13735" s="2">
        <f t="shared" si="214"/>
        <v>0</v>
      </c>
      <c r="H13735" t="s">
        <v>5</v>
      </c>
    </row>
    <row r="13736" spans="2:8" x14ac:dyDescent="0.2">
      <c r="B13736" s="3">
        <v>45754</v>
      </c>
      <c r="C13736" s="3"/>
      <c r="D13736" s="6"/>
      <c r="E13736" s="2"/>
      <c r="F13736" s="2"/>
      <c r="G13736" s="2">
        <f t="shared" si="214"/>
        <v>0</v>
      </c>
      <c r="H13736" s="1"/>
    </row>
    <row r="13737" spans="2:8" x14ac:dyDescent="0.2">
      <c r="B13737" s="3">
        <v>45754</v>
      </c>
      <c r="C13737" s="3"/>
      <c r="D13737" s="2"/>
      <c r="E13737" s="2"/>
      <c r="F13737" s="2"/>
      <c r="G13737" s="2">
        <f t="shared" si="214"/>
        <v>0</v>
      </c>
      <c r="H13737" t="s">
        <v>0</v>
      </c>
    </row>
    <row r="13738" spans="2:8" x14ac:dyDescent="0.2">
      <c r="B13738" s="3">
        <v>45755</v>
      </c>
      <c r="C13738" s="2">
        <v>44</v>
      </c>
      <c r="D13738" s="2">
        <v>5760</v>
      </c>
      <c r="E13738" s="2">
        <v>6960</v>
      </c>
      <c r="F13738" s="2">
        <v>16640</v>
      </c>
      <c r="G13738" s="2">
        <f t="shared" si="214"/>
        <v>-9680</v>
      </c>
      <c r="H13738" t="s">
        <v>14</v>
      </c>
    </row>
    <row r="13739" spans="2:8" x14ac:dyDescent="0.2">
      <c r="B13739" s="3">
        <v>45755</v>
      </c>
      <c r="C13739" s="2"/>
      <c r="D13739" s="2"/>
      <c r="E13739" s="2"/>
      <c r="F13739" s="2"/>
      <c r="G13739" s="2">
        <f t="shared" si="214"/>
        <v>0</v>
      </c>
      <c r="H13739" t="s">
        <v>13</v>
      </c>
    </row>
    <row r="13740" spans="2:8" x14ac:dyDescent="0.2">
      <c r="B13740" s="3">
        <v>45755</v>
      </c>
      <c r="C13740" s="3"/>
      <c r="D13740" s="6"/>
      <c r="E13740" s="2"/>
      <c r="F13740" s="2"/>
      <c r="G13740" s="2">
        <f t="shared" si="214"/>
        <v>0</v>
      </c>
      <c r="H13740" t="s">
        <v>11</v>
      </c>
    </row>
    <row r="13741" spans="2:8" x14ac:dyDescent="0.2">
      <c r="B13741" s="3">
        <v>45755</v>
      </c>
      <c r="C13741" s="2">
        <v>43</v>
      </c>
      <c r="D13741" s="6">
        <v>1500</v>
      </c>
      <c r="E13741" s="2">
        <v>1550</v>
      </c>
      <c r="F13741" s="2">
        <v>1550</v>
      </c>
      <c r="G13741" s="2">
        <f t="shared" si="214"/>
        <v>0</v>
      </c>
      <c r="H13741" t="s">
        <v>10</v>
      </c>
    </row>
    <row r="13742" spans="2:8" x14ac:dyDescent="0.2">
      <c r="B13742" s="3">
        <v>45755</v>
      </c>
      <c r="C13742" s="3"/>
      <c r="D13742" s="6"/>
      <c r="E13742" s="2"/>
      <c r="F13742" s="2"/>
      <c r="G13742" s="2">
        <f t="shared" si="214"/>
        <v>0</v>
      </c>
      <c r="H13742" t="s">
        <v>9</v>
      </c>
    </row>
    <row r="13743" spans="2:8" x14ac:dyDescent="0.2">
      <c r="B13743" s="3">
        <v>45755</v>
      </c>
      <c r="C13743" s="3"/>
      <c r="D13743" s="6"/>
      <c r="E13743" s="2"/>
      <c r="F13743" s="2"/>
      <c r="G13743" s="2">
        <f t="shared" si="214"/>
        <v>0</v>
      </c>
      <c r="H13743" t="s">
        <v>8</v>
      </c>
    </row>
    <row r="13744" spans="2:8" x14ac:dyDescent="0.2">
      <c r="B13744" s="3">
        <v>45755</v>
      </c>
      <c r="C13744" s="3"/>
      <c r="D13744" s="6"/>
      <c r="E13744" s="2"/>
      <c r="F13744" s="2"/>
      <c r="G13744" s="2">
        <f t="shared" si="214"/>
        <v>0</v>
      </c>
      <c r="H13744" t="s">
        <v>7</v>
      </c>
    </row>
    <row r="13745" spans="2:8" x14ac:dyDescent="0.2">
      <c r="B13745" s="3">
        <v>45755</v>
      </c>
      <c r="C13745" s="3"/>
      <c r="D13745" s="6"/>
      <c r="E13745" s="2"/>
      <c r="F13745" s="2"/>
      <c r="G13745" s="2">
        <f t="shared" si="214"/>
        <v>0</v>
      </c>
      <c r="H13745" t="s">
        <v>6</v>
      </c>
    </row>
    <row r="13746" spans="2:8" x14ac:dyDescent="0.2">
      <c r="B13746" s="3">
        <v>45755</v>
      </c>
      <c r="C13746" s="3"/>
      <c r="D13746" s="6"/>
      <c r="E13746" s="2"/>
      <c r="F13746" s="2"/>
      <c r="G13746" s="2">
        <f t="shared" si="214"/>
        <v>0</v>
      </c>
      <c r="H13746" t="s">
        <v>5</v>
      </c>
    </row>
    <row r="13747" spans="2:8" x14ac:dyDescent="0.2">
      <c r="B13747" s="3">
        <v>45755</v>
      </c>
      <c r="C13747" s="3"/>
      <c r="D13747" s="6"/>
      <c r="E13747" s="2"/>
      <c r="F13747" s="2"/>
      <c r="G13747" s="2">
        <f t="shared" si="214"/>
        <v>0</v>
      </c>
      <c r="H13747" s="1"/>
    </row>
    <row r="13748" spans="2:8" x14ac:dyDescent="0.2">
      <c r="B13748" s="3">
        <v>45755</v>
      </c>
      <c r="C13748" s="3"/>
      <c r="D13748" s="2"/>
      <c r="E13748" s="2"/>
      <c r="F13748" s="2"/>
      <c r="G13748" s="2">
        <f t="shared" si="214"/>
        <v>0</v>
      </c>
      <c r="H13748" t="s">
        <v>0</v>
      </c>
    </row>
    <row r="13749" spans="2:8" x14ac:dyDescent="0.2">
      <c r="B13749" s="3">
        <v>45756</v>
      </c>
      <c r="C13749" s="2"/>
      <c r="D13749" s="2"/>
      <c r="E13749" s="2"/>
      <c r="F13749" s="2"/>
      <c r="G13749" s="2">
        <f t="shared" si="214"/>
        <v>0</v>
      </c>
      <c r="H13749" t="s">
        <v>14</v>
      </c>
    </row>
    <row r="13750" spans="2:8" x14ac:dyDescent="0.2">
      <c r="B13750" s="3">
        <v>45756</v>
      </c>
      <c r="C13750" s="2"/>
      <c r="D13750" s="2"/>
      <c r="E13750" s="2"/>
      <c r="F13750" s="2"/>
      <c r="G13750" s="2">
        <f t="shared" si="214"/>
        <v>0</v>
      </c>
      <c r="H13750" t="s">
        <v>13</v>
      </c>
    </row>
    <row r="13751" spans="2:8" x14ac:dyDescent="0.2">
      <c r="B13751" s="3">
        <v>45756</v>
      </c>
      <c r="C13751" s="3"/>
      <c r="D13751" s="6"/>
      <c r="E13751" s="2"/>
      <c r="F13751" s="2"/>
      <c r="G13751" s="2">
        <f t="shared" si="214"/>
        <v>0</v>
      </c>
      <c r="H13751" t="s">
        <v>11</v>
      </c>
    </row>
    <row r="13752" spans="2:8" x14ac:dyDescent="0.2">
      <c r="B13752" s="3">
        <v>45756</v>
      </c>
      <c r="C13752" s="3"/>
      <c r="D13752" s="6"/>
      <c r="E13752" s="4"/>
      <c r="F13752" s="2">
        <v>1860</v>
      </c>
      <c r="G13752" s="2">
        <f t="shared" si="214"/>
        <v>-1860</v>
      </c>
      <c r="H13752" t="s">
        <v>10</v>
      </c>
    </row>
    <row r="13753" spans="2:8" x14ac:dyDescent="0.2">
      <c r="B13753" s="3">
        <v>45756</v>
      </c>
      <c r="C13753" s="3"/>
      <c r="D13753" s="6"/>
      <c r="E13753" s="2"/>
      <c r="F13753" s="2"/>
      <c r="G13753" s="2">
        <f t="shared" si="214"/>
        <v>0</v>
      </c>
      <c r="H13753" t="s">
        <v>9</v>
      </c>
    </row>
    <row r="13754" spans="2:8" x14ac:dyDescent="0.2">
      <c r="B13754" s="3">
        <v>45756</v>
      </c>
      <c r="C13754" s="3"/>
      <c r="D13754" s="6"/>
      <c r="E13754" s="2"/>
      <c r="F13754" s="2">
        <v>20000</v>
      </c>
      <c r="G13754" s="2">
        <f t="shared" si="214"/>
        <v>-20000</v>
      </c>
      <c r="H13754" t="s">
        <v>8</v>
      </c>
    </row>
    <row r="13755" spans="2:8" x14ac:dyDescent="0.2">
      <c r="B13755" s="3">
        <v>45756</v>
      </c>
      <c r="C13755" s="3"/>
      <c r="D13755" s="6"/>
      <c r="E13755" s="2"/>
      <c r="F13755" s="2"/>
      <c r="G13755" s="2">
        <f t="shared" si="214"/>
        <v>0</v>
      </c>
      <c r="H13755" t="s">
        <v>7</v>
      </c>
    </row>
    <row r="13756" spans="2:8" x14ac:dyDescent="0.2">
      <c r="B13756" s="3">
        <v>45756</v>
      </c>
      <c r="C13756" s="3"/>
      <c r="D13756" s="6"/>
      <c r="E13756" s="2"/>
      <c r="F13756" s="2">
        <v>5000</v>
      </c>
      <c r="G13756" s="2">
        <f t="shared" si="214"/>
        <v>-5000</v>
      </c>
      <c r="H13756" t="s">
        <v>6</v>
      </c>
    </row>
    <row r="13757" spans="2:8" x14ac:dyDescent="0.2">
      <c r="B13757" s="3">
        <v>45756</v>
      </c>
      <c r="C13757" s="3"/>
      <c r="D13757" s="6"/>
      <c r="E13757" s="2"/>
      <c r="F13757" s="2"/>
      <c r="G13757" s="2">
        <f t="shared" si="214"/>
        <v>0</v>
      </c>
      <c r="H13757" t="s">
        <v>5</v>
      </c>
    </row>
    <row r="13758" spans="2:8" x14ac:dyDescent="0.2">
      <c r="B13758" s="3">
        <v>45756</v>
      </c>
      <c r="C13758" s="3"/>
      <c r="D13758" s="6"/>
      <c r="E13758" s="2"/>
      <c r="F13758" s="2"/>
      <c r="G13758" s="2">
        <f t="shared" si="214"/>
        <v>0</v>
      </c>
      <c r="H13758" s="1"/>
    </row>
    <row r="13759" spans="2:8" x14ac:dyDescent="0.2">
      <c r="B13759" s="3">
        <v>45756</v>
      </c>
      <c r="C13759" s="3"/>
      <c r="D13759" s="2"/>
      <c r="E13759" s="2"/>
      <c r="F13759" s="2"/>
      <c r="G13759" s="2">
        <f t="shared" si="214"/>
        <v>0</v>
      </c>
      <c r="H13759" t="s">
        <v>0</v>
      </c>
    </row>
    <row r="13760" spans="2:8" x14ac:dyDescent="0.2">
      <c r="B13760" s="3">
        <v>45757</v>
      </c>
      <c r="C13760" s="2"/>
      <c r="D13760" s="2"/>
      <c r="E13760" s="2"/>
      <c r="F13760" s="2"/>
      <c r="G13760" s="2">
        <f t="shared" si="214"/>
        <v>0</v>
      </c>
      <c r="H13760" t="s">
        <v>14</v>
      </c>
    </row>
    <row r="13761" spans="2:8" x14ac:dyDescent="0.2">
      <c r="B13761" s="3">
        <v>45757</v>
      </c>
      <c r="C13761" s="2"/>
      <c r="D13761" s="2"/>
      <c r="E13761" s="2"/>
      <c r="F13761" s="2">
        <v>10000</v>
      </c>
      <c r="G13761" s="2">
        <f t="shared" si="214"/>
        <v>-10000</v>
      </c>
      <c r="H13761" t="s">
        <v>13</v>
      </c>
    </row>
    <row r="13762" spans="2:8" x14ac:dyDescent="0.2">
      <c r="B13762" s="3">
        <v>45757</v>
      </c>
      <c r="C13762" s="3"/>
      <c r="D13762" s="6"/>
      <c r="E13762" s="2"/>
      <c r="F13762" s="2"/>
      <c r="G13762" s="2">
        <f t="shared" si="214"/>
        <v>0</v>
      </c>
      <c r="H13762" t="s">
        <v>11</v>
      </c>
    </row>
    <row r="13763" spans="2:8" x14ac:dyDescent="0.2">
      <c r="B13763" s="3">
        <v>45757</v>
      </c>
      <c r="C13763" s="3"/>
      <c r="D13763" s="6"/>
      <c r="E13763" s="2"/>
      <c r="F13763" s="2"/>
      <c r="G13763" s="2">
        <f t="shared" ref="G13763:G13826" si="215">E13763-F13763</f>
        <v>0</v>
      </c>
      <c r="H13763" t="s">
        <v>10</v>
      </c>
    </row>
    <row r="13764" spans="2:8" x14ac:dyDescent="0.2">
      <c r="B13764" s="3">
        <v>45757</v>
      </c>
      <c r="C13764" s="3"/>
      <c r="D13764" s="6"/>
      <c r="E13764" s="2"/>
      <c r="F13764" s="2"/>
      <c r="G13764" s="2">
        <f t="shared" si="215"/>
        <v>0</v>
      </c>
      <c r="H13764" t="s">
        <v>9</v>
      </c>
    </row>
    <row r="13765" spans="2:8" x14ac:dyDescent="0.2">
      <c r="B13765" s="3">
        <v>45757</v>
      </c>
      <c r="C13765" s="3"/>
      <c r="D13765" s="6"/>
      <c r="E13765" s="2"/>
      <c r="F13765" s="9"/>
      <c r="G13765" s="2">
        <f t="shared" si="215"/>
        <v>0</v>
      </c>
      <c r="H13765" t="s">
        <v>8</v>
      </c>
    </row>
    <row r="13766" spans="2:8" x14ac:dyDescent="0.2">
      <c r="B13766" s="3">
        <v>45757</v>
      </c>
      <c r="C13766" s="3"/>
      <c r="D13766" s="6"/>
      <c r="E13766" s="2"/>
      <c r="F13766" s="2"/>
      <c r="G13766" s="2">
        <f t="shared" si="215"/>
        <v>0</v>
      </c>
      <c r="H13766" t="s">
        <v>7</v>
      </c>
    </row>
    <row r="13767" spans="2:8" x14ac:dyDescent="0.2">
      <c r="B13767" s="3">
        <v>45757</v>
      </c>
      <c r="C13767" s="3"/>
      <c r="D13767" s="6"/>
      <c r="E13767" s="2"/>
      <c r="F13767" s="2"/>
      <c r="G13767" s="2">
        <f t="shared" si="215"/>
        <v>0</v>
      </c>
      <c r="H13767" t="s">
        <v>6</v>
      </c>
    </row>
    <row r="13768" spans="2:8" x14ac:dyDescent="0.2">
      <c r="B13768" s="3">
        <v>45757</v>
      </c>
      <c r="C13768" s="3"/>
      <c r="D13768" s="6"/>
      <c r="E13768" s="2"/>
      <c r="F13768" s="2"/>
      <c r="G13768" s="2">
        <f t="shared" si="215"/>
        <v>0</v>
      </c>
      <c r="H13768" t="s">
        <v>5</v>
      </c>
    </row>
    <row r="13769" spans="2:8" x14ac:dyDescent="0.2">
      <c r="B13769" s="3">
        <v>45757</v>
      </c>
      <c r="C13769" s="3"/>
      <c r="D13769" s="6"/>
      <c r="E13769" s="2"/>
      <c r="F13769" s="2"/>
      <c r="G13769" s="2">
        <f t="shared" si="215"/>
        <v>0</v>
      </c>
      <c r="H13769" s="1"/>
    </row>
    <row r="13770" spans="2:8" x14ac:dyDescent="0.2">
      <c r="B13770" s="3">
        <v>45757</v>
      </c>
      <c r="C13770" s="3"/>
      <c r="D13770" s="2"/>
      <c r="E13770" s="2"/>
      <c r="F13770" s="2"/>
      <c r="G13770" s="2">
        <f t="shared" si="215"/>
        <v>0</v>
      </c>
      <c r="H13770" t="s">
        <v>0</v>
      </c>
    </row>
    <row r="13771" spans="2:8" x14ac:dyDescent="0.2">
      <c r="B13771" s="3">
        <v>45758</v>
      </c>
      <c r="C13771" s="2"/>
      <c r="D13771" s="2"/>
      <c r="E13771" s="2"/>
      <c r="F13771" s="2"/>
      <c r="G13771" s="2">
        <f t="shared" si="215"/>
        <v>0</v>
      </c>
      <c r="H13771" t="s">
        <v>14</v>
      </c>
    </row>
    <row r="13772" spans="2:8" x14ac:dyDescent="0.2">
      <c r="B13772" s="3">
        <v>45758</v>
      </c>
      <c r="C13772" s="2"/>
      <c r="D13772" s="2"/>
      <c r="E13772" s="2"/>
      <c r="F13772" s="2"/>
      <c r="G13772" s="2">
        <f t="shared" si="215"/>
        <v>0</v>
      </c>
      <c r="H13772" t="s">
        <v>13</v>
      </c>
    </row>
    <row r="13773" spans="2:8" x14ac:dyDescent="0.2">
      <c r="B13773" s="3">
        <v>45758</v>
      </c>
      <c r="C13773" s="3"/>
      <c r="D13773" s="6"/>
      <c r="E13773" s="2"/>
      <c r="F13773" s="2"/>
      <c r="G13773" s="2">
        <f t="shared" si="215"/>
        <v>0</v>
      </c>
      <c r="H13773" t="s">
        <v>11</v>
      </c>
    </row>
    <row r="13774" spans="2:8" x14ac:dyDescent="0.2">
      <c r="B13774" s="3">
        <v>45758</v>
      </c>
      <c r="C13774" s="3"/>
      <c r="D13774" s="6"/>
      <c r="E13774" s="2"/>
      <c r="F13774" s="2"/>
      <c r="G13774" s="2">
        <f t="shared" si="215"/>
        <v>0</v>
      </c>
      <c r="H13774" t="s">
        <v>10</v>
      </c>
    </row>
    <row r="13775" spans="2:8" x14ac:dyDescent="0.2">
      <c r="B13775" s="3">
        <v>45758</v>
      </c>
      <c r="C13775" s="3"/>
      <c r="D13775" s="6"/>
      <c r="E13775" s="2"/>
      <c r="F13775" s="2"/>
      <c r="G13775" s="2">
        <f t="shared" si="215"/>
        <v>0</v>
      </c>
      <c r="H13775" t="s">
        <v>9</v>
      </c>
    </row>
    <row r="13776" spans="2:8" x14ac:dyDescent="0.2">
      <c r="B13776" s="3">
        <v>45758</v>
      </c>
      <c r="C13776" s="3"/>
      <c r="D13776" s="6"/>
      <c r="E13776" s="2"/>
      <c r="F13776" s="2"/>
      <c r="G13776" s="2">
        <f t="shared" si="215"/>
        <v>0</v>
      </c>
      <c r="H13776" t="s">
        <v>8</v>
      </c>
    </row>
    <row r="13777" spans="2:8" x14ac:dyDescent="0.2">
      <c r="B13777" s="3">
        <v>45758</v>
      </c>
      <c r="C13777" s="3"/>
      <c r="D13777" s="6"/>
      <c r="E13777" s="2"/>
      <c r="F13777" s="2"/>
      <c r="G13777" s="2">
        <f t="shared" si="215"/>
        <v>0</v>
      </c>
      <c r="H13777" t="s">
        <v>7</v>
      </c>
    </row>
    <row r="13778" spans="2:8" x14ac:dyDescent="0.2">
      <c r="B13778" s="3">
        <v>45758</v>
      </c>
      <c r="C13778" s="3"/>
      <c r="D13778" s="6"/>
      <c r="E13778" s="2"/>
      <c r="F13778" s="2"/>
      <c r="G13778" s="2">
        <f t="shared" si="215"/>
        <v>0</v>
      </c>
      <c r="H13778" t="s">
        <v>6</v>
      </c>
    </row>
    <row r="13779" spans="2:8" x14ac:dyDescent="0.2">
      <c r="B13779" s="3">
        <v>45758</v>
      </c>
      <c r="C13779" s="3"/>
      <c r="D13779" s="6"/>
      <c r="E13779" s="2"/>
      <c r="F13779" s="2"/>
      <c r="G13779" s="2">
        <f t="shared" si="215"/>
        <v>0</v>
      </c>
      <c r="H13779" t="s">
        <v>5</v>
      </c>
    </row>
    <row r="13780" spans="2:8" x14ac:dyDescent="0.2">
      <c r="B13780" s="3">
        <v>45758</v>
      </c>
      <c r="C13780" s="3"/>
      <c r="D13780" s="6"/>
      <c r="E13780" s="2"/>
      <c r="F13780" s="2"/>
      <c r="G13780" s="2">
        <f t="shared" si="215"/>
        <v>0</v>
      </c>
      <c r="H13780" s="1"/>
    </row>
    <row r="13781" spans="2:8" x14ac:dyDescent="0.2">
      <c r="B13781" s="3">
        <v>45758</v>
      </c>
      <c r="C13781" s="3"/>
      <c r="D13781" s="2"/>
      <c r="E13781" s="2"/>
      <c r="F13781" s="2"/>
      <c r="G13781" s="2">
        <f t="shared" si="215"/>
        <v>0</v>
      </c>
      <c r="H13781" t="s">
        <v>0</v>
      </c>
    </row>
    <row r="13782" spans="2:8" x14ac:dyDescent="0.2">
      <c r="B13782" s="3">
        <v>45759</v>
      </c>
      <c r="C13782" s="2"/>
      <c r="D13782" s="2"/>
      <c r="E13782" s="2"/>
      <c r="F13782" s="2"/>
      <c r="G13782" s="2">
        <f t="shared" si="215"/>
        <v>0</v>
      </c>
      <c r="H13782" t="s">
        <v>14</v>
      </c>
    </row>
    <row r="13783" spans="2:8" x14ac:dyDescent="0.2">
      <c r="B13783" s="3">
        <v>45759</v>
      </c>
      <c r="C13783" s="2"/>
      <c r="D13783" s="2"/>
      <c r="E13783" s="2"/>
      <c r="F13783" s="2"/>
      <c r="G13783" s="2">
        <f t="shared" si="215"/>
        <v>0</v>
      </c>
      <c r="H13783" t="s">
        <v>13</v>
      </c>
    </row>
    <row r="13784" spans="2:8" x14ac:dyDescent="0.2">
      <c r="B13784" s="3">
        <v>45759</v>
      </c>
      <c r="C13784" s="3"/>
      <c r="D13784" s="6"/>
      <c r="E13784" s="2"/>
      <c r="F13784" s="2"/>
      <c r="G13784" s="2">
        <f t="shared" si="215"/>
        <v>0</v>
      </c>
      <c r="H13784" t="s">
        <v>11</v>
      </c>
    </row>
    <row r="13785" spans="2:8" x14ac:dyDescent="0.2">
      <c r="B13785" s="3">
        <v>45759</v>
      </c>
      <c r="C13785" s="3"/>
      <c r="D13785" s="6"/>
      <c r="E13785" s="4"/>
      <c r="F13785" s="2"/>
      <c r="G13785" s="2">
        <f t="shared" si="215"/>
        <v>0</v>
      </c>
      <c r="H13785" t="s">
        <v>10</v>
      </c>
    </row>
    <row r="13786" spans="2:8" x14ac:dyDescent="0.2">
      <c r="B13786" s="3">
        <v>45759</v>
      </c>
      <c r="C13786" s="3"/>
      <c r="D13786" s="6"/>
      <c r="E13786" s="2"/>
      <c r="F13786" s="2"/>
      <c r="G13786" s="2">
        <f t="shared" si="215"/>
        <v>0</v>
      </c>
      <c r="H13786" t="s">
        <v>9</v>
      </c>
    </row>
    <row r="13787" spans="2:8" x14ac:dyDescent="0.2">
      <c r="B13787" s="3">
        <v>45759</v>
      </c>
      <c r="C13787" s="3"/>
      <c r="D13787" s="6"/>
      <c r="E13787" s="2"/>
      <c r="F13787" s="2"/>
      <c r="G13787" s="2">
        <f t="shared" si="215"/>
        <v>0</v>
      </c>
      <c r="H13787" t="s">
        <v>8</v>
      </c>
    </row>
    <row r="13788" spans="2:8" x14ac:dyDescent="0.2">
      <c r="B13788" s="3">
        <v>45759</v>
      </c>
      <c r="C13788" s="3"/>
      <c r="D13788" s="6"/>
      <c r="E13788" s="2"/>
      <c r="F13788" s="2"/>
      <c r="G13788" s="2">
        <f t="shared" si="215"/>
        <v>0</v>
      </c>
      <c r="H13788" t="s">
        <v>7</v>
      </c>
    </row>
    <row r="13789" spans="2:8" x14ac:dyDescent="0.2">
      <c r="B13789" s="3">
        <v>45759</v>
      </c>
      <c r="C13789" s="3"/>
      <c r="D13789" s="6"/>
      <c r="E13789" s="2"/>
      <c r="F13789" s="2"/>
      <c r="G13789" s="2">
        <f t="shared" si="215"/>
        <v>0</v>
      </c>
      <c r="H13789" t="s">
        <v>6</v>
      </c>
    </row>
    <row r="13790" spans="2:8" x14ac:dyDescent="0.2">
      <c r="B13790" s="3">
        <v>45759</v>
      </c>
      <c r="C13790" s="3"/>
      <c r="D13790" s="6"/>
      <c r="E13790" s="2"/>
      <c r="F13790" s="2"/>
      <c r="G13790" s="2">
        <f t="shared" si="215"/>
        <v>0</v>
      </c>
      <c r="H13790" t="s">
        <v>5</v>
      </c>
    </row>
    <row r="13791" spans="2:8" x14ac:dyDescent="0.2">
      <c r="B13791" s="3">
        <v>45759</v>
      </c>
      <c r="C13791" s="3"/>
      <c r="D13791" s="6"/>
      <c r="E13791" s="2"/>
      <c r="F13791" s="2"/>
      <c r="G13791" s="2">
        <f t="shared" si="215"/>
        <v>0</v>
      </c>
      <c r="H13791" s="1"/>
    </row>
    <row r="13792" spans="2:8" x14ac:dyDescent="0.2">
      <c r="B13792" s="3">
        <v>45759</v>
      </c>
      <c r="C13792" s="3"/>
      <c r="D13792" s="2">
        <v>77987.945000000007</v>
      </c>
      <c r="E13792" s="2">
        <v>81233.23000000001</v>
      </c>
      <c r="F13792" s="2">
        <v>60000</v>
      </c>
      <c r="G13792" s="2">
        <f t="shared" si="215"/>
        <v>21233.23000000001</v>
      </c>
      <c r="H13792" t="s">
        <v>0</v>
      </c>
    </row>
    <row r="13793" spans="2:8" x14ac:dyDescent="0.2">
      <c r="B13793" s="3">
        <v>45760</v>
      </c>
      <c r="C13793" s="2"/>
      <c r="D13793" s="2"/>
      <c r="E13793" s="2"/>
      <c r="F13793" s="2"/>
      <c r="G13793" s="2">
        <f t="shared" si="215"/>
        <v>0</v>
      </c>
      <c r="H13793" t="s">
        <v>14</v>
      </c>
    </row>
    <row r="13794" spans="2:8" x14ac:dyDescent="0.2">
      <c r="B13794" s="3">
        <v>45760</v>
      </c>
      <c r="C13794" s="2"/>
      <c r="D13794" s="2"/>
      <c r="E13794" s="2"/>
      <c r="F13794" s="2"/>
      <c r="G13794" s="2">
        <f t="shared" si="215"/>
        <v>0</v>
      </c>
      <c r="H13794" t="s">
        <v>13</v>
      </c>
    </row>
    <row r="13795" spans="2:8" x14ac:dyDescent="0.2">
      <c r="B13795" s="3">
        <v>45760</v>
      </c>
      <c r="C13795" s="3"/>
      <c r="D13795" s="6"/>
      <c r="E13795" s="2"/>
      <c r="F13795" s="2"/>
      <c r="G13795" s="2">
        <f t="shared" si="215"/>
        <v>0</v>
      </c>
      <c r="H13795" t="s">
        <v>11</v>
      </c>
    </row>
    <row r="13796" spans="2:8" x14ac:dyDescent="0.2">
      <c r="B13796" s="3">
        <v>45760</v>
      </c>
      <c r="C13796" s="3"/>
      <c r="D13796" s="6"/>
      <c r="E13796" s="2"/>
      <c r="F13796" s="2"/>
      <c r="G13796" s="2">
        <f t="shared" si="215"/>
        <v>0</v>
      </c>
      <c r="H13796" t="s">
        <v>10</v>
      </c>
    </row>
    <row r="13797" spans="2:8" x14ac:dyDescent="0.2">
      <c r="B13797" s="3">
        <v>45760</v>
      </c>
      <c r="C13797" s="3"/>
      <c r="D13797" s="6"/>
      <c r="E13797" s="2"/>
      <c r="F13797" s="2"/>
      <c r="G13797" s="2">
        <f t="shared" si="215"/>
        <v>0</v>
      </c>
      <c r="H13797" t="s">
        <v>9</v>
      </c>
    </row>
    <row r="13798" spans="2:8" x14ac:dyDescent="0.2">
      <c r="B13798" s="3">
        <v>45760</v>
      </c>
      <c r="C13798" s="3"/>
      <c r="D13798" s="6"/>
      <c r="E13798" s="2"/>
      <c r="F13798" s="2"/>
      <c r="G13798" s="2">
        <f t="shared" si="215"/>
        <v>0</v>
      </c>
      <c r="H13798" t="s">
        <v>8</v>
      </c>
    </row>
    <row r="13799" spans="2:8" x14ac:dyDescent="0.2">
      <c r="B13799" s="3">
        <v>45760</v>
      </c>
      <c r="C13799" s="3"/>
      <c r="D13799" s="6"/>
      <c r="E13799" s="2"/>
      <c r="F13799" s="2"/>
      <c r="G13799" s="2">
        <f t="shared" si="215"/>
        <v>0</v>
      </c>
      <c r="H13799" t="s">
        <v>7</v>
      </c>
    </row>
    <row r="13800" spans="2:8" x14ac:dyDescent="0.2">
      <c r="B13800" s="3">
        <v>45760</v>
      </c>
      <c r="C13800" s="3"/>
      <c r="D13800" s="6"/>
      <c r="E13800" s="2"/>
      <c r="F13800" s="5"/>
      <c r="G13800" s="2">
        <f t="shared" si="215"/>
        <v>0</v>
      </c>
      <c r="H13800" t="s">
        <v>6</v>
      </c>
    </row>
    <row r="13801" spans="2:8" x14ac:dyDescent="0.2">
      <c r="B13801" s="3">
        <v>45760</v>
      </c>
      <c r="C13801" s="3"/>
      <c r="D13801" s="6"/>
      <c r="E13801" s="2"/>
      <c r="F13801" s="2"/>
      <c r="G13801" s="2">
        <f t="shared" si="215"/>
        <v>0</v>
      </c>
      <c r="H13801" t="s">
        <v>5</v>
      </c>
    </row>
    <row r="13802" spans="2:8" x14ac:dyDescent="0.2">
      <c r="B13802" s="3">
        <v>45760</v>
      </c>
      <c r="C13802" s="3"/>
      <c r="D13802" s="6"/>
      <c r="E13802" s="2"/>
      <c r="F13802" s="2"/>
      <c r="G13802" s="2">
        <f t="shared" si="215"/>
        <v>0</v>
      </c>
      <c r="H13802" s="1"/>
    </row>
    <row r="13803" spans="2:8" x14ac:dyDescent="0.2">
      <c r="B13803" s="3">
        <v>45760</v>
      </c>
      <c r="C13803" s="3"/>
      <c r="D13803" s="2">
        <v>-513.6</v>
      </c>
      <c r="E13803" s="4">
        <v>-940.8</v>
      </c>
      <c r="F13803" s="2"/>
      <c r="G13803" s="2">
        <f t="shared" si="215"/>
        <v>-940.8</v>
      </c>
      <c r="H13803" t="s">
        <v>0</v>
      </c>
    </row>
    <row r="13804" spans="2:8" x14ac:dyDescent="0.2">
      <c r="B13804" s="3">
        <v>45761</v>
      </c>
      <c r="C13804" s="2"/>
      <c r="D13804" s="2"/>
      <c r="E13804" s="2"/>
      <c r="F13804" s="2"/>
      <c r="G13804" s="2">
        <f t="shared" si="215"/>
        <v>0</v>
      </c>
      <c r="H13804" t="s">
        <v>14</v>
      </c>
    </row>
    <row r="13805" spans="2:8" x14ac:dyDescent="0.2">
      <c r="B13805" s="3">
        <v>45761</v>
      </c>
      <c r="C13805" s="2"/>
      <c r="D13805" s="2"/>
      <c r="E13805" s="2"/>
      <c r="F13805" s="2"/>
      <c r="G13805" s="2">
        <f t="shared" si="215"/>
        <v>0</v>
      </c>
      <c r="H13805" t="s">
        <v>13</v>
      </c>
    </row>
    <row r="13806" spans="2:8" x14ac:dyDescent="0.2">
      <c r="B13806" s="3">
        <v>45761</v>
      </c>
      <c r="C13806" s="3"/>
      <c r="D13806" s="6"/>
      <c r="E13806" s="4"/>
      <c r="F13806" s="2"/>
      <c r="G13806" s="2">
        <f t="shared" si="215"/>
        <v>0</v>
      </c>
      <c r="H13806" t="s">
        <v>11</v>
      </c>
    </row>
    <row r="13807" spans="2:8" x14ac:dyDescent="0.2">
      <c r="B13807" s="3">
        <v>45761</v>
      </c>
      <c r="C13807" s="3"/>
      <c r="D13807" s="6"/>
      <c r="E13807" s="4"/>
      <c r="F13807" s="2"/>
      <c r="G13807" s="2">
        <f t="shared" si="215"/>
        <v>0</v>
      </c>
      <c r="H13807" t="s">
        <v>10</v>
      </c>
    </row>
    <row r="13808" spans="2:8" x14ac:dyDescent="0.2">
      <c r="B13808" s="3">
        <v>45761</v>
      </c>
      <c r="C13808" s="3"/>
      <c r="D13808" s="6"/>
      <c r="E13808" s="2"/>
      <c r="F13808" s="2"/>
      <c r="G13808" s="2">
        <f t="shared" si="215"/>
        <v>0</v>
      </c>
      <c r="H13808" t="s">
        <v>9</v>
      </c>
    </row>
    <row r="13809" spans="2:8" x14ac:dyDescent="0.2">
      <c r="B13809" s="3">
        <v>45761</v>
      </c>
      <c r="C13809" s="3"/>
      <c r="D13809" s="6"/>
      <c r="E13809" s="2"/>
      <c r="F13809" s="2"/>
      <c r="G13809" s="2">
        <f t="shared" si="215"/>
        <v>0</v>
      </c>
      <c r="H13809" t="s">
        <v>8</v>
      </c>
    </row>
    <row r="13810" spans="2:8" x14ac:dyDescent="0.2">
      <c r="B13810" s="3">
        <v>45761</v>
      </c>
      <c r="C13810" s="3"/>
      <c r="D13810" s="6"/>
      <c r="E13810" s="2"/>
      <c r="F13810" s="2"/>
      <c r="G13810" s="2">
        <f t="shared" si="215"/>
        <v>0</v>
      </c>
      <c r="H13810" t="s">
        <v>7</v>
      </c>
    </row>
    <row r="13811" spans="2:8" x14ac:dyDescent="0.2">
      <c r="B13811" s="3">
        <v>45761</v>
      </c>
      <c r="C13811" s="3"/>
      <c r="D13811" s="6"/>
      <c r="E13811" s="2"/>
      <c r="F13811" s="2"/>
      <c r="G13811" s="2">
        <f t="shared" si="215"/>
        <v>0</v>
      </c>
      <c r="H13811" t="s">
        <v>6</v>
      </c>
    </row>
    <row r="13812" spans="2:8" x14ac:dyDescent="0.2">
      <c r="B13812" s="3">
        <v>45761</v>
      </c>
      <c r="C13812" s="3"/>
      <c r="D13812" s="6"/>
      <c r="E13812" s="2"/>
      <c r="F13812" s="5"/>
      <c r="G13812" s="2">
        <f t="shared" si="215"/>
        <v>0</v>
      </c>
      <c r="H13812" t="s">
        <v>5</v>
      </c>
    </row>
    <row r="13813" spans="2:8" x14ac:dyDescent="0.2">
      <c r="B13813" s="3">
        <v>45761</v>
      </c>
      <c r="C13813" s="3"/>
      <c r="D13813" s="6"/>
      <c r="E13813" s="2"/>
      <c r="F13813" s="2"/>
      <c r="G13813" s="2">
        <f t="shared" si="215"/>
        <v>0</v>
      </c>
      <c r="H13813" s="1"/>
    </row>
    <row r="13814" spans="2:8" x14ac:dyDescent="0.2">
      <c r="B13814" s="3">
        <v>45761</v>
      </c>
      <c r="C13814" s="3"/>
      <c r="D13814" s="2"/>
      <c r="E13814" s="2"/>
      <c r="F13814" s="5"/>
      <c r="G13814" s="2">
        <f t="shared" si="215"/>
        <v>0</v>
      </c>
      <c r="H13814" t="s">
        <v>0</v>
      </c>
    </row>
    <row r="13815" spans="2:8" x14ac:dyDescent="0.2">
      <c r="B13815" s="3">
        <v>45762</v>
      </c>
      <c r="C13815" s="2"/>
      <c r="D13815" s="2"/>
      <c r="E13815" s="2"/>
      <c r="F13815" s="2"/>
      <c r="G13815" s="2">
        <f t="shared" si="215"/>
        <v>0</v>
      </c>
      <c r="H13815" t="s">
        <v>14</v>
      </c>
    </row>
    <row r="13816" spans="2:8" x14ac:dyDescent="0.2">
      <c r="B13816" s="3">
        <v>45762</v>
      </c>
      <c r="C13816" s="2"/>
      <c r="D13816" s="2"/>
      <c r="E13816" s="2"/>
      <c r="F13816" s="2"/>
      <c r="G13816" s="2">
        <f t="shared" si="215"/>
        <v>0</v>
      </c>
      <c r="H13816" t="s">
        <v>13</v>
      </c>
    </row>
    <row r="13817" spans="2:8" x14ac:dyDescent="0.2">
      <c r="B13817" s="3">
        <v>45762</v>
      </c>
      <c r="C13817" s="3"/>
      <c r="D13817" s="6"/>
      <c r="E13817" s="2"/>
      <c r="F13817" s="2"/>
      <c r="G13817" s="2">
        <f t="shared" si="215"/>
        <v>0</v>
      </c>
      <c r="H13817" t="s">
        <v>11</v>
      </c>
    </row>
    <row r="13818" spans="2:8" x14ac:dyDescent="0.2">
      <c r="B13818" s="3">
        <v>45762</v>
      </c>
      <c r="C13818" s="2">
        <v>45</v>
      </c>
      <c r="D13818" s="6">
        <v>3345</v>
      </c>
      <c r="E13818" s="2">
        <v>3460</v>
      </c>
      <c r="F13818" s="2"/>
      <c r="G13818" s="2">
        <f t="shared" si="215"/>
        <v>3460</v>
      </c>
      <c r="H13818" t="s">
        <v>10</v>
      </c>
    </row>
    <row r="13819" spans="2:8" x14ac:dyDescent="0.2">
      <c r="B13819" s="3">
        <v>45762</v>
      </c>
      <c r="C13819" s="3"/>
      <c r="D13819" s="6"/>
      <c r="E13819" s="2"/>
      <c r="F13819" s="2"/>
      <c r="G13819" s="2">
        <f t="shared" si="215"/>
        <v>0</v>
      </c>
      <c r="H13819" t="s">
        <v>9</v>
      </c>
    </row>
    <row r="13820" spans="2:8" x14ac:dyDescent="0.2">
      <c r="B13820" s="3">
        <v>45762</v>
      </c>
      <c r="C13820" s="2">
        <v>46</v>
      </c>
      <c r="D13820" s="6">
        <v>34314</v>
      </c>
      <c r="E13820" s="2">
        <v>38512.5</v>
      </c>
      <c r="F13820" s="2"/>
      <c r="G13820" s="2">
        <f t="shared" si="215"/>
        <v>38512.5</v>
      </c>
      <c r="H13820" t="s">
        <v>8</v>
      </c>
    </row>
    <row r="13821" spans="2:8" x14ac:dyDescent="0.2">
      <c r="B13821" s="3">
        <v>45762</v>
      </c>
      <c r="C13821" s="3"/>
      <c r="D13821" s="6"/>
      <c r="E13821" s="2"/>
      <c r="F13821" s="2"/>
      <c r="G13821" s="2">
        <f t="shared" si="215"/>
        <v>0</v>
      </c>
      <c r="H13821" t="s">
        <v>7</v>
      </c>
    </row>
    <row r="13822" spans="2:8" x14ac:dyDescent="0.2">
      <c r="B13822" s="3">
        <v>45762</v>
      </c>
      <c r="C13822" s="3"/>
      <c r="D13822" s="6"/>
      <c r="E13822" s="2"/>
      <c r="F13822" s="2"/>
      <c r="G13822" s="2">
        <f t="shared" si="215"/>
        <v>0</v>
      </c>
      <c r="H13822" t="s">
        <v>6</v>
      </c>
    </row>
    <row r="13823" spans="2:8" x14ac:dyDescent="0.2">
      <c r="B13823" s="3">
        <v>45762</v>
      </c>
      <c r="C13823" s="3"/>
      <c r="D13823" s="6"/>
      <c r="E13823" s="2"/>
      <c r="F13823" s="2"/>
      <c r="G13823" s="2">
        <f t="shared" si="215"/>
        <v>0</v>
      </c>
      <c r="H13823" t="s">
        <v>5</v>
      </c>
    </row>
    <row r="13824" spans="2:8" x14ac:dyDescent="0.2">
      <c r="B13824" s="3">
        <v>45762</v>
      </c>
      <c r="C13824" s="3"/>
      <c r="D13824" s="6"/>
      <c r="E13824" s="2"/>
      <c r="F13824" s="2"/>
      <c r="G13824" s="2">
        <f t="shared" si="215"/>
        <v>0</v>
      </c>
      <c r="H13824" s="1"/>
    </row>
    <row r="13825" spans="2:8" x14ac:dyDescent="0.2">
      <c r="B13825" s="3">
        <v>45762</v>
      </c>
      <c r="C13825" s="3"/>
      <c r="D13825" s="2"/>
      <c r="E13825" s="2"/>
      <c r="F13825" s="2"/>
      <c r="G13825" s="2">
        <f t="shared" si="215"/>
        <v>0</v>
      </c>
      <c r="H13825" t="s">
        <v>0</v>
      </c>
    </row>
    <row r="13826" spans="2:8" x14ac:dyDescent="0.2">
      <c r="B13826" s="3">
        <v>45763</v>
      </c>
      <c r="C13826" s="2"/>
      <c r="D13826" s="2"/>
      <c r="E13826" s="2"/>
      <c r="F13826" s="2"/>
      <c r="G13826" s="2">
        <f t="shared" si="215"/>
        <v>0</v>
      </c>
      <c r="H13826" t="s">
        <v>14</v>
      </c>
    </row>
    <row r="13827" spans="2:8" x14ac:dyDescent="0.2">
      <c r="B13827" s="3">
        <v>45763</v>
      </c>
      <c r="C13827" s="2"/>
      <c r="D13827" s="2"/>
      <c r="E13827" s="2"/>
      <c r="F13827" s="2"/>
      <c r="G13827" s="2">
        <f t="shared" ref="G13827:G13890" si="216">E13827-F13827</f>
        <v>0</v>
      </c>
      <c r="H13827" t="s">
        <v>13</v>
      </c>
    </row>
    <row r="13828" spans="2:8" x14ac:dyDescent="0.2">
      <c r="B13828" s="3">
        <v>45763</v>
      </c>
      <c r="C13828" s="3"/>
      <c r="D13828" s="6"/>
      <c r="E13828" s="2"/>
      <c r="F13828" s="2"/>
      <c r="G13828" s="2">
        <f t="shared" si="216"/>
        <v>0</v>
      </c>
      <c r="H13828" t="s">
        <v>11</v>
      </c>
    </row>
    <row r="13829" spans="2:8" x14ac:dyDescent="0.2">
      <c r="B13829" s="3">
        <v>45763</v>
      </c>
      <c r="C13829" s="3"/>
      <c r="D13829" s="6"/>
      <c r="E13829" s="2"/>
      <c r="F13829" s="2"/>
      <c r="G13829" s="2">
        <f t="shared" si="216"/>
        <v>0</v>
      </c>
      <c r="H13829" t="s">
        <v>10</v>
      </c>
    </row>
    <row r="13830" spans="2:8" x14ac:dyDescent="0.2">
      <c r="B13830" s="3">
        <v>45763</v>
      </c>
      <c r="C13830" s="3"/>
      <c r="D13830" s="6"/>
      <c r="E13830" s="2"/>
      <c r="F13830" s="2"/>
      <c r="G13830" s="2">
        <f t="shared" si="216"/>
        <v>0</v>
      </c>
      <c r="H13830" t="s">
        <v>9</v>
      </c>
    </row>
    <row r="13831" spans="2:8" x14ac:dyDescent="0.2">
      <c r="B13831" s="3">
        <v>45763</v>
      </c>
      <c r="C13831" s="3"/>
      <c r="D13831" s="6"/>
      <c r="E13831" s="2"/>
      <c r="F13831" s="2"/>
      <c r="G13831" s="2">
        <f t="shared" si="216"/>
        <v>0</v>
      </c>
      <c r="H13831" t="s">
        <v>8</v>
      </c>
    </row>
    <row r="13832" spans="2:8" x14ac:dyDescent="0.2">
      <c r="B13832" s="3">
        <v>45763</v>
      </c>
      <c r="C13832" s="3"/>
      <c r="D13832" s="6"/>
      <c r="E13832" s="2"/>
      <c r="F13832" s="2"/>
      <c r="G13832" s="2">
        <f t="shared" si="216"/>
        <v>0</v>
      </c>
      <c r="H13832" t="s">
        <v>7</v>
      </c>
    </row>
    <row r="13833" spans="2:8" x14ac:dyDescent="0.2">
      <c r="B13833" s="3">
        <v>45763</v>
      </c>
      <c r="C13833" s="3"/>
      <c r="D13833" s="6"/>
      <c r="E13833" s="2"/>
      <c r="F13833" s="2">
        <v>5000</v>
      </c>
      <c r="G13833" s="2">
        <f t="shared" si="216"/>
        <v>-5000</v>
      </c>
      <c r="H13833" t="s">
        <v>6</v>
      </c>
    </row>
    <row r="13834" spans="2:8" x14ac:dyDescent="0.2">
      <c r="B13834" s="3">
        <v>45763</v>
      </c>
      <c r="C13834" s="3"/>
      <c r="D13834" s="6"/>
      <c r="E13834" s="2"/>
      <c r="F13834" s="2"/>
      <c r="G13834" s="2">
        <f t="shared" si="216"/>
        <v>0</v>
      </c>
      <c r="H13834" t="s">
        <v>5</v>
      </c>
    </row>
    <row r="13835" spans="2:8" x14ac:dyDescent="0.2">
      <c r="B13835" s="3">
        <v>45763</v>
      </c>
      <c r="C13835" s="3"/>
      <c r="D13835" s="6"/>
      <c r="E13835" s="2"/>
      <c r="F13835" s="2"/>
      <c r="G13835" s="2">
        <f t="shared" si="216"/>
        <v>0</v>
      </c>
      <c r="H13835" s="1"/>
    </row>
    <row r="13836" spans="2:8" x14ac:dyDescent="0.2">
      <c r="B13836" s="3">
        <v>45763</v>
      </c>
      <c r="C13836" s="3"/>
      <c r="D13836" s="2"/>
      <c r="E13836" s="2"/>
      <c r="F13836" s="2"/>
      <c r="G13836" s="2">
        <f t="shared" si="216"/>
        <v>0</v>
      </c>
      <c r="H13836" t="s">
        <v>0</v>
      </c>
    </row>
    <row r="13837" spans="2:8" x14ac:dyDescent="0.2">
      <c r="B13837" s="3">
        <v>45764</v>
      </c>
      <c r="C13837" s="2"/>
      <c r="D13837" s="2"/>
      <c r="E13837" s="2"/>
      <c r="F13837" s="2">
        <v>10000</v>
      </c>
      <c r="G13837" s="2">
        <f t="shared" si="216"/>
        <v>-10000</v>
      </c>
      <c r="H13837" t="s">
        <v>14</v>
      </c>
    </row>
    <row r="13838" spans="2:8" x14ac:dyDescent="0.2">
      <c r="B13838" s="3">
        <v>45764</v>
      </c>
      <c r="C13838" s="2"/>
      <c r="D13838" s="2"/>
      <c r="E13838" s="2"/>
      <c r="F13838" s="2"/>
      <c r="G13838" s="2">
        <f t="shared" si="216"/>
        <v>0</v>
      </c>
      <c r="H13838" t="s">
        <v>13</v>
      </c>
    </row>
    <row r="13839" spans="2:8" x14ac:dyDescent="0.2">
      <c r="B13839" s="3">
        <v>45764</v>
      </c>
      <c r="C13839" s="3"/>
      <c r="D13839" s="6"/>
      <c r="E13839" s="2"/>
      <c r="F13839" s="2"/>
      <c r="G13839" s="2">
        <f t="shared" si="216"/>
        <v>0</v>
      </c>
      <c r="H13839" t="s">
        <v>11</v>
      </c>
    </row>
    <row r="13840" spans="2:8" x14ac:dyDescent="0.2">
      <c r="B13840" s="3">
        <v>45764</v>
      </c>
      <c r="C13840" s="3"/>
      <c r="D13840" s="6"/>
      <c r="E13840" s="2"/>
      <c r="F13840" s="2"/>
      <c r="G13840" s="2">
        <f t="shared" si="216"/>
        <v>0</v>
      </c>
      <c r="H13840" t="s">
        <v>10</v>
      </c>
    </row>
    <row r="13841" spans="2:8" x14ac:dyDescent="0.2">
      <c r="B13841" s="3">
        <v>45764</v>
      </c>
      <c r="C13841" s="3"/>
      <c r="D13841" s="6"/>
      <c r="E13841" s="2"/>
      <c r="F13841" s="2">
        <v>40000</v>
      </c>
      <c r="G13841" s="2">
        <f t="shared" si="216"/>
        <v>-40000</v>
      </c>
      <c r="H13841" t="s">
        <v>9</v>
      </c>
    </row>
    <row r="13842" spans="2:8" x14ac:dyDescent="0.2">
      <c r="B13842" s="3">
        <v>45764</v>
      </c>
      <c r="C13842" s="2">
        <v>47</v>
      </c>
      <c r="D13842" s="6">
        <v>16520</v>
      </c>
      <c r="E13842" s="2">
        <v>19281.25</v>
      </c>
      <c r="F13842" s="2">
        <v>20000</v>
      </c>
      <c r="G13842" s="2">
        <f t="shared" si="216"/>
        <v>-718.75</v>
      </c>
      <c r="H13842" t="s">
        <v>8</v>
      </c>
    </row>
    <row r="13843" spans="2:8" x14ac:dyDescent="0.2">
      <c r="B13843" s="3">
        <v>45764</v>
      </c>
      <c r="C13843" s="3"/>
      <c r="D13843" s="6"/>
      <c r="E13843" s="2"/>
      <c r="F13843" s="2">
        <v>3000</v>
      </c>
      <c r="G13843" s="2">
        <f t="shared" si="216"/>
        <v>-3000</v>
      </c>
      <c r="H13843" t="s">
        <v>7</v>
      </c>
    </row>
    <row r="13844" spans="2:8" x14ac:dyDescent="0.2">
      <c r="B13844" s="3">
        <v>45764</v>
      </c>
      <c r="C13844" s="3"/>
      <c r="D13844" s="6"/>
      <c r="E13844" s="2"/>
      <c r="F13844" s="2"/>
      <c r="G13844" s="2">
        <f t="shared" si="216"/>
        <v>0</v>
      </c>
      <c r="H13844" t="s">
        <v>6</v>
      </c>
    </row>
    <row r="13845" spans="2:8" x14ac:dyDescent="0.2">
      <c r="B13845" s="3">
        <v>45764</v>
      </c>
      <c r="C13845" s="3"/>
      <c r="D13845" s="6"/>
      <c r="E13845" s="2"/>
      <c r="F13845" s="2"/>
      <c r="G13845" s="2">
        <f t="shared" si="216"/>
        <v>0</v>
      </c>
      <c r="H13845" t="s">
        <v>5</v>
      </c>
    </row>
    <row r="13846" spans="2:8" x14ac:dyDescent="0.2">
      <c r="B13846" s="3">
        <v>45764</v>
      </c>
      <c r="C13846" s="3"/>
      <c r="D13846" s="6"/>
      <c r="E13846" s="2"/>
      <c r="F13846" s="2"/>
      <c r="G13846" s="2">
        <f t="shared" si="216"/>
        <v>0</v>
      </c>
      <c r="H13846" s="1"/>
    </row>
    <row r="13847" spans="2:8" x14ac:dyDescent="0.2">
      <c r="B13847" s="3">
        <v>45764</v>
      </c>
      <c r="C13847" s="3"/>
      <c r="D13847" s="2"/>
      <c r="E13847" s="2"/>
      <c r="F13847" s="2"/>
      <c r="G13847" s="2">
        <f t="shared" si="216"/>
        <v>0</v>
      </c>
      <c r="H13847" t="s">
        <v>0</v>
      </c>
    </row>
    <row r="13848" spans="2:8" x14ac:dyDescent="0.2">
      <c r="B13848" s="3">
        <v>45765</v>
      </c>
      <c r="C13848" s="2"/>
      <c r="D13848" s="2"/>
      <c r="E13848" s="2"/>
      <c r="F13848" s="2"/>
      <c r="G13848" s="2">
        <f t="shared" si="216"/>
        <v>0</v>
      </c>
      <c r="H13848" t="s">
        <v>14</v>
      </c>
    </row>
    <row r="13849" spans="2:8" x14ac:dyDescent="0.2">
      <c r="B13849" s="3">
        <v>45765</v>
      </c>
      <c r="C13849" s="2"/>
      <c r="D13849" s="2"/>
      <c r="E13849" s="2"/>
      <c r="F13849" s="2"/>
      <c r="G13849" s="2">
        <f t="shared" si="216"/>
        <v>0</v>
      </c>
      <c r="H13849" t="s">
        <v>13</v>
      </c>
    </row>
    <row r="13850" spans="2:8" x14ac:dyDescent="0.2">
      <c r="B13850" s="3">
        <v>45765</v>
      </c>
      <c r="C13850" s="3"/>
      <c r="D13850" s="6"/>
      <c r="E13850" s="2"/>
      <c r="F13850" s="2"/>
      <c r="G13850" s="2">
        <f t="shared" si="216"/>
        <v>0</v>
      </c>
      <c r="H13850" t="s">
        <v>11</v>
      </c>
    </row>
    <row r="13851" spans="2:8" x14ac:dyDescent="0.2">
      <c r="B13851" s="3">
        <v>45765</v>
      </c>
      <c r="C13851" s="3"/>
      <c r="D13851" s="6"/>
      <c r="E13851" s="2"/>
      <c r="F13851" s="2"/>
      <c r="G13851" s="2">
        <f t="shared" si="216"/>
        <v>0</v>
      </c>
      <c r="H13851" t="s">
        <v>10</v>
      </c>
    </row>
    <row r="13852" spans="2:8" x14ac:dyDescent="0.2">
      <c r="B13852" s="3">
        <v>45765</v>
      </c>
      <c r="C13852" s="3"/>
      <c r="D13852" s="6"/>
      <c r="E13852" s="2"/>
      <c r="F13852" s="2"/>
      <c r="G13852" s="2">
        <f t="shared" si="216"/>
        <v>0</v>
      </c>
      <c r="H13852" t="s">
        <v>9</v>
      </c>
    </row>
    <row r="13853" spans="2:8" x14ac:dyDescent="0.2">
      <c r="B13853" s="3">
        <v>45765</v>
      </c>
      <c r="C13853" s="3"/>
      <c r="D13853" s="6"/>
      <c r="E13853" s="2"/>
      <c r="F13853" s="2"/>
      <c r="G13853" s="2">
        <f t="shared" si="216"/>
        <v>0</v>
      </c>
      <c r="H13853" t="s">
        <v>8</v>
      </c>
    </row>
    <row r="13854" spans="2:8" x14ac:dyDescent="0.2">
      <c r="B13854" s="3">
        <v>45765</v>
      </c>
      <c r="C13854" s="3"/>
      <c r="D13854" s="6"/>
      <c r="E13854" s="2"/>
      <c r="F13854" s="2"/>
      <c r="G13854" s="2">
        <f t="shared" si="216"/>
        <v>0</v>
      </c>
      <c r="H13854" t="s">
        <v>7</v>
      </c>
    </row>
    <row r="13855" spans="2:8" x14ac:dyDescent="0.2">
      <c r="B13855" s="3">
        <v>45765</v>
      </c>
      <c r="C13855" s="3"/>
      <c r="D13855" s="6"/>
      <c r="E13855" s="2"/>
      <c r="F13855" s="2"/>
      <c r="G13855" s="2">
        <f t="shared" si="216"/>
        <v>0</v>
      </c>
      <c r="H13855" t="s">
        <v>6</v>
      </c>
    </row>
    <row r="13856" spans="2:8" x14ac:dyDescent="0.2">
      <c r="B13856" s="3">
        <v>45765</v>
      </c>
      <c r="C13856" s="3"/>
      <c r="D13856" s="6"/>
      <c r="E13856" s="2"/>
      <c r="F13856" s="2"/>
      <c r="G13856" s="2">
        <f t="shared" si="216"/>
        <v>0</v>
      </c>
      <c r="H13856" t="s">
        <v>5</v>
      </c>
    </row>
    <row r="13857" spans="2:8" x14ac:dyDescent="0.2">
      <c r="B13857" s="3">
        <v>45765</v>
      </c>
      <c r="C13857" s="3"/>
      <c r="D13857" s="6"/>
      <c r="E13857" s="2"/>
      <c r="F13857" s="2"/>
      <c r="G13857" s="2">
        <f t="shared" si="216"/>
        <v>0</v>
      </c>
      <c r="H13857" s="1"/>
    </row>
    <row r="13858" spans="2:8" x14ac:dyDescent="0.2">
      <c r="B13858" s="3">
        <v>45765</v>
      </c>
      <c r="C13858" s="3"/>
      <c r="D13858" s="2"/>
      <c r="E13858" s="2"/>
      <c r="F13858" s="2"/>
      <c r="G13858" s="2">
        <f t="shared" si="216"/>
        <v>0</v>
      </c>
      <c r="H13858" t="s">
        <v>0</v>
      </c>
    </row>
    <row r="13859" spans="2:8" x14ac:dyDescent="0.2">
      <c r="B13859" s="3">
        <v>45766</v>
      </c>
      <c r="C13859" s="2"/>
      <c r="D13859" s="2"/>
      <c r="E13859" s="2"/>
      <c r="F13859" s="2"/>
      <c r="G13859" s="2">
        <f t="shared" si="216"/>
        <v>0</v>
      </c>
      <c r="H13859" t="s">
        <v>14</v>
      </c>
    </row>
    <row r="13860" spans="2:8" x14ac:dyDescent="0.2">
      <c r="B13860" s="3">
        <v>45766</v>
      </c>
      <c r="C13860" s="2"/>
      <c r="D13860" s="2"/>
      <c r="E13860" s="2"/>
      <c r="F13860" s="2"/>
      <c r="G13860" s="2">
        <f t="shared" si="216"/>
        <v>0</v>
      </c>
      <c r="H13860" t="s">
        <v>13</v>
      </c>
    </row>
    <row r="13861" spans="2:8" x14ac:dyDescent="0.2">
      <c r="B13861" s="3">
        <v>45766</v>
      </c>
      <c r="C13861" s="2">
        <v>48</v>
      </c>
      <c r="D13861" s="6">
        <v>18130</v>
      </c>
      <c r="E13861" s="2">
        <v>18859</v>
      </c>
      <c r="F13861" s="2"/>
      <c r="G13861" s="2">
        <f t="shared" si="216"/>
        <v>18859</v>
      </c>
      <c r="H13861" t="s">
        <v>11</v>
      </c>
    </row>
    <row r="13862" spans="2:8" x14ac:dyDescent="0.2">
      <c r="B13862" s="3">
        <v>45766</v>
      </c>
      <c r="C13862" s="3"/>
      <c r="D13862" s="6"/>
      <c r="E13862" s="2"/>
      <c r="F13862" s="2"/>
      <c r="G13862" s="2">
        <f t="shared" si="216"/>
        <v>0</v>
      </c>
      <c r="H13862" t="s">
        <v>10</v>
      </c>
    </row>
    <row r="13863" spans="2:8" x14ac:dyDescent="0.2">
      <c r="B13863" s="3">
        <v>45766</v>
      </c>
      <c r="C13863" s="3"/>
      <c r="D13863" s="6"/>
      <c r="E13863" s="2"/>
      <c r="F13863" s="2"/>
      <c r="G13863" s="2">
        <f t="shared" si="216"/>
        <v>0</v>
      </c>
      <c r="H13863" t="s">
        <v>9</v>
      </c>
    </row>
    <row r="13864" spans="2:8" x14ac:dyDescent="0.2">
      <c r="B13864" s="3">
        <v>45766</v>
      </c>
      <c r="C13864" s="3"/>
      <c r="D13864" s="6"/>
      <c r="E13864" s="2"/>
      <c r="F13864" s="2"/>
      <c r="G13864" s="2">
        <f t="shared" si="216"/>
        <v>0</v>
      </c>
      <c r="H13864" t="s">
        <v>8</v>
      </c>
    </row>
    <row r="13865" spans="2:8" x14ac:dyDescent="0.2">
      <c r="B13865" s="3">
        <v>45766</v>
      </c>
      <c r="C13865" s="3"/>
      <c r="D13865" s="6"/>
      <c r="E13865" s="2"/>
      <c r="F13865" s="2"/>
      <c r="G13865" s="2">
        <f t="shared" si="216"/>
        <v>0</v>
      </c>
      <c r="H13865" t="s">
        <v>7</v>
      </c>
    </row>
    <row r="13866" spans="2:8" x14ac:dyDescent="0.2">
      <c r="B13866" s="3">
        <v>45766</v>
      </c>
      <c r="C13866" s="3"/>
      <c r="D13866" s="6"/>
      <c r="E13866" s="2"/>
      <c r="F13866" s="2"/>
      <c r="G13866" s="2">
        <f t="shared" si="216"/>
        <v>0</v>
      </c>
      <c r="H13866" t="s">
        <v>6</v>
      </c>
    </row>
    <row r="13867" spans="2:8" x14ac:dyDescent="0.2">
      <c r="B13867" s="3">
        <v>45766</v>
      </c>
      <c r="C13867" s="3"/>
      <c r="D13867" s="6"/>
      <c r="E13867" s="2"/>
      <c r="F13867" s="2"/>
      <c r="G13867" s="2">
        <f t="shared" si="216"/>
        <v>0</v>
      </c>
      <c r="H13867" t="s">
        <v>5</v>
      </c>
    </row>
    <row r="13868" spans="2:8" x14ac:dyDescent="0.2">
      <c r="B13868" s="3">
        <v>45766</v>
      </c>
      <c r="C13868" s="3"/>
      <c r="D13868" s="6"/>
      <c r="E13868" s="2"/>
      <c r="F13868" s="2"/>
      <c r="G13868" s="2">
        <f t="shared" si="216"/>
        <v>0</v>
      </c>
      <c r="H13868" s="1"/>
    </row>
    <row r="13869" spans="2:8" x14ac:dyDescent="0.2">
      <c r="B13869" s="3">
        <v>45766</v>
      </c>
      <c r="C13869" s="3"/>
      <c r="D13869" s="2"/>
      <c r="E13869" s="2"/>
      <c r="F13869" s="2"/>
      <c r="G13869" s="2">
        <f t="shared" si="216"/>
        <v>0</v>
      </c>
      <c r="H13869" t="s">
        <v>0</v>
      </c>
    </row>
    <row r="13870" spans="2:8" x14ac:dyDescent="0.2">
      <c r="B13870" s="3">
        <v>45767</v>
      </c>
      <c r="C13870" s="2"/>
      <c r="D13870" s="2"/>
      <c r="E13870" s="2"/>
      <c r="F13870" s="2"/>
      <c r="G13870" s="2">
        <f t="shared" si="216"/>
        <v>0</v>
      </c>
      <c r="H13870" t="s">
        <v>14</v>
      </c>
    </row>
    <row r="13871" spans="2:8" x14ac:dyDescent="0.2">
      <c r="B13871" s="3">
        <v>45767</v>
      </c>
      <c r="C13871" s="2"/>
      <c r="D13871" s="2"/>
      <c r="E13871" s="2"/>
      <c r="F13871" s="2"/>
      <c r="G13871" s="2">
        <f t="shared" si="216"/>
        <v>0</v>
      </c>
      <c r="H13871" t="s">
        <v>13</v>
      </c>
    </row>
    <row r="13872" spans="2:8" x14ac:dyDescent="0.2">
      <c r="B13872" s="3">
        <v>45767</v>
      </c>
      <c r="C13872" s="3"/>
      <c r="D13872" s="6" t="s">
        <v>12</v>
      </c>
      <c r="E13872" s="4"/>
      <c r="F13872" s="2"/>
      <c r="G13872" s="2">
        <f t="shared" si="216"/>
        <v>0</v>
      </c>
      <c r="H13872" t="s">
        <v>11</v>
      </c>
    </row>
    <row r="13873" spans="2:8" x14ac:dyDescent="0.2">
      <c r="B13873" s="3">
        <v>45767</v>
      </c>
      <c r="C13873" s="3"/>
      <c r="D13873" s="6"/>
      <c r="E13873" s="2"/>
      <c r="F13873" s="2">
        <v>3460</v>
      </c>
      <c r="G13873" s="2">
        <f t="shared" si="216"/>
        <v>-3460</v>
      </c>
      <c r="H13873" t="s">
        <v>10</v>
      </c>
    </row>
    <row r="13874" spans="2:8" x14ac:dyDescent="0.2">
      <c r="B13874" s="3">
        <v>45767</v>
      </c>
      <c r="C13874" s="3"/>
      <c r="D13874" s="6"/>
      <c r="E13874" s="2"/>
      <c r="F13874" s="2"/>
      <c r="G13874" s="2">
        <f t="shared" si="216"/>
        <v>0</v>
      </c>
      <c r="H13874" t="s">
        <v>9</v>
      </c>
    </row>
    <row r="13875" spans="2:8" x14ac:dyDescent="0.2">
      <c r="B13875" s="3">
        <v>45767</v>
      </c>
      <c r="C13875" s="3"/>
      <c r="D13875" s="6"/>
      <c r="E13875" s="2"/>
      <c r="F13875" s="2"/>
      <c r="G13875" s="2">
        <f t="shared" si="216"/>
        <v>0</v>
      </c>
      <c r="H13875" t="s">
        <v>8</v>
      </c>
    </row>
    <row r="13876" spans="2:8" x14ac:dyDescent="0.2">
      <c r="B13876" s="3">
        <v>45767</v>
      </c>
      <c r="C13876" s="3"/>
      <c r="D13876" s="6"/>
      <c r="E13876" s="2"/>
      <c r="F13876" s="2"/>
      <c r="G13876" s="2">
        <f t="shared" si="216"/>
        <v>0</v>
      </c>
      <c r="H13876" t="s">
        <v>7</v>
      </c>
    </row>
    <row r="13877" spans="2:8" x14ac:dyDescent="0.2">
      <c r="B13877" s="3">
        <v>45767</v>
      </c>
      <c r="C13877" s="3"/>
      <c r="D13877" s="6"/>
      <c r="E13877" s="2"/>
      <c r="F13877" s="2"/>
      <c r="G13877" s="2">
        <f t="shared" si="216"/>
        <v>0</v>
      </c>
      <c r="H13877" t="s">
        <v>6</v>
      </c>
    </row>
    <row r="13878" spans="2:8" x14ac:dyDescent="0.2">
      <c r="B13878" s="3">
        <v>45767</v>
      </c>
      <c r="C13878" s="3"/>
      <c r="D13878" s="6"/>
      <c r="E13878" s="2"/>
      <c r="F13878" s="2"/>
      <c r="G13878" s="2">
        <f t="shared" si="216"/>
        <v>0</v>
      </c>
      <c r="H13878" t="s">
        <v>5</v>
      </c>
    </row>
    <row r="13879" spans="2:8" x14ac:dyDescent="0.2">
      <c r="B13879" s="3">
        <v>45767</v>
      </c>
      <c r="C13879" s="3"/>
      <c r="D13879" s="6"/>
      <c r="E13879" s="2"/>
      <c r="F13879" s="2"/>
      <c r="G13879" s="2">
        <f t="shared" si="216"/>
        <v>0</v>
      </c>
      <c r="H13879" s="1"/>
    </row>
    <row r="13880" spans="2:8" x14ac:dyDescent="0.2">
      <c r="B13880" s="3">
        <v>45767</v>
      </c>
      <c r="C13880" s="3"/>
      <c r="D13880" s="2"/>
      <c r="E13880" s="2"/>
      <c r="F13880" s="2"/>
      <c r="G13880" s="2">
        <f t="shared" si="216"/>
        <v>0</v>
      </c>
      <c r="H13880" t="s">
        <v>0</v>
      </c>
    </row>
    <row r="13881" spans="2:8" x14ac:dyDescent="0.2">
      <c r="B13881" s="3">
        <v>45768</v>
      </c>
      <c r="C13881" s="2"/>
      <c r="D13881" s="2"/>
      <c r="E13881" s="2"/>
      <c r="F13881" s="2"/>
      <c r="G13881" s="2">
        <f t="shared" si="216"/>
        <v>0</v>
      </c>
      <c r="H13881" t="s">
        <v>14</v>
      </c>
    </row>
    <row r="13882" spans="2:8" x14ac:dyDescent="0.2">
      <c r="B13882" s="3">
        <v>45768</v>
      </c>
      <c r="C13882" s="2"/>
      <c r="D13882" s="2"/>
      <c r="E13882" s="2"/>
      <c r="F13882" s="2"/>
      <c r="G13882" s="2">
        <f t="shared" si="216"/>
        <v>0</v>
      </c>
      <c r="H13882" t="s">
        <v>13</v>
      </c>
    </row>
    <row r="13883" spans="2:8" x14ac:dyDescent="0.2">
      <c r="B13883" s="3">
        <v>45768</v>
      </c>
      <c r="C13883" s="3"/>
      <c r="D13883" s="6"/>
      <c r="E13883" s="2"/>
      <c r="F13883" s="2"/>
      <c r="G13883" s="2">
        <f t="shared" si="216"/>
        <v>0</v>
      </c>
      <c r="H13883" t="s">
        <v>11</v>
      </c>
    </row>
    <row r="13884" spans="2:8" x14ac:dyDescent="0.2">
      <c r="B13884" s="3">
        <v>45768</v>
      </c>
      <c r="C13884" s="3"/>
      <c r="D13884" s="6"/>
      <c r="E13884" s="2"/>
      <c r="F13884" s="2"/>
      <c r="G13884" s="2">
        <f t="shared" si="216"/>
        <v>0</v>
      </c>
      <c r="H13884" t="s">
        <v>10</v>
      </c>
    </row>
    <row r="13885" spans="2:8" x14ac:dyDescent="0.2">
      <c r="B13885" s="3">
        <v>45768</v>
      </c>
      <c r="C13885" s="3"/>
      <c r="D13885" s="6"/>
      <c r="E13885" s="2"/>
      <c r="F13885" s="2"/>
      <c r="G13885" s="2">
        <f t="shared" si="216"/>
        <v>0</v>
      </c>
      <c r="H13885" t="s">
        <v>9</v>
      </c>
    </row>
    <row r="13886" spans="2:8" x14ac:dyDescent="0.2">
      <c r="B13886" s="3">
        <v>45768</v>
      </c>
      <c r="C13886" s="3"/>
      <c r="D13886" s="6"/>
      <c r="E13886" s="2"/>
      <c r="F13886" s="2"/>
      <c r="G13886" s="2">
        <f t="shared" si="216"/>
        <v>0</v>
      </c>
      <c r="H13886" t="s">
        <v>8</v>
      </c>
    </row>
    <row r="13887" spans="2:8" x14ac:dyDescent="0.2">
      <c r="B13887" s="3">
        <v>45768</v>
      </c>
      <c r="C13887" s="3"/>
      <c r="D13887" s="6"/>
      <c r="E13887" s="2"/>
      <c r="F13887" s="2"/>
      <c r="G13887" s="2">
        <f t="shared" si="216"/>
        <v>0</v>
      </c>
      <c r="H13887" t="s">
        <v>7</v>
      </c>
    </row>
    <row r="13888" spans="2:8" x14ac:dyDescent="0.2">
      <c r="B13888" s="3">
        <v>45768</v>
      </c>
      <c r="C13888" s="3"/>
      <c r="D13888" s="6"/>
      <c r="E13888" s="2"/>
      <c r="F13888" s="5"/>
      <c r="G13888" s="2">
        <f t="shared" si="216"/>
        <v>0</v>
      </c>
      <c r="H13888" t="s">
        <v>6</v>
      </c>
    </row>
    <row r="13889" spans="2:8" x14ac:dyDescent="0.2">
      <c r="B13889" s="3">
        <v>45768</v>
      </c>
      <c r="C13889" s="3"/>
      <c r="D13889" s="6"/>
      <c r="E13889" s="2"/>
      <c r="F13889" s="2"/>
      <c r="G13889" s="2">
        <f t="shared" si="216"/>
        <v>0</v>
      </c>
      <c r="H13889" t="s">
        <v>5</v>
      </c>
    </row>
    <row r="13890" spans="2:8" x14ac:dyDescent="0.2">
      <c r="B13890" s="3">
        <v>45768</v>
      </c>
      <c r="C13890" s="3"/>
      <c r="D13890" s="6"/>
      <c r="E13890" s="2"/>
      <c r="F13890" s="2"/>
      <c r="G13890" s="2">
        <f t="shared" si="216"/>
        <v>0</v>
      </c>
      <c r="H13890" s="1"/>
    </row>
    <row r="13891" spans="2:8" x14ac:dyDescent="0.2">
      <c r="B13891" s="3">
        <v>45768</v>
      </c>
      <c r="C13891" s="3"/>
      <c r="D13891" s="2"/>
      <c r="E13891" s="2"/>
      <c r="F13891" s="2"/>
      <c r="G13891" s="2">
        <f t="shared" ref="G13891:G13954" si="217">E13891-F13891</f>
        <v>0</v>
      </c>
      <c r="H13891" t="s">
        <v>0</v>
      </c>
    </row>
    <row r="13892" spans="2:8" x14ac:dyDescent="0.2">
      <c r="B13892" s="3">
        <v>45769</v>
      </c>
      <c r="C13892" s="2"/>
      <c r="D13892" s="2"/>
      <c r="E13892" s="2"/>
      <c r="F13892" s="2"/>
      <c r="G13892" s="2">
        <f t="shared" si="217"/>
        <v>0</v>
      </c>
      <c r="H13892" t="s">
        <v>14</v>
      </c>
    </row>
    <row r="13893" spans="2:8" x14ac:dyDescent="0.2">
      <c r="B13893" s="3">
        <v>45769</v>
      </c>
      <c r="C13893" s="2"/>
      <c r="D13893" s="2"/>
      <c r="E13893" s="2"/>
      <c r="F13893" s="2"/>
      <c r="G13893" s="2">
        <f t="shared" si="217"/>
        <v>0</v>
      </c>
      <c r="H13893" t="s">
        <v>13</v>
      </c>
    </row>
    <row r="13894" spans="2:8" x14ac:dyDescent="0.2">
      <c r="B13894" s="3">
        <v>45769</v>
      </c>
      <c r="C13894" s="3"/>
      <c r="D13894" s="6"/>
      <c r="E13894" s="2"/>
      <c r="F13894" s="2"/>
      <c r="G13894" s="2">
        <f t="shared" si="217"/>
        <v>0</v>
      </c>
      <c r="H13894" t="s">
        <v>11</v>
      </c>
    </row>
    <row r="13895" spans="2:8" x14ac:dyDescent="0.2">
      <c r="B13895" s="3">
        <v>45769</v>
      </c>
      <c r="C13895" s="3"/>
      <c r="D13895" s="6"/>
      <c r="E13895" s="2"/>
      <c r="F13895" s="2"/>
      <c r="G13895" s="2">
        <f t="shared" si="217"/>
        <v>0</v>
      </c>
      <c r="H13895" t="s">
        <v>10</v>
      </c>
    </row>
    <row r="13896" spans="2:8" x14ac:dyDescent="0.2">
      <c r="B13896" s="3">
        <v>45769</v>
      </c>
      <c r="C13896" s="3"/>
      <c r="D13896" s="6"/>
      <c r="E13896" s="2"/>
      <c r="F13896" s="2"/>
      <c r="G13896" s="2">
        <f t="shared" si="217"/>
        <v>0</v>
      </c>
      <c r="H13896" t="s">
        <v>9</v>
      </c>
    </row>
    <row r="13897" spans="2:8" x14ac:dyDescent="0.2">
      <c r="B13897" s="3">
        <v>45769</v>
      </c>
      <c r="C13897" s="3"/>
      <c r="D13897" s="6"/>
      <c r="E13897" s="2"/>
      <c r="F13897" s="2"/>
      <c r="G13897" s="2">
        <f t="shared" si="217"/>
        <v>0</v>
      </c>
      <c r="H13897" t="s">
        <v>8</v>
      </c>
    </row>
    <row r="13898" spans="2:8" x14ac:dyDescent="0.2">
      <c r="B13898" s="3">
        <v>45769</v>
      </c>
      <c r="C13898" s="3"/>
      <c r="D13898" s="6"/>
      <c r="E13898" s="2"/>
      <c r="F13898" s="2"/>
      <c r="G13898" s="2">
        <f t="shared" si="217"/>
        <v>0</v>
      </c>
      <c r="H13898" t="s">
        <v>7</v>
      </c>
    </row>
    <row r="13899" spans="2:8" x14ac:dyDescent="0.2">
      <c r="B13899" s="3">
        <v>45769</v>
      </c>
      <c r="C13899" s="3"/>
      <c r="D13899" s="6"/>
      <c r="E13899" s="2"/>
      <c r="F13899" s="2"/>
      <c r="G13899" s="2">
        <f t="shared" si="217"/>
        <v>0</v>
      </c>
      <c r="H13899" t="s">
        <v>6</v>
      </c>
    </row>
    <row r="13900" spans="2:8" x14ac:dyDescent="0.2">
      <c r="B13900" s="3">
        <v>45769</v>
      </c>
      <c r="C13900" s="3"/>
      <c r="D13900" s="6"/>
      <c r="E13900" s="2"/>
      <c r="F13900" s="2"/>
      <c r="G13900" s="2">
        <f t="shared" si="217"/>
        <v>0</v>
      </c>
      <c r="H13900" t="s">
        <v>5</v>
      </c>
    </row>
    <row r="13901" spans="2:8" x14ac:dyDescent="0.2">
      <c r="B13901" s="3">
        <v>45769</v>
      </c>
      <c r="C13901" s="3"/>
      <c r="D13901" s="6"/>
      <c r="E13901" s="2"/>
      <c r="F13901" s="2"/>
      <c r="G13901" s="2">
        <f t="shared" si="217"/>
        <v>0</v>
      </c>
      <c r="H13901" s="1"/>
    </row>
    <row r="13902" spans="2:8" x14ac:dyDescent="0.2">
      <c r="B13902" s="3">
        <v>45769</v>
      </c>
      <c r="C13902" s="3"/>
      <c r="D13902" s="2"/>
      <c r="E13902" s="2"/>
      <c r="F13902" s="2">
        <v>65000</v>
      </c>
      <c r="G13902" s="2">
        <f t="shared" si="217"/>
        <v>-65000</v>
      </c>
      <c r="H13902" t="s">
        <v>0</v>
      </c>
    </row>
    <row r="13903" spans="2:8" x14ac:dyDescent="0.2">
      <c r="B13903" s="3">
        <v>45770</v>
      </c>
      <c r="C13903" s="2"/>
      <c r="D13903" s="2"/>
      <c r="E13903" s="2"/>
      <c r="F13903" s="2"/>
      <c r="G13903" s="2">
        <f t="shared" si="217"/>
        <v>0</v>
      </c>
      <c r="H13903" t="s">
        <v>14</v>
      </c>
    </row>
    <row r="13904" spans="2:8" x14ac:dyDescent="0.2">
      <c r="B13904" s="3">
        <v>45770</v>
      </c>
      <c r="C13904" s="2"/>
      <c r="D13904" s="2"/>
      <c r="E13904" s="2"/>
      <c r="F13904" s="2"/>
      <c r="G13904" s="2">
        <f t="shared" si="217"/>
        <v>0</v>
      </c>
      <c r="H13904" t="s">
        <v>13</v>
      </c>
    </row>
    <row r="13905" spans="2:8" x14ac:dyDescent="0.2">
      <c r="B13905" s="3">
        <v>45770</v>
      </c>
      <c r="C13905" s="3"/>
      <c r="D13905" s="6"/>
      <c r="E13905" s="2"/>
      <c r="F13905" s="2"/>
      <c r="G13905" s="2">
        <f t="shared" si="217"/>
        <v>0</v>
      </c>
      <c r="H13905" t="s">
        <v>11</v>
      </c>
    </row>
    <row r="13906" spans="2:8" x14ac:dyDescent="0.2">
      <c r="B13906" s="3">
        <v>45770</v>
      </c>
      <c r="C13906" s="3"/>
      <c r="D13906" s="6"/>
      <c r="E13906" s="2"/>
      <c r="F13906" s="2"/>
      <c r="G13906" s="2">
        <f t="shared" si="217"/>
        <v>0</v>
      </c>
      <c r="H13906" t="s">
        <v>10</v>
      </c>
    </row>
    <row r="13907" spans="2:8" x14ac:dyDescent="0.2">
      <c r="B13907" s="3">
        <v>45770</v>
      </c>
      <c r="C13907" s="3"/>
      <c r="D13907" s="6"/>
      <c r="E13907" s="2"/>
      <c r="F13907" s="2"/>
      <c r="G13907" s="2">
        <f t="shared" si="217"/>
        <v>0</v>
      </c>
      <c r="H13907" t="s">
        <v>9</v>
      </c>
    </row>
    <row r="13908" spans="2:8" x14ac:dyDescent="0.2">
      <c r="B13908" s="3">
        <v>45770</v>
      </c>
      <c r="C13908" s="3"/>
      <c r="D13908" s="6"/>
      <c r="E13908" s="2"/>
      <c r="F13908" s="2">
        <v>20000</v>
      </c>
      <c r="G13908" s="2">
        <f t="shared" si="217"/>
        <v>-20000</v>
      </c>
      <c r="H13908" t="s">
        <v>8</v>
      </c>
    </row>
    <row r="13909" spans="2:8" x14ac:dyDescent="0.2">
      <c r="B13909" s="3">
        <v>45770</v>
      </c>
      <c r="C13909" s="3"/>
      <c r="D13909" s="6"/>
      <c r="E13909" s="2"/>
      <c r="F13909" s="2"/>
      <c r="G13909" s="2">
        <f t="shared" si="217"/>
        <v>0</v>
      </c>
      <c r="H13909" t="s">
        <v>7</v>
      </c>
    </row>
    <row r="13910" spans="2:8" x14ac:dyDescent="0.2">
      <c r="B13910" s="3">
        <v>45770</v>
      </c>
      <c r="C13910" s="3"/>
      <c r="D13910" s="6"/>
      <c r="E13910" s="2"/>
      <c r="F13910" s="2">
        <v>2000</v>
      </c>
      <c r="G13910" s="2">
        <f t="shared" si="217"/>
        <v>-2000</v>
      </c>
      <c r="H13910" t="s">
        <v>6</v>
      </c>
    </row>
    <row r="13911" spans="2:8" x14ac:dyDescent="0.2">
      <c r="B13911" s="3">
        <v>45770</v>
      </c>
      <c r="C13911" s="3"/>
      <c r="D13911" s="6"/>
      <c r="E13911" s="2"/>
      <c r="F13911" s="2"/>
      <c r="G13911" s="2">
        <f t="shared" si="217"/>
        <v>0</v>
      </c>
      <c r="H13911" t="s">
        <v>5</v>
      </c>
    </row>
    <row r="13912" spans="2:8" x14ac:dyDescent="0.2">
      <c r="B13912" s="3">
        <v>45770</v>
      </c>
      <c r="C13912" s="3"/>
      <c r="D13912" s="6"/>
      <c r="E13912" s="2"/>
      <c r="F13912" s="2"/>
      <c r="G13912" s="2">
        <f t="shared" si="217"/>
        <v>0</v>
      </c>
      <c r="H13912" s="1"/>
    </row>
    <row r="13913" spans="2:8" x14ac:dyDescent="0.2">
      <c r="B13913" s="3">
        <v>45770</v>
      </c>
      <c r="C13913" s="3"/>
      <c r="D13913" s="2"/>
      <c r="E13913" s="2"/>
      <c r="F13913" s="2"/>
      <c r="G13913" s="2">
        <f t="shared" si="217"/>
        <v>0</v>
      </c>
      <c r="H13913" t="s">
        <v>0</v>
      </c>
    </row>
    <row r="13914" spans="2:8" x14ac:dyDescent="0.2">
      <c r="B13914" s="3">
        <v>45771</v>
      </c>
      <c r="C13914" s="2"/>
      <c r="D13914" s="2"/>
      <c r="E13914" s="2"/>
      <c r="F13914" s="2"/>
      <c r="G13914" s="2">
        <f t="shared" si="217"/>
        <v>0</v>
      </c>
      <c r="H13914" t="s">
        <v>14</v>
      </c>
    </row>
    <row r="13915" spans="2:8" x14ac:dyDescent="0.2">
      <c r="B13915" s="3">
        <v>45771</v>
      </c>
      <c r="C13915" s="2"/>
      <c r="D13915" s="2"/>
      <c r="E13915" s="2"/>
      <c r="F13915" s="2"/>
      <c r="G13915" s="2">
        <f t="shared" si="217"/>
        <v>0</v>
      </c>
      <c r="H13915" t="s">
        <v>13</v>
      </c>
    </row>
    <row r="13916" spans="2:8" x14ac:dyDescent="0.2">
      <c r="B13916" s="3">
        <v>45771</v>
      </c>
      <c r="C13916" s="3"/>
      <c r="D13916" s="6"/>
      <c r="E13916" s="2"/>
      <c r="F13916" s="2"/>
      <c r="G13916" s="2">
        <f t="shared" si="217"/>
        <v>0</v>
      </c>
      <c r="H13916" t="s">
        <v>11</v>
      </c>
    </row>
    <row r="13917" spans="2:8" x14ac:dyDescent="0.2">
      <c r="B13917" s="3">
        <v>45771</v>
      </c>
      <c r="C13917" s="3"/>
      <c r="D13917" s="6"/>
      <c r="E13917" s="2"/>
      <c r="F13917" s="2"/>
      <c r="G13917" s="2">
        <f t="shared" si="217"/>
        <v>0</v>
      </c>
      <c r="H13917" t="s">
        <v>10</v>
      </c>
    </row>
    <row r="13918" spans="2:8" x14ac:dyDescent="0.2">
      <c r="B13918" s="3">
        <v>45771</v>
      </c>
      <c r="C13918" s="3"/>
      <c r="D13918" s="6"/>
      <c r="E13918" s="2"/>
      <c r="F13918" s="2">
        <v>35000</v>
      </c>
      <c r="G13918" s="2">
        <f t="shared" si="217"/>
        <v>-35000</v>
      </c>
      <c r="H13918" t="s">
        <v>9</v>
      </c>
    </row>
    <row r="13919" spans="2:8" x14ac:dyDescent="0.2">
      <c r="B13919" s="3">
        <v>45771</v>
      </c>
      <c r="C13919" s="3"/>
      <c r="D13919" s="6"/>
      <c r="E13919" s="2"/>
      <c r="F13919" s="2"/>
      <c r="G13919" s="2">
        <f t="shared" si="217"/>
        <v>0</v>
      </c>
      <c r="H13919" t="s">
        <v>8</v>
      </c>
    </row>
    <row r="13920" spans="2:8" x14ac:dyDescent="0.2">
      <c r="B13920" s="3">
        <v>45771</v>
      </c>
      <c r="C13920" s="3"/>
      <c r="D13920" s="6"/>
      <c r="E13920" s="2"/>
      <c r="F13920" s="2"/>
      <c r="G13920" s="2">
        <f t="shared" si="217"/>
        <v>0</v>
      </c>
      <c r="H13920" t="s">
        <v>7</v>
      </c>
    </row>
    <row r="13921" spans="2:8" x14ac:dyDescent="0.2">
      <c r="B13921" s="3">
        <v>45771</v>
      </c>
      <c r="C13921" s="3"/>
      <c r="D13921" s="6"/>
      <c r="E13921" s="2"/>
      <c r="F13921" s="2"/>
      <c r="G13921" s="2">
        <f t="shared" si="217"/>
        <v>0</v>
      </c>
      <c r="H13921" t="s">
        <v>6</v>
      </c>
    </row>
    <row r="13922" spans="2:8" x14ac:dyDescent="0.2">
      <c r="B13922" s="3">
        <v>45771</v>
      </c>
      <c r="C13922" s="3"/>
      <c r="D13922" s="6"/>
      <c r="E13922" s="2"/>
      <c r="F13922" s="2"/>
      <c r="G13922" s="2">
        <f t="shared" si="217"/>
        <v>0</v>
      </c>
      <c r="H13922" t="s">
        <v>5</v>
      </c>
    </row>
    <row r="13923" spans="2:8" x14ac:dyDescent="0.2">
      <c r="B13923" s="3">
        <v>45771</v>
      </c>
      <c r="C13923" s="3"/>
      <c r="D13923" s="6">
        <v>156453</v>
      </c>
      <c r="E13923" s="2">
        <v>167371.38999999998</v>
      </c>
      <c r="F13923" s="2"/>
      <c r="G13923" s="2">
        <f t="shared" si="217"/>
        <v>167371.38999999998</v>
      </c>
      <c r="H13923" s="1" t="s">
        <v>84</v>
      </c>
    </row>
    <row r="13924" spans="2:8" x14ac:dyDescent="0.2">
      <c r="B13924" s="3">
        <v>45771</v>
      </c>
      <c r="C13924" s="3"/>
      <c r="D13924" s="2"/>
      <c r="E13924" s="2"/>
      <c r="F13924" s="2"/>
      <c r="G13924" s="2">
        <f t="shared" si="217"/>
        <v>0</v>
      </c>
      <c r="H13924" t="s">
        <v>0</v>
      </c>
    </row>
    <row r="13925" spans="2:8" x14ac:dyDescent="0.2">
      <c r="B13925" s="3">
        <v>45772</v>
      </c>
      <c r="C13925" s="2"/>
      <c r="D13925" s="2"/>
      <c r="E13925" s="2"/>
      <c r="F13925" s="2"/>
      <c r="G13925" s="2">
        <f t="shared" si="217"/>
        <v>0</v>
      </c>
      <c r="H13925" t="s">
        <v>14</v>
      </c>
    </row>
    <row r="13926" spans="2:8" x14ac:dyDescent="0.2">
      <c r="B13926" s="3">
        <v>45772</v>
      </c>
      <c r="C13926" s="2"/>
      <c r="D13926" s="2"/>
      <c r="E13926" s="2"/>
      <c r="F13926" s="2"/>
      <c r="G13926" s="2">
        <f t="shared" si="217"/>
        <v>0</v>
      </c>
      <c r="H13926" t="s">
        <v>13</v>
      </c>
    </row>
    <row r="13927" spans="2:8" x14ac:dyDescent="0.2">
      <c r="B13927" s="3">
        <v>45772</v>
      </c>
      <c r="C13927" s="3"/>
      <c r="D13927" s="6"/>
      <c r="E13927" s="2"/>
      <c r="F13927" s="2"/>
      <c r="G13927" s="2">
        <f t="shared" si="217"/>
        <v>0</v>
      </c>
      <c r="H13927" t="s">
        <v>11</v>
      </c>
    </row>
    <row r="13928" spans="2:8" x14ac:dyDescent="0.2">
      <c r="B13928" s="3">
        <v>45772</v>
      </c>
      <c r="C13928" s="3"/>
      <c r="D13928" s="6"/>
      <c r="E13928" s="2"/>
      <c r="F13928" s="2"/>
      <c r="G13928" s="2">
        <f t="shared" si="217"/>
        <v>0</v>
      </c>
      <c r="H13928" t="s">
        <v>10</v>
      </c>
    </row>
    <row r="13929" spans="2:8" x14ac:dyDescent="0.2">
      <c r="B13929" s="3">
        <v>45772</v>
      </c>
      <c r="C13929" s="3"/>
      <c r="D13929" s="6"/>
      <c r="E13929" s="2"/>
      <c r="F13929" s="2"/>
      <c r="G13929" s="2">
        <f t="shared" si="217"/>
        <v>0</v>
      </c>
      <c r="H13929" t="s">
        <v>9</v>
      </c>
    </row>
    <row r="13930" spans="2:8" x14ac:dyDescent="0.2">
      <c r="B13930" s="3">
        <v>45772</v>
      </c>
      <c r="C13930" s="3"/>
      <c r="D13930" s="6"/>
      <c r="E13930" s="2"/>
      <c r="F13930" s="2"/>
      <c r="G13930" s="2">
        <f t="shared" si="217"/>
        <v>0</v>
      </c>
      <c r="H13930" t="s">
        <v>8</v>
      </c>
    </row>
    <row r="13931" spans="2:8" x14ac:dyDescent="0.2">
      <c r="B13931" s="3">
        <v>45772</v>
      </c>
      <c r="C13931" s="3"/>
      <c r="D13931" s="6"/>
      <c r="E13931" s="2"/>
      <c r="F13931" s="2"/>
      <c r="G13931" s="2">
        <f t="shared" si="217"/>
        <v>0</v>
      </c>
      <c r="H13931" t="s">
        <v>7</v>
      </c>
    </row>
    <row r="13932" spans="2:8" x14ac:dyDescent="0.2">
      <c r="B13932" s="3">
        <v>45772</v>
      </c>
      <c r="C13932" s="3"/>
      <c r="D13932" s="6"/>
      <c r="E13932" s="2"/>
      <c r="F13932" s="2"/>
      <c r="G13932" s="2">
        <f t="shared" si="217"/>
        <v>0</v>
      </c>
      <c r="H13932" t="s">
        <v>6</v>
      </c>
    </row>
    <row r="13933" spans="2:8" x14ac:dyDescent="0.2">
      <c r="B13933" s="3">
        <v>45772</v>
      </c>
      <c r="C13933" s="2"/>
      <c r="D13933" s="6"/>
      <c r="E13933" s="2"/>
      <c r="F13933" s="2"/>
      <c r="G13933" s="2">
        <f t="shared" si="217"/>
        <v>0</v>
      </c>
      <c r="H13933" t="s">
        <v>5</v>
      </c>
    </row>
    <row r="13934" spans="2:8" x14ac:dyDescent="0.2">
      <c r="B13934" s="3">
        <v>45772</v>
      </c>
      <c r="C13934" s="3"/>
      <c r="D13934" s="6"/>
      <c r="E13934" s="2"/>
      <c r="F13934" s="2"/>
      <c r="G13934" s="2">
        <f t="shared" si="217"/>
        <v>0</v>
      </c>
      <c r="H13934" s="1"/>
    </row>
    <row r="13935" spans="2:8" x14ac:dyDescent="0.2">
      <c r="B13935" s="3">
        <v>45772</v>
      </c>
      <c r="C13935" s="3"/>
      <c r="D13935" s="2"/>
      <c r="E13935" s="2"/>
      <c r="F13935" s="2"/>
      <c r="G13935" s="2">
        <f t="shared" si="217"/>
        <v>0</v>
      </c>
      <c r="H13935" t="s">
        <v>0</v>
      </c>
    </row>
    <row r="13936" spans="2:8" x14ac:dyDescent="0.2">
      <c r="B13936" s="3">
        <v>45773</v>
      </c>
      <c r="C13936" s="2">
        <v>51</v>
      </c>
      <c r="D13936" s="2">
        <v>1710</v>
      </c>
      <c r="E13936" s="2">
        <v>1825</v>
      </c>
      <c r="F13936" s="2"/>
      <c r="G13936" s="2">
        <f t="shared" si="217"/>
        <v>1825</v>
      </c>
      <c r="H13936" t="s">
        <v>14</v>
      </c>
    </row>
    <row r="13937" spans="2:8" x14ac:dyDescent="0.2">
      <c r="B13937" s="3">
        <v>45773</v>
      </c>
      <c r="C13937" s="2"/>
      <c r="D13937" s="2"/>
      <c r="E13937" s="2"/>
      <c r="F13937" s="2"/>
      <c r="G13937" s="2">
        <f t="shared" si="217"/>
        <v>0</v>
      </c>
      <c r="H13937" t="s">
        <v>13</v>
      </c>
    </row>
    <row r="13938" spans="2:8" x14ac:dyDescent="0.2">
      <c r="B13938" s="3">
        <v>45773</v>
      </c>
      <c r="C13938" s="3"/>
      <c r="D13938" s="6"/>
      <c r="E13938" s="2"/>
      <c r="F13938" s="2"/>
      <c r="G13938" s="2">
        <f t="shared" si="217"/>
        <v>0</v>
      </c>
      <c r="H13938" t="s">
        <v>11</v>
      </c>
    </row>
    <row r="13939" spans="2:8" x14ac:dyDescent="0.2">
      <c r="B13939" s="3">
        <v>45773</v>
      </c>
      <c r="C13939" s="2">
        <v>50</v>
      </c>
      <c r="D13939" s="6">
        <v>2490</v>
      </c>
      <c r="E13939" s="2">
        <v>2610</v>
      </c>
      <c r="F13939" s="2">
        <v>2610</v>
      </c>
      <c r="G13939" s="2">
        <f t="shared" si="217"/>
        <v>0</v>
      </c>
      <c r="H13939" t="s">
        <v>10</v>
      </c>
    </row>
    <row r="13940" spans="2:8" x14ac:dyDescent="0.2">
      <c r="B13940" s="3">
        <v>45773</v>
      </c>
      <c r="C13940" s="3"/>
      <c r="D13940" s="6"/>
      <c r="E13940" s="2"/>
      <c r="F13940" s="2"/>
      <c r="G13940" s="2">
        <f t="shared" si="217"/>
        <v>0</v>
      </c>
      <c r="H13940" t="s">
        <v>9</v>
      </c>
    </row>
    <row r="13941" spans="2:8" x14ac:dyDescent="0.2">
      <c r="B13941" s="3">
        <v>45773</v>
      </c>
      <c r="C13941" s="2">
        <v>49</v>
      </c>
      <c r="D13941" s="6">
        <v>20000</v>
      </c>
      <c r="E13941" s="2">
        <v>22600</v>
      </c>
      <c r="F13941" s="2"/>
      <c r="G13941" s="2">
        <f t="shared" si="217"/>
        <v>22600</v>
      </c>
      <c r="H13941" t="s">
        <v>8</v>
      </c>
    </row>
    <row r="13942" spans="2:8" x14ac:dyDescent="0.2">
      <c r="B13942" s="3">
        <v>45773</v>
      </c>
      <c r="C13942" s="3"/>
      <c r="D13942" s="6"/>
      <c r="E13942" s="2"/>
      <c r="F13942" s="2"/>
      <c r="G13942" s="2">
        <f t="shared" si="217"/>
        <v>0</v>
      </c>
      <c r="H13942" t="s">
        <v>7</v>
      </c>
    </row>
    <row r="13943" spans="2:8" x14ac:dyDescent="0.2">
      <c r="B13943" s="3">
        <v>45773</v>
      </c>
      <c r="C13943" s="3"/>
      <c r="D13943" s="6"/>
      <c r="E13943" s="2"/>
      <c r="F13943" s="2"/>
      <c r="G13943" s="2">
        <f t="shared" si="217"/>
        <v>0</v>
      </c>
      <c r="H13943" t="s">
        <v>6</v>
      </c>
    </row>
    <row r="13944" spans="2:8" x14ac:dyDescent="0.2">
      <c r="B13944" s="3">
        <v>45773</v>
      </c>
      <c r="C13944" s="3"/>
      <c r="D13944" s="6"/>
      <c r="E13944" s="2"/>
      <c r="F13944" s="2"/>
      <c r="G13944" s="2">
        <f t="shared" si="217"/>
        <v>0</v>
      </c>
      <c r="H13944" t="s">
        <v>5</v>
      </c>
    </row>
    <row r="13945" spans="2:8" x14ac:dyDescent="0.2">
      <c r="B13945" s="3">
        <v>45773</v>
      </c>
      <c r="C13945" s="3"/>
      <c r="D13945" s="6"/>
      <c r="E13945" s="2"/>
      <c r="F13945" s="2"/>
      <c r="G13945" s="2">
        <f t="shared" si="217"/>
        <v>0</v>
      </c>
      <c r="H13945" s="1"/>
    </row>
    <row r="13946" spans="2:8" x14ac:dyDescent="0.2">
      <c r="B13946" s="3">
        <v>45773</v>
      </c>
      <c r="C13946" s="3"/>
      <c r="D13946" s="2"/>
      <c r="E13946" s="2"/>
      <c r="F13946" s="2">
        <v>50000</v>
      </c>
      <c r="G13946" s="2">
        <f t="shared" si="217"/>
        <v>-50000</v>
      </c>
      <c r="H13946" t="s">
        <v>0</v>
      </c>
    </row>
    <row r="13947" spans="2:8" x14ac:dyDescent="0.2">
      <c r="B13947" s="3">
        <v>45774</v>
      </c>
      <c r="C13947" s="2">
        <v>52</v>
      </c>
      <c r="D13947" s="2">
        <v>4100</v>
      </c>
      <c r="E13947" s="2">
        <v>4800</v>
      </c>
      <c r="F13947" s="2"/>
      <c r="G13947" s="2">
        <f t="shared" si="217"/>
        <v>4800</v>
      </c>
      <c r="H13947" t="s">
        <v>14</v>
      </c>
    </row>
    <row r="13948" spans="2:8" x14ac:dyDescent="0.2">
      <c r="B13948" s="3">
        <v>45774</v>
      </c>
      <c r="C13948" s="2"/>
      <c r="D13948" s="2"/>
      <c r="E13948" s="2"/>
      <c r="F13948" s="2"/>
      <c r="G13948" s="2">
        <f t="shared" si="217"/>
        <v>0</v>
      </c>
      <c r="H13948" t="s">
        <v>13</v>
      </c>
    </row>
    <row r="13949" spans="2:8" x14ac:dyDescent="0.2">
      <c r="B13949" s="3">
        <v>45774</v>
      </c>
      <c r="C13949" s="3"/>
      <c r="D13949" s="6"/>
      <c r="E13949" s="2"/>
      <c r="F13949" s="2"/>
      <c r="G13949" s="2">
        <f t="shared" si="217"/>
        <v>0</v>
      </c>
      <c r="H13949" t="s">
        <v>11</v>
      </c>
    </row>
    <row r="13950" spans="2:8" x14ac:dyDescent="0.2">
      <c r="B13950" s="3">
        <v>45774</v>
      </c>
      <c r="C13950" s="3"/>
      <c r="D13950" s="6"/>
      <c r="E13950" s="2"/>
      <c r="F13950" s="2"/>
      <c r="G13950" s="2">
        <f t="shared" si="217"/>
        <v>0</v>
      </c>
      <c r="H13950" t="s">
        <v>10</v>
      </c>
    </row>
    <row r="13951" spans="2:8" x14ac:dyDescent="0.2">
      <c r="B13951" s="3">
        <v>45774</v>
      </c>
      <c r="C13951" s="3"/>
      <c r="D13951" s="6"/>
      <c r="E13951" s="2"/>
      <c r="F13951" s="2"/>
      <c r="G13951" s="2">
        <f t="shared" si="217"/>
        <v>0</v>
      </c>
      <c r="H13951" t="s">
        <v>9</v>
      </c>
    </row>
    <row r="13952" spans="2:8" x14ac:dyDescent="0.2">
      <c r="B13952" s="3">
        <v>45774</v>
      </c>
      <c r="C13952" s="3"/>
      <c r="D13952" s="6"/>
      <c r="E13952" s="2"/>
      <c r="F13952" s="2"/>
      <c r="G13952" s="2">
        <f t="shared" si="217"/>
        <v>0</v>
      </c>
      <c r="H13952" t="s">
        <v>8</v>
      </c>
    </row>
    <row r="13953" spans="2:8" x14ac:dyDescent="0.2">
      <c r="B13953" s="3">
        <v>45774</v>
      </c>
      <c r="C13953" s="3"/>
      <c r="D13953" s="6"/>
      <c r="E13953" s="2"/>
      <c r="F13953" s="2"/>
      <c r="G13953" s="2">
        <f t="shared" si="217"/>
        <v>0</v>
      </c>
      <c r="H13953" t="s">
        <v>7</v>
      </c>
    </row>
    <row r="13954" spans="2:8" x14ac:dyDescent="0.2">
      <c r="B13954" s="3">
        <v>45774</v>
      </c>
      <c r="C13954" s="3"/>
      <c r="D13954" s="6"/>
      <c r="E13954" s="2"/>
      <c r="F13954" s="2"/>
      <c r="G13954" s="2">
        <f t="shared" si="217"/>
        <v>0</v>
      </c>
      <c r="H13954" t="s">
        <v>6</v>
      </c>
    </row>
    <row r="13955" spans="2:8" x14ac:dyDescent="0.2">
      <c r="B13955" s="3">
        <v>45774</v>
      </c>
      <c r="C13955" s="3"/>
      <c r="D13955" s="6"/>
      <c r="E13955" s="2"/>
      <c r="F13955" s="2"/>
      <c r="G13955" s="2">
        <f t="shared" ref="G13955:G14018" si="218">E13955-F13955</f>
        <v>0</v>
      </c>
      <c r="H13955" t="s">
        <v>5</v>
      </c>
    </row>
    <row r="13956" spans="2:8" x14ac:dyDescent="0.2">
      <c r="B13956" s="3">
        <v>45774</v>
      </c>
      <c r="C13956" s="3"/>
      <c r="D13956" s="6"/>
      <c r="E13956" s="2"/>
      <c r="F13956" s="2"/>
      <c r="G13956" s="2">
        <f t="shared" si="218"/>
        <v>0</v>
      </c>
      <c r="H13956" s="1"/>
    </row>
    <row r="13957" spans="2:8" x14ac:dyDescent="0.2">
      <c r="B13957" s="3">
        <v>45774</v>
      </c>
      <c r="C13957" s="3"/>
      <c r="D13957" s="2"/>
      <c r="E13957" s="2"/>
      <c r="F13957" s="2"/>
      <c r="G13957" s="2">
        <f t="shared" si="218"/>
        <v>0</v>
      </c>
      <c r="H13957" t="s">
        <v>0</v>
      </c>
    </row>
    <row r="13958" spans="2:8" x14ac:dyDescent="0.2">
      <c r="B13958" s="3">
        <v>45775</v>
      </c>
      <c r="C13958" s="2"/>
      <c r="D13958" s="2"/>
      <c r="E13958" s="2"/>
      <c r="F13958" s="2"/>
      <c r="G13958" s="2">
        <f t="shared" si="218"/>
        <v>0</v>
      </c>
      <c r="H13958" t="s">
        <v>14</v>
      </c>
    </row>
    <row r="13959" spans="2:8" x14ac:dyDescent="0.2">
      <c r="B13959" s="3">
        <v>45775</v>
      </c>
      <c r="C13959" s="2"/>
      <c r="D13959" s="2"/>
      <c r="E13959" s="2"/>
      <c r="F13959" s="2"/>
      <c r="G13959" s="2">
        <f t="shared" si="218"/>
        <v>0</v>
      </c>
      <c r="H13959" t="s">
        <v>13</v>
      </c>
    </row>
    <row r="13960" spans="2:8" x14ac:dyDescent="0.2">
      <c r="B13960" s="3">
        <v>45775</v>
      </c>
      <c r="C13960" s="3"/>
      <c r="D13960" s="6"/>
      <c r="E13960" s="2"/>
      <c r="F13960" s="2"/>
      <c r="G13960" s="2">
        <f t="shared" si="218"/>
        <v>0</v>
      </c>
      <c r="H13960" t="s">
        <v>11</v>
      </c>
    </row>
    <row r="13961" spans="2:8" x14ac:dyDescent="0.2">
      <c r="B13961" s="3">
        <v>45775</v>
      </c>
      <c r="C13961" s="3"/>
      <c r="D13961" s="6"/>
      <c r="E13961" s="2"/>
      <c r="F13961" s="2"/>
      <c r="G13961" s="2">
        <f t="shared" si="218"/>
        <v>0</v>
      </c>
      <c r="H13961" t="s">
        <v>10</v>
      </c>
    </row>
    <row r="13962" spans="2:8" x14ac:dyDescent="0.2">
      <c r="B13962" s="3">
        <v>45775</v>
      </c>
      <c r="C13962" s="3"/>
      <c r="D13962" s="6"/>
      <c r="E13962" s="2"/>
      <c r="F13962" s="2"/>
      <c r="G13962" s="2">
        <f t="shared" si="218"/>
        <v>0</v>
      </c>
      <c r="H13962" t="s">
        <v>9</v>
      </c>
    </row>
    <row r="13963" spans="2:8" x14ac:dyDescent="0.2">
      <c r="B13963" s="3">
        <v>45775</v>
      </c>
      <c r="C13963" s="3"/>
      <c r="D13963" s="6"/>
      <c r="E13963" s="2"/>
      <c r="F13963" s="2"/>
      <c r="G13963" s="2">
        <f t="shared" si="218"/>
        <v>0</v>
      </c>
      <c r="H13963" t="s">
        <v>8</v>
      </c>
    </row>
    <row r="13964" spans="2:8" x14ac:dyDescent="0.2">
      <c r="B13964" s="3">
        <v>45775</v>
      </c>
      <c r="C13964" s="3"/>
      <c r="D13964" s="6"/>
      <c r="E13964" s="2"/>
      <c r="F13964" s="2"/>
      <c r="G13964" s="2">
        <f t="shared" si="218"/>
        <v>0</v>
      </c>
      <c r="H13964" t="s">
        <v>7</v>
      </c>
    </row>
    <row r="13965" spans="2:8" x14ac:dyDescent="0.2">
      <c r="B13965" s="3">
        <v>45775</v>
      </c>
      <c r="C13965" s="3"/>
      <c r="D13965" s="6"/>
      <c r="E13965" s="2"/>
      <c r="F13965" s="2"/>
      <c r="G13965" s="2">
        <f t="shared" si="218"/>
        <v>0</v>
      </c>
      <c r="H13965" t="s">
        <v>6</v>
      </c>
    </row>
    <row r="13966" spans="2:8" x14ac:dyDescent="0.2">
      <c r="B13966" s="3">
        <v>45775</v>
      </c>
      <c r="C13966" s="3"/>
      <c r="D13966" s="6"/>
      <c r="E13966" s="2"/>
      <c r="F13966" s="2"/>
      <c r="G13966" s="2">
        <f t="shared" si="218"/>
        <v>0</v>
      </c>
      <c r="H13966" t="s">
        <v>5</v>
      </c>
    </row>
    <row r="13967" spans="2:8" x14ac:dyDescent="0.2">
      <c r="B13967" s="3">
        <v>45775</v>
      </c>
      <c r="C13967" s="3"/>
      <c r="D13967" s="6"/>
      <c r="E13967" s="2"/>
      <c r="F13967" s="2"/>
      <c r="G13967" s="2">
        <f t="shared" si="218"/>
        <v>0</v>
      </c>
      <c r="H13967" s="1"/>
    </row>
    <row r="13968" spans="2:8" x14ac:dyDescent="0.2">
      <c r="B13968" s="3">
        <v>45775</v>
      </c>
      <c r="C13968" s="3"/>
      <c r="D13968" s="2"/>
      <c r="E13968" s="2"/>
      <c r="F13968" s="2"/>
      <c r="G13968" s="2">
        <f t="shared" si="218"/>
        <v>0</v>
      </c>
      <c r="H13968" t="s">
        <v>0</v>
      </c>
    </row>
    <row r="13969" spans="2:8" x14ac:dyDescent="0.2">
      <c r="B13969" s="3">
        <v>45776</v>
      </c>
      <c r="C13969" s="2"/>
      <c r="D13969" s="2"/>
      <c r="E13969" s="2"/>
      <c r="F13969" s="2">
        <v>10000</v>
      </c>
      <c r="G13969" s="2">
        <f t="shared" si="218"/>
        <v>-10000</v>
      </c>
      <c r="H13969" t="s">
        <v>14</v>
      </c>
    </row>
    <row r="13970" spans="2:8" x14ac:dyDescent="0.2">
      <c r="B13970" s="3">
        <v>45776</v>
      </c>
      <c r="C13970" s="2"/>
      <c r="D13970" s="2"/>
      <c r="E13970" s="2"/>
      <c r="F13970" s="2"/>
      <c r="G13970" s="2">
        <f t="shared" si="218"/>
        <v>0</v>
      </c>
      <c r="H13970" t="s">
        <v>13</v>
      </c>
    </row>
    <row r="13971" spans="2:8" x14ac:dyDescent="0.2">
      <c r="B13971" s="3">
        <v>45776</v>
      </c>
      <c r="C13971" s="3"/>
      <c r="D13971" s="6"/>
      <c r="E13971" s="2"/>
      <c r="F13971" s="2"/>
      <c r="G13971" s="2">
        <f t="shared" si="218"/>
        <v>0</v>
      </c>
      <c r="H13971" t="s">
        <v>11</v>
      </c>
    </row>
    <row r="13972" spans="2:8" x14ac:dyDescent="0.2">
      <c r="B13972" s="3">
        <v>45776</v>
      </c>
      <c r="C13972" s="3"/>
      <c r="D13972" s="6"/>
      <c r="E13972" s="2"/>
      <c r="F13972" s="2"/>
      <c r="G13972" s="2">
        <f t="shared" si="218"/>
        <v>0</v>
      </c>
      <c r="H13972" t="s">
        <v>10</v>
      </c>
    </row>
    <row r="13973" spans="2:8" x14ac:dyDescent="0.2">
      <c r="B13973" s="3">
        <v>45776</v>
      </c>
      <c r="C13973" s="3"/>
      <c r="D13973" s="6"/>
      <c r="E13973" s="2"/>
      <c r="F13973" s="2"/>
      <c r="G13973" s="2">
        <f t="shared" si="218"/>
        <v>0</v>
      </c>
      <c r="H13973" t="s">
        <v>9</v>
      </c>
    </row>
    <row r="13974" spans="2:8" x14ac:dyDescent="0.2">
      <c r="B13974" s="3">
        <v>45776</v>
      </c>
      <c r="C13974" s="3"/>
      <c r="D13974" s="6"/>
      <c r="E13974" s="2"/>
      <c r="F13974" s="2"/>
      <c r="G13974" s="2">
        <f t="shared" si="218"/>
        <v>0</v>
      </c>
      <c r="H13974" t="s">
        <v>8</v>
      </c>
    </row>
    <row r="13975" spans="2:8" x14ac:dyDescent="0.2">
      <c r="B13975" s="3">
        <v>45776</v>
      </c>
      <c r="C13975" s="3"/>
      <c r="D13975" s="6"/>
      <c r="E13975" s="2"/>
      <c r="F13975" s="2"/>
      <c r="G13975" s="2">
        <f t="shared" si="218"/>
        <v>0</v>
      </c>
      <c r="H13975" t="s">
        <v>7</v>
      </c>
    </row>
    <row r="13976" spans="2:8" x14ac:dyDescent="0.2">
      <c r="B13976" s="3">
        <v>45776</v>
      </c>
      <c r="C13976" s="3"/>
      <c r="D13976" s="6"/>
      <c r="E13976" s="2"/>
      <c r="F13976" s="5"/>
      <c r="G13976" s="2">
        <f t="shared" si="218"/>
        <v>0</v>
      </c>
      <c r="H13976" t="s">
        <v>6</v>
      </c>
    </row>
    <row r="13977" spans="2:8" x14ac:dyDescent="0.2">
      <c r="B13977" s="3">
        <v>45776</v>
      </c>
      <c r="C13977" s="3"/>
      <c r="D13977" s="6"/>
      <c r="E13977" s="2"/>
      <c r="F13977" s="2"/>
      <c r="G13977" s="2">
        <f t="shared" si="218"/>
        <v>0</v>
      </c>
      <c r="H13977" t="s">
        <v>5</v>
      </c>
    </row>
    <row r="13978" spans="2:8" x14ac:dyDescent="0.2">
      <c r="B13978" s="3">
        <v>45776</v>
      </c>
      <c r="C13978" s="3"/>
      <c r="D13978" s="6"/>
      <c r="E13978" s="2"/>
      <c r="F13978" s="2"/>
      <c r="G13978" s="2">
        <f t="shared" si="218"/>
        <v>0</v>
      </c>
      <c r="H13978" s="1"/>
    </row>
    <row r="13979" spans="2:8" x14ac:dyDescent="0.2">
      <c r="B13979" s="3">
        <v>45776</v>
      </c>
      <c r="C13979" s="3"/>
      <c r="D13979" s="2"/>
      <c r="E13979" s="2"/>
      <c r="F13979" s="2">
        <v>50000</v>
      </c>
      <c r="G13979" s="2">
        <f t="shared" si="218"/>
        <v>-50000</v>
      </c>
      <c r="H13979" t="s">
        <v>0</v>
      </c>
    </row>
    <row r="13980" spans="2:8" x14ac:dyDescent="0.2">
      <c r="B13980" s="3">
        <v>45777</v>
      </c>
      <c r="C13980" s="2"/>
      <c r="D13980" s="2"/>
      <c r="E13980" s="2"/>
      <c r="F13980" s="2"/>
      <c r="G13980" s="2">
        <f t="shared" si="218"/>
        <v>0</v>
      </c>
      <c r="H13980" t="s">
        <v>14</v>
      </c>
    </row>
    <row r="13981" spans="2:8" x14ac:dyDescent="0.2">
      <c r="B13981" s="3">
        <v>45777</v>
      </c>
      <c r="C13981" s="2"/>
      <c r="D13981" s="2"/>
      <c r="E13981" s="2"/>
      <c r="F13981" s="2"/>
      <c r="G13981" s="2">
        <f t="shared" si="218"/>
        <v>0</v>
      </c>
      <c r="H13981" t="s">
        <v>13</v>
      </c>
    </row>
    <row r="13982" spans="2:8" x14ac:dyDescent="0.2">
      <c r="B13982" s="3">
        <v>45777</v>
      </c>
      <c r="C13982" s="2">
        <v>54</v>
      </c>
      <c r="D13982" s="6">
        <v>13293.75</v>
      </c>
      <c r="E13982" s="2">
        <v>13798</v>
      </c>
      <c r="F13982" s="2">
        <v>12700</v>
      </c>
      <c r="G13982" s="2">
        <f t="shared" si="218"/>
        <v>1098</v>
      </c>
      <c r="H13982" t="s">
        <v>11</v>
      </c>
    </row>
    <row r="13983" spans="2:8" x14ac:dyDescent="0.2">
      <c r="B13983" s="3">
        <v>45777</v>
      </c>
      <c r="C13983" s="3"/>
      <c r="D13983" s="6"/>
      <c r="E13983" s="2"/>
      <c r="F13983" s="2"/>
      <c r="G13983" s="2">
        <f t="shared" si="218"/>
        <v>0</v>
      </c>
      <c r="H13983" t="s">
        <v>10</v>
      </c>
    </row>
    <row r="13984" spans="2:8" x14ac:dyDescent="0.2">
      <c r="B13984" s="3">
        <v>45777</v>
      </c>
      <c r="C13984" s="2">
        <v>53</v>
      </c>
      <c r="D13984" s="6">
        <v>3750</v>
      </c>
      <c r="E13984" s="2">
        <v>4600</v>
      </c>
      <c r="F13984" s="2"/>
      <c r="G13984" s="2">
        <f t="shared" si="218"/>
        <v>4600</v>
      </c>
      <c r="H13984" t="s">
        <v>9</v>
      </c>
    </row>
    <row r="13985" spans="2:8" x14ac:dyDescent="0.2">
      <c r="B13985" s="3">
        <v>45777</v>
      </c>
      <c r="C13985" s="3"/>
      <c r="D13985" s="6"/>
      <c r="E13985" s="2"/>
      <c r="F13985" s="2"/>
      <c r="G13985" s="2">
        <f t="shared" si="218"/>
        <v>0</v>
      </c>
      <c r="H13985" t="s">
        <v>8</v>
      </c>
    </row>
    <row r="13986" spans="2:8" x14ac:dyDescent="0.2">
      <c r="B13986" s="3">
        <v>45777</v>
      </c>
      <c r="C13986" s="3"/>
      <c r="D13986" s="6"/>
      <c r="E13986" s="2"/>
      <c r="F13986" s="2"/>
      <c r="G13986" s="2">
        <f t="shared" si="218"/>
        <v>0</v>
      </c>
      <c r="H13986" t="s">
        <v>7</v>
      </c>
    </row>
    <row r="13987" spans="2:8" x14ac:dyDescent="0.2">
      <c r="B13987" s="3">
        <v>45777</v>
      </c>
      <c r="C13987" s="2">
        <v>55</v>
      </c>
      <c r="D13987" s="6">
        <v>32690</v>
      </c>
      <c r="E13987" s="2">
        <v>33755</v>
      </c>
      <c r="F13987" s="2">
        <v>2390</v>
      </c>
      <c r="G13987" s="2">
        <f t="shared" si="218"/>
        <v>31365</v>
      </c>
      <c r="H13987" t="s">
        <v>6</v>
      </c>
    </row>
    <row r="13988" spans="2:8" x14ac:dyDescent="0.2">
      <c r="B13988" s="3">
        <v>45777</v>
      </c>
      <c r="C13988" s="3"/>
      <c r="D13988" s="6"/>
      <c r="E13988" s="2"/>
      <c r="F13988" s="2"/>
      <c r="G13988" s="2">
        <f t="shared" si="218"/>
        <v>0</v>
      </c>
      <c r="H13988" t="s">
        <v>5</v>
      </c>
    </row>
    <row r="13989" spans="2:8" x14ac:dyDescent="0.2">
      <c r="B13989" s="3">
        <v>45777</v>
      </c>
      <c r="C13989" s="3"/>
      <c r="D13989" s="6"/>
      <c r="E13989" s="2"/>
      <c r="F13989" s="2"/>
      <c r="G13989" s="2">
        <f t="shared" si="218"/>
        <v>0</v>
      </c>
      <c r="H13989" s="1"/>
    </row>
    <row r="13990" spans="2:8" x14ac:dyDescent="0.2">
      <c r="B13990" s="3">
        <v>45777</v>
      </c>
      <c r="C13990" s="3"/>
      <c r="D13990" s="2">
        <v>219447.63500000001</v>
      </c>
      <c r="E13990" s="2">
        <v>227604.21000000002</v>
      </c>
      <c r="F13990" s="2"/>
      <c r="G13990" s="2">
        <f t="shared" si="218"/>
        <v>227604.21000000002</v>
      </c>
      <c r="H13990" t="s">
        <v>0</v>
      </c>
    </row>
    <row r="13991" spans="2:8" x14ac:dyDescent="0.2">
      <c r="B13991" s="3">
        <v>45778</v>
      </c>
      <c r="C13991" s="2"/>
      <c r="D13991" s="2"/>
      <c r="E13991" s="2"/>
      <c r="F13991" s="2"/>
      <c r="G13991" s="2">
        <f t="shared" si="218"/>
        <v>0</v>
      </c>
      <c r="H13991" t="s">
        <v>14</v>
      </c>
    </row>
    <row r="13992" spans="2:8" x14ac:dyDescent="0.2">
      <c r="B13992" s="3">
        <v>45778</v>
      </c>
      <c r="C13992" s="2"/>
      <c r="D13992" s="2"/>
      <c r="E13992" s="2"/>
      <c r="F13992" s="2"/>
      <c r="G13992" s="2">
        <f t="shared" si="218"/>
        <v>0</v>
      </c>
      <c r="H13992" t="s">
        <v>13</v>
      </c>
    </row>
    <row r="13993" spans="2:8" x14ac:dyDescent="0.2">
      <c r="B13993" s="3">
        <v>45778</v>
      </c>
      <c r="C13993" s="3"/>
      <c r="D13993" s="6"/>
      <c r="E13993" s="2"/>
      <c r="F13993" s="2">
        <v>1100</v>
      </c>
      <c r="G13993" s="2">
        <f t="shared" si="218"/>
        <v>-1100</v>
      </c>
      <c r="H13993" t="s">
        <v>11</v>
      </c>
    </row>
    <row r="13994" spans="2:8" x14ac:dyDescent="0.2">
      <c r="B13994" s="3">
        <v>45778</v>
      </c>
      <c r="C13994" s="3"/>
      <c r="D13994" s="6"/>
      <c r="E13994" s="2"/>
      <c r="F13994" s="2"/>
      <c r="G13994" s="2">
        <f t="shared" si="218"/>
        <v>0</v>
      </c>
      <c r="H13994" t="s">
        <v>10</v>
      </c>
    </row>
    <row r="13995" spans="2:8" x14ac:dyDescent="0.2">
      <c r="B13995" s="3">
        <v>45778</v>
      </c>
      <c r="C13995" s="3"/>
      <c r="D13995" s="6"/>
      <c r="E13995" s="2"/>
      <c r="F13995" s="2"/>
      <c r="G13995" s="2">
        <f t="shared" si="218"/>
        <v>0</v>
      </c>
      <c r="H13995" t="s">
        <v>9</v>
      </c>
    </row>
    <row r="13996" spans="2:8" x14ac:dyDescent="0.2">
      <c r="B13996" s="3">
        <v>45778</v>
      </c>
      <c r="C13996" s="3"/>
      <c r="D13996" s="6"/>
      <c r="E13996" s="2"/>
      <c r="F13996" s="2"/>
      <c r="G13996" s="2">
        <f t="shared" si="218"/>
        <v>0</v>
      </c>
      <c r="H13996" t="s">
        <v>8</v>
      </c>
    </row>
    <row r="13997" spans="2:8" x14ac:dyDescent="0.2">
      <c r="B13997" s="3">
        <v>45778</v>
      </c>
      <c r="C13997" s="3"/>
      <c r="D13997" s="6"/>
      <c r="E13997" s="2"/>
      <c r="F13997" s="2"/>
      <c r="G13997" s="2">
        <f t="shared" si="218"/>
        <v>0</v>
      </c>
      <c r="H13997" t="s">
        <v>7</v>
      </c>
    </row>
    <row r="13998" spans="2:8" x14ac:dyDescent="0.2">
      <c r="B13998" s="3">
        <v>45778</v>
      </c>
      <c r="C13998" s="3"/>
      <c r="D13998" s="6"/>
      <c r="E13998" s="2"/>
      <c r="F13998" s="2"/>
      <c r="G13998" s="2">
        <f t="shared" si="218"/>
        <v>0</v>
      </c>
      <c r="H13998" t="s">
        <v>6</v>
      </c>
    </row>
    <row r="13999" spans="2:8" x14ac:dyDescent="0.2">
      <c r="B13999" s="3">
        <v>45778</v>
      </c>
      <c r="C13999" s="3"/>
      <c r="D13999" s="6"/>
      <c r="E13999" s="2"/>
      <c r="F13999" s="2"/>
      <c r="G13999" s="2">
        <f t="shared" si="218"/>
        <v>0</v>
      </c>
      <c r="H13999" t="s">
        <v>5</v>
      </c>
    </row>
    <row r="14000" spans="2:8" x14ac:dyDescent="0.2">
      <c r="B14000" s="3">
        <v>45778</v>
      </c>
      <c r="C14000" s="3"/>
      <c r="D14000" s="6"/>
      <c r="E14000" s="2"/>
      <c r="F14000" s="2"/>
      <c r="G14000" s="2">
        <f t="shared" si="218"/>
        <v>0</v>
      </c>
      <c r="H14000" s="1"/>
    </row>
    <row r="14001" spans="2:8" x14ac:dyDescent="0.2">
      <c r="B14001" s="3">
        <v>45778</v>
      </c>
      <c r="C14001" s="3"/>
      <c r="D14001" s="2">
        <v>-9500</v>
      </c>
      <c r="E14001" s="4">
        <v>-9750</v>
      </c>
      <c r="F14001" s="2"/>
      <c r="G14001" s="2">
        <f t="shared" si="218"/>
        <v>-9750</v>
      </c>
      <c r="H14001" t="s">
        <v>0</v>
      </c>
    </row>
    <row r="14002" spans="2:8" x14ac:dyDescent="0.2">
      <c r="B14002" s="3">
        <v>45779</v>
      </c>
      <c r="C14002" s="2"/>
      <c r="D14002" s="2"/>
      <c r="E14002" s="2"/>
      <c r="F14002" s="2"/>
      <c r="G14002" s="2">
        <f t="shared" si="218"/>
        <v>0</v>
      </c>
      <c r="H14002" t="s">
        <v>14</v>
      </c>
    </row>
    <row r="14003" spans="2:8" x14ac:dyDescent="0.2">
      <c r="B14003" s="3">
        <v>45779</v>
      </c>
      <c r="C14003" s="2"/>
      <c r="D14003" s="2"/>
      <c r="E14003" s="2"/>
      <c r="F14003" s="2"/>
      <c r="G14003" s="2">
        <f t="shared" si="218"/>
        <v>0</v>
      </c>
      <c r="H14003" t="s">
        <v>13</v>
      </c>
    </row>
    <row r="14004" spans="2:8" x14ac:dyDescent="0.2">
      <c r="B14004" s="3">
        <v>45779</v>
      </c>
      <c r="C14004" s="3"/>
      <c r="D14004" s="6"/>
      <c r="E14004" s="2"/>
      <c r="F14004" s="2"/>
      <c r="G14004" s="2">
        <f t="shared" si="218"/>
        <v>0</v>
      </c>
      <c r="H14004" t="s">
        <v>11</v>
      </c>
    </row>
    <row r="14005" spans="2:8" x14ac:dyDescent="0.2">
      <c r="B14005" s="3">
        <v>45779</v>
      </c>
      <c r="C14005" s="3"/>
      <c r="D14005" s="6"/>
      <c r="E14005" s="2"/>
      <c r="F14005" s="2"/>
      <c r="G14005" s="2">
        <f t="shared" si="218"/>
        <v>0</v>
      </c>
      <c r="H14005" t="s">
        <v>10</v>
      </c>
    </row>
    <row r="14006" spans="2:8" x14ac:dyDescent="0.2">
      <c r="B14006" s="3">
        <v>45779</v>
      </c>
      <c r="C14006" s="3"/>
      <c r="D14006" s="6"/>
      <c r="E14006" s="2"/>
      <c r="F14006" s="2"/>
      <c r="G14006" s="2">
        <f t="shared" si="218"/>
        <v>0</v>
      </c>
      <c r="H14006" t="s">
        <v>9</v>
      </c>
    </row>
    <row r="14007" spans="2:8" x14ac:dyDescent="0.2">
      <c r="B14007" s="3">
        <v>45779</v>
      </c>
      <c r="C14007" s="3"/>
      <c r="D14007" s="6"/>
      <c r="E14007" s="2"/>
      <c r="F14007" s="2"/>
      <c r="G14007" s="2">
        <f t="shared" si="218"/>
        <v>0</v>
      </c>
      <c r="H14007" t="s">
        <v>8</v>
      </c>
    </row>
    <row r="14008" spans="2:8" x14ac:dyDescent="0.2">
      <c r="B14008" s="3">
        <v>45779</v>
      </c>
      <c r="C14008" s="3"/>
      <c r="D14008" s="6"/>
      <c r="E14008" s="2"/>
      <c r="F14008" s="2"/>
      <c r="G14008" s="2">
        <f t="shared" si="218"/>
        <v>0</v>
      </c>
      <c r="H14008" t="s">
        <v>7</v>
      </c>
    </row>
    <row r="14009" spans="2:8" x14ac:dyDescent="0.2">
      <c r="B14009" s="3">
        <v>45779</v>
      </c>
      <c r="C14009" s="3"/>
      <c r="D14009" s="6"/>
      <c r="E14009" s="2"/>
      <c r="F14009" s="2"/>
      <c r="G14009" s="2">
        <f t="shared" si="218"/>
        <v>0</v>
      </c>
      <c r="H14009" t="s">
        <v>6</v>
      </c>
    </row>
    <row r="14010" spans="2:8" x14ac:dyDescent="0.2">
      <c r="B14010" s="3">
        <v>45779</v>
      </c>
      <c r="C14010" s="3"/>
      <c r="D14010" s="6"/>
      <c r="E14010" s="2"/>
      <c r="F14010" s="2"/>
      <c r="G14010" s="2">
        <f t="shared" si="218"/>
        <v>0</v>
      </c>
      <c r="H14010" t="s">
        <v>5</v>
      </c>
    </row>
    <row r="14011" spans="2:8" x14ac:dyDescent="0.2">
      <c r="B14011" s="3">
        <v>45779</v>
      </c>
      <c r="C14011" s="3"/>
      <c r="D14011" s="6"/>
      <c r="E14011" s="2"/>
      <c r="F14011" s="2"/>
      <c r="G14011" s="2">
        <f t="shared" si="218"/>
        <v>0</v>
      </c>
      <c r="H14011" s="1"/>
    </row>
    <row r="14012" spans="2:8" x14ac:dyDescent="0.2">
      <c r="B14012" s="3">
        <v>45779</v>
      </c>
      <c r="C14012" s="3"/>
      <c r="D14012" s="2">
        <v>-1579.78</v>
      </c>
      <c r="E14012" s="4">
        <v>-1623.9</v>
      </c>
      <c r="F14012" s="2"/>
      <c r="G14012" s="2">
        <f t="shared" si="218"/>
        <v>-1623.9</v>
      </c>
      <c r="H14012" t="s">
        <v>0</v>
      </c>
    </row>
    <row r="14013" spans="2:8" x14ac:dyDescent="0.2">
      <c r="B14013" s="3">
        <v>45780</v>
      </c>
      <c r="C14013" s="2"/>
      <c r="D14013" s="2"/>
      <c r="E14013" s="2"/>
      <c r="F14013" s="2"/>
      <c r="G14013" s="2">
        <f t="shared" si="218"/>
        <v>0</v>
      </c>
      <c r="H14013" t="s">
        <v>14</v>
      </c>
    </row>
    <row r="14014" spans="2:8" x14ac:dyDescent="0.2">
      <c r="B14014" s="3">
        <v>45780</v>
      </c>
      <c r="C14014" s="2"/>
      <c r="D14014" s="2"/>
      <c r="E14014" s="2"/>
      <c r="F14014" s="2"/>
      <c r="G14014" s="2">
        <f t="shared" si="218"/>
        <v>0</v>
      </c>
      <c r="H14014" t="s">
        <v>13</v>
      </c>
    </row>
    <row r="14015" spans="2:8" x14ac:dyDescent="0.2">
      <c r="B14015" s="3">
        <v>45780</v>
      </c>
      <c r="C14015" s="3"/>
      <c r="D14015" s="6"/>
      <c r="E14015" s="2"/>
      <c r="F14015" s="2"/>
      <c r="G14015" s="2">
        <f t="shared" si="218"/>
        <v>0</v>
      </c>
      <c r="H14015" t="s">
        <v>11</v>
      </c>
    </row>
    <row r="14016" spans="2:8" x14ac:dyDescent="0.2">
      <c r="B14016" s="3">
        <v>45780</v>
      </c>
      <c r="C14016" s="3"/>
      <c r="D14016" s="6"/>
      <c r="E14016" s="2"/>
      <c r="F14016" s="2"/>
      <c r="G14016" s="2">
        <f t="shared" si="218"/>
        <v>0</v>
      </c>
      <c r="H14016" t="s">
        <v>10</v>
      </c>
    </row>
    <row r="14017" spans="2:8" x14ac:dyDescent="0.2">
      <c r="B14017" s="3">
        <v>45780</v>
      </c>
      <c r="C14017" s="3"/>
      <c r="D14017" s="6"/>
      <c r="E14017" s="2"/>
      <c r="F14017" s="2"/>
      <c r="G14017" s="2">
        <f t="shared" si="218"/>
        <v>0</v>
      </c>
      <c r="H14017" t="s">
        <v>9</v>
      </c>
    </row>
    <row r="14018" spans="2:8" x14ac:dyDescent="0.2">
      <c r="B14018" s="3">
        <v>45780</v>
      </c>
      <c r="C14018" s="3"/>
      <c r="D14018" s="6"/>
      <c r="E14018" s="2"/>
      <c r="F14018" s="2"/>
      <c r="G14018" s="2">
        <f t="shared" si="218"/>
        <v>0</v>
      </c>
      <c r="H14018" t="s">
        <v>8</v>
      </c>
    </row>
    <row r="14019" spans="2:8" x14ac:dyDescent="0.2">
      <c r="B14019" s="3">
        <v>45780</v>
      </c>
      <c r="C14019" s="3"/>
      <c r="D14019" s="6"/>
      <c r="E14019" s="2"/>
      <c r="F14019" s="2"/>
      <c r="G14019" s="2">
        <f t="shared" ref="G14019:G14082" si="219">E14019-F14019</f>
        <v>0</v>
      </c>
      <c r="H14019" t="s">
        <v>7</v>
      </c>
    </row>
    <row r="14020" spans="2:8" x14ac:dyDescent="0.2">
      <c r="B14020" s="3">
        <v>45780</v>
      </c>
      <c r="C14020" s="3"/>
      <c r="D14020" s="6"/>
      <c r="E14020" s="2"/>
      <c r="F14020" s="2"/>
      <c r="G14020" s="2">
        <f t="shared" si="219"/>
        <v>0</v>
      </c>
      <c r="H14020" t="s">
        <v>6</v>
      </c>
    </row>
    <row r="14021" spans="2:8" x14ac:dyDescent="0.2">
      <c r="B14021" s="3">
        <v>45780</v>
      </c>
      <c r="C14021" s="3"/>
      <c r="D14021" s="6"/>
      <c r="E14021" s="2"/>
      <c r="F14021" s="2"/>
      <c r="G14021" s="2">
        <f t="shared" si="219"/>
        <v>0</v>
      </c>
      <c r="H14021" t="s">
        <v>5</v>
      </c>
    </row>
    <row r="14022" spans="2:8" x14ac:dyDescent="0.2">
      <c r="B14022" s="3">
        <v>45780</v>
      </c>
      <c r="C14022" s="3"/>
      <c r="D14022" s="6"/>
      <c r="E14022" s="2"/>
      <c r="F14022" s="2"/>
      <c r="G14022" s="2">
        <f t="shared" si="219"/>
        <v>0</v>
      </c>
      <c r="H14022" s="1"/>
    </row>
    <row r="14023" spans="2:8" x14ac:dyDescent="0.2">
      <c r="B14023" s="3">
        <v>45780</v>
      </c>
      <c r="C14023" s="3"/>
      <c r="D14023" s="2"/>
      <c r="E14023" s="2"/>
      <c r="F14023" s="2">
        <v>30000</v>
      </c>
      <c r="G14023" s="2">
        <f t="shared" si="219"/>
        <v>-30000</v>
      </c>
      <c r="H14023" t="s">
        <v>0</v>
      </c>
    </row>
    <row r="14024" spans="2:8" x14ac:dyDescent="0.2">
      <c r="B14024" s="3">
        <v>45781</v>
      </c>
      <c r="C14024" s="2"/>
      <c r="D14024" s="2"/>
      <c r="E14024" s="2"/>
      <c r="F14024" s="2"/>
      <c r="G14024" s="2">
        <f t="shared" si="219"/>
        <v>0</v>
      </c>
      <c r="H14024" t="s">
        <v>14</v>
      </c>
    </row>
    <row r="14025" spans="2:8" x14ac:dyDescent="0.2">
      <c r="B14025" s="3">
        <v>45781</v>
      </c>
      <c r="C14025" s="2"/>
      <c r="D14025" s="2"/>
      <c r="E14025" s="2"/>
      <c r="F14025" s="2"/>
      <c r="G14025" s="2">
        <f t="shared" si="219"/>
        <v>0</v>
      </c>
      <c r="H14025" t="s">
        <v>13</v>
      </c>
    </row>
    <row r="14026" spans="2:8" x14ac:dyDescent="0.2">
      <c r="B14026" s="3">
        <v>45781</v>
      </c>
      <c r="C14026" s="3"/>
      <c r="D14026" s="6"/>
      <c r="E14026" s="2"/>
      <c r="F14026" s="2"/>
      <c r="G14026" s="2">
        <f t="shared" si="219"/>
        <v>0</v>
      </c>
      <c r="H14026" t="s">
        <v>11</v>
      </c>
    </row>
    <row r="14027" spans="2:8" x14ac:dyDescent="0.2">
      <c r="B14027" s="3">
        <v>45781</v>
      </c>
      <c r="C14027" s="3"/>
      <c r="D14027" s="6"/>
      <c r="E14027" s="2"/>
      <c r="F14027" s="2"/>
      <c r="G14027" s="2">
        <f t="shared" si="219"/>
        <v>0</v>
      </c>
      <c r="H14027" t="s">
        <v>10</v>
      </c>
    </row>
    <row r="14028" spans="2:8" x14ac:dyDescent="0.2">
      <c r="B14028" s="3">
        <v>45781</v>
      </c>
      <c r="C14028" s="3"/>
      <c r="D14028" s="6"/>
      <c r="E14028" s="2"/>
      <c r="F14028" s="2">
        <v>20000</v>
      </c>
      <c r="G14028" s="2">
        <f t="shared" si="219"/>
        <v>-20000</v>
      </c>
      <c r="H14028" t="s">
        <v>9</v>
      </c>
    </row>
    <row r="14029" spans="2:8" x14ac:dyDescent="0.2">
      <c r="B14029" s="3">
        <v>45781</v>
      </c>
      <c r="C14029" s="3"/>
      <c r="D14029" s="6"/>
      <c r="E14029" s="2"/>
      <c r="F14029" s="2"/>
      <c r="G14029" s="2">
        <f t="shared" si="219"/>
        <v>0</v>
      </c>
      <c r="H14029" t="s">
        <v>8</v>
      </c>
    </row>
    <row r="14030" spans="2:8" x14ac:dyDescent="0.2">
      <c r="B14030" s="3">
        <v>45781</v>
      </c>
      <c r="C14030" s="3"/>
      <c r="D14030" s="6"/>
      <c r="E14030" s="2"/>
      <c r="F14030" s="2"/>
      <c r="G14030" s="2">
        <f t="shared" si="219"/>
        <v>0</v>
      </c>
      <c r="H14030" t="s">
        <v>7</v>
      </c>
    </row>
    <row r="14031" spans="2:8" x14ac:dyDescent="0.2">
      <c r="B14031" s="3">
        <v>45781</v>
      </c>
      <c r="C14031" s="3"/>
      <c r="D14031" s="6"/>
      <c r="E14031" s="2"/>
      <c r="F14031" s="2"/>
      <c r="G14031" s="2">
        <f t="shared" si="219"/>
        <v>0</v>
      </c>
      <c r="H14031" t="s">
        <v>6</v>
      </c>
    </row>
    <row r="14032" spans="2:8" x14ac:dyDescent="0.2">
      <c r="B14032" s="3">
        <v>45781</v>
      </c>
      <c r="C14032" s="3"/>
      <c r="D14032" s="6"/>
      <c r="E14032" s="2"/>
      <c r="F14032" s="2"/>
      <c r="G14032" s="2">
        <f t="shared" si="219"/>
        <v>0</v>
      </c>
      <c r="H14032" t="s">
        <v>5</v>
      </c>
    </row>
    <row r="14033" spans="2:8" x14ac:dyDescent="0.2">
      <c r="B14033" s="3">
        <v>45781</v>
      </c>
      <c r="C14033" s="3"/>
      <c r="D14033" s="6"/>
      <c r="E14033" s="2"/>
      <c r="F14033" s="2"/>
      <c r="G14033" s="2">
        <f t="shared" si="219"/>
        <v>0</v>
      </c>
      <c r="H14033" s="1"/>
    </row>
    <row r="14034" spans="2:8" x14ac:dyDescent="0.2">
      <c r="B14034" s="3">
        <v>45781</v>
      </c>
      <c r="C14034" s="3"/>
      <c r="D14034" s="2"/>
      <c r="E14034" s="2"/>
      <c r="F14034" s="2"/>
      <c r="G14034" s="2">
        <f t="shared" si="219"/>
        <v>0</v>
      </c>
      <c r="H14034" t="s">
        <v>0</v>
      </c>
    </row>
    <row r="14035" spans="2:8" x14ac:dyDescent="0.2">
      <c r="B14035" s="3">
        <v>45782</v>
      </c>
      <c r="C14035" s="2">
        <v>56</v>
      </c>
      <c r="D14035" s="2">
        <v>14850</v>
      </c>
      <c r="E14035" s="2">
        <v>17225</v>
      </c>
      <c r="F14035" s="2"/>
      <c r="G14035" s="2">
        <f t="shared" si="219"/>
        <v>17225</v>
      </c>
      <c r="H14035" t="s">
        <v>14</v>
      </c>
    </row>
    <row r="14036" spans="2:8" x14ac:dyDescent="0.2">
      <c r="B14036" s="3">
        <v>45782</v>
      </c>
      <c r="C14036" s="2"/>
      <c r="D14036" s="2"/>
      <c r="E14036" s="2"/>
      <c r="F14036" s="2"/>
      <c r="G14036" s="2">
        <f t="shared" si="219"/>
        <v>0</v>
      </c>
      <c r="H14036" t="s">
        <v>13</v>
      </c>
    </row>
    <row r="14037" spans="2:8" x14ac:dyDescent="0.2">
      <c r="B14037" s="3">
        <v>45782</v>
      </c>
      <c r="C14037" s="3"/>
      <c r="D14037" s="6"/>
      <c r="E14037" s="2"/>
      <c r="F14037" s="2"/>
      <c r="G14037" s="2">
        <f t="shared" si="219"/>
        <v>0</v>
      </c>
      <c r="H14037" t="s">
        <v>11</v>
      </c>
    </row>
    <row r="14038" spans="2:8" x14ac:dyDescent="0.2">
      <c r="B14038" s="3">
        <v>45782</v>
      </c>
      <c r="C14038" s="3"/>
      <c r="D14038" s="6"/>
      <c r="E14038" s="2"/>
      <c r="F14038" s="2"/>
      <c r="G14038" s="2">
        <f t="shared" si="219"/>
        <v>0</v>
      </c>
      <c r="H14038" t="s">
        <v>10</v>
      </c>
    </row>
    <row r="14039" spans="2:8" x14ac:dyDescent="0.2">
      <c r="B14039" s="3">
        <v>45782</v>
      </c>
      <c r="C14039" s="3"/>
      <c r="D14039" s="6"/>
      <c r="E14039" s="2"/>
      <c r="F14039" s="2"/>
      <c r="G14039" s="2">
        <f t="shared" si="219"/>
        <v>0</v>
      </c>
      <c r="H14039" t="s">
        <v>9</v>
      </c>
    </row>
    <row r="14040" spans="2:8" x14ac:dyDescent="0.2">
      <c r="B14040" s="3">
        <v>45782</v>
      </c>
      <c r="C14040" s="3"/>
      <c r="D14040" s="6"/>
      <c r="E14040" s="2"/>
      <c r="F14040" s="2"/>
      <c r="G14040" s="2">
        <f t="shared" si="219"/>
        <v>0</v>
      </c>
      <c r="H14040" t="s">
        <v>8</v>
      </c>
    </row>
    <row r="14041" spans="2:8" x14ac:dyDescent="0.2">
      <c r="B14041" s="3">
        <v>45782</v>
      </c>
      <c r="C14041" s="3"/>
      <c r="D14041" s="6"/>
      <c r="E14041" s="2"/>
      <c r="F14041" s="2"/>
      <c r="G14041" s="2">
        <f t="shared" si="219"/>
        <v>0</v>
      </c>
      <c r="H14041" t="s">
        <v>7</v>
      </c>
    </row>
    <row r="14042" spans="2:8" x14ac:dyDescent="0.2">
      <c r="B14042" s="3">
        <v>45782</v>
      </c>
      <c r="C14042" s="3"/>
      <c r="D14042" s="6"/>
      <c r="E14042" s="2"/>
      <c r="F14042" s="2"/>
      <c r="G14042" s="2">
        <f t="shared" si="219"/>
        <v>0</v>
      </c>
      <c r="H14042" t="s">
        <v>6</v>
      </c>
    </row>
    <row r="14043" spans="2:8" x14ac:dyDescent="0.2">
      <c r="B14043" s="3">
        <v>45782</v>
      </c>
      <c r="C14043" s="3"/>
      <c r="D14043" s="6"/>
      <c r="E14043" s="2"/>
      <c r="F14043" s="2"/>
      <c r="G14043" s="2">
        <f t="shared" si="219"/>
        <v>0</v>
      </c>
      <c r="H14043" t="s">
        <v>5</v>
      </c>
    </row>
    <row r="14044" spans="2:8" x14ac:dyDescent="0.2">
      <c r="B14044" s="3">
        <v>45782</v>
      </c>
      <c r="C14044" s="3"/>
      <c r="D14044" s="6"/>
      <c r="E14044" s="2"/>
      <c r="F14044" s="2"/>
      <c r="G14044" s="2">
        <f t="shared" si="219"/>
        <v>0</v>
      </c>
      <c r="H14044" s="1"/>
    </row>
    <row r="14045" spans="2:8" x14ac:dyDescent="0.2">
      <c r="B14045" s="3">
        <v>45782</v>
      </c>
      <c r="C14045" s="3"/>
      <c r="D14045" s="2"/>
      <c r="E14045" s="2"/>
      <c r="F14045" s="2"/>
      <c r="G14045" s="2">
        <f t="shared" si="219"/>
        <v>0</v>
      </c>
      <c r="H14045" t="s">
        <v>0</v>
      </c>
    </row>
    <row r="14046" spans="2:8" x14ac:dyDescent="0.2">
      <c r="B14046" s="3">
        <v>45783</v>
      </c>
      <c r="C14046" s="2"/>
      <c r="D14046" s="2"/>
      <c r="E14046" s="2"/>
      <c r="F14046" s="2"/>
      <c r="G14046" s="2">
        <f t="shared" si="219"/>
        <v>0</v>
      </c>
      <c r="H14046" t="s">
        <v>14</v>
      </c>
    </row>
    <row r="14047" spans="2:8" x14ac:dyDescent="0.2">
      <c r="B14047" s="3">
        <v>45783</v>
      </c>
      <c r="C14047" s="2"/>
      <c r="D14047" s="2"/>
      <c r="E14047" s="2"/>
      <c r="F14047" s="2"/>
      <c r="G14047" s="2">
        <f t="shared" si="219"/>
        <v>0</v>
      </c>
      <c r="H14047" t="s">
        <v>13</v>
      </c>
    </row>
    <row r="14048" spans="2:8" x14ac:dyDescent="0.2">
      <c r="B14048" s="3">
        <v>45783</v>
      </c>
      <c r="C14048" s="3"/>
      <c r="D14048" s="6"/>
      <c r="E14048" s="2"/>
      <c r="F14048" s="2"/>
      <c r="G14048" s="2">
        <f t="shared" si="219"/>
        <v>0</v>
      </c>
      <c r="H14048" t="s">
        <v>11</v>
      </c>
    </row>
    <row r="14049" spans="2:8" x14ac:dyDescent="0.2">
      <c r="B14049" s="3">
        <v>45783</v>
      </c>
      <c r="C14049" s="3"/>
      <c r="D14049" s="6"/>
      <c r="E14049" s="2"/>
      <c r="F14049" s="2"/>
      <c r="G14049" s="2">
        <f t="shared" si="219"/>
        <v>0</v>
      </c>
      <c r="H14049" t="s">
        <v>10</v>
      </c>
    </row>
    <row r="14050" spans="2:8" x14ac:dyDescent="0.2">
      <c r="B14050" s="3">
        <v>45783</v>
      </c>
      <c r="C14050" s="3"/>
      <c r="D14050" s="6"/>
      <c r="E14050" s="2"/>
      <c r="F14050" s="2"/>
      <c r="G14050" s="2">
        <f t="shared" si="219"/>
        <v>0</v>
      </c>
      <c r="H14050" t="s">
        <v>9</v>
      </c>
    </row>
    <row r="14051" spans="2:8" x14ac:dyDescent="0.2">
      <c r="B14051" s="3">
        <v>45783</v>
      </c>
      <c r="C14051" s="3"/>
      <c r="D14051" s="6"/>
      <c r="E14051" s="2"/>
      <c r="F14051" s="2"/>
      <c r="G14051" s="2">
        <f t="shared" si="219"/>
        <v>0</v>
      </c>
      <c r="H14051" t="s">
        <v>8</v>
      </c>
    </row>
    <row r="14052" spans="2:8" x14ac:dyDescent="0.2">
      <c r="B14052" s="3">
        <v>45783</v>
      </c>
      <c r="C14052" s="3"/>
      <c r="D14052" s="6"/>
      <c r="E14052" s="2"/>
      <c r="F14052" s="2"/>
      <c r="G14052" s="2">
        <f t="shared" si="219"/>
        <v>0</v>
      </c>
      <c r="H14052" t="s">
        <v>7</v>
      </c>
    </row>
    <row r="14053" spans="2:8" x14ac:dyDescent="0.2">
      <c r="B14053" s="3">
        <v>45783</v>
      </c>
      <c r="C14053" s="3"/>
      <c r="D14053" s="6"/>
      <c r="E14053" s="2"/>
      <c r="F14053" s="2"/>
      <c r="G14053" s="2">
        <f t="shared" si="219"/>
        <v>0</v>
      </c>
      <c r="H14053" t="s">
        <v>6</v>
      </c>
    </row>
    <row r="14054" spans="2:8" x14ac:dyDescent="0.2">
      <c r="B14054" s="3">
        <v>45783</v>
      </c>
      <c r="C14054" s="3"/>
      <c r="D14054" s="6"/>
      <c r="E14054" s="2"/>
      <c r="F14054" s="2"/>
      <c r="G14054" s="2">
        <f t="shared" si="219"/>
        <v>0</v>
      </c>
      <c r="H14054" t="s">
        <v>5</v>
      </c>
    </row>
    <row r="14055" spans="2:8" x14ac:dyDescent="0.2">
      <c r="B14055" s="3">
        <v>45783</v>
      </c>
      <c r="C14055" s="3"/>
      <c r="D14055" s="6"/>
      <c r="E14055" s="2"/>
      <c r="F14055" s="2"/>
      <c r="G14055" s="2">
        <f t="shared" si="219"/>
        <v>0</v>
      </c>
      <c r="H14055" s="1"/>
    </row>
    <row r="14056" spans="2:8" x14ac:dyDescent="0.2">
      <c r="B14056" s="3">
        <v>45783</v>
      </c>
      <c r="C14056" s="3"/>
      <c r="D14056" s="2"/>
      <c r="E14056" s="2"/>
      <c r="F14056" s="2"/>
      <c r="G14056" s="2">
        <f t="shared" si="219"/>
        <v>0</v>
      </c>
      <c r="H14056" t="s">
        <v>0</v>
      </c>
    </row>
    <row r="14057" spans="2:8" x14ac:dyDescent="0.2">
      <c r="B14057" s="3">
        <v>45784</v>
      </c>
      <c r="C14057" s="2"/>
      <c r="D14057" s="2"/>
      <c r="E14057" s="2"/>
      <c r="F14057" s="2"/>
      <c r="G14057" s="2">
        <f t="shared" si="219"/>
        <v>0</v>
      </c>
      <c r="H14057" t="s">
        <v>14</v>
      </c>
    </row>
    <row r="14058" spans="2:8" x14ac:dyDescent="0.2">
      <c r="B14058" s="3">
        <v>45784</v>
      </c>
      <c r="C14058" s="2"/>
      <c r="D14058" s="2"/>
      <c r="E14058" s="2"/>
      <c r="F14058" s="2"/>
      <c r="G14058" s="2">
        <f t="shared" si="219"/>
        <v>0</v>
      </c>
      <c r="H14058" t="s">
        <v>13</v>
      </c>
    </row>
    <row r="14059" spans="2:8" x14ac:dyDescent="0.2">
      <c r="B14059" s="3">
        <v>45784</v>
      </c>
      <c r="C14059" s="3"/>
      <c r="D14059" s="6"/>
      <c r="E14059" s="2"/>
      <c r="F14059" s="2"/>
      <c r="G14059" s="2">
        <f t="shared" si="219"/>
        <v>0</v>
      </c>
      <c r="H14059" t="s">
        <v>11</v>
      </c>
    </row>
    <row r="14060" spans="2:8" x14ac:dyDescent="0.2">
      <c r="B14060" s="3">
        <v>45784</v>
      </c>
      <c r="C14060" s="3"/>
      <c r="D14060" s="6"/>
      <c r="E14060" s="2"/>
      <c r="F14060" s="2"/>
      <c r="G14060" s="2">
        <f t="shared" si="219"/>
        <v>0</v>
      </c>
      <c r="H14060" t="s">
        <v>10</v>
      </c>
    </row>
    <row r="14061" spans="2:8" x14ac:dyDescent="0.2">
      <c r="B14061" s="3">
        <v>45784</v>
      </c>
      <c r="C14061" s="3"/>
      <c r="D14061" s="6"/>
      <c r="E14061" s="2"/>
      <c r="F14061" s="2"/>
      <c r="G14061" s="2">
        <f t="shared" si="219"/>
        <v>0</v>
      </c>
      <c r="H14061" t="s">
        <v>9</v>
      </c>
    </row>
    <row r="14062" spans="2:8" x14ac:dyDescent="0.2">
      <c r="B14062" s="3">
        <v>45784</v>
      </c>
      <c r="C14062" s="3"/>
      <c r="D14062" s="6"/>
      <c r="E14062" s="2"/>
      <c r="F14062" s="2">
        <v>30000</v>
      </c>
      <c r="G14062" s="2">
        <f t="shared" si="219"/>
        <v>-30000</v>
      </c>
      <c r="H14062" t="s">
        <v>8</v>
      </c>
    </row>
    <row r="14063" spans="2:8" x14ac:dyDescent="0.2">
      <c r="B14063" s="3">
        <v>45784</v>
      </c>
      <c r="C14063" s="3"/>
      <c r="D14063" s="6"/>
      <c r="E14063" s="2"/>
      <c r="F14063" s="2"/>
      <c r="G14063" s="2">
        <f t="shared" si="219"/>
        <v>0</v>
      </c>
      <c r="H14063" t="s">
        <v>7</v>
      </c>
    </row>
    <row r="14064" spans="2:8" x14ac:dyDescent="0.2">
      <c r="B14064" s="3">
        <v>45784</v>
      </c>
      <c r="C14064" s="3"/>
      <c r="D14064" s="6"/>
      <c r="E14064" s="2"/>
      <c r="F14064" s="2"/>
      <c r="G14064" s="2">
        <f t="shared" si="219"/>
        <v>0</v>
      </c>
      <c r="H14064" t="s">
        <v>6</v>
      </c>
    </row>
    <row r="14065" spans="2:8" x14ac:dyDescent="0.2">
      <c r="B14065" s="3">
        <v>45784</v>
      </c>
      <c r="C14065" s="3"/>
      <c r="D14065" s="6"/>
      <c r="E14065" s="2"/>
      <c r="F14065" s="2"/>
      <c r="G14065" s="2">
        <f t="shared" si="219"/>
        <v>0</v>
      </c>
      <c r="H14065" t="s">
        <v>5</v>
      </c>
    </row>
    <row r="14066" spans="2:8" x14ac:dyDescent="0.2">
      <c r="B14066" s="3">
        <v>45784</v>
      </c>
      <c r="C14066" s="3"/>
      <c r="D14066" s="6"/>
      <c r="E14066" s="2"/>
      <c r="F14066" s="2"/>
      <c r="G14066" s="2">
        <f t="shared" si="219"/>
        <v>0</v>
      </c>
      <c r="H14066" s="1"/>
    </row>
    <row r="14067" spans="2:8" x14ac:dyDescent="0.2">
      <c r="B14067" s="3">
        <v>45784</v>
      </c>
      <c r="C14067" s="3"/>
      <c r="D14067" s="2"/>
      <c r="E14067" s="2"/>
      <c r="F14067" s="2"/>
      <c r="G14067" s="2">
        <f t="shared" si="219"/>
        <v>0</v>
      </c>
      <c r="H14067" t="s">
        <v>0</v>
      </c>
    </row>
    <row r="14068" spans="2:8" x14ac:dyDescent="0.2">
      <c r="B14068" s="3">
        <v>45785</v>
      </c>
      <c r="C14068" s="2"/>
      <c r="D14068" s="2"/>
      <c r="E14068" s="2"/>
      <c r="F14068" s="2"/>
      <c r="G14068" s="2">
        <f t="shared" si="219"/>
        <v>0</v>
      </c>
      <c r="H14068" t="s">
        <v>14</v>
      </c>
    </row>
    <row r="14069" spans="2:8" x14ac:dyDescent="0.2">
      <c r="B14069" s="3">
        <v>45785</v>
      </c>
      <c r="C14069" s="2"/>
      <c r="D14069" s="2"/>
      <c r="E14069" s="2"/>
      <c r="F14069" s="2"/>
      <c r="G14069" s="2">
        <f t="shared" si="219"/>
        <v>0</v>
      </c>
      <c r="H14069" t="s">
        <v>13</v>
      </c>
    </row>
    <row r="14070" spans="2:8" x14ac:dyDescent="0.2">
      <c r="B14070" s="3">
        <v>45785</v>
      </c>
      <c r="C14070" s="3"/>
      <c r="D14070" s="6"/>
      <c r="E14070" s="2"/>
      <c r="F14070" s="2"/>
      <c r="G14070" s="2">
        <f t="shared" si="219"/>
        <v>0</v>
      </c>
      <c r="H14070" t="s">
        <v>11</v>
      </c>
    </row>
    <row r="14071" spans="2:8" x14ac:dyDescent="0.2">
      <c r="B14071" s="3">
        <v>45785</v>
      </c>
      <c r="C14071" s="3"/>
      <c r="D14071" s="6"/>
      <c r="E14071" s="2"/>
      <c r="F14071" s="2"/>
      <c r="G14071" s="2">
        <f t="shared" si="219"/>
        <v>0</v>
      </c>
      <c r="H14071" t="s">
        <v>10</v>
      </c>
    </row>
    <row r="14072" spans="2:8" x14ac:dyDescent="0.2">
      <c r="B14072" s="3">
        <v>45785</v>
      </c>
      <c r="C14072" s="3"/>
      <c r="D14072" s="6"/>
      <c r="E14072" s="2"/>
      <c r="F14072" s="2"/>
      <c r="G14072" s="2">
        <f t="shared" si="219"/>
        <v>0</v>
      </c>
      <c r="H14072" t="s">
        <v>9</v>
      </c>
    </row>
    <row r="14073" spans="2:8" x14ac:dyDescent="0.2">
      <c r="B14073" s="3">
        <v>45785</v>
      </c>
      <c r="C14073" s="2">
        <v>57</v>
      </c>
      <c r="D14073" s="6">
        <v>35548</v>
      </c>
      <c r="E14073" s="2">
        <v>39330</v>
      </c>
      <c r="F14073" s="2"/>
      <c r="G14073" s="2">
        <f t="shared" si="219"/>
        <v>39330</v>
      </c>
      <c r="H14073" t="s">
        <v>8</v>
      </c>
    </row>
    <row r="14074" spans="2:8" x14ac:dyDescent="0.2">
      <c r="B14074" s="3">
        <v>45785</v>
      </c>
      <c r="C14074" s="3"/>
      <c r="D14074" s="6"/>
      <c r="E14074" s="2"/>
      <c r="F14074" s="2"/>
      <c r="G14074" s="2">
        <f t="shared" si="219"/>
        <v>0</v>
      </c>
      <c r="H14074" t="s">
        <v>7</v>
      </c>
    </row>
    <row r="14075" spans="2:8" x14ac:dyDescent="0.2">
      <c r="B14075" s="3">
        <v>45785</v>
      </c>
      <c r="C14075" s="3"/>
      <c r="D14075" s="6"/>
      <c r="E14075" s="2"/>
      <c r="F14075" s="2"/>
      <c r="G14075" s="2">
        <f t="shared" si="219"/>
        <v>0</v>
      </c>
      <c r="H14075" t="s">
        <v>6</v>
      </c>
    </row>
    <row r="14076" spans="2:8" x14ac:dyDescent="0.2">
      <c r="B14076" s="3">
        <v>45785</v>
      </c>
      <c r="C14076" s="3"/>
      <c r="D14076" s="6"/>
      <c r="E14076" s="2"/>
      <c r="F14076" s="2"/>
      <c r="G14076" s="2">
        <f t="shared" si="219"/>
        <v>0</v>
      </c>
      <c r="H14076" t="s">
        <v>5</v>
      </c>
    </row>
    <row r="14077" spans="2:8" x14ac:dyDescent="0.2">
      <c r="B14077" s="3">
        <v>45785</v>
      </c>
      <c r="C14077" s="2">
        <v>58</v>
      </c>
      <c r="D14077" s="6">
        <v>3850</v>
      </c>
      <c r="E14077" s="2">
        <v>3950</v>
      </c>
      <c r="F14077" s="2">
        <v>3950</v>
      </c>
      <c r="G14077" s="2">
        <f t="shared" si="219"/>
        <v>0</v>
      </c>
      <c r="H14077" s="1" t="s">
        <v>3</v>
      </c>
    </row>
    <row r="14078" spans="2:8" x14ac:dyDescent="0.2">
      <c r="B14078" s="3">
        <v>45785</v>
      </c>
      <c r="C14078" s="3"/>
      <c r="D14078" s="2"/>
      <c r="E14078" s="2"/>
      <c r="F14078" s="2"/>
      <c r="G14078" s="2">
        <f t="shared" si="219"/>
        <v>0</v>
      </c>
      <c r="H14078" t="s">
        <v>0</v>
      </c>
    </row>
    <row r="14079" spans="2:8" x14ac:dyDescent="0.2">
      <c r="B14079" s="3">
        <v>45786</v>
      </c>
      <c r="C14079" s="2"/>
      <c r="D14079" s="2"/>
      <c r="E14079" s="2"/>
      <c r="F14079" s="2"/>
      <c r="G14079" s="2">
        <f t="shared" si="219"/>
        <v>0</v>
      </c>
      <c r="H14079" t="s">
        <v>14</v>
      </c>
    </row>
    <row r="14080" spans="2:8" x14ac:dyDescent="0.2">
      <c r="B14080" s="3">
        <v>45786</v>
      </c>
      <c r="C14080" s="2"/>
      <c r="D14080" s="2"/>
      <c r="E14080" s="2"/>
      <c r="F14080" s="2"/>
      <c r="G14080" s="2">
        <f t="shared" si="219"/>
        <v>0</v>
      </c>
      <c r="H14080" t="s">
        <v>13</v>
      </c>
    </row>
    <row r="14081" spans="2:8" x14ac:dyDescent="0.2">
      <c r="B14081" s="3">
        <v>45786</v>
      </c>
      <c r="C14081" s="3"/>
      <c r="D14081" s="6"/>
      <c r="E14081" s="2"/>
      <c r="F14081" s="2"/>
      <c r="G14081" s="2">
        <f t="shared" si="219"/>
        <v>0</v>
      </c>
      <c r="H14081" t="s">
        <v>11</v>
      </c>
    </row>
    <row r="14082" spans="2:8" x14ac:dyDescent="0.2">
      <c r="B14082" s="3">
        <v>45786</v>
      </c>
      <c r="C14082" s="3"/>
      <c r="D14082" s="6"/>
      <c r="E14082" s="2"/>
      <c r="F14082" s="2"/>
      <c r="G14082" s="2">
        <f t="shared" si="219"/>
        <v>0</v>
      </c>
      <c r="H14082" t="s">
        <v>10</v>
      </c>
    </row>
    <row r="14083" spans="2:8" x14ac:dyDescent="0.2">
      <c r="B14083" s="3">
        <v>45786</v>
      </c>
      <c r="C14083" s="3"/>
      <c r="D14083" s="6"/>
      <c r="E14083" s="2"/>
      <c r="F14083" s="2"/>
      <c r="G14083" s="2">
        <f t="shared" ref="G14083:G14146" si="220">E14083-F14083</f>
        <v>0</v>
      </c>
      <c r="H14083" t="s">
        <v>9</v>
      </c>
    </row>
    <row r="14084" spans="2:8" x14ac:dyDescent="0.2">
      <c r="B14084" s="3">
        <v>45786</v>
      </c>
      <c r="C14084" s="3"/>
      <c r="D14084" s="6"/>
      <c r="E14084" s="2"/>
      <c r="F14084" s="2"/>
      <c r="G14084" s="2">
        <f t="shared" si="220"/>
        <v>0</v>
      </c>
      <c r="H14084" t="s">
        <v>8</v>
      </c>
    </row>
    <row r="14085" spans="2:8" x14ac:dyDescent="0.2">
      <c r="B14085" s="3">
        <v>45786</v>
      </c>
      <c r="C14085" s="3"/>
      <c r="D14085" s="6"/>
      <c r="E14085" s="2"/>
      <c r="F14085" s="2"/>
      <c r="G14085" s="2">
        <f t="shared" si="220"/>
        <v>0</v>
      </c>
      <c r="H14085" t="s">
        <v>7</v>
      </c>
    </row>
    <row r="14086" spans="2:8" x14ac:dyDescent="0.2">
      <c r="B14086" s="3">
        <v>45786</v>
      </c>
      <c r="C14086" s="2">
        <v>59</v>
      </c>
      <c r="D14086" s="6">
        <v>10635</v>
      </c>
      <c r="E14086" s="2">
        <v>10930</v>
      </c>
      <c r="F14086" s="2"/>
      <c r="G14086" s="2">
        <f t="shared" si="220"/>
        <v>10930</v>
      </c>
      <c r="H14086" t="s">
        <v>6</v>
      </c>
    </row>
    <row r="14087" spans="2:8" x14ac:dyDescent="0.2">
      <c r="B14087" s="3">
        <v>45786</v>
      </c>
      <c r="C14087" s="3"/>
      <c r="D14087" s="6"/>
      <c r="E14087" s="2"/>
      <c r="F14087" s="2"/>
      <c r="G14087" s="2">
        <f t="shared" si="220"/>
        <v>0</v>
      </c>
      <c r="H14087" t="s">
        <v>5</v>
      </c>
    </row>
    <row r="14088" spans="2:8" x14ac:dyDescent="0.2">
      <c r="B14088" s="3">
        <v>45786</v>
      </c>
      <c r="C14088" s="3"/>
      <c r="D14088" s="6"/>
      <c r="E14088" s="2"/>
      <c r="F14088" s="2"/>
      <c r="G14088" s="2">
        <f t="shared" si="220"/>
        <v>0</v>
      </c>
      <c r="H14088" s="1"/>
    </row>
    <row r="14089" spans="2:8" x14ac:dyDescent="0.2">
      <c r="B14089" s="3">
        <v>45786</v>
      </c>
      <c r="C14089" s="3"/>
      <c r="D14089" s="2"/>
      <c r="E14089" s="2"/>
      <c r="F14089" s="2">
        <v>40000</v>
      </c>
      <c r="G14089" s="2">
        <f t="shared" si="220"/>
        <v>-40000</v>
      </c>
      <c r="H14089" t="s">
        <v>0</v>
      </c>
    </row>
    <row r="14090" spans="2:8" x14ac:dyDescent="0.2">
      <c r="B14090" s="3">
        <v>45787</v>
      </c>
      <c r="C14090" s="2"/>
      <c r="D14090" s="2"/>
      <c r="E14090" s="2"/>
      <c r="F14090" s="2"/>
      <c r="G14090" s="2">
        <f t="shared" si="220"/>
        <v>0</v>
      </c>
      <c r="H14090" t="s">
        <v>14</v>
      </c>
    </row>
    <row r="14091" spans="2:8" x14ac:dyDescent="0.2">
      <c r="B14091" s="3">
        <v>45787</v>
      </c>
      <c r="C14091" s="2"/>
      <c r="D14091" s="2"/>
      <c r="E14091" s="2"/>
      <c r="F14091" s="2"/>
      <c r="G14091" s="2">
        <f t="shared" si="220"/>
        <v>0</v>
      </c>
      <c r="H14091" t="s">
        <v>13</v>
      </c>
    </row>
    <row r="14092" spans="2:8" x14ac:dyDescent="0.2">
      <c r="B14092" s="3">
        <v>45787</v>
      </c>
      <c r="C14092" s="3"/>
      <c r="D14092" s="6"/>
      <c r="E14092" s="2"/>
      <c r="F14092" s="2"/>
      <c r="G14092" s="2">
        <f t="shared" si="220"/>
        <v>0</v>
      </c>
      <c r="H14092" t="s">
        <v>11</v>
      </c>
    </row>
    <row r="14093" spans="2:8" x14ac:dyDescent="0.2">
      <c r="B14093" s="3">
        <v>45787</v>
      </c>
      <c r="C14093" s="3"/>
      <c r="D14093" s="6"/>
      <c r="E14093" s="2"/>
      <c r="F14093" s="2"/>
      <c r="G14093" s="2">
        <f t="shared" si="220"/>
        <v>0</v>
      </c>
      <c r="H14093" t="s">
        <v>10</v>
      </c>
    </row>
    <row r="14094" spans="2:8" x14ac:dyDescent="0.2">
      <c r="B14094" s="3">
        <v>45787</v>
      </c>
      <c r="C14094" s="3"/>
      <c r="D14094" s="6"/>
      <c r="E14094" s="2"/>
      <c r="F14094" s="2"/>
      <c r="G14094" s="2">
        <f t="shared" si="220"/>
        <v>0</v>
      </c>
      <c r="H14094" t="s">
        <v>9</v>
      </c>
    </row>
    <row r="14095" spans="2:8" x14ac:dyDescent="0.2">
      <c r="B14095" s="3">
        <v>45787</v>
      </c>
      <c r="C14095" s="3"/>
      <c r="D14095" s="6"/>
      <c r="E14095" s="2"/>
      <c r="F14095" s="2"/>
      <c r="G14095" s="2">
        <f t="shared" si="220"/>
        <v>0</v>
      </c>
      <c r="H14095" t="s">
        <v>8</v>
      </c>
    </row>
    <row r="14096" spans="2:8" x14ac:dyDescent="0.2">
      <c r="B14096" s="3">
        <v>45787</v>
      </c>
      <c r="C14096" s="3"/>
      <c r="D14096" s="6"/>
      <c r="E14096" s="2"/>
      <c r="F14096" s="2"/>
      <c r="G14096" s="2">
        <f t="shared" si="220"/>
        <v>0</v>
      </c>
      <c r="H14096" t="s">
        <v>7</v>
      </c>
    </row>
    <row r="14097" spans="2:8" x14ac:dyDescent="0.2">
      <c r="B14097" s="3">
        <v>45787</v>
      </c>
      <c r="C14097" s="3"/>
      <c r="D14097" s="6"/>
      <c r="E14097" s="2"/>
      <c r="F14097" s="2">
        <v>6000</v>
      </c>
      <c r="G14097" s="2">
        <f t="shared" si="220"/>
        <v>-6000</v>
      </c>
      <c r="H14097" t="s">
        <v>6</v>
      </c>
    </row>
    <row r="14098" spans="2:8" x14ac:dyDescent="0.2">
      <c r="B14098" s="3">
        <v>45787</v>
      </c>
      <c r="C14098" s="3"/>
      <c r="D14098" s="6"/>
      <c r="E14098" s="2"/>
      <c r="F14098" s="2"/>
      <c r="G14098" s="2">
        <f t="shared" si="220"/>
        <v>0</v>
      </c>
      <c r="H14098" t="s">
        <v>5</v>
      </c>
    </row>
    <row r="14099" spans="2:8" x14ac:dyDescent="0.2">
      <c r="B14099" s="3">
        <v>45787</v>
      </c>
      <c r="C14099" s="3"/>
      <c r="D14099" s="6"/>
      <c r="E14099" s="2"/>
      <c r="F14099" s="2"/>
      <c r="G14099" s="2">
        <f t="shared" si="220"/>
        <v>0</v>
      </c>
      <c r="H14099" s="1"/>
    </row>
    <row r="14100" spans="2:8" x14ac:dyDescent="0.2">
      <c r="B14100" s="3">
        <v>45787</v>
      </c>
      <c r="C14100" s="3"/>
      <c r="D14100" s="2"/>
      <c r="E14100" s="2"/>
      <c r="F14100" s="2"/>
      <c r="G14100" s="2">
        <f t="shared" si="220"/>
        <v>0</v>
      </c>
      <c r="H14100" t="s">
        <v>0</v>
      </c>
    </row>
    <row r="14101" spans="2:8" x14ac:dyDescent="0.2">
      <c r="B14101" s="3">
        <v>45788</v>
      </c>
      <c r="C14101" s="2"/>
      <c r="D14101" s="2"/>
      <c r="E14101" s="2"/>
      <c r="F14101" s="2"/>
      <c r="G14101" s="2">
        <f t="shared" si="220"/>
        <v>0</v>
      </c>
      <c r="H14101" t="s">
        <v>14</v>
      </c>
    </row>
    <row r="14102" spans="2:8" x14ac:dyDescent="0.2">
      <c r="B14102" s="3">
        <v>45788</v>
      </c>
      <c r="C14102" s="2"/>
      <c r="D14102" s="2"/>
      <c r="E14102" s="2"/>
      <c r="F14102" s="2"/>
      <c r="G14102" s="2">
        <f t="shared" si="220"/>
        <v>0</v>
      </c>
      <c r="H14102" t="s">
        <v>13</v>
      </c>
    </row>
    <row r="14103" spans="2:8" x14ac:dyDescent="0.2">
      <c r="B14103" s="3">
        <v>45788</v>
      </c>
      <c r="C14103" s="3"/>
      <c r="D14103" s="6"/>
      <c r="E14103" s="2"/>
      <c r="F14103" s="2"/>
      <c r="G14103" s="2">
        <f t="shared" si="220"/>
        <v>0</v>
      </c>
      <c r="H14103" t="s">
        <v>11</v>
      </c>
    </row>
    <row r="14104" spans="2:8" x14ac:dyDescent="0.2">
      <c r="B14104" s="3">
        <v>45788</v>
      </c>
      <c r="C14104" s="3"/>
      <c r="D14104" s="6"/>
      <c r="E14104" s="2"/>
      <c r="F14104" s="2"/>
      <c r="G14104" s="2">
        <f t="shared" si="220"/>
        <v>0</v>
      </c>
      <c r="H14104" t="s">
        <v>10</v>
      </c>
    </row>
    <row r="14105" spans="2:8" x14ac:dyDescent="0.2">
      <c r="B14105" s="3">
        <v>45788</v>
      </c>
      <c r="C14105" s="3"/>
      <c r="D14105" s="6"/>
      <c r="E14105" s="2"/>
      <c r="F14105" s="2"/>
      <c r="G14105" s="2">
        <f t="shared" si="220"/>
        <v>0</v>
      </c>
      <c r="H14105" t="s">
        <v>9</v>
      </c>
    </row>
    <row r="14106" spans="2:8" x14ac:dyDescent="0.2">
      <c r="B14106" s="3">
        <v>45788</v>
      </c>
      <c r="C14106" s="3"/>
      <c r="D14106" s="6"/>
      <c r="E14106" s="2"/>
      <c r="F14106" s="2"/>
      <c r="G14106" s="2">
        <f t="shared" si="220"/>
        <v>0</v>
      </c>
      <c r="H14106" t="s">
        <v>8</v>
      </c>
    </row>
    <row r="14107" spans="2:8" x14ac:dyDescent="0.2">
      <c r="B14107" s="3">
        <v>45788</v>
      </c>
      <c r="C14107" s="3"/>
      <c r="D14107" s="6"/>
      <c r="E14107" s="2"/>
      <c r="F14107" s="2">
        <v>1320</v>
      </c>
      <c r="G14107" s="2">
        <f t="shared" si="220"/>
        <v>-1320</v>
      </c>
      <c r="H14107" t="s">
        <v>7</v>
      </c>
    </row>
    <row r="14108" spans="2:8" x14ac:dyDescent="0.2">
      <c r="B14108" s="3">
        <v>45788</v>
      </c>
      <c r="C14108" s="3"/>
      <c r="D14108" s="6"/>
      <c r="E14108" s="2"/>
      <c r="F14108" s="2"/>
      <c r="G14108" s="2">
        <f t="shared" si="220"/>
        <v>0</v>
      </c>
      <c r="H14108" t="s">
        <v>6</v>
      </c>
    </row>
    <row r="14109" spans="2:8" x14ac:dyDescent="0.2">
      <c r="B14109" s="3">
        <v>45788</v>
      </c>
      <c r="C14109" s="3"/>
      <c r="D14109" s="6"/>
      <c r="E14109" s="2"/>
      <c r="F14109" s="2"/>
      <c r="G14109" s="2">
        <f t="shared" si="220"/>
        <v>0</v>
      </c>
      <c r="H14109" t="s">
        <v>5</v>
      </c>
    </row>
    <row r="14110" spans="2:8" x14ac:dyDescent="0.2">
      <c r="B14110" s="3">
        <v>45788</v>
      </c>
      <c r="C14110" s="3"/>
      <c r="D14110" s="6"/>
      <c r="E14110" s="2"/>
      <c r="F14110" s="2"/>
      <c r="G14110" s="2">
        <f t="shared" si="220"/>
        <v>0</v>
      </c>
      <c r="H14110" s="1"/>
    </row>
    <row r="14111" spans="2:8" x14ac:dyDescent="0.2">
      <c r="B14111" s="3">
        <v>45788</v>
      </c>
      <c r="C14111" s="3"/>
      <c r="D14111" s="2"/>
      <c r="E14111" s="2"/>
      <c r="F14111" s="2"/>
      <c r="G14111" s="2">
        <f t="shared" si="220"/>
        <v>0</v>
      </c>
      <c r="H14111" t="s">
        <v>0</v>
      </c>
    </row>
    <row r="14112" spans="2:8" x14ac:dyDescent="0.2">
      <c r="B14112" s="3">
        <v>45789</v>
      </c>
      <c r="C14112" s="2"/>
      <c r="D14112" s="2"/>
      <c r="E14112" s="2"/>
      <c r="F14112" s="2">
        <v>15000</v>
      </c>
      <c r="G14112" s="2">
        <f t="shared" si="220"/>
        <v>-15000</v>
      </c>
      <c r="H14112" t="s">
        <v>14</v>
      </c>
    </row>
    <row r="14113" spans="2:8" x14ac:dyDescent="0.2">
      <c r="B14113" s="3">
        <v>45789</v>
      </c>
      <c r="C14113" s="2"/>
      <c r="D14113" s="2"/>
      <c r="E14113" s="2"/>
      <c r="F14113" s="2"/>
      <c r="G14113" s="2">
        <f t="shared" si="220"/>
        <v>0</v>
      </c>
      <c r="H14113" t="s">
        <v>13</v>
      </c>
    </row>
    <row r="14114" spans="2:8" x14ac:dyDescent="0.2">
      <c r="B14114" s="3">
        <v>45789</v>
      </c>
      <c r="C14114" s="2">
        <v>60</v>
      </c>
      <c r="D14114" s="6">
        <v>14575</v>
      </c>
      <c r="E14114" s="12">
        <v>15225</v>
      </c>
      <c r="F14114" s="2">
        <v>18859</v>
      </c>
      <c r="G14114" s="2">
        <f t="shared" si="220"/>
        <v>-3634</v>
      </c>
      <c r="H14114" t="s">
        <v>11</v>
      </c>
    </row>
    <row r="14115" spans="2:8" x14ac:dyDescent="0.2">
      <c r="B14115" s="3">
        <v>45789</v>
      </c>
      <c r="C14115" s="3"/>
      <c r="D14115" s="6"/>
      <c r="E14115" s="2"/>
      <c r="F14115" s="2"/>
      <c r="G14115" s="2">
        <f t="shared" si="220"/>
        <v>0</v>
      </c>
      <c r="H14115" t="s">
        <v>10</v>
      </c>
    </row>
    <row r="14116" spans="2:8" x14ac:dyDescent="0.2">
      <c r="B14116" s="3">
        <v>45789</v>
      </c>
      <c r="C14116" s="3"/>
      <c r="D14116" s="6"/>
      <c r="E14116" s="2"/>
      <c r="F14116" s="2"/>
      <c r="G14116" s="2">
        <f t="shared" si="220"/>
        <v>0</v>
      </c>
      <c r="H14116" t="s">
        <v>9</v>
      </c>
    </row>
    <row r="14117" spans="2:8" x14ac:dyDescent="0.2">
      <c r="B14117" s="3">
        <v>45789</v>
      </c>
      <c r="C14117" s="3"/>
      <c r="D14117" s="6"/>
      <c r="E14117" s="2"/>
      <c r="F14117" s="2"/>
      <c r="G14117" s="2">
        <f t="shared" si="220"/>
        <v>0</v>
      </c>
      <c r="H14117" t="s">
        <v>8</v>
      </c>
    </row>
    <row r="14118" spans="2:8" x14ac:dyDescent="0.2">
      <c r="B14118" s="3">
        <v>45789</v>
      </c>
      <c r="C14118" s="3"/>
      <c r="D14118" s="6"/>
      <c r="E14118" s="2"/>
      <c r="F14118" s="2">
        <v>11</v>
      </c>
      <c r="G14118" s="2">
        <f t="shared" si="220"/>
        <v>-11</v>
      </c>
      <c r="H14118" t="s">
        <v>7</v>
      </c>
    </row>
    <row r="14119" spans="2:8" x14ac:dyDescent="0.2">
      <c r="B14119" s="3">
        <v>45789</v>
      </c>
      <c r="C14119" s="3"/>
      <c r="D14119" s="6"/>
      <c r="E14119" s="2"/>
      <c r="F14119" s="2"/>
      <c r="G14119" s="2">
        <f t="shared" si="220"/>
        <v>0</v>
      </c>
      <c r="H14119" t="s">
        <v>6</v>
      </c>
    </row>
    <row r="14120" spans="2:8" x14ac:dyDescent="0.2">
      <c r="B14120" s="3">
        <v>45789</v>
      </c>
      <c r="C14120" s="3"/>
      <c r="D14120" s="6"/>
      <c r="E14120" s="2"/>
      <c r="F14120" s="2"/>
      <c r="G14120" s="2">
        <f t="shared" si="220"/>
        <v>0</v>
      </c>
      <c r="H14120" t="s">
        <v>5</v>
      </c>
    </row>
    <row r="14121" spans="2:8" x14ac:dyDescent="0.2">
      <c r="B14121" s="3">
        <v>45789</v>
      </c>
      <c r="C14121" s="3"/>
      <c r="D14121" s="6"/>
      <c r="E14121" s="2"/>
      <c r="F14121" s="2"/>
      <c r="G14121" s="2">
        <f t="shared" si="220"/>
        <v>0</v>
      </c>
      <c r="H14121" s="1"/>
    </row>
    <row r="14122" spans="2:8" x14ac:dyDescent="0.2">
      <c r="B14122" s="3">
        <v>45789</v>
      </c>
      <c r="C14122" s="3"/>
      <c r="D14122" s="2"/>
      <c r="E14122" s="2"/>
      <c r="F14122" s="2">
        <v>35000</v>
      </c>
      <c r="G14122" s="2">
        <f t="shared" si="220"/>
        <v>-35000</v>
      </c>
      <c r="H14122" t="s">
        <v>0</v>
      </c>
    </row>
    <row r="14123" spans="2:8" x14ac:dyDescent="0.2">
      <c r="B14123" s="3">
        <v>45790</v>
      </c>
      <c r="C14123" s="2">
        <v>61</v>
      </c>
      <c r="D14123" s="2">
        <v>28400</v>
      </c>
      <c r="E14123" s="2">
        <v>30000</v>
      </c>
      <c r="F14123" s="2"/>
      <c r="G14123" s="2">
        <f t="shared" si="220"/>
        <v>30000</v>
      </c>
      <c r="H14123" t="s">
        <v>14</v>
      </c>
    </row>
    <row r="14124" spans="2:8" x14ac:dyDescent="0.2">
      <c r="B14124" s="3">
        <v>45790</v>
      </c>
      <c r="C14124" s="2"/>
      <c r="D14124" s="2"/>
      <c r="E14124" s="2"/>
      <c r="F14124" s="2"/>
      <c r="G14124" s="2">
        <f t="shared" si="220"/>
        <v>0</v>
      </c>
      <c r="H14124" t="s">
        <v>13</v>
      </c>
    </row>
    <row r="14125" spans="2:8" x14ac:dyDescent="0.2">
      <c r="B14125" s="3">
        <v>45790</v>
      </c>
      <c r="C14125" s="3"/>
      <c r="D14125" s="6"/>
      <c r="E14125" s="2"/>
      <c r="F14125" s="2"/>
      <c r="G14125" s="2">
        <f t="shared" si="220"/>
        <v>0</v>
      </c>
      <c r="H14125" t="s">
        <v>11</v>
      </c>
    </row>
    <row r="14126" spans="2:8" x14ac:dyDescent="0.2">
      <c r="B14126" s="3">
        <v>45790</v>
      </c>
      <c r="C14126" s="3"/>
      <c r="D14126" s="6"/>
      <c r="E14126" s="2"/>
      <c r="F14126" s="2"/>
      <c r="G14126" s="2">
        <f t="shared" si="220"/>
        <v>0</v>
      </c>
      <c r="H14126" t="s">
        <v>10</v>
      </c>
    </row>
    <row r="14127" spans="2:8" x14ac:dyDescent="0.2">
      <c r="B14127" s="3">
        <v>45790</v>
      </c>
      <c r="C14127" s="3"/>
      <c r="D14127" s="6"/>
      <c r="E14127" s="2"/>
      <c r="F14127" s="2"/>
      <c r="G14127" s="2">
        <f t="shared" si="220"/>
        <v>0</v>
      </c>
      <c r="H14127" t="s">
        <v>9</v>
      </c>
    </row>
    <row r="14128" spans="2:8" x14ac:dyDescent="0.2">
      <c r="B14128" s="3">
        <v>45790</v>
      </c>
      <c r="C14128" s="3"/>
      <c r="D14128" s="6"/>
      <c r="E14128" s="2"/>
      <c r="F14128" s="2"/>
      <c r="G14128" s="2">
        <f t="shared" si="220"/>
        <v>0</v>
      </c>
      <c r="H14128" t="s">
        <v>8</v>
      </c>
    </row>
    <row r="14129" spans="2:8" x14ac:dyDescent="0.2">
      <c r="B14129" s="3">
        <v>45790</v>
      </c>
      <c r="C14129" s="3"/>
      <c r="D14129" s="6"/>
      <c r="E14129" s="2"/>
      <c r="F14129" s="2"/>
      <c r="G14129" s="2">
        <f t="shared" si="220"/>
        <v>0</v>
      </c>
      <c r="H14129" t="s">
        <v>7</v>
      </c>
    </row>
    <row r="14130" spans="2:8" x14ac:dyDescent="0.2">
      <c r="B14130" s="3">
        <v>45790</v>
      </c>
      <c r="C14130" s="3"/>
      <c r="D14130" s="6"/>
      <c r="E14130" s="2"/>
      <c r="F14130" s="2"/>
      <c r="G14130" s="2">
        <f t="shared" si="220"/>
        <v>0</v>
      </c>
      <c r="H14130" t="s">
        <v>6</v>
      </c>
    </row>
    <row r="14131" spans="2:8" x14ac:dyDescent="0.2">
      <c r="B14131" s="3">
        <v>45790</v>
      </c>
      <c r="C14131" s="3"/>
      <c r="D14131" s="6"/>
      <c r="E14131" s="2"/>
      <c r="F14131" s="2"/>
      <c r="G14131" s="2">
        <f t="shared" si="220"/>
        <v>0</v>
      </c>
      <c r="H14131" t="s">
        <v>5</v>
      </c>
    </row>
    <row r="14132" spans="2:8" x14ac:dyDescent="0.2">
      <c r="B14132" s="3">
        <v>45790</v>
      </c>
      <c r="C14132" s="3"/>
      <c r="D14132" s="6"/>
      <c r="E14132" s="2"/>
      <c r="F14132" s="2"/>
      <c r="G14132" s="2">
        <f t="shared" si="220"/>
        <v>0</v>
      </c>
      <c r="H14132" s="1"/>
    </row>
    <row r="14133" spans="2:8" x14ac:dyDescent="0.2">
      <c r="B14133" s="3">
        <v>45790</v>
      </c>
      <c r="C14133" s="3"/>
      <c r="D14133" s="2"/>
      <c r="E14133" s="2"/>
      <c r="F14133" s="2"/>
      <c r="G14133" s="2">
        <f t="shared" si="220"/>
        <v>0</v>
      </c>
      <c r="H14133" t="s">
        <v>0</v>
      </c>
    </row>
    <row r="14134" spans="2:8" x14ac:dyDescent="0.2">
      <c r="B14134" s="3">
        <v>45791</v>
      </c>
      <c r="C14134" s="2"/>
      <c r="D14134" s="2"/>
      <c r="E14134" s="2"/>
      <c r="F14134" s="2"/>
      <c r="G14134" s="2">
        <f t="shared" si="220"/>
        <v>0</v>
      </c>
      <c r="H14134" t="s">
        <v>14</v>
      </c>
    </row>
    <row r="14135" spans="2:8" x14ac:dyDescent="0.2">
      <c r="B14135" s="3">
        <v>45791</v>
      </c>
      <c r="C14135" s="2"/>
      <c r="D14135" s="2"/>
      <c r="E14135" s="2"/>
      <c r="F14135" s="2"/>
      <c r="G14135" s="2">
        <f t="shared" si="220"/>
        <v>0</v>
      </c>
      <c r="H14135" t="s">
        <v>13</v>
      </c>
    </row>
    <row r="14136" spans="2:8" x14ac:dyDescent="0.2">
      <c r="B14136" s="3">
        <v>45791</v>
      </c>
      <c r="C14136" s="3"/>
      <c r="D14136" s="6"/>
      <c r="E14136" s="2"/>
      <c r="F14136" s="2"/>
      <c r="G14136" s="2">
        <f t="shared" si="220"/>
        <v>0</v>
      </c>
      <c r="H14136" t="s">
        <v>11</v>
      </c>
    </row>
    <row r="14137" spans="2:8" x14ac:dyDescent="0.2">
      <c r="B14137" s="3">
        <v>45791</v>
      </c>
      <c r="C14137" s="3"/>
      <c r="D14137" s="6"/>
      <c r="E14137" s="2"/>
      <c r="F14137" s="2"/>
      <c r="G14137" s="2">
        <f t="shared" si="220"/>
        <v>0</v>
      </c>
      <c r="H14137" t="s">
        <v>10</v>
      </c>
    </row>
    <row r="14138" spans="2:8" x14ac:dyDescent="0.2">
      <c r="B14138" s="3">
        <v>45791</v>
      </c>
      <c r="C14138" s="3"/>
      <c r="D14138" s="6"/>
      <c r="E14138" s="2"/>
      <c r="F14138" s="2"/>
      <c r="G14138" s="2">
        <f t="shared" si="220"/>
        <v>0</v>
      </c>
      <c r="H14138" t="s">
        <v>9</v>
      </c>
    </row>
    <row r="14139" spans="2:8" x14ac:dyDescent="0.2">
      <c r="B14139" s="3">
        <v>45791</v>
      </c>
      <c r="C14139" s="3"/>
      <c r="D14139" s="6"/>
      <c r="E14139" s="2"/>
      <c r="F14139" s="2">
        <v>25000</v>
      </c>
      <c r="G14139" s="2">
        <f t="shared" si="220"/>
        <v>-25000</v>
      </c>
      <c r="H14139" t="s">
        <v>8</v>
      </c>
    </row>
    <row r="14140" spans="2:8" x14ac:dyDescent="0.2">
      <c r="B14140" s="3">
        <v>45791</v>
      </c>
      <c r="C14140" s="3"/>
      <c r="D14140" s="6"/>
      <c r="E14140" s="2"/>
      <c r="F14140" s="2"/>
      <c r="G14140" s="2">
        <f t="shared" si="220"/>
        <v>0</v>
      </c>
      <c r="H14140" t="s">
        <v>7</v>
      </c>
    </row>
    <row r="14141" spans="2:8" x14ac:dyDescent="0.2">
      <c r="B14141" s="3">
        <v>45791</v>
      </c>
      <c r="C14141" s="3"/>
      <c r="D14141" s="6"/>
      <c r="E14141" s="2"/>
      <c r="F14141" s="2"/>
      <c r="G14141" s="2">
        <f t="shared" si="220"/>
        <v>0</v>
      </c>
      <c r="H14141" t="s">
        <v>6</v>
      </c>
    </row>
    <row r="14142" spans="2:8" x14ac:dyDescent="0.2">
      <c r="B14142" s="3">
        <v>45791</v>
      </c>
      <c r="C14142" s="3"/>
      <c r="D14142" s="6"/>
      <c r="E14142" s="2"/>
      <c r="F14142" s="2"/>
      <c r="G14142" s="2">
        <f t="shared" si="220"/>
        <v>0</v>
      </c>
      <c r="H14142" t="s">
        <v>5</v>
      </c>
    </row>
    <row r="14143" spans="2:8" x14ac:dyDescent="0.2">
      <c r="B14143" s="3">
        <v>45791</v>
      </c>
      <c r="C14143" s="3"/>
      <c r="D14143" s="6"/>
      <c r="E14143" s="2"/>
      <c r="F14143" s="2"/>
      <c r="G14143" s="2">
        <f t="shared" si="220"/>
        <v>0</v>
      </c>
      <c r="H14143" s="1"/>
    </row>
    <row r="14144" spans="2:8" x14ac:dyDescent="0.2">
      <c r="B14144" s="3">
        <v>45791</v>
      </c>
      <c r="C14144" s="3"/>
      <c r="D14144" s="2"/>
      <c r="E14144" s="2"/>
      <c r="F14144" s="2"/>
      <c r="G14144" s="2">
        <f t="shared" si="220"/>
        <v>0</v>
      </c>
      <c r="H14144" t="s">
        <v>0</v>
      </c>
    </row>
    <row r="14145" spans="2:8" x14ac:dyDescent="0.2">
      <c r="B14145" s="3">
        <v>45792</v>
      </c>
      <c r="C14145" s="2"/>
      <c r="D14145" s="2"/>
      <c r="E14145" s="2"/>
      <c r="F14145" s="2"/>
      <c r="G14145" s="2">
        <f t="shared" si="220"/>
        <v>0</v>
      </c>
      <c r="H14145" t="s">
        <v>14</v>
      </c>
    </row>
    <row r="14146" spans="2:8" x14ac:dyDescent="0.2">
      <c r="B14146" s="3">
        <v>45792</v>
      </c>
      <c r="C14146" s="2"/>
      <c r="D14146" s="2"/>
      <c r="E14146" s="2"/>
      <c r="F14146" s="2"/>
      <c r="G14146" s="2">
        <f t="shared" si="220"/>
        <v>0</v>
      </c>
      <c r="H14146" t="s">
        <v>13</v>
      </c>
    </row>
    <row r="14147" spans="2:8" x14ac:dyDescent="0.2">
      <c r="B14147" s="3">
        <v>45792</v>
      </c>
      <c r="C14147" s="3"/>
      <c r="D14147" s="6"/>
      <c r="E14147" s="2"/>
      <c r="F14147" s="2"/>
      <c r="G14147" s="2">
        <f t="shared" ref="G14147:G14210" si="221">E14147-F14147</f>
        <v>0</v>
      </c>
      <c r="H14147" t="s">
        <v>11</v>
      </c>
    </row>
    <row r="14148" spans="2:8" x14ac:dyDescent="0.2">
      <c r="B14148" s="3">
        <v>45792</v>
      </c>
      <c r="C14148" s="3"/>
      <c r="D14148" s="6"/>
      <c r="E14148" s="2"/>
      <c r="F14148" s="2"/>
      <c r="G14148" s="2">
        <f t="shared" si="221"/>
        <v>0</v>
      </c>
      <c r="H14148" t="s">
        <v>10</v>
      </c>
    </row>
    <row r="14149" spans="2:8" x14ac:dyDescent="0.2">
      <c r="B14149" s="3">
        <v>45792</v>
      </c>
      <c r="C14149" s="3"/>
      <c r="D14149" s="6"/>
      <c r="E14149" s="2"/>
      <c r="F14149" s="2"/>
      <c r="G14149" s="2">
        <f t="shared" si="221"/>
        <v>0</v>
      </c>
      <c r="H14149" t="s">
        <v>9</v>
      </c>
    </row>
    <row r="14150" spans="2:8" x14ac:dyDescent="0.2">
      <c r="B14150" s="3">
        <v>45792</v>
      </c>
      <c r="C14150" s="3"/>
      <c r="D14150" s="6"/>
      <c r="E14150" s="2"/>
      <c r="F14150" s="2"/>
      <c r="G14150" s="2">
        <f t="shared" si="221"/>
        <v>0</v>
      </c>
      <c r="H14150" t="s">
        <v>8</v>
      </c>
    </row>
    <row r="14151" spans="2:8" x14ac:dyDescent="0.2">
      <c r="B14151" s="3">
        <v>45792</v>
      </c>
      <c r="C14151" s="3"/>
      <c r="D14151" s="6"/>
      <c r="E14151" s="2"/>
      <c r="F14151" s="2"/>
      <c r="G14151" s="2">
        <f t="shared" si="221"/>
        <v>0</v>
      </c>
      <c r="H14151" t="s">
        <v>7</v>
      </c>
    </row>
    <row r="14152" spans="2:8" x14ac:dyDescent="0.2">
      <c r="B14152" s="3">
        <v>45792</v>
      </c>
      <c r="C14152" s="3"/>
      <c r="D14152" s="6"/>
      <c r="E14152" s="2"/>
      <c r="F14152" s="2">
        <v>7000</v>
      </c>
      <c r="G14152" s="2">
        <f t="shared" si="221"/>
        <v>-7000</v>
      </c>
      <c r="H14152" t="s">
        <v>6</v>
      </c>
    </row>
    <row r="14153" spans="2:8" x14ac:dyDescent="0.2">
      <c r="B14153" s="3">
        <v>45792</v>
      </c>
      <c r="C14153" s="3"/>
      <c r="D14153" s="6"/>
      <c r="E14153" s="2"/>
      <c r="F14153" s="2"/>
      <c r="G14153" s="2">
        <f t="shared" si="221"/>
        <v>0</v>
      </c>
      <c r="H14153" t="s">
        <v>5</v>
      </c>
    </row>
    <row r="14154" spans="2:8" x14ac:dyDescent="0.2">
      <c r="B14154" s="3">
        <v>45792</v>
      </c>
      <c r="C14154" s="3"/>
      <c r="D14154" s="6"/>
      <c r="E14154" s="2"/>
      <c r="F14154" s="2"/>
      <c r="G14154" s="2">
        <f t="shared" si="221"/>
        <v>0</v>
      </c>
      <c r="H14154" s="1"/>
    </row>
    <row r="14155" spans="2:8" x14ac:dyDescent="0.2">
      <c r="B14155" s="3">
        <v>45792</v>
      </c>
      <c r="C14155" s="3"/>
      <c r="D14155" s="2"/>
      <c r="E14155" s="2"/>
      <c r="F14155" s="2">
        <v>40000</v>
      </c>
      <c r="G14155" s="2">
        <f t="shared" si="221"/>
        <v>-40000</v>
      </c>
      <c r="H14155" t="s">
        <v>0</v>
      </c>
    </row>
    <row r="14156" spans="2:8" x14ac:dyDescent="0.2">
      <c r="B14156" s="3">
        <v>45793</v>
      </c>
      <c r="C14156" s="2"/>
      <c r="D14156" s="2"/>
      <c r="E14156" s="2"/>
      <c r="F14156" s="2"/>
      <c r="G14156" s="2">
        <f t="shared" si="221"/>
        <v>0</v>
      </c>
      <c r="H14156" t="s">
        <v>14</v>
      </c>
    </row>
    <row r="14157" spans="2:8" x14ac:dyDescent="0.2">
      <c r="B14157" s="3">
        <v>45793</v>
      </c>
      <c r="C14157" s="2"/>
      <c r="D14157" s="2"/>
      <c r="E14157" s="2"/>
      <c r="F14157" s="2"/>
      <c r="G14157" s="2">
        <f t="shared" si="221"/>
        <v>0</v>
      </c>
      <c r="H14157" t="s">
        <v>13</v>
      </c>
    </row>
    <row r="14158" spans="2:8" x14ac:dyDescent="0.2">
      <c r="B14158" s="3">
        <v>45793</v>
      </c>
      <c r="C14158" s="3"/>
      <c r="D14158" s="6"/>
      <c r="E14158" s="2"/>
      <c r="F14158" s="2"/>
      <c r="G14158" s="2">
        <f t="shared" si="221"/>
        <v>0</v>
      </c>
      <c r="H14158" t="s">
        <v>11</v>
      </c>
    </row>
    <row r="14159" spans="2:8" x14ac:dyDescent="0.2">
      <c r="B14159" s="3">
        <v>45793</v>
      </c>
      <c r="C14159" s="3"/>
      <c r="D14159" s="6"/>
      <c r="E14159" s="2"/>
      <c r="F14159" s="2"/>
      <c r="G14159" s="2">
        <f t="shared" si="221"/>
        <v>0</v>
      </c>
      <c r="H14159" t="s">
        <v>10</v>
      </c>
    </row>
    <row r="14160" spans="2:8" x14ac:dyDescent="0.2">
      <c r="B14160" s="3">
        <v>45793</v>
      </c>
      <c r="C14160" s="3"/>
      <c r="D14160" s="6"/>
      <c r="E14160" s="2"/>
      <c r="F14160" s="2"/>
      <c r="G14160" s="2">
        <f t="shared" si="221"/>
        <v>0</v>
      </c>
      <c r="H14160" t="s">
        <v>9</v>
      </c>
    </row>
    <row r="14161" spans="2:8" x14ac:dyDescent="0.2">
      <c r="B14161" s="3">
        <v>45793</v>
      </c>
      <c r="C14161" s="3"/>
      <c r="D14161" s="6"/>
      <c r="E14161" s="2"/>
      <c r="F14161" s="2"/>
      <c r="G14161" s="2">
        <f t="shared" si="221"/>
        <v>0</v>
      </c>
      <c r="H14161" t="s">
        <v>8</v>
      </c>
    </row>
    <row r="14162" spans="2:8" x14ac:dyDescent="0.2">
      <c r="B14162" s="3">
        <v>45793</v>
      </c>
      <c r="C14162" s="3"/>
      <c r="D14162" s="6"/>
      <c r="E14162" s="2"/>
      <c r="F14162" s="2"/>
      <c r="G14162" s="2">
        <f t="shared" si="221"/>
        <v>0</v>
      </c>
      <c r="H14162" t="s">
        <v>7</v>
      </c>
    </row>
    <row r="14163" spans="2:8" x14ac:dyDescent="0.2">
      <c r="B14163" s="3">
        <v>45793</v>
      </c>
      <c r="C14163" s="3"/>
      <c r="D14163" s="6"/>
      <c r="E14163" s="2"/>
      <c r="F14163" s="2"/>
      <c r="G14163" s="2">
        <f t="shared" si="221"/>
        <v>0</v>
      </c>
      <c r="H14163" t="s">
        <v>6</v>
      </c>
    </row>
    <row r="14164" spans="2:8" x14ac:dyDescent="0.2">
      <c r="B14164" s="3">
        <v>45793</v>
      </c>
      <c r="C14164" s="3"/>
      <c r="D14164" s="6"/>
      <c r="E14164" s="2"/>
      <c r="F14164" s="2"/>
      <c r="G14164" s="2">
        <f t="shared" si="221"/>
        <v>0</v>
      </c>
      <c r="H14164" t="s">
        <v>5</v>
      </c>
    </row>
    <row r="14165" spans="2:8" x14ac:dyDescent="0.2">
      <c r="B14165" s="3">
        <v>45793</v>
      </c>
      <c r="C14165" s="3"/>
      <c r="D14165" s="6"/>
      <c r="E14165" s="2"/>
      <c r="F14165" s="2"/>
      <c r="G14165" s="2">
        <f t="shared" si="221"/>
        <v>0</v>
      </c>
      <c r="H14165" s="1"/>
    </row>
    <row r="14166" spans="2:8" x14ac:dyDescent="0.2">
      <c r="B14166" s="3">
        <v>45793</v>
      </c>
      <c r="C14166" s="3"/>
      <c r="D14166" s="2"/>
      <c r="E14166" s="2"/>
      <c r="F14166" s="2"/>
      <c r="G14166" s="2">
        <f t="shared" si="221"/>
        <v>0</v>
      </c>
      <c r="H14166" t="s">
        <v>0</v>
      </c>
    </row>
    <row r="14167" spans="2:8" x14ac:dyDescent="0.2">
      <c r="B14167" s="3">
        <v>45794</v>
      </c>
      <c r="C14167" s="2"/>
      <c r="D14167" s="2"/>
      <c r="E14167" s="2"/>
      <c r="F14167" s="2"/>
      <c r="G14167" s="2">
        <f t="shared" si="221"/>
        <v>0</v>
      </c>
      <c r="H14167" t="s">
        <v>14</v>
      </c>
    </row>
    <row r="14168" spans="2:8" x14ac:dyDescent="0.2">
      <c r="B14168" s="3">
        <v>45794</v>
      </c>
      <c r="C14168" s="2"/>
      <c r="D14168" s="2"/>
      <c r="E14168" s="2"/>
      <c r="F14168" s="2"/>
      <c r="G14168" s="2">
        <f t="shared" si="221"/>
        <v>0</v>
      </c>
      <c r="H14168" t="s">
        <v>13</v>
      </c>
    </row>
    <row r="14169" spans="2:8" x14ac:dyDescent="0.2">
      <c r="B14169" s="3">
        <v>45794</v>
      </c>
      <c r="C14169" s="3"/>
      <c r="D14169" s="6"/>
      <c r="E14169" s="2"/>
      <c r="F14169" s="2"/>
      <c r="G14169" s="2">
        <f t="shared" si="221"/>
        <v>0</v>
      </c>
      <c r="H14169" t="s">
        <v>11</v>
      </c>
    </row>
    <row r="14170" spans="2:8" x14ac:dyDescent="0.2">
      <c r="B14170" s="3">
        <v>45794</v>
      </c>
      <c r="C14170" s="3"/>
      <c r="D14170" s="6"/>
      <c r="E14170" s="2"/>
      <c r="F14170" s="2"/>
      <c r="G14170" s="2">
        <f t="shared" si="221"/>
        <v>0</v>
      </c>
      <c r="H14170" t="s">
        <v>10</v>
      </c>
    </row>
    <row r="14171" spans="2:8" x14ac:dyDescent="0.2">
      <c r="B14171" s="3">
        <v>45794</v>
      </c>
      <c r="C14171" s="3"/>
      <c r="D14171" s="6"/>
      <c r="E14171" s="2"/>
      <c r="F14171" s="2"/>
      <c r="G14171" s="2">
        <f t="shared" si="221"/>
        <v>0</v>
      </c>
      <c r="H14171" t="s">
        <v>9</v>
      </c>
    </row>
    <row r="14172" spans="2:8" x14ac:dyDescent="0.2">
      <c r="B14172" s="3">
        <v>45794</v>
      </c>
      <c r="C14172" s="3"/>
      <c r="D14172" s="6"/>
      <c r="E14172" s="2"/>
      <c r="F14172" s="2"/>
      <c r="G14172" s="2">
        <f t="shared" si="221"/>
        <v>0</v>
      </c>
      <c r="H14172" t="s">
        <v>8</v>
      </c>
    </row>
    <row r="14173" spans="2:8" x14ac:dyDescent="0.2">
      <c r="B14173" s="3">
        <v>45794</v>
      </c>
      <c r="C14173" s="3"/>
      <c r="D14173" s="6"/>
      <c r="E14173" s="2"/>
      <c r="F14173" s="2"/>
      <c r="G14173" s="2">
        <f t="shared" si="221"/>
        <v>0</v>
      </c>
      <c r="H14173" t="s">
        <v>7</v>
      </c>
    </row>
    <row r="14174" spans="2:8" x14ac:dyDescent="0.2">
      <c r="B14174" s="3">
        <v>45794</v>
      </c>
      <c r="C14174" s="3"/>
      <c r="D14174" s="6"/>
      <c r="E14174" s="2"/>
      <c r="F14174" s="2"/>
      <c r="G14174" s="2">
        <f t="shared" si="221"/>
        <v>0</v>
      </c>
      <c r="H14174" t="s">
        <v>6</v>
      </c>
    </row>
    <row r="14175" spans="2:8" x14ac:dyDescent="0.2">
      <c r="B14175" s="3">
        <v>45794</v>
      </c>
      <c r="C14175" s="3"/>
      <c r="D14175" s="6"/>
      <c r="E14175" s="2"/>
      <c r="F14175" s="2"/>
      <c r="G14175" s="2">
        <f t="shared" si="221"/>
        <v>0</v>
      </c>
      <c r="H14175" t="s">
        <v>5</v>
      </c>
    </row>
    <row r="14176" spans="2:8" x14ac:dyDescent="0.2">
      <c r="B14176" s="3">
        <v>45794</v>
      </c>
      <c r="C14176" s="3"/>
      <c r="D14176" s="6"/>
      <c r="E14176" s="2"/>
      <c r="F14176" s="2"/>
      <c r="G14176" s="2">
        <f t="shared" si="221"/>
        <v>0</v>
      </c>
      <c r="H14176" s="1"/>
    </row>
    <row r="14177" spans="2:8" x14ac:dyDescent="0.2">
      <c r="B14177" s="3">
        <v>45794</v>
      </c>
      <c r="C14177" s="3"/>
      <c r="D14177" s="2"/>
      <c r="E14177" s="2"/>
      <c r="F14177" s="2"/>
      <c r="G14177" s="2">
        <f t="shared" si="221"/>
        <v>0</v>
      </c>
      <c r="H14177" t="s">
        <v>0</v>
      </c>
    </row>
    <row r="14178" spans="2:8" x14ac:dyDescent="0.2">
      <c r="B14178" s="3">
        <v>45795</v>
      </c>
      <c r="C14178" s="2"/>
      <c r="D14178" s="2"/>
      <c r="E14178" s="2"/>
      <c r="F14178" s="2"/>
      <c r="G14178" s="2">
        <f t="shared" si="221"/>
        <v>0</v>
      </c>
      <c r="H14178" t="s">
        <v>14</v>
      </c>
    </row>
    <row r="14179" spans="2:8" x14ac:dyDescent="0.2">
      <c r="B14179" s="3">
        <v>45795</v>
      </c>
      <c r="C14179" s="2"/>
      <c r="D14179" s="2"/>
      <c r="E14179" s="2"/>
      <c r="F14179" s="2"/>
      <c r="G14179" s="2">
        <f t="shared" si="221"/>
        <v>0</v>
      </c>
      <c r="H14179" t="s">
        <v>13</v>
      </c>
    </row>
    <row r="14180" spans="2:8" x14ac:dyDescent="0.2">
      <c r="B14180" s="3">
        <v>45795</v>
      </c>
      <c r="C14180" s="3"/>
      <c r="D14180" s="6"/>
      <c r="E14180" s="2"/>
      <c r="F14180" s="2"/>
      <c r="G14180" s="2">
        <f t="shared" si="221"/>
        <v>0</v>
      </c>
      <c r="H14180" t="s">
        <v>11</v>
      </c>
    </row>
    <row r="14181" spans="2:8" x14ac:dyDescent="0.2">
      <c r="B14181" s="3">
        <v>45795</v>
      </c>
      <c r="C14181" s="3"/>
      <c r="D14181" s="6"/>
      <c r="E14181" s="2"/>
      <c r="F14181" s="2"/>
      <c r="G14181" s="2">
        <f t="shared" si="221"/>
        <v>0</v>
      </c>
      <c r="H14181" t="s">
        <v>10</v>
      </c>
    </row>
    <row r="14182" spans="2:8" x14ac:dyDescent="0.2">
      <c r="B14182" s="3">
        <v>45795</v>
      </c>
      <c r="C14182" s="3"/>
      <c r="D14182" s="6"/>
      <c r="E14182" s="2"/>
      <c r="F14182" s="2"/>
      <c r="G14182" s="2">
        <f t="shared" si="221"/>
        <v>0</v>
      </c>
      <c r="H14182" t="s">
        <v>9</v>
      </c>
    </row>
    <row r="14183" spans="2:8" x14ac:dyDescent="0.2">
      <c r="B14183" s="3">
        <v>45795</v>
      </c>
      <c r="C14183" s="3"/>
      <c r="D14183" s="6"/>
      <c r="E14183" s="2"/>
      <c r="F14183" s="2"/>
      <c r="G14183" s="2">
        <f t="shared" si="221"/>
        <v>0</v>
      </c>
      <c r="H14183" t="s">
        <v>8</v>
      </c>
    </row>
    <row r="14184" spans="2:8" x14ac:dyDescent="0.2">
      <c r="B14184" s="3">
        <v>45795</v>
      </c>
      <c r="C14184" s="3"/>
      <c r="D14184" s="6"/>
      <c r="E14184" s="2"/>
      <c r="F14184" s="2"/>
      <c r="G14184" s="2">
        <f t="shared" si="221"/>
        <v>0</v>
      </c>
      <c r="H14184" t="s">
        <v>7</v>
      </c>
    </row>
    <row r="14185" spans="2:8" x14ac:dyDescent="0.2">
      <c r="B14185" s="3">
        <v>45795</v>
      </c>
      <c r="C14185" s="3"/>
      <c r="D14185" s="6"/>
      <c r="E14185" s="2"/>
      <c r="F14185" s="2"/>
      <c r="G14185" s="2">
        <f t="shared" si="221"/>
        <v>0</v>
      </c>
      <c r="H14185" t="s">
        <v>6</v>
      </c>
    </row>
    <row r="14186" spans="2:8" x14ac:dyDescent="0.2">
      <c r="B14186" s="3">
        <v>45795</v>
      </c>
      <c r="C14186" s="3"/>
      <c r="D14186" s="6"/>
      <c r="E14186" s="2"/>
      <c r="F14186" s="2"/>
      <c r="G14186" s="2">
        <f t="shared" si="221"/>
        <v>0</v>
      </c>
      <c r="H14186" t="s">
        <v>5</v>
      </c>
    </row>
    <row r="14187" spans="2:8" x14ac:dyDescent="0.2">
      <c r="B14187" s="3">
        <v>45795</v>
      </c>
      <c r="C14187" s="3"/>
      <c r="D14187" s="6"/>
      <c r="E14187" s="2"/>
      <c r="F14187" s="2"/>
      <c r="G14187" s="2">
        <f t="shared" si="221"/>
        <v>0</v>
      </c>
      <c r="H14187" s="1"/>
    </row>
    <row r="14188" spans="2:8" x14ac:dyDescent="0.2">
      <c r="B14188" s="3">
        <v>45795</v>
      </c>
      <c r="C14188" s="3"/>
      <c r="D14188" s="2"/>
      <c r="E14188" s="2"/>
      <c r="F14188" s="2"/>
      <c r="G14188" s="2">
        <f t="shared" si="221"/>
        <v>0</v>
      </c>
      <c r="H14188" t="s">
        <v>0</v>
      </c>
    </row>
    <row r="14189" spans="2:8" x14ac:dyDescent="0.2">
      <c r="B14189" s="3">
        <v>45796</v>
      </c>
      <c r="C14189" s="2"/>
      <c r="D14189" s="2"/>
      <c r="E14189" s="2"/>
      <c r="F14189" s="2"/>
      <c r="G14189" s="2">
        <f t="shared" si="221"/>
        <v>0</v>
      </c>
      <c r="H14189" t="s">
        <v>14</v>
      </c>
    </row>
    <row r="14190" spans="2:8" x14ac:dyDescent="0.2">
      <c r="B14190" s="3">
        <v>45796</v>
      </c>
      <c r="C14190" s="2"/>
      <c r="D14190" s="2"/>
      <c r="E14190" s="2"/>
      <c r="F14190" s="2"/>
      <c r="G14190" s="2">
        <f t="shared" si="221"/>
        <v>0</v>
      </c>
      <c r="H14190" t="s">
        <v>13</v>
      </c>
    </row>
    <row r="14191" spans="2:8" x14ac:dyDescent="0.2">
      <c r="B14191" s="3">
        <v>45796</v>
      </c>
      <c r="C14191" s="3"/>
      <c r="D14191" s="6"/>
      <c r="E14191" s="2"/>
      <c r="F14191" s="2"/>
      <c r="G14191" s="2">
        <f t="shared" si="221"/>
        <v>0</v>
      </c>
      <c r="H14191" t="s">
        <v>11</v>
      </c>
    </row>
    <row r="14192" spans="2:8" x14ac:dyDescent="0.2">
      <c r="B14192" s="3">
        <v>45796</v>
      </c>
      <c r="C14192" s="3"/>
      <c r="D14192" s="6"/>
      <c r="E14192" s="2"/>
      <c r="F14192" s="2"/>
      <c r="G14192" s="2">
        <f t="shared" si="221"/>
        <v>0</v>
      </c>
      <c r="H14192" t="s">
        <v>10</v>
      </c>
    </row>
    <row r="14193" spans="2:8" x14ac:dyDescent="0.2">
      <c r="B14193" s="3">
        <v>45796</v>
      </c>
      <c r="C14193" s="3"/>
      <c r="D14193" s="6"/>
      <c r="E14193" s="2"/>
      <c r="F14193" s="2"/>
      <c r="G14193" s="2">
        <f t="shared" si="221"/>
        <v>0</v>
      </c>
      <c r="H14193" t="s">
        <v>9</v>
      </c>
    </row>
    <row r="14194" spans="2:8" x14ac:dyDescent="0.2">
      <c r="B14194" s="3">
        <v>45796</v>
      </c>
      <c r="C14194" s="3"/>
      <c r="D14194" s="6"/>
      <c r="E14194" s="2"/>
      <c r="F14194" s="2"/>
      <c r="G14194" s="2">
        <f t="shared" si="221"/>
        <v>0</v>
      </c>
      <c r="H14194" t="s">
        <v>8</v>
      </c>
    </row>
    <row r="14195" spans="2:8" x14ac:dyDescent="0.2">
      <c r="B14195" s="3">
        <v>45796</v>
      </c>
      <c r="C14195" s="3"/>
      <c r="D14195" s="6"/>
      <c r="E14195" s="2"/>
      <c r="F14195" s="2"/>
      <c r="G14195" s="2">
        <f t="shared" si="221"/>
        <v>0</v>
      </c>
      <c r="H14195" t="s">
        <v>7</v>
      </c>
    </row>
    <row r="14196" spans="2:8" x14ac:dyDescent="0.2">
      <c r="B14196" s="3">
        <v>45796</v>
      </c>
      <c r="C14196" s="3"/>
      <c r="D14196" s="6"/>
      <c r="E14196" s="2"/>
      <c r="F14196" s="2"/>
      <c r="G14196" s="2">
        <f t="shared" si="221"/>
        <v>0</v>
      </c>
      <c r="H14196" t="s">
        <v>6</v>
      </c>
    </row>
    <row r="14197" spans="2:8" x14ac:dyDescent="0.2">
      <c r="B14197" s="3">
        <v>45796</v>
      </c>
      <c r="C14197" s="3"/>
      <c r="D14197" s="6"/>
      <c r="E14197" s="2"/>
      <c r="F14197" s="2"/>
      <c r="G14197" s="2">
        <f t="shared" si="221"/>
        <v>0</v>
      </c>
      <c r="H14197" t="s">
        <v>5</v>
      </c>
    </row>
    <row r="14198" spans="2:8" x14ac:dyDescent="0.2">
      <c r="B14198" s="3">
        <v>45796</v>
      </c>
      <c r="C14198" s="3"/>
      <c r="D14198" s="6"/>
      <c r="E14198" s="2"/>
      <c r="F14198" s="2"/>
      <c r="G14198" s="2">
        <f t="shared" si="221"/>
        <v>0</v>
      </c>
      <c r="H14198" s="1"/>
    </row>
    <row r="14199" spans="2:8" x14ac:dyDescent="0.2">
      <c r="B14199" s="3">
        <v>45796</v>
      </c>
      <c r="C14199" s="3"/>
      <c r="D14199" s="2"/>
      <c r="E14199" s="2"/>
      <c r="F14199" s="2"/>
      <c r="G14199" s="2">
        <f t="shared" si="221"/>
        <v>0</v>
      </c>
      <c r="H14199" t="s">
        <v>0</v>
      </c>
    </row>
    <row r="14200" spans="2:8" x14ac:dyDescent="0.2">
      <c r="B14200" s="3">
        <v>45797</v>
      </c>
      <c r="C14200" s="2"/>
      <c r="D14200" s="2"/>
      <c r="E14200" s="2"/>
      <c r="F14200" s="2"/>
      <c r="G14200" s="2">
        <f t="shared" si="221"/>
        <v>0</v>
      </c>
      <c r="H14200" t="s">
        <v>14</v>
      </c>
    </row>
    <row r="14201" spans="2:8" x14ac:dyDescent="0.2">
      <c r="B14201" s="3">
        <v>45797</v>
      </c>
      <c r="C14201" s="2"/>
      <c r="D14201" s="2"/>
      <c r="E14201" s="2"/>
      <c r="F14201" s="2"/>
      <c r="G14201" s="2">
        <f t="shared" si="221"/>
        <v>0</v>
      </c>
      <c r="H14201" t="s">
        <v>13</v>
      </c>
    </row>
    <row r="14202" spans="2:8" x14ac:dyDescent="0.2">
      <c r="B14202" s="3">
        <v>45797</v>
      </c>
      <c r="C14202" s="2">
        <v>64</v>
      </c>
      <c r="D14202" s="6">
        <v>7347.25</v>
      </c>
      <c r="E14202" s="2">
        <v>7530</v>
      </c>
      <c r="F14202" s="2"/>
      <c r="G14202" s="2">
        <f t="shared" si="221"/>
        <v>7530</v>
      </c>
      <c r="H14202" t="s">
        <v>11</v>
      </c>
    </row>
    <row r="14203" spans="2:8" x14ac:dyDescent="0.2">
      <c r="B14203" s="3">
        <v>45797</v>
      </c>
      <c r="C14203" s="2">
        <v>62</v>
      </c>
      <c r="D14203" s="6">
        <v>2100</v>
      </c>
      <c r="E14203" s="2">
        <v>2250</v>
      </c>
      <c r="F14203" s="2"/>
      <c r="G14203" s="2">
        <f t="shared" si="221"/>
        <v>2250</v>
      </c>
      <c r="H14203" t="s">
        <v>10</v>
      </c>
    </row>
    <row r="14204" spans="2:8" x14ac:dyDescent="0.2">
      <c r="B14204" s="3">
        <v>45797</v>
      </c>
      <c r="C14204" s="3"/>
      <c r="D14204" s="6"/>
      <c r="E14204" s="2"/>
      <c r="F14204" s="2"/>
      <c r="G14204" s="2">
        <f t="shared" si="221"/>
        <v>0</v>
      </c>
      <c r="H14204" t="s">
        <v>9</v>
      </c>
    </row>
    <row r="14205" spans="2:8" x14ac:dyDescent="0.2">
      <c r="B14205" s="3">
        <v>45797</v>
      </c>
      <c r="C14205" s="2">
        <v>63</v>
      </c>
      <c r="D14205" s="6">
        <v>35802.5</v>
      </c>
      <c r="E14205" s="2">
        <v>40262.5</v>
      </c>
      <c r="F14205" s="2"/>
      <c r="G14205" s="2">
        <f t="shared" si="221"/>
        <v>40262.5</v>
      </c>
      <c r="H14205" t="s">
        <v>8</v>
      </c>
    </row>
    <row r="14206" spans="2:8" x14ac:dyDescent="0.2">
      <c r="B14206" s="3">
        <v>45797</v>
      </c>
      <c r="C14206" s="3"/>
      <c r="D14206" s="6"/>
      <c r="E14206" s="2"/>
      <c r="F14206" s="2"/>
      <c r="G14206" s="2">
        <f t="shared" si="221"/>
        <v>0</v>
      </c>
      <c r="H14206" t="s">
        <v>7</v>
      </c>
    </row>
    <row r="14207" spans="2:8" x14ac:dyDescent="0.2">
      <c r="B14207" s="3">
        <v>45797</v>
      </c>
      <c r="C14207" s="3"/>
      <c r="D14207" s="6"/>
      <c r="E14207" s="2"/>
      <c r="F14207" s="2"/>
      <c r="G14207" s="2">
        <f t="shared" si="221"/>
        <v>0</v>
      </c>
      <c r="H14207" t="s">
        <v>6</v>
      </c>
    </row>
    <row r="14208" spans="2:8" x14ac:dyDescent="0.2">
      <c r="B14208" s="3">
        <v>45797</v>
      </c>
      <c r="C14208" s="3"/>
      <c r="D14208" s="6"/>
      <c r="E14208" s="2"/>
      <c r="F14208" s="2"/>
      <c r="G14208" s="2">
        <f t="shared" si="221"/>
        <v>0</v>
      </c>
      <c r="H14208" t="s">
        <v>5</v>
      </c>
    </row>
    <row r="14209" spans="2:8" x14ac:dyDescent="0.2">
      <c r="B14209" s="3">
        <v>45797</v>
      </c>
      <c r="C14209" s="3"/>
      <c r="D14209" s="6"/>
      <c r="E14209" s="2"/>
      <c r="F14209" s="2"/>
      <c r="G14209" s="2">
        <f t="shared" si="221"/>
        <v>0</v>
      </c>
      <c r="H14209" s="1"/>
    </row>
    <row r="14210" spans="2:8" x14ac:dyDescent="0.2">
      <c r="B14210" s="3">
        <v>45797</v>
      </c>
      <c r="C14210" s="3"/>
      <c r="D14210" s="2"/>
      <c r="E14210" s="2"/>
      <c r="F14210" s="2">
        <v>40000</v>
      </c>
      <c r="G14210" s="2">
        <f t="shared" si="221"/>
        <v>-40000</v>
      </c>
      <c r="H14210" t="s">
        <v>0</v>
      </c>
    </row>
    <row r="14211" spans="2:8" x14ac:dyDescent="0.2">
      <c r="B14211" s="3">
        <v>45798</v>
      </c>
      <c r="C14211" s="2"/>
      <c r="D14211" s="2"/>
      <c r="E14211" s="2"/>
      <c r="F14211" s="2"/>
      <c r="G14211" s="2">
        <f t="shared" ref="G14211:G14274" si="222">E14211-F14211</f>
        <v>0</v>
      </c>
      <c r="H14211" t="s">
        <v>14</v>
      </c>
    </row>
    <row r="14212" spans="2:8" x14ac:dyDescent="0.2">
      <c r="B14212" s="3">
        <v>45798</v>
      </c>
      <c r="C14212" s="2"/>
      <c r="D14212" s="2"/>
      <c r="E14212" s="2"/>
      <c r="F14212" s="2"/>
      <c r="G14212" s="2">
        <f t="shared" si="222"/>
        <v>0</v>
      </c>
      <c r="H14212" t="s">
        <v>13</v>
      </c>
    </row>
    <row r="14213" spans="2:8" x14ac:dyDescent="0.2">
      <c r="B14213" s="3">
        <v>45798</v>
      </c>
      <c r="C14213" s="3"/>
      <c r="D14213" s="6"/>
      <c r="E14213" s="2"/>
      <c r="F14213" s="2">
        <v>10225</v>
      </c>
      <c r="G14213" s="2">
        <f t="shared" si="222"/>
        <v>-10225</v>
      </c>
      <c r="H14213" t="s">
        <v>11</v>
      </c>
    </row>
    <row r="14214" spans="2:8" x14ac:dyDescent="0.2">
      <c r="B14214" s="3">
        <v>45798</v>
      </c>
      <c r="C14214" s="3"/>
      <c r="D14214" s="6"/>
      <c r="E14214" s="2"/>
      <c r="F14214" s="2"/>
      <c r="G14214" s="2">
        <f t="shared" si="222"/>
        <v>0</v>
      </c>
      <c r="H14214" t="s">
        <v>10</v>
      </c>
    </row>
    <row r="14215" spans="2:8" x14ac:dyDescent="0.2">
      <c r="B14215" s="3">
        <v>45798</v>
      </c>
      <c r="C14215" s="3"/>
      <c r="D14215" s="6"/>
      <c r="E14215" s="2"/>
      <c r="F14215" s="2"/>
      <c r="G14215" s="2">
        <f t="shared" si="222"/>
        <v>0</v>
      </c>
      <c r="H14215" t="s">
        <v>9</v>
      </c>
    </row>
    <row r="14216" spans="2:8" x14ac:dyDescent="0.2">
      <c r="B14216" s="3">
        <v>45798</v>
      </c>
      <c r="C14216" s="3"/>
      <c r="D14216" s="6"/>
      <c r="E14216" s="2"/>
      <c r="F14216" s="2">
        <v>25000</v>
      </c>
      <c r="G14216" s="2">
        <f t="shared" si="222"/>
        <v>-25000</v>
      </c>
      <c r="H14216" t="s">
        <v>8</v>
      </c>
    </row>
    <row r="14217" spans="2:8" x14ac:dyDescent="0.2">
      <c r="B14217" s="3">
        <v>45798</v>
      </c>
      <c r="C14217" s="3"/>
      <c r="D14217" s="6"/>
      <c r="E14217" s="2"/>
      <c r="F14217" s="2"/>
      <c r="G14217" s="2">
        <f t="shared" si="222"/>
        <v>0</v>
      </c>
      <c r="H14217" t="s">
        <v>7</v>
      </c>
    </row>
    <row r="14218" spans="2:8" x14ac:dyDescent="0.2">
      <c r="B14218" s="3">
        <v>45798</v>
      </c>
      <c r="C14218" s="3"/>
      <c r="D14218" s="6"/>
      <c r="E14218" s="2"/>
      <c r="F14218" s="2">
        <v>7000</v>
      </c>
      <c r="G14218" s="2">
        <f t="shared" si="222"/>
        <v>-7000</v>
      </c>
      <c r="H14218" t="s">
        <v>6</v>
      </c>
    </row>
    <row r="14219" spans="2:8" x14ac:dyDescent="0.2">
      <c r="B14219" s="3">
        <v>45798</v>
      </c>
      <c r="C14219" s="3"/>
      <c r="D14219" s="6"/>
      <c r="E14219" s="2"/>
      <c r="F14219" s="2"/>
      <c r="G14219" s="2">
        <f t="shared" si="222"/>
        <v>0</v>
      </c>
      <c r="H14219" t="s">
        <v>5</v>
      </c>
    </row>
    <row r="14220" spans="2:8" x14ac:dyDescent="0.2">
      <c r="B14220" s="3">
        <v>45798</v>
      </c>
      <c r="C14220" s="3"/>
      <c r="D14220" s="6"/>
      <c r="E14220" s="2"/>
      <c r="F14220" s="2"/>
      <c r="G14220" s="2">
        <f t="shared" si="222"/>
        <v>0</v>
      </c>
      <c r="H14220" s="1"/>
    </row>
    <row r="14221" spans="2:8" x14ac:dyDescent="0.2">
      <c r="B14221" s="3">
        <v>45798</v>
      </c>
      <c r="C14221" s="3"/>
      <c r="D14221" s="2"/>
      <c r="E14221" s="2"/>
      <c r="F14221" s="2"/>
      <c r="G14221" s="2">
        <f t="shared" si="222"/>
        <v>0</v>
      </c>
      <c r="H14221" t="s">
        <v>0</v>
      </c>
    </row>
    <row r="14222" spans="2:8" x14ac:dyDescent="0.2">
      <c r="B14222" s="3">
        <v>45799</v>
      </c>
      <c r="C14222" s="2"/>
      <c r="D14222" s="2"/>
      <c r="E14222" s="2"/>
      <c r="F14222" s="2">
        <v>10000</v>
      </c>
      <c r="G14222" s="2">
        <f t="shared" si="222"/>
        <v>-10000</v>
      </c>
      <c r="H14222" t="s">
        <v>14</v>
      </c>
    </row>
    <row r="14223" spans="2:8" x14ac:dyDescent="0.2">
      <c r="B14223" s="3">
        <v>45799</v>
      </c>
      <c r="C14223" s="2"/>
      <c r="D14223" s="2"/>
      <c r="E14223" s="2"/>
      <c r="F14223" s="2"/>
      <c r="G14223" s="2">
        <f t="shared" si="222"/>
        <v>0</v>
      </c>
      <c r="H14223" t="s">
        <v>13</v>
      </c>
    </row>
    <row r="14224" spans="2:8" x14ac:dyDescent="0.2">
      <c r="B14224" s="3">
        <v>45799</v>
      </c>
      <c r="C14224" s="3"/>
      <c r="D14224" s="6"/>
      <c r="E14224" s="2"/>
      <c r="F14224" s="2"/>
      <c r="G14224" s="2">
        <f t="shared" si="222"/>
        <v>0</v>
      </c>
      <c r="H14224" t="s">
        <v>11</v>
      </c>
    </row>
    <row r="14225" spans="2:8" x14ac:dyDescent="0.2">
      <c r="B14225" s="3">
        <v>45799</v>
      </c>
      <c r="C14225" s="3"/>
      <c r="D14225" s="6"/>
      <c r="E14225" s="2"/>
      <c r="F14225" s="2"/>
      <c r="G14225" s="2">
        <f t="shared" si="222"/>
        <v>0</v>
      </c>
      <c r="H14225" t="s">
        <v>10</v>
      </c>
    </row>
    <row r="14226" spans="2:8" x14ac:dyDescent="0.2">
      <c r="B14226" s="3">
        <v>45799</v>
      </c>
      <c r="C14226" s="3"/>
      <c r="D14226" s="6"/>
      <c r="E14226" s="2"/>
      <c r="F14226" s="2"/>
      <c r="G14226" s="2">
        <f t="shared" si="222"/>
        <v>0</v>
      </c>
      <c r="H14226" t="s">
        <v>9</v>
      </c>
    </row>
    <row r="14227" spans="2:8" x14ac:dyDescent="0.2">
      <c r="B14227" s="3">
        <v>45799</v>
      </c>
      <c r="C14227" s="3"/>
      <c r="D14227" s="6"/>
      <c r="E14227" s="2"/>
      <c r="F14227" s="2"/>
      <c r="G14227" s="2">
        <f t="shared" si="222"/>
        <v>0</v>
      </c>
      <c r="H14227" t="s">
        <v>8</v>
      </c>
    </row>
    <row r="14228" spans="2:8" x14ac:dyDescent="0.2">
      <c r="B14228" s="3">
        <v>45799</v>
      </c>
      <c r="C14228" s="3"/>
      <c r="D14228" s="6"/>
      <c r="E14228" s="2"/>
      <c r="F14228" s="2"/>
      <c r="G14228" s="2">
        <f t="shared" si="222"/>
        <v>0</v>
      </c>
      <c r="H14228" t="s">
        <v>7</v>
      </c>
    </row>
    <row r="14229" spans="2:8" x14ac:dyDescent="0.2">
      <c r="B14229" s="3">
        <v>45799</v>
      </c>
      <c r="C14229" s="3"/>
      <c r="D14229" s="6"/>
      <c r="E14229" s="2"/>
      <c r="F14229" s="2"/>
      <c r="G14229" s="2">
        <f t="shared" si="222"/>
        <v>0</v>
      </c>
      <c r="H14229" t="s">
        <v>6</v>
      </c>
    </row>
    <row r="14230" spans="2:8" x14ac:dyDescent="0.2">
      <c r="B14230" s="3">
        <v>45799</v>
      </c>
      <c r="C14230" s="3"/>
      <c r="D14230" s="6"/>
      <c r="E14230" s="2"/>
      <c r="F14230" s="2"/>
      <c r="G14230" s="2">
        <f t="shared" si="222"/>
        <v>0</v>
      </c>
      <c r="H14230" t="s">
        <v>5</v>
      </c>
    </row>
    <row r="14231" spans="2:8" x14ac:dyDescent="0.2">
      <c r="B14231" s="3">
        <v>45799</v>
      </c>
      <c r="C14231" s="3"/>
      <c r="D14231" s="6"/>
      <c r="E14231" s="2"/>
      <c r="F14231" s="2"/>
      <c r="G14231" s="2">
        <f t="shared" si="222"/>
        <v>0</v>
      </c>
      <c r="H14231" s="1"/>
    </row>
    <row r="14232" spans="2:8" x14ac:dyDescent="0.2">
      <c r="B14232" s="3">
        <v>45799</v>
      </c>
      <c r="C14232" s="3"/>
      <c r="D14232" s="2"/>
      <c r="E14232" s="2"/>
      <c r="F14232" s="2"/>
      <c r="G14232" s="2">
        <f t="shared" si="222"/>
        <v>0</v>
      </c>
      <c r="H14232" t="s">
        <v>0</v>
      </c>
    </row>
    <row r="14233" spans="2:8" x14ac:dyDescent="0.2">
      <c r="B14233" s="3">
        <v>45800</v>
      </c>
      <c r="C14233" s="2"/>
      <c r="D14233" s="2"/>
      <c r="E14233" s="2"/>
      <c r="F14233" s="2"/>
      <c r="G14233" s="2">
        <f t="shared" si="222"/>
        <v>0</v>
      </c>
      <c r="H14233" t="s">
        <v>14</v>
      </c>
    </row>
    <row r="14234" spans="2:8" x14ac:dyDescent="0.2">
      <c r="B14234" s="3">
        <v>45800</v>
      </c>
      <c r="C14234" s="2"/>
      <c r="D14234" s="2"/>
      <c r="E14234" s="2"/>
      <c r="F14234" s="2"/>
      <c r="G14234" s="2">
        <f t="shared" si="222"/>
        <v>0</v>
      </c>
      <c r="H14234" t="s">
        <v>13</v>
      </c>
    </row>
    <row r="14235" spans="2:8" x14ac:dyDescent="0.2">
      <c r="B14235" s="3">
        <v>45800</v>
      </c>
      <c r="C14235" s="3"/>
      <c r="D14235" s="6"/>
      <c r="E14235" s="2"/>
      <c r="F14235" s="2"/>
      <c r="G14235" s="2">
        <f t="shared" si="222"/>
        <v>0</v>
      </c>
      <c r="H14235" t="s">
        <v>11</v>
      </c>
    </row>
    <row r="14236" spans="2:8" x14ac:dyDescent="0.2">
      <c r="B14236" s="3">
        <v>45800</v>
      </c>
      <c r="C14236" s="3"/>
      <c r="D14236" s="6"/>
      <c r="E14236" s="2"/>
      <c r="F14236" s="2"/>
      <c r="G14236" s="2">
        <f t="shared" si="222"/>
        <v>0</v>
      </c>
      <c r="H14236" t="s">
        <v>10</v>
      </c>
    </row>
    <row r="14237" spans="2:8" x14ac:dyDescent="0.2">
      <c r="B14237" s="3">
        <v>45800</v>
      </c>
      <c r="C14237" s="3"/>
      <c r="D14237" s="6"/>
      <c r="E14237" s="2"/>
      <c r="F14237" s="2"/>
      <c r="G14237" s="2">
        <f t="shared" si="222"/>
        <v>0</v>
      </c>
      <c r="H14237" t="s">
        <v>9</v>
      </c>
    </row>
    <row r="14238" spans="2:8" x14ac:dyDescent="0.2">
      <c r="B14238" s="3">
        <v>45800</v>
      </c>
      <c r="C14238" s="3"/>
      <c r="D14238" s="6"/>
      <c r="E14238" s="2"/>
      <c r="F14238" s="2"/>
      <c r="G14238" s="2">
        <f t="shared" si="222"/>
        <v>0</v>
      </c>
      <c r="H14238" t="s">
        <v>8</v>
      </c>
    </row>
    <row r="14239" spans="2:8" x14ac:dyDescent="0.2">
      <c r="B14239" s="3">
        <v>45800</v>
      </c>
      <c r="C14239" s="3"/>
      <c r="D14239" s="6"/>
      <c r="E14239" s="2"/>
      <c r="F14239" s="2"/>
      <c r="G14239" s="2">
        <f t="shared" si="222"/>
        <v>0</v>
      </c>
      <c r="H14239" t="s">
        <v>7</v>
      </c>
    </row>
    <row r="14240" spans="2:8" x14ac:dyDescent="0.2">
      <c r="B14240" s="3">
        <v>45800</v>
      </c>
      <c r="C14240" s="3"/>
      <c r="D14240" s="6"/>
      <c r="E14240" s="2"/>
      <c r="F14240" s="2"/>
      <c r="G14240" s="2">
        <f t="shared" si="222"/>
        <v>0</v>
      </c>
      <c r="H14240" t="s">
        <v>6</v>
      </c>
    </row>
    <row r="14241" spans="2:8" x14ac:dyDescent="0.2">
      <c r="B14241" s="3">
        <v>45800</v>
      </c>
      <c r="C14241" s="3"/>
      <c r="D14241" s="6"/>
      <c r="E14241" s="2"/>
      <c r="F14241" s="2"/>
      <c r="G14241" s="2">
        <f t="shared" si="222"/>
        <v>0</v>
      </c>
      <c r="H14241" t="s">
        <v>5</v>
      </c>
    </row>
    <row r="14242" spans="2:8" x14ac:dyDescent="0.2">
      <c r="B14242" s="3">
        <v>45800</v>
      </c>
      <c r="C14242" s="3"/>
      <c r="D14242" s="6"/>
      <c r="E14242" s="2"/>
      <c r="F14242" s="2"/>
      <c r="G14242" s="2">
        <f t="shared" si="222"/>
        <v>0</v>
      </c>
      <c r="H14242" s="1"/>
    </row>
    <row r="14243" spans="2:8" x14ac:dyDescent="0.2">
      <c r="B14243" s="3">
        <v>45800</v>
      </c>
      <c r="C14243" s="3"/>
      <c r="D14243" s="2"/>
      <c r="E14243" s="2"/>
      <c r="F14243" s="2"/>
      <c r="G14243" s="2">
        <f t="shared" si="222"/>
        <v>0</v>
      </c>
      <c r="H14243" t="s">
        <v>0</v>
      </c>
    </row>
    <row r="14244" spans="2:8" x14ac:dyDescent="0.2">
      <c r="B14244" s="3">
        <v>45801</v>
      </c>
      <c r="C14244" s="2"/>
      <c r="D14244" s="2"/>
      <c r="E14244" s="2"/>
      <c r="F14244" s="2"/>
      <c r="G14244" s="2">
        <f t="shared" si="222"/>
        <v>0</v>
      </c>
      <c r="H14244" t="s">
        <v>14</v>
      </c>
    </row>
    <row r="14245" spans="2:8" x14ac:dyDescent="0.2">
      <c r="B14245" s="3">
        <v>45801</v>
      </c>
      <c r="C14245" s="2"/>
      <c r="D14245" s="2"/>
      <c r="E14245" s="2"/>
      <c r="F14245" s="2"/>
      <c r="G14245" s="2">
        <f t="shared" si="222"/>
        <v>0</v>
      </c>
      <c r="H14245" t="s">
        <v>13</v>
      </c>
    </row>
    <row r="14246" spans="2:8" x14ac:dyDescent="0.2">
      <c r="B14246" s="3">
        <v>45801</v>
      </c>
      <c r="C14246" s="3"/>
      <c r="D14246" s="6"/>
      <c r="E14246" s="2"/>
      <c r="F14246" s="2"/>
      <c r="G14246" s="2">
        <f t="shared" si="222"/>
        <v>0</v>
      </c>
      <c r="H14246" t="s">
        <v>11</v>
      </c>
    </row>
    <row r="14247" spans="2:8" x14ac:dyDescent="0.2">
      <c r="B14247" s="3">
        <v>45801</v>
      </c>
      <c r="C14247" s="3"/>
      <c r="D14247" s="6"/>
      <c r="E14247" s="2"/>
      <c r="F14247" s="2">
        <v>2610</v>
      </c>
      <c r="G14247" s="2">
        <f t="shared" si="222"/>
        <v>-2610</v>
      </c>
      <c r="H14247" t="s">
        <v>10</v>
      </c>
    </row>
    <row r="14248" spans="2:8" x14ac:dyDescent="0.2">
      <c r="B14248" s="3">
        <v>45801</v>
      </c>
      <c r="C14248" s="3"/>
      <c r="D14248" s="6"/>
      <c r="E14248" s="2"/>
      <c r="F14248" s="2"/>
      <c r="G14248" s="2">
        <f t="shared" si="222"/>
        <v>0</v>
      </c>
      <c r="H14248" t="s">
        <v>9</v>
      </c>
    </row>
    <row r="14249" spans="2:8" x14ac:dyDescent="0.2">
      <c r="B14249" s="3">
        <v>45801</v>
      </c>
      <c r="C14249" s="3"/>
      <c r="D14249" s="6"/>
      <c r="E14249" s="2"/>
      <c r="F14249" s="2"/>
      <c r="G14249" s="2">
        <f t="shared" si="222"/>
        <v>0</v>
      </c>
      <c r="H14249" t="s">
        <v>8</v>
      </c>
    </row>
    <row r="14250" spans="2:8" x14ac:dyDescent="0.2">
      <c r="B14250" s="3">
        <v>45801</v>
      </c>
      <c r="C14250" s="3"/>
      <c r="D14250" s="6"/>
      <c r="E14250" s="2"/>
      <c r="F14250" s="2"/>
      <c r="G14250" s="2">
        <f t="shared" si="222"/>
        <v>0</v>
      </c>
      <c r="H14250" t="s">
        <v>7</v>
      </c>
    </row>
    <row r="14251" spans="2:8" x14ac:dyDescent="0.2">
      <c r="B14251" s="3">
        <v>45801</v>
      </c>
      <c r="C14251" s="3"/>
      <c r="D14251" s="6"/>
      <c r="E14251" s="2"/>
      <c r="F14251" s="2"/>
      <c r="G14251" s="2">
        <f t="shared" si="222"/>
        <v>0</v>
      </c>
      <c r="H14251" t="s">
        <v>6</v>
      </c>
    </row>
    <row r="14252" spans="2:8" x14ac:dyDescent="0.2">
      <c r="B14252" s="3">
        <v>45801</v>
      </c>
      <c r="C14252" s="3"/>
      <c r="D14252" s="6"/>
      <c r="E14252" s="2"/>
      <c r="F14252" s="2"/>
      <c r="G14252" s="2">
        <f t="shared" si="222"/>
        <v>0</v>
      </c>
      <c r="H14252" t="s">
        <v>5</v>
      </c>
    </row>
    <row r="14253" spans="2:8" x14ac:dyDescent="0.2">
      <c r="B14253" s="3">
        <v>45801</v>
      </c>
      <c r="C14253" s="3"/>
      <c r="D14253" s="6"/>
      <c r="E14253" s="2"/>
      <c r="F14253" s="2"/>
      <c r="G14253" s="2">
        <f t="shared" si="222"/>
        <v>0</v>
      </c>
      <c r="H14253" s="1"/>
    </row>
    <row r="14254" spans="2:8" x14ac:dyDescent="0.2">
      <c r="B14254" s="3">
        <v>45801</v>
      </c>
      <c r="C14254" s="3"/>
      <c r="D14254" s="2"/>
      <c r="E14254" s="2"/>
      <c r="F14254" s="2"/>
      <c r="G14254" s="2">
        <f t="shared" si="222"/>
        <v>0</v>
      </c>
      <c r="H14254" t="s">
        <v>0</v>
      </c>
    </row>
    <row r="14255" spans="2:8" x14ac:dyDescent="0.2">
      <c r="B14255" s="3">
        <v>45802</v>
      </c>
      <c r="C14255" s="2"/>
      <c r="D14255" s="2"/>
      <c r="E14255" s="2"/>
      <c r="F14255" s="2"/>
      <c r="G14255" s="2">
        <f t="shared" si="222"/>
        <v>0</v>
      </c>
      <c r="H14255" t="s">
        <v>14</v>
      </c>
    </row>
    <row r="14256" spans="2:8" x14ac:dyDescent="0.2">
      <c r="B14256" s="3">
        <v>45802</v>
      </c>
      <c r="C14256" s="2"/>
      <c r="D14256" s="2"/>
      <c r="E14256" s="2"/>
      <c r="F14256" s="2">
        <v>30000</v>
      </c>
      <c r="G14256" s="2">
        <f t="shared" si="222"/>
        <v>-30000</v>
      </c>
      <c r="H14256" t="s">
        <v>13</v>
      </c>
    </row>
    <row r="14257" spans="2:8" x14ac:dyDescent="0.2">
      <c r="B14257" s="3">
        <v>45802</v>
      </c>
      <c r="C14257" s="3"/>
      <c r="D14257" s="6"/>
      <c r="E14257" s="2"/>
      <c r="F14257" s="2"/>
      <c r="G14257" s="2">
        <f t="shared" si="222"/>
        <v>0</v>
      </c>
      <c r="H14257" t="s">
        <v>11</v>
      </c>
    </row>
    <row r="14258" spans="2:8" x14ac:dyDescent="0.2">
      <c r="B14258" s="3">
        <v>45802</v>
      </c>
      <c r="C14258" s="2">
        <v>68</v>
      </c>
      <c r="D14258" s="6">
        <v>2372</v>
      </c>
      <c r="E14258" s="2">
        <v>2610</v>
      </c>
      <c r="F14258" s="2"/>
      <c r="G14258" s="2">
        <f t="shared" si="222"/>
        <v>2610</v>
      </c>
      <c r="H14258" t="s">
        <v>10</v>
      </c>
    </row>
    <row r="14259" spans="2:8" x14ac:dyDescent="0.2">
      <c r="B14259" s="3">
        <v>45802</v>
      </c>
      <c r="C14259" s="3"/>
      <c r="D14259" s="6"/>
      <c r="E14259" s="2"/>
      <c r="F14259" s="2"/>
      <c r="G14259" s="2">
        <f t="shared" si="222"/>
        <v>0</v>
      </c>
      <c r="H14259" t="s">
        <v>9</v>
      </c>
    </row>
    <row r="14260" spans="2:8" x14ac:dyDescent="0.2">
      <c r="B14260" s="3">
        <v>45802</v>
      </c>
      <c r="C14260" s="3"/>
      <c r="D14260" s="6"/>
      <c r="E14260" s="2"/>
      <c r="F14260" s="2"/>
      <c r="G14260" s="2">
        <f t="shared" si="222"/>
        <v>0</v>
      </c>
      <c r="H14260" t="s">
        <v>8</v>
      </c>
    </row>
    <row r="14261" spans="2:8" x14ac:dyDescent="0.2">
      <c r="B14261" s="3">
        <v>45802</v>
      </c>
      <c r="C14261" s="3"/>
      <c r="D14261" s="6"/>
      <c r="E14261" s="2"/>
      <c r="F14261" s="2"/>
      <c r="G14261" s="2">
        <f t="shared" si="222"/>
        <v>0</v>
      </c>
      <c r="H14261" t="s">
        <v>7</v>
      </c>
    </row>
    <row r="14262" spans="2:8" x14ac:dyDescent="0.2">
      <c r="B14262" s="3">
        <v>45802</v>
      </c>
      <c r="C14262" s="3"/>
      <c r="D14262" s="6"/>
      <c r="E14262" s="2"/>
      <c r="F14262" s="2"/>
      <c r="G14262" s="2">
        <f t="shared" si="222"/>
        <v>0</v>
      </c>
      <c r="H14262" t="s">
        <v>6</v>
      </c>
    </row>
    <row r="14263" spans="2:8" x14ac:dyDescent="0.2">
      <c r="B14263" s="3">
        <v>45802</v>
      </c>
      <c r="C14263" s="2">
        <v>65</v>
      </c>
      <c r="D14263" s="6">
        <v>7260</v>
      </c>
      <c r="E14263" s="2">
        <v>7495</v>
      </c>
      <c r="F14263" s="2"/>
      <c r="G14263" s="2">
        <f t="shared" si="222"/>
        <v>7495</v>
      </c>
      <c r="H14263" t="s">
        <v>5</v>
      </c>
    </row>
    <row r="14264" spans="2:8" x14ac:dyDescent="0.2">
      <c r="B14264" s="3">
        <v>45802</v>
      </c>
      <c r="C14264" s="3"/>
      <c r="D14264" s="6"/>
      <c r="E14264" s="2"/>
      <c r="F14264" s="2">
        <v>167371.38999999998</v>
      </c>
      <c r="G14264" s="2">
        <f t="shared" si="222"/>
        <v>-167371.38999999998</v>
      </c>
      <c r="H14264" s="1" t="s">
        <v>84</v>
      </c>
    </row>
    <row r="14265" spans="2:8" x14ac:dyDescent="0.2">
      <c r="B14265" s="3">
        <v>45802</v>
      </c>
      <c r="C14265" s="3"/>
      <c r="D14265" s="2"/>
      <c r="E14265" s="2"/>
      <c r="F14265" s="2">
        <v>39925</v>
      </c>
      <c r="G14265" s="2">
        <f t="shared" si="222"/>
        <v>-39925</v>
      </c>
      <c r="H14265" t="s">
        <v>0</v>
      </c>
    </row>
    <row r="14266" spans="2:8" x14ac:dyDescent="0.2">
      <c r="B14266" s="3">
        <v>45803</v>
      </c>
      <c r="C14266" s="2">
        <v>66</v>
      </c>
      <c r="D14266" s="2">
        <v>15300</v>
      </c>
      <c r="E14266" s="2">
        <v>16875</v>
      </c>
      <c r="F14266" s="2"/>
      <c r="G14266" s="2">
        <f t="shared" si="222"/>
        <v>16875</v>
      </c>
      <c r="H14266" t="s">
        <v>14</v>
      </c>
    </row>
    <row r="14267" spans="2:8" x14ac:dyDescent="0.2">
      <c r="B14267" s="3">
        <v>45803</v>
      </c>
      <c r="C14267" s="2"/>
      <c r="D14267" s="2"/>
      <c r="E14267" s="2"/>
      <c r="F14267" s="2"/>
      <c r="G14267" s="2">
        <f t="shared" si="222"/>
        <v>0</v>
      </c>
      <c r="H14267" t="s">
        <v>13</v>
      </c>
    </row>
    <row r="14268" spans="2:8" x14ac:dyDescent="0.2">
      <c r="B14268" s="3">
        <v>45803</v>
      </c>
      <c r="C14268" s="3"/>
      <c r="D14268" s="6"/>
      <c r="E14268" s="11"/>
      <c r="F14268" s="2"/>
      <c r="G14268" s="2">
        <f t="shared" si="222"/>
        <v>0</v>
      </c>
      <c r="H14268" t="s">
        <v>11</v>
      </c>
    </row>
    <row r="14269" spans="2:8" x14ac:dyDescent="0.2">
      <c r="B14269" s="3">
        <v>45803</v>
      </c>
      <c r="C14269" s="3"/>
      <c r="D14269" s="6"/>
      <c r="E14269" s="2"/>
      <c r="F14269" s="2"/>
      <c r="G14269" s="2">
        <f t="shared" si="222"/>
        <v>0</v>
      </c>
      <c r="H14269" t="s">
        <v>10</v>
      </c>
    </row>
    <row r="14270" spans="2:8" x14ac:dyDescent="0.2">
      <c r="B14270" s="3">
        <v>45803</v>
      </c>
      <c r="C14270" s="3"/>
      <c r="D14270" s="6"/>
      <c r="E14270" s="2"/>
      <c r="F14270" s="2"/>
      <c r="G14270" s="2">
        <f t="shared" si="222"/>
        <v>0</v>
      </c>
      <c r="H14270" t="s">
        <v>9</v>
      </c>
    </row>
    <row r="14271" spans="2:8" x14ac:dyDescent="0.2">
      <c r="B14271" s="3">
        <v>45803</v>
      </c>
      <c r="C14271" s="3"/>
      <c r="D14271" s="6"/>
      <c r="E14271" s="2"/>
      <c r="F14271" s="2"/>
      <c r="G14271" s="2">
        <f t="shared" si="222"/>
        <v>0</v>
      </c>
      <c r="H14271" t="s">
        <v>8</v>
      </c>
    </row>
    <row r="14272" spans="2:8" x14ac:dyDescent="0.2">
      <c r="B14272" s="3">
        <v>45803</v>
      </c>
      <c r="C14272" s="3"/>
      <c r="D14272" s="6"/>
      <c r="E14272" s="2"/>
      <c r="F14272" s="2"/>
      <c r="G14272" s="2">
        <f t="shared" si="222"/>
        <v>0</v>
      </c>
      <c r="H14272" t="s">
        <v>7</v>
      </c>
    </row>
    <row r="14273" spans="2:8" x14ac:dyDescent="0.2">
      <c r="B14273" s="3">
        <v>45803</v>
      </c>
      <c r="C14273" s="3"/>
      <c r="D14273" s="6"/>
      <c r="E14273" s="2"/>
      <c r="F14273" s="2"/>
      <c r="G14273" s="2">
        <f t="shared" si="222"/>
        <v>0</v>
      </c>
      <c r="H14273" t="s">
        <v>6</v>
      </c>
    </row>
    <row r="14274" spans="2:8" x14ac:dyDescent="0.2">
      <c r="B14274" s="3">
        <v>45803</v>
      </c>
      <c r="C14274" s="3"/>
      <c r="D14274" s="6"/>
      <c r="E14274" s="2"/>
      <c r="F14274" s="2"/>
      <c r="G14274" s="2">
        <f t="shared" si="222"/>
        <v>0</v>
      </c>
      <c r="H14274" t="s">
        <v>5</v>
      </c>
    </row>
    <row r="14275" spans="2:8" x14ac:dyDescent="0.2">
      <c r="B14275" s="3">
        <v>45803</v>
      </c>
      <c r="C14275" s="3"/>
      <c r="D14275" s="6"/>
      <c r="E14275" s="2"/>
      <c r="F14275" s="2"/>
      <c r="G14275" s="2">
        <f t="shared" ref="G14275:G14338" si="223">E14275-F14275</f>
        <v>0</v>
      </c>
      <c r="H14275" s="1"/>
    </row>
    <row r="14276" spans="2:8" x14ac:dyDescent="0.2">
      <c r="B14276" s="3">
        <v>45803</v>
      </c>
      <c r="C14276" s="3"/>
      <c r="D14276" s="2">
        <v>262110.18</v>
      </c>
      <c r="E14276" s="2">
        <v>275721.59999999998</v>
      </c>
      <c r="F14276" s="2"/>
      <c r="G14276" s="2">
        <f t="shared" si="223"/>
        <v>275721.59999999998</v>
      </c>
      <c r="H14276" t="s">
        <v>0</v>
      </c>
    </row>
    <row r="14277" spans="2:8" x14ac:dyDescent="0.2">
      <c r="B14277" s="3">
        <v>45804</v>
      </c>
      <c r="C14277" s="2"/>
      <c r="D14277" s="2"/>
      <c r="E14277" s="2"/>
      <c r="F14277" s="2"/>
      <c r="G14277" s="2">
        <f t="shared" si="223"/>
        <v>0</v>
      </c>
      <c r="H14277" t="s">
        <v>14</v>
      </c>
    </row>
    <row r="14278" spans="2:8" x14ac:dyDescent="0.2">
      <c r="B14278" s="3">
        <v>45804</v>
      </c>
      <c r="C14278" s="2"/>
      <c r="D14278" s="2"/>
      <c r="E14278" s="2"/>
      <c r="F14278" s="2"/>
      <c r="G14278" s="2">
        <f t="shared" si="223"/>
        <v>0</v>
      </c>
      <c r="H14278" t="s">
        <v>13</v>
      </c>
    </row>
    <row r="14279" spans="2:8" x14ac:dyDescent="0.2">
      <c r="B14279" s="3">
        <v>45804</v>
      </c>
      <c r="C14279" s="3"/>
      <c r="D14279" s="6"/>
      <c r="E14279" s="2"/>
      <c r="F14279" s="2"/>
      <c r="G14279" s="2">
        <f t="shared" si="223"/>
        <v>0</v>
      </c>
      <c r="H14279" t="s">
        <v>11</v>
      </c>
    </row>
    <row r="14280" spans="2:8" x14ac:dyDescent="0.2">
      <c r="B14280" s="3">
        <v>45804</v>
      </c>
      <c r="C14280" s="3"/>
      <c r="D14280" s="6"/>
      <c r="E14280" s="2"/>
      <c r="F14280" s="2"/>
      <c r="G14280" s="2">
        <f t="shared" si="223"/>
        <v>0</v>
      </c>
      <c r="H14280" t="s">
        <v>10</v>
      </c>
    </row>
    <row r="14281" spans="2:8" x14ac:dyDescent="0.2">
      <c r="B14281" s="3">
        <v>45804</v>
      </c>
      <c r="C14281" s="3"/>
      <c r="D14281" s="6"/>
      <c r="E14281" s="2"/>
      <c r="F14281" s="2">
        <v>35700</v>
      </c>
      <c r="G14281" s="2">
        <f t="shared" si="223"/>
        <v>-35700</v>
      </c>
      <c r="H14281" t="s">
        <v>9</v>
      </c>
    </row>
    <row r="14282" spans="2:8" x14ac:dyDescent="0.2">
      <c r="B14282" s="3">
        <v>45804</v>
      </c>
      <c r="C14282" s="2">
        <v>67</v>
      </c>
      <c r="D14282" s="6">
        <v>13860</v>
      </c>
      <c r="E14282" s="2">
        <v>14760</v>
      </c>
      <c r="F14282" s="2"/>
      <c r="G14282" s="2">
        <f t="shared" si="223"/>
        <v>14760</v>
      </c>
      <c r="H14282" t="s">
        <v>8</v>
      </c>
    </row>
    <row r="14283" spans="2:8" x14ac:dyDescent="0.2">
      <c r="B14283" s="3">
        <v>45804</v>
      </c>
      <c r="C14283" s="3"/>
      <c r="D14283" s="6"/>
      <c r="E14283" s="2"/>
      <c r="F14283" s="2"/>
      <c r="G14283" s="2">
        <f t="shared" si="223"/>
        <v>0</v>
      </c>
      <c r="H14283" t="s">
        <v>7</v>
      </c>
    </row>
    <row r="14284" spans="2:8" x14ac:dyDescent="0.2">
      <c r="B14284" s="3">
        <v>45804</v>
      </c>
      <c r="C14284" s="3"/>
      <c r="D14284" s="6"/>
      <c r="E14284" s="2"/>
      <c r="F14284" s="2"/>
      <c r="G14284" s="2">
        <f t="shared" si="223"/>
        <v>0</v>
      </c>
      <c r="H14284" t="s">
        <v>6</v>
      </c>
    </row>
    <row r="14285" spans="2:8" x14ac:dyDescent="0.2">
      <c r="B14285" s="3">
        <v>45804</v>
      </c>
      <c r="C14285" s="3"/>
      <c r="D14285" s="6"/>
      <c r="E14285" s="2"/>
      <c r="F14285" s="2"/>
      <c r="G14285" s="2">
        <f t="shared" si="223"/>
        <v>0</v>
      </c>
      <c r="H14285" t="s">
        <v>5</v>
      </c>
    </row>
    <row r="14286" spans="2:8" x14ac:dyDescent="0.2">
      <c r="B14286" s="3">
        <v>45804</v>
      </c>
      <c r="C14286" s="3"/>
      <c r="D14286" s="6"/>
      <c r="E14286" s="2"/>
      <c r="F14286" s="2"/>
      <c r="G14286" s="2">
        <f t="shared" si="223"/>
        <v>0</v>
      </c>
      <c r="H14286" s="1"/>
    </row>
    <row r="14287" spans="2:8" x14ac:dyDescent="0.2">
      <c r="B14287" s="3">
        <v>45804</v>
      </c>
      <c r="C14287" s="3"/>
      <c r="D14287" s="2">
        <v>-4725</v>
      </c>
      <c r="E14287" s="4">
        <v>-4851</v>
      </c>
      <c r="F14287" s="2"/>
      <c r="G14287" s="2">
        <f t="shared" si="223"/>
        <v>-4851</v>
      </c>
      <c r="H14287" t="s">
        <v>0</v>
      </c>
    </row>
    <row r="14288" spans="2:8" x14ac:dyDescent="0.2">
      <c r="B14288" s="3">
        <v>45805</v>
      </c>
      <c r="C14288" s="2"/>
      <c r="D14288" s="2"/>
      <c r="E14288" s="2"/>
      <c r="F14288" s="2"/>
      <c r="G14288" s="2">
        <f t="shared" si="223"/>
        <v>0</v>
      </c>
      <c r="H14288" t="s">
        <v>14</v>
      </c>
    </row>
    <row r="14289" spans="2:8" x14ac:dyDescent="0.2">
      <c r="B14289" s="3">
        <v>45805</v>
      </c>
      <c r="C14289" s="2"/>
      <c r="D14289" s="2"/>
      <c r="E14289" s="2"/>
      <c r="F14289" s="2"/>
      <c r="G14289" s="2">
        <f t="shared" si="223"/>
        <v>0</v>
      </c>
      <c r="H14289" t="s">
        <v>13</v>
      </c>
    </row>
    <row r="14290" spans="2:8" x14ac:dyDescent="0.2">
      <c r="B14290" s="3">
        <v>45805</v>
      </c>
      <c r="C14290" s="3"/>
      <c r="D14290" s="6"/>
      <c r="E14290" s="2"/>
      <c r="F14290" s="2"/>
      <c r="G14290" s="2">
        <f t="shared" si="223"/>
        <v>0</v>
      </c>
      <c r="H14290" t="s">
        <v>11</v>
      </c>
    </row>
    <row r="14291" spans="2:8" x14ac:dyDescent="0.2">
      <c r="B14291" s="3">
        <v>45805</v>
      </c>
      <c r="C14291" s="3"/>
      <c r="D14291" s="6"/>
      <c r="E14291" s="2"/>
      <c r="F14291" s="2"/>
      <c r="G14291" s="2">
        <f t="shared" si="223"/>
        <v>0</v>
      </c>
      <c r="H14291" t="s">
        <v>10</v>
      </c>
    </row>
    <row r="14292" spans="2:8" x14ac:dyDescent="0.2">
      <c r="B14292" s="3">
        <v>45805</v>
      </c>
      <c r="C14292" s="3"/>
      <c r="D14292" s="6"/>
      <c r="E14292" s="2"/>
      <c r="F14292" s="2"/>
      <c r="G14292" s="2">
        <f t="shared" si="223"/>
        <v>0</v>
      </c>
      <c r="H14292" t="s">
        <v>9</v>
      </c>
    </row>
    <row r="14293" spans="2:8" x14ac:dyDescent="0.2">
      <c r="B14293" s="3">
        <v>45805</v>
      </c>
      <c r="C14293" s="3"/>
      <c r="D14293" s="6"/>
      <c r="E14293" s="2"/>
      <c r="F14293" s="2"/>
      <c r="G14293" s="2">
        <f t="shared" si="223"/>
        <v>0</v>
      </c>
      <c r="H14293" t="s">
        <v>8</v>
      </c>
    </row>
    <row r="14294" spans="2:8" x14ac:dyDescent="0.2">
      <c r="B14294" s="3">
        <v>45805</v>
      </c>
      <c r="C14294" s="3"/>
      <c r="D14294" s="6"/>
      <c r="E14294" s="2"/>
      <c r="F14294" s="2"/>
      <c r="G14294" s="2">
        <f t="shared" si="223"/>
        <v>0</v>
      </c>
      <c r="H14294" t="s">
        <v>7</v>
      </c>
    </row>
    <row r="14295" spans="2:8" x14ac:dyDescent="0.2">
      <c r="B14295" s="3">
        <v>45805</v>
      </c>
      <c r="C14295" s="3"/>
      <c r="D14295" s="6"/>
      <c r="E14295" s="2"/>
      <c r="F14295" s="2"/>
      <c r="G14295" s="2">
        <f t="shared" si="223"/>
        <v>0</v>
      </c>
      <c r="H14295" t="s">
        <v>6</v>
      </c>
    </row>
    <row r="14296" spans="2:8" x14ac:dyDescent="0.2">
      <c r="B14296" s="3">
        <v>45805</v>
      </c>
      <c r="C14296" s="3"/>
      <c r="D14296" s="6"/>
      <c r="E14296" s="2"/>
      <c r="F14296" s="2"/>
      <c r="G14296" s="2">
        <f t="shared" si="223"/>
        <v>0</v>
      </c>
      <c r="H14296" t="s">
        <v>5</v>
      </c>
    </row>
    <row r="14297" spans="2:8" x14ac:dyDescent="0.2">
      <c r="B14297" s="3">
        <v>45805</v>
      </c>
      <c r="C14297" s="3"/>
      <c r="D14297" s="6">
        <v>2715</v>
      </c>
      <c r="E14297" s="2">
        <v>2900</v>
      </c>
      <c r="F14297" s="2"/>
      <c r="G14297" s="2">
        <f t="shared" si="223"/>
        <v>2900</v>
      </c>
      <c r="H14297" s="1" t="s">
        <v>1</v>
      </c>
    </row>
    <row r="14298" spans="2:8" x14ac:dyDescent="0.2">
      <c r="B14298" s="3">
        <v>45805</v>
      </c>
      <c r="C14298" s="3"/>
      <c r="D14298" s="2"/>
      <c r="E14298" s="2"/>
      <c r="F14298" s="2">
        <v>38000</v>
      </c>
      <c r="G14298" s="2">
        <f t="shared" si="223"/>
        <v>-38000</v>
      </c>
      <c r="H14298" t="s">
        <v>0</v>
      </c>
    </row>
    <row r="14299" spans="2:8" x14ac:dyDescent="0.2">
      <c r="B14299" s="3">
        <v>45806</v>
      </c>
      <c r="C14299" s="2"/>
      <c r="D14299" s="2"/>
      <c r="E14299" s="2"/>
      <c r="F14299" s="2"/>
      <c r="G14299" s="2">
        <f t="shared" si="223"/>
        <v>0</v>
      </c>
      <c r="H14299" t="s">
        <v>14</v>
      </c>
    </row>
    <row r="14300" spans="2:8" x14ac:dyDescent="0.2">
      <c r="B14300" s="3">
        <v>45806</v>
      </c>
      <c r="C14300" s="2"/>
      <c r="D14300" s="2"/>
      <c r="E14300" s="2"/>
      <c r="F14300" s="2"/>
      <c r="G14300" s="2">
        <f t="shared" si="223"/>
        <v>0</v>
      </c>
      <c r="H14300" t="s">
        <v>13</v>
      </c>
    </row>
    <row r="14301" spans="2:8" x14ac:dyDescent="0.2">
      <c r="B14301" s="3">
        <v>45806</v>
      </c>
      <c r="C14301" s="3"/>
      <c r="D14301" s="6"/>
      <c r="E14301" s="2"/>
      <c r="F14301" s="2"/>
      <c r="G14301" s="2">
        <f t="shared" si="223"/>
        <v>0</v>
      </c>
      <c r="H14301" t="s">
        <v>11</v>
      </c>
    </row>
    <row r="14302" spans="2:8" x14ac:dyDescent="0.2">
      <c r="B14302" s="3">
        <v>45806</v>
      </c>
      <c r="C14302" s="3"/>
      <c r="D14302" s="6"/>
      <c r="E14302" s="2"/>
      <c r="F14302" s="2"/>
      <c r="G14302" s="2">
        <f t="shared" si="223"/>
        <v>0</v>
      </c>
      <c r="H14302" t="s">
        <v>10</v>
      </c>
    </row>
    <row r="14303" spans="2:8" x14ac:dyDescent="0.2">
      <c r="B14303" s="3">
        <v>45806</v>
      </c>
      <c r="C14303" s="3"/>
      <c r="D14303" s="6"/>
      <c r="E14303" s="2"/>
      <c r="F14303" s="2"/>
      <c r="G14303" s="2">
        <f t="shared" si="223"/>
        <v>0</v>
      </c>
      <c r="H14303" t="s">
        <v>9</v>
      </c>
    </row>
    <row r="14304" spans="2:8" x14ac:dyDescent="0.2">
      <c r="B14304" s="3">
        <v>45806</v>
      </c>
      <c r="C14304" s="3"/>
      <c r="D14304" s="6"/>
      <c r="E14304" s="2"/>
      <c r="F14304" s="2"/>
      <c r="G14304" s="2">
        <f t="shared" si="223"/>
        <v>0</v>
      </c>
      <c r="H14304" t="s">
        <v>8</v>
      </c>
    </row>
    <row r="14305" spans="2:8" x14ac:dyDescent="0.2">
      <c r="B14305" s="3">
        <v>45806</v>
      </c>
      <c r="C14305" s="3"/>
      <c r="D14305" s="6"/>
      <c r="E14305" s="2"/>
      <c r="F14305" s="2"/>
      <c r="G14305" s="2">
        <f t="shared" si="223"/>
        <v>0</v>
      </c>
      <c r="H14305" t="s">
        <v>7</v>
      </c>
    </row>
    <row r="14306" spans="2:8" x14ac:dyDescent="0.2">
      <c r="B14306" s="3">
        <v>45806</v>
      </c>
      <c r="C14306" s="2">
        <v>69</v>
      </c>
      <c r="D14306" s="6">
        <v>20470</v>
      </c>
      <c r="E14306" s="2">
        <v>21120</v>
      </c>
      <c r="F14306" s="2">
        <v>6000</v>
      </c>
      <c r="G14306" s="2">
        <f t="shared" si="223"/>
        <v>15120</v>
      </c>
      <c r="H14306" t="s">
        <v>6</v>
      </c>
    </row>
    <row r="14307" spans="2:8" x14ac:dyDescent="0.2">
      <c r="B14307" s="3">
        <v>45806</v>
      </c>
      <c r="C14307" s="3"/>
      <c r="D14307" s="6"/>
      <c r="E14307" s="2"/>
      <c r="F14307" s="2"/>
      <c r="G14307" s="2">
        <f t="shared" si="223"/>
        <v>0</v>
      </c>
      <c r="H14307" t="s">
        <v>5</v>
      </c>
    </row>
    <row r="14308" spans="2:8" x14ac:dyDescent="0.2">
      <c r="B14308" s="3">
        <v>45806</v>
      </c>
      <c r="C14308" s="3"/>
      <c r="D14308" s="6">
        <v>6568.78</v>
      </c>
      <c r="E14308" s="2">
        <v>7136.74</v>
      </c>
      <c r="F14308" s="2"/>
      <c r="G14308" s="2">
        <f t="shared" si="223"/>
        <v>7136.74</v>
      </c>
      <c r="H14308" s="1" t="s">
        <v>1</v>
      </c>
    </row>
    <row r="14309" spans="2:8" x14ac:dyDescent="0.2">
      <c r="B14309" s="3">
        <v>45806</v>
      </c>
      <c r="C14309" s="3"/>
      <c r="D14309" s="2"/>
      <c r="E14309" s="2"/>
      <c r="F14309" s="2"/>
      <c r="G14309" s="2">
        <f t="shared" si="223"/>
        <v>0</v>
      </c>
      <c r="H14309" t="s">
        <v>0</v>
      </c>
    </row>
    <row r="14310" spans="2:8" x14ac:dyDescent="0.2">
      <c r="B14310" s="3">
        <v>45807</v>
      </c>
      <c r="C14310" s="2"/>
      <c r="D14310" s="2"/>
      <c r="E14310" s="2"/>
      <c r="F14310" s="2"/>
      <c r="G14310" s="2">
        <f t="shared" si="223"/>
        <v>0</v>
      </c>
      <c r="H14310" t="s">
        <v>14</v>
      </c>
    </row>
    <row r="14311" spans="2:8" x14ac:dyDescent="0.2">
      <c r="B14311" s="3">
        <v>45807</v>
      </c>
      <c r="C14311" s="2"/>
      <c r="D14311" s="2"/>
      <c r="E14311" s="2"/>
      <c r="F14311" s="2"/>
      <c r="G14311" s="2">
        <f t="shared" si="223"/>
        <v>0</v>
      </c>
      <c r="H14311" t="s">
        <v>13</v>
      </c>
    </row>
    <row r="14312" spans="2:8" x14ac:dyDescent="0.2">
      <c r="B14312" s="3">
        <v>45807</v>
      </c>
      <c r="C14312" s="3"/>
      <c r="D14312" s="6"/>
      <c r="E14312" s="2"/>
      <c r="F14312" s="2"/>
      <c r="G14312" s="2">
        <f t="shared" si="223"/>
        <v>0</v>
      </c>
      <c r="H14312" t="s">
        <v>11</v>
      </c>
    </row>
    <row r="14313" spans="2:8" x14ac:dyDescent="0.2">
      <c r="B14313" s="3">
        <v>45807</v>
      </c>
      <c r="C14313" s="2">
        <v>70</v>
      </c>
      <c r="D14313" s="6">
        <v>1722</v>
      </c>
      <c r="E14313" s="2">
        <v>1890</v>
      </c>
      <c r="F14313" s="2"/>
      <c r="G14313" s="2">
        <f t="shared" si="223"/>
        <v>1890</v>
      </c>
      <c r="H14313" t="s">
        <v>10</v>
      </c>
    </row>
    <row r="14314" spans="2:8" x14ac:dyDescent="0.2">
      <c r="B14314" s="3">
        <v>45807</v>
      </c>
      <c r="C14314" s="3"/>
      <c r="D14314" s="6"/>
      <c r="E14314" s="2"/>
      <c r="F14314" s="2"/>
      <c r="G14314" s="2">
        <f t="shared" si="223"/>
        <v>0</v>
      </c>
      <c r="H14314" t="s">
        <v>9</v>
      </c>
    </row>
    <row r="14315" spans="2:8" x14ac:dyDescent="0.2">
      <c r="B14315" s="3">
        <v>45807</v>
      </c>
      <c r="C14315" s="3"/>
      <c r="D14315" s="6"/>
      <c r="E14315" s="2"/>
      <c r="F14315" s="2"/>
      <c r="G14315" s="2">
        <f t="shared" si="223"/>
        <v>0</v>
      </c>
      <c r="H14315" t="s">
        <v>8</v>
      </c>
    </row>
    <row r="14316" spans="2:8" x14ac:dyDescent="0.2">
      <c r="B14316" s="3">
        <v>45807</v>
      </c>
      <c r="C14316" s="3"/>
      <c r="D14316" s="6"/>
      <c r="E14316" s="2"/>
      <c r="F14316" s="2"/>
      <c r="G14316" s="2">
        <f t="shared" si="223"/>
        <v>0</v>
      </c>
      <c r="H14316" t="s">
        <v>7</v>
      </c>
    </row>
    <row r="14317" spans="2:8" x14ac:dyDescent="0.2">
      <c r="B14317" s="3">
        <v>45807</v>
      </c>
      <c r="C14317" s="3"/>
      <c r="D14317" s="6"/>
      <c r="E14317" s="2"/>
      <c r="F14317" s="2"/>
      <c r="G14317" s="2">
        <f t="shared" si="223"/>
        <v>0</v>
      </c>
      <c r="H14317" t="s">
        <v>6</v>
      </c>
    </row>
    <row r="14318" spans="2:8" x14ac:dyDescent="0.2">
      <c r="B14318" s="3">
        <v>45807</v>
      </c>
      <c r="C14318" s="3"/>
      <c r="D14318" s="6"/>
      <c r="E14318" s="2"/>
      <c r="F14318" s="2"/>
      <c r="G14318" s="2">
        <f t="shared" si="223"/>
        <v>0</v>
      </c>
      <c r="H14318" t="s">
        <v>5</v>
      </c>
    </row>
    <row r="14319" spans="2:8" x14ac:dyDescent="0.2">
      <c r="B14319" s="3">
        <v>45807</v>
      </c>
      <c r="C14319" s="3"/>
      <c r="D14319" s="6"/>
      <c r="E14319" s="2"/>
      <c r="F14319" s="2"/>
      <c r="G14319" s="2">
        <f t="shared" si="223"/>
        <v>0</v>
      </c>
      <c r="H14319" s="1"/>
    </row>
    <row r="14320" spans="2:8" x14ac:dyDescent="0.2">
      <c r="B14320" s="3">
        <v>45807</v>
      </c>
      <c r="C14320" s="3"/>
      <c r="D14320" s="2"/>
      <c r="E14320" s="2"/>
      <c r="F14320" s="2"/>
      <c r="G14320" s="2">
        <f t="shared" si="223"/>
        <v>0</v>
      </c>
      <c r="H14320" t="s">
        <v>0</v>
      </c>
    </row>
    <row r="14321" spans="2:8" x14ac:dyDescent="0.2">
      <c r="B14321" s="3">
        <v>45808</v>
      </c>
      <c r="C14321" s="2"/>
      <c r="D14321" s="2"/>
      <c r="E14321" s="2"/>
      <c r="F14321" s="2"/>
      <c r="G14321" s="2">
        <f t="shared" si="223"/>
        <v>0</v>
      </c>
      <c r="H14321" t="s">
        <v>14</v>
      </c>
    </row>
    <row r="14322" spans="2:8" x14ac:dyDescent="0.2">
      <c r="B14322" s="3">
        <v>45808</v>
      </c>
      <c r="C14322" s="2"/>
      <c r="D14322" s="2"/>
      <c r="E14322" s="2"/>
      <c r="F14322" s="2"/>
      <c r="G14322" s="2">
        <f t="shared" si="223"/>
        <v>0</v>
      </c>
      <c r="H14322" t="s">
        <v>13</v>
      </c>
    </row>
    <row r="14323" spans="2:8" x14ac:dyDescent="0.2">
      <c r="B14323" s="3">
        <v>45808</v>
      </c>
      <c r="C14323" s="2">
        <v>71</v>
      </c>
      <c r="D14323" s="6">
        <v>12217.5</v>
      </c>
      <c r="E14323" s="2">
        <v>13055</v>
      </c>
      <c r="F14323" s="2"/>
      <c r="G14323" s="2">
        <f t="shared" si="223"/>
        <v>13055</v>
      </c>
      <c r="H14323" t="s">
        <v>11</v>
      </c>
    </row>
    <row r="14324" spans="2:8" x14ac:dyDescent="0.2">
      <c r="B14324" s="3">
        <v>45808</v>
      </c>
      <c r="C14324" s="3"/>
      <c r="D14324" s="6"/>
      <c r="E14324" s="2"/>
      <c r="F14324" s="2"/>
      <c r="G14324" s="2">
        <f t="shared" si="223"/>
        <v>0</v>
      </c>
      <c r="H14324" t="s">
        <v>10</v>
      </c>
    </row>
    <row r="14325" spans="2:8" x14ac:dyDescent="0.2">
      <c r="B14325" s="3">
        <v>45808</v>
      </c>
      <c r="C14325" s="3"/>
      <c r="D14325" s="6"/>
      <c r="E14325" s="2"/>
      <c r="F14325" s="2"/>
      <c r="G14325" s="2">
        <f t="shared" si="223"/>
        <v>0</v>
      </c>
      <c r="H14325" t="s">
        <v>9</v>
      </c>
    </row>
    <row r="14326" spans="2:8" x14ac:dyDescent="0.2">
      <c r="B14326" s="3">
        <v>45808</v>
      </c>
      <c r="C14326" s="3"/>
      <c r="D14326" s="6"/>
      <c r="E14326" s="2"/>
      <c r="F14326" s="2"/>
      <c r="G14326" s="2">
        <f t="shared" si="223"/>
        <v>0</v>
      </c>
      <c r="H14326" t="s">
        <v>8</v>
      </c>
    </row>
    <row r="14327" spans="2:8" x14ac:dyDescent="0.2">
      <c r="B14327" s="3">
        <v>45808</v>
      </c>
      <c r="C14327" s="3"/>
      <c r="D14327" s="6"/>
      <c r="E14327" s="2"/>
      <c r="F14327" s="2"/>
      <c r="G14327" s="2">
        <f t="shared" si="223"/>
        <v>0</v>
      </c>
      <c r="H14327" t="s">
        <v>7</v>
      </c>
    </row>
    <row r="14328" spans="2:8" x14ac:dyDescent="0.2">
      <c r="B14328" s="3">
        <v>45808</v>
      </c>
      <c r="C14328" s="3"/>
      <c r="D14328" s="6"/>
      <c r="E14328" s="2"/>
      <c r="F14328" s="2"/>
      <c r="G14328" s="2">
        <f t="shared" si="223"/>
        <v>0</v>
      </c>
      <c r="H14328" t="s">
        <v>6</v>
      </c>
    </row>
    <row r="14329" spans="2:8" x14ac:dyDescent="0.2">
      <c r="B14329" s="3">
        <v>45808</v>
      </c>
      <c r="C14329" s="3"/>
      <c r="D14329" s="6"/>
      <c r="E14329" s="2"/>
      <c r="F14329" s="2"/>
      <c r="G14329" s="2">
        <f t="shared" si="223"/>
        <v>0</v>
      </c>
      <c r="H14329" t="s">
        <v>5</v>
      </c>
    </row>
    <row r="14330" spans="2:8" x14ac:dyDescent="0.2">
      <c r="B14330" s="3">
        <v>45808</v>
      </c>
      <c r="C14330" s="3"/>
      <c r="D14330" s="6"/>
      <c r="E14330" s="2"/>
      <c r="F14330" s="2"/>
      <c r="G14330" s="2">
        <f t="shared" si="223"/>
        <v>0</v>
      </c>
      <c r="H14330" s="1"/>
    </row>
    <row r="14331" spans="2:8" x14ac:dyDescent="0.2">
      <c r="B14331" s="3">
        <v>45808</v>
      </c>
      <c r="C14331" s="3"/>
      <c r="D14331" s="2"/>
      <c r="E14331" s="2"/>
      <c r="F14331" s="2"/>
      <c r="G14331" s="2">
        <f t="shared" si="223"/>
        <v>0</v>
      </c>
      <c r="H14331" t="s">
        <v>0</v>
      </c>
    </row>
    <row r="14332" spans="2:8" x14ac:dyDescent="0.2">
      <c r="B14332" s="3">
        <v>45809</v>
      </c>
      <c r="C14332" s="2"/>
      <c r="D14332" s="2"/>
      <c r="E14332" s="2"/>
      <c r="F14332" s="2">
        <v>10000</v>
      </c>
      <c r="G14332" s="2">
        <f t="shared" si="223"/>
        <v>-10000</v>
      </c>
      <c r="H14332" t="s">
        <v>14</v>
      </c>
    </row>
    <row r="14333" spans="2:8" x14ac:dyDescent="0.2">
      <c r="B14333" s="3">
        <v>45809</v>
      </c>
      <c r="C14333" s="2"/>
      <c r="D14333" s="2"/>
      <c r="E14333" s="2"/>
      <c r="F14333" s="2"/>
      <c r="G14333" s="2">
        <f t="shared" si="223"/>
        <v>0</v>
      </c>
      <c r="H14333" t="s">
        <v>13</v>
      </c>
    </row>
    <row r="14334" spans="2:8" x14ac:dyDescent="0.2">
      <c r="B14334" s="3">
        <v>45809</v>
      </c>
      <c r="C14334" s="3"/>
      <c r="D14334" s="6"/>
      <c r="E14334" s="2"/>
      <c r="F14334" s="2">
        <v>13055</v>
      </c>
      <c r="G14334" s="2">
        <f t="shared" si="223"/>
        <v>-13055</v>
      </c>
      <c r="H14334" t="s">
        <v>11</v>
      </c>
    </row>
    <row r="14335" spans="2:8" x14ac:dyDescent="0.2">
      <c r="B14335" s="3">
        <v>45809</v>
      </c>
      <c r="C14335" s="3"/>
      <c r="D14335" s="6"/>
      <c r="E14335" s="2"/>
      <c r="F14335" s="2"/>
      <c r="G14335" s="2">
        <f t="shared" si="223"/>
        <v>0</v>
      </c>
      <c r="H14335" t="s">
        <v>10</v>
      </c>
    </row>
    <row r="14336" spans="2:8" x14ac:dyDescent="0.2">
      <c r="B14336" s="3">
        <v>45809</v>
      </c>
      <c r="C14336" s="3"/>
      <c r="D14336" s="6"/>
      <c r="E14336" s="2"/>
      <c r="F14336" s="2"/>
      <c r="G14336" s="2">
        <f t="shared" si="223"/>
        <v>0</v>
      </c>
      <c r="H14336" t="s">
        <v>9</v>
      </c>
    </row>
    <row r="14337" spans="2:8" x14ac:dyDescent="0.2">
      <c r="B14337" s="3">
        <v>45809</v>
      </c>
      <c r="C14337" s="3"/>
      <c r="D14337" s="6"/>
      <c r="E14337" s="2"/>
      <c r="F14337" s="2"/>
      <c r="G14337" s="2">
        <f t="shared" si="223"/>
        <v>0</v>
      </c>
      <c r="H14337" t="s">
        <v>8</v>
      </c>
    </row>
    <row r="14338" spans="2:8" x14ac:dyDescent="0.2">
      <c r="B14338" s="3">
        <v>45809</v>
      </c>
      <c r="C14338" s="3"/>
      <c r="D14338" s="6"/>
      <c r="E14338" s="2"/>
      <c r="F14338" s="2"/>
      <c r="G14338" s="2">
        <f t="shared" si="223"/>
        <v>0</v>
      </c>
      <c r="H14338" t="s">
        <v>7</v>
      </c>
    </row>
    <row r="14339" spans="2:8" x14ac:dyDescent="0.2">
      <c r="B14339" s="3">
        <v>45809</v>
      </c>
      <c r="C14339" s="3"/>
      <c r="D14339" s="6"/>
      <c r="E14339" s="2"/>
      <c r="F14339" s="2"/>
      <c r="G14339" s="2">
        <f t="shared" ref="G14339:G14402" si="224">E14339-F14339</f>
        <v>0</v>
      </c>
      <c r="H14339" t="s">
        <v>6</v>
      </c>
    </row>
    <row r="14340" spans="2:8" x14ac:dyDescent="0.2">
      <c r="B14340" s="3">
        <v>45809</v>
      </c>
      <c r="C14340" s="3"/>
      <c r="D14340" s="6"/>
      <c r="E14340" s="2"/>
      <c r="F14340" s="2"/>
      <c r="G14340" s="2">
        <f t="shared" si="224"/>
        <v>0</v>
      </c>
      <c r="H14340" t="s">
        <v>5</v>
      </c>
    </row>
    <row r="14341" spans="2:8" x14ac:dyDescent="0.2">
      <c r="B14341" s="3">
        <v>45809</v>
      </c>
      <c r="C14341" s="3"/>
      <c r="D14341" s="6"/>
      <c r="E14341" s="2"/>
      <c r="F14341" s="2"/>
      <c r="G14341" s="2">
        <f t="shared" si="224"/>
        <v>0</v>
      </c>
      <c r="H14341" s="1"/>
    </row>
    <row r="14342" spans="2:8" x14ac:dyDescent="0.2">
      <c r="B14342" s="3">
        <v>45809</v>
      </c>
      <c r="C14342" s="3"/>
      <c r="D14342" s="2">
        <v>4988</v>
      </c>
      <c r="E14342" s="2">
        <v>5834</v>
      </c>
      <c r="F14342" s="2">
        <v>42000</v>
      </c>
      <c r="G14342" s="2">
        <f t="shared" si="224"/>
        <v>-36166</v>
      </c>
      <c r="H14342" t="s">
        <v>0</v>
      </c>
    </row>
    <row r="14343" spans="2:8" x14ac:dyDescent="0.2">
      <c r="B14343" s="3">
        <v>45810</v>
      </c>
      <c r="C14343" s="2"/>
      <c r="D14343" s="2"/>
      <c r="E14343" s="2"/>
      <c r="F14343" s="2"/>
      <c r="G14343" s="2">
        <f t="shared" si="224"/>
        <v>0</v>
      </c>
      <c r="H14343" t="s">
        <v>14</v>
      </c>
    </row>
    <row r="14344" spans="2:8" x14ac:dyDescent="0.2">
      <c r="B14344" s="3">
        <v>45810</v>
      </c>
      <c r="C14344" s="2"/>
      <c r="D14344" s="2"/>
      <c r="E14344" s="2"/>
      <c r="F14344" s="2"/>
      <c r="G14344" s="2">
        <f t="shared" si="224"/>
        <v>0</v>
      </c>
      <c r="H14344" t="s">
        <v>13</v>
      </c>
    </row>
    <row r="14345" spans="2:8" x14ac:dyDescent="0.2">
      <c r="B14345" s="3">
        <v>45810</v>
      </c>
      <c r="C14345" s="3"/>
      <c r="D14345" s="6"/>
      <c r="E14345" s="2"/>
      <c r="F14345" s="2"/>
      <c r="G14345" s="2">
        <f t="shared" si="224"/>
        <v>0</v>
      </c>
      <c r="H14345" t="s">
        <v>11</v>
      </c>
    </row>
    <row r="14346" spans="2:8" x14ac:dyDescent="0.2">
      <c r="B14346" s="3">
        <v>45810</v>
      </c>
      <c r="C14346" s="3"/>
      <c r="D14346" s="6"/>
      <c r="E14346" s="2"/>
      <c r="F14346" s="2"/>
      <c r="G14346" s="2">
        <f t="shared" si="224"/>
        <v>0</v>
      </c>
      <c r="H14346" t="s">
        <v>10</v>
      </c>
    </row>
    <row r="14347" spans="2:8" x14ac:dyDescent="0.2">
      <c r="B14347" s="3">
        <v>45810</v>
      </c>
      <c r="C14347" s="3"/>
      <c r="D14347" s="6"/>
      <c r="E14347" s="2"/>
      <c r="F14347" s="2"/>
      <c r="G14347" s="2">
        <f t="shared" si="224"/>
        <v>0</v>
      </c>
      <c r="H14347" t="s">
        <v>9</v>
      </c>
    </row>
    <row r="14348" spans="2:8" x14ac:dyDescent="0.2">
      <c r="B14348" s="3">
        <v>45810</v>
      </c>
      <c r="C14348" s="3"/>
      <c r="D14348" s="6"/>
      <c r="E14348" s="2"/>
      <c r="F14348" s="2"/>
      <c r="G14348" s="2">
        <f t="shared" si="224"/>
        <v>0</v>
      </c>
      <c r="H14348" t="s">
        <v>8</v>
      </c>
    </row>
    <row r="14349" spans="2:8" x14ac:dyDescent="0.2">
      <c r="B14349" s="3">
        <v>45810</v>
      </c>
      <c r="C14349" s="3"/>
      <c r="D14349" s="6"/>
      <c r="E14349" s="2"/>
      <c r="F14349" s="2"/>
      <c r="G14349" s="2">
        <f t="shared" si="224"/>
        <v>0</v>
      </c>
      <c r="H14349" t="s">
        <v>7</v>
      </c>
    </row>
    <row r="14350" spans="2:8" x14ac:dyDescent="0.2">
      <c r="B14350" s="3">
        <v>45810</v>
      </c>
      <c r="C14350" s="3"/>
      <c r="D14350" s="6"/>
      <c r="E14350" s="2"/>
      <c r="F14350" s="2"/>
      <c r="G14350" s="2">
        <f t="shared" si="224"/>
        <v>0</v>
      </c>
      <c r="H14350" t="s">
        <v>6</v>
      </c>
    </row>
    <row r="14351" spans="2:8" x14ac:dyDescent="0.2">
      <c r="B14351" s="3">
        <v>45810</v>
      </c>
      <c r="C14351" s="3"/>
      <c r="D14351" s="6"/>
      <c r="E14351" s="2"/>
      <c r="F14351" s="2"/>
      <c r="G14351" s="2">
        <f t="shared" si="224"/>
        <v>0</v>
      </c>
      <c r="H14351" t="s">
        <v>5</v>
      </c>
    </row>
    <row r="14352" spans="2:8" x14ac:dyDescent="0.2">
      <c r="B14352" s="3">
        <v>45810</v>
      </c>
      <c r="C14352" s="3"/>
      <c r="D14352" s="6"/>
      <c r="E14352" s="2"/>
      <c r="F14352" s="2"/>
      <c r="G14352" s="2">
        <f t="shared" si="224"/>
        <v>0</v>
      </c>
      <c r="H14352" s="1"/>
    </row>
    <row r="14353" spans="2:8" x14ac:dyDescent="0.2">
      <c r="B14353" s="3">
        <v>45810</v>
      </c>
      <c r="C14353" s="3"/>
      <c r="D14353" s="2"/>
      <c r="E14353" s="2"/>
      <c r="F14353" s="2"/>
      <c r="G14353" s="2">
        <f t="shared" si="224"/>
        <v>0</v>
      </c>
      <c r="H14353" t="s">
        <v>0</v>
      </c>
    </row>
    <row r="14354" spans="2:8" x14ac:dyDescent="0.2">
      <c r="B14354" s="3">
        <v>45811</v>
      </c>
      <c r="C14354" s="2"/>
      <c r="D14354" s="2"/>
      <c r="E14354" s="2"/>
      <c r="F14354" s="2"/>
      <c r="G14354" s="2">
        <f t="shared" si="224"/>
        <v>0</v>
      </c>
      <c r="H14354" t="s">
        <v>14</v>
      </c>
    </row>
    <row r="14355" spans="2:8" x14ac:dyDescent="0.2">
      <c r="B14355" s="3">
        <v>45811</v>
      </c>
      <c r="C14355" s="2"/>
      <c r="D14355" s="2"/>
      <c r="E14355" s="2"/>
      <c r="F14355" s="2"/>
      <c r="G14355" s="2">
        <f t="shared" si="224"/>
        <v>0</v>
      </c>
      <c r="H14355" t="s">
        <v>13</v>
      </c>
    </row>
    <row r="14356" spans="2:8" x14ac:dyDescent="0.2">
      <c r="B14356" s="3">
        <v>45811</v>
      </c>
      <c r="C14356" s="3"/>
      <c r="D14356" s="6"/>
      <c r="E14356" s="2"/>
      <c r="F14356" s="2"/>
      <c r="G14356" s="2">
        <f t="shared" si="224"/>
        <v>0</v>
      </c>
      <c r="H14356" t="s">
        <v>11</v>
      </c>
    </row>
    <row r="14357" spans="2:8" x14ac:dyDescent="0.2">
      <c r="B14357" s="3">
        <v>45811</v>
      </c>
      <c r="C14357" s="3"/>
      <c r="D14357" s="6"/>
      <c r="E14357" s="2"/>
      <c r="F14357" s="2">
        <v>4140</v>
      </c>
      <c r="G14357" s="2">
        <f t="shared" si="224"/>
        <v>-4140</v>
      </c>
      <c r="H14357" t="s">
        <v>10</v>
      </c>
    </row>
    <row r="14358" spans="2:8" x14ac:dyDescent="0.2">
      <c r="B14358" s="3">
        <v>45811</v>
      </c>
      <c r="C14358" s="3"/>
      <c r="D14358" s="6"/>
      <c r="E14358" s="2"/>
      <c r="F14358" s="2"/>
      <c r="G14358" s="2">
        <f t="shared" si="224"/>
        <v>0</v>
      </c>
      <c r="H14358" t="s">
        <v>9</v>
      </c>
    </row>
    <row r="14359" spans="2:8" x14ac:dyDescent="0.2">
      <c r="B14359" s="3">
        <v>45811</v>
      </c>
      <c r="C14359" s="2">
        <v>72</v>
      </c>
      <c r="D14359" s="6">
        <v>41869.5</v>
      </c>
      <c r="E14359" s="2">
        <v>46887.75</v>
      </c>
      <c r="F14359" s="2"/>
      <c r="G14359" s="2">
        <f t="shared" si="224"/>
        <v>46887.75</v>
      </c>
      <c r="H14359" t="s">
        <v>8</v>
      </c>
    </row>
    <row r="14360" spans="2:8" x14ac:dyDescent="0.2">
      <c r="B14360" s="3">
        <v>45811</v>
      </c>
      <c r="C14360" s="3"/>
      <c r="D14360" s="6"/>
      <c r="E14360" s="2"/>
      <c r="F14360" s="2"/>
      <c r="G14360" s="2">
        <f t="shared" si="224"/>
        <v>0</v>
      </c>
      <c r="H14360" t="s">
        <v>7</v>
      </c>
    </row>
    <row r="14361" spans="2:8" x14ac:dyDescent="0.2">
      <c r="B14361" s="3">
        <v>45811</v>
      </c>
      <c r="C14361" s="3"/>
      <c r="D14361" s="6"/>
      <c r="E14361" s="2"/>
      <c r="F14361" s="2"/>
      <c r="G14361" s="2">
        <f t="shared" si="224"/>
        <v>0</v>
      </c>
      <c r="H14361" t="s">
        <v>6</v>
      </c>
    </row>
    <row r="14362" spans="2:8" x14ac:dyDescent="0.2">
      <c r="B14362" s="3">
        <v>45811</v>
      </c>
      <c r="C14362" s="3"/>
      <c r="D14362" s="6"/>
      <c r="E14362" s="2"/>
      <c r="F14362" s="2"/>
      <c r="G14362" s="2">
        <f t="shared" si="224"/>
        <v>0</v>
      </c>
      <c r="H14362" t="s">
        <v>5</v>
      </c>
    </row>
    <row r="14363" spans="2:8" x14ac:dyDescent="0.2">
      <c r="B14363" s="3">
        <v>45811</v>
      </c>
      <c r="C14363" s="3"/>
      <c r="D14363" s="6"/>
      <c r="E14363" s="2"/>
      <c r="F14363" s="2"/>
      <c r="G14363" s="2">
        <f t="shared" si="224"/>
        <v>0</v>
      </c>
      <c r="H14363" s="1"/>
    </row>
    <row r="14364" spans="2:8" x14ac:dyDescent="0.2">
      <c r="B14364" s="3">
        <v>45811</v>
      </c>
      <c r="C14364" s="3"/>
      <c r="D14364" s="2"/>
      <c r="E14364" s="2"/>
      <c r="F14364" s="2"/>
      <c r="G14364" s="2">
        <f t="shared" si="224"/>
        <v>0</v>
      </c>
      <c r="H14364" t="s">
        <v>0</v>
      </c>
    </row>
    <row r="14365" spans="2:8" x14ac:dyDescent="0.2">
      <c r="B14365" s="3">
        <v>45812</v>
      </c>
      <c r="C14365" s="2"/>
      <c r="D14365" s="2"/>
      <c r="E14365" s="2"/>
      <c r="F14365" s="2"/>
      <c r="G14365" s="2">
        <f t="shared" si="224"/>
        <v>0</v>
      </c>
      <c r="H14365" t="s">
        <v>14</v>
      </c>
    </row>
    <row r="14366" spans="2:8" x14ac:dyDescent="0.2">
      <c r="B14366" s="3">
        <v>45812</v>
      </c>
      <c r="C14366" s="2"/>
      <c r="D14366" s="2"/>
      <c r="E14366" s="2"/>
      <c r="F14366" s="2"/>
      <c r="G14366" s="2">
        <f t="shared" si="224"/>
        <v>0</v>
      </c>
      <c r="H14366" t="s">
        <v>13</v>
      </c>
    </row>
    <row r="14367" spans="2:8" x14ac:dyDescent="0.2">
      <c r="B14367" s="3">
        <v>45812</v>
      </c>
      <c r="C14367" s="3"/>
      <c r="D14367" s="6"/>
      <c r="E14367" s="2"/>
      <c r="F14367" s="2"/>
      <c r="G14367" s="2">
        <f t="shared" si="224"/>
        <v>0</v>
      </c>
      <c r="H14367" t="s">
        <v>11</v>
      </c>
    </row>
    <row r="14368" spans="2:8" x14ac:dyDescent="0.2">
      <c r="B14368" s="3">
        <v>45812</v>
      </c>
      <c r="C14368" s="3"/>
      <c r="D14368" s="6"/>
      <c r="E14368" s="2"/>
      <c r="F14368" s="2"/>
      <c r="G14368" s="2">
        <f t="shared" si="224"/>
        <v>0</v>
      </c>
      <c r="H14368" t="s">
        <v>10</v>
      </c>
    </row>
    <row r="14369" spans="2:8" x14ac:dyDescent="0.2">
      <c r="B14369" s="3">
        <v>45812</v>
      </c>
      <c r="C14369" s="2">
        <v>73</v>
      </c>
      <c r="D14369" s="6">
        <v>34200</v>
      </c>
      <c r="E14369" s="2">
        <v>36500</v>
      </c>
      <c r="F14369" s="2"/>
      <c r="G14369" s="2">
        <f t="shared" si="224"/>
        <v>36500</v>
      </c>
      <c r="H14369" t="s">
        <v>9</v>
      </c>
    </row>
    <row r="14370" spans="2:8" x14ac:dyDescent="0.2">
      <c r="B14370" s="3">
        <v>45812</v>
      </c>
      <c r="C14370" s="3"/>
      <c r="D14370" s="6"/>
      <c r="E14370" s="2"/>
      <c r="F14370" s="2"/>
      <c r="G14370" s="2">
        <f t="shared" si="224"/>
        <v>0</v>
      </c>
      <c r="H14370" t="s">
        <v>8</v>
      </c>
    </row>
    <row r="14371" spans="2:8" x14ac:dyDescent="0.2">
      <c r="B14371" s="3">
        <v>45812</v>
      </c>
      <c r="C14371" s="3"/>
      <c r="D14371" s="6"/>
      <c r="E14371" s="2"/>
      <c r="F14371" s="2"/>
      <c r="G14371" s="2">
        <f t="shared" si="224"/>
        <v>0</v>
      </c>
      <c r="H14371" t="s">
        <v>7</v>
      </c>
    </row>
    <row r="14372" spans="2:8" x14ac:dyDescent="0.2">
      <c r="B14372" s="3">
        <v>45812</v>
      </c>
      <c r="C14372" s="3"/>
      <c r="D14372" s="6"/>
      <c r="E14372" s="2"/>
      <c r="F14372" s="2"/>
      <c r="G14372" s="2">
        <f t="shared" si="224"/>
        <v>0</v>
      </c>
      <c r="H14372" t="s">
        <v>6</v>
      </c>
    </row>
    <row r="14373" spans="2:8" x14ac:dyDescent="0.2">
      <c r="B14373" s="3">
        <v>45812</v>
      </c>
      <c r="C14373" s="3"/>
      <c r="D14373" s="6"/>
      <c r="E14373" s="2"/>
      <c r="F14373" s="2"/>
      <c r="G14373" s="2">
        <f t="shared" si="224"/>
        <v>0</v>
      </c>
      <c r="H14373" t="s">
        <v>5</v>
      </c>
    </row>
    <row r="14374" spans="2:8" x14ac:dyDescent="0.2">
      <c r="B14374" s="3">
        <v>45812</v>
      </c>
      <c r="C14374" s="3"/>
      <c r="D14374" s="6"/>
      <c r="E14374" s="2"/>
      <c r="F14374" s="2"/>
      <c r="G14374" s="2">
        <f t="shared" si="224"/>
        <v>0</v>
      </c>
      <c r="H14374" s="1"/>
    </row>
    <row r="14375" spans="2:8" x14ac:dyDescent="0.2">
      <c r="B14375" s="3">
        <v>45812</v>
      </c>
      <c r="C14375" s="3"/>
      <c r="D14375" s="2"/>
      <c r="E14375" s="2"/>
      <c r="F14375" s="2">
        <v>50000</v>
      </c>
      <c r="G14375" s="2">
        <f t="shared" si="224"/>
        <v>-50000</v>
      </c>
      <c r="H14375" t="s">
        <v>0</v>
      </c>
    </row>
    <row r="14376" spans="2:8" x14ac:dyDescent="0.2">
      <c r="B14376" s="3">
        <v>45813</v>
      </c>
      <c r="C14376" s="2"/>
      <c r="D14376" s="2"/>
      <c r="E14376" s="2"/>
      <c r="F14376" s="2"/>
      <c r="G14376" s="2">
        <f t="shared" si="224"/>
        <v>0</v>
      </c>
      <c r="H14376" t="s">
        <v>14</v>
      </c>
    </row>
    <row r="14377" spans="2:8" x14ac:dyDescent="0.2">
      <c r="B14377" s="3">
        <v>45813</v>
      </c>
      <c r="C14377" s="2"/>
      <c r="D14377" s="2"/>
      <c r="E14377" s="2"/>
      <c r="F14377" s="2"/>
      <c r="G14377" s="2">
        <f t="shared" si="224"/>
        <v>0</v>
      </c>
      <c r="H14377" t="s">
        <v>13</v>
      </c>
    </row>
    <row r="14378" spans="2:8" x14ac:dyDescent="0.2">
      <c r="B14378" s="3">
        <v>45813</v>
      </c>
      <c r="C14378" s="3"/>
      <c r="D14378" s="6"/>
      <c r="E14378" s="2"/>
      <c r="F14378" s="2"/>
      <c r="G14378" s="2">
        <f t="shared" si="224"/>
        <v>0</v>
      </c>
      <c r="H14378" t="s">
        <v>11</v>
      </c>
    </row>
    <row r="14379" spans="2:8" x14ac:dyDescent="0.2">
      <c r="B14379" s="3">
        <v>45813</v>
      </c>
      <c r="C14379" s="3"/>
      <c r="D14379" s="6"/>
      <c r="E14379" s="2"/>
      <c r="F14379" s="2"/>
      <c r="G14379" s="2">
        <f t="shared" si="224"/>
        <v>0</v>
      </c>
      <c r="H14379" t="s">
        <v>10</v>
      </c>
    </row>
    <row r="14380" spans="2:8" x14ac:dyDescent="0.2">
      <c r="B14380" s="3">
        <v>45813</v>
      </c>
      <c r="C14380" s="3"/>
      <c r="D14380" s="6"/>
      <c r="E14380" s="2"/>
      <c r="F14380" s="2"/>
      <c r="G14380" s="2">
        <f t="shared" si="224"/>
        <v>0</v>
      </c>
      <c r="H14380" t="s">
        <v>9</v>
      </c>
    </row>
    <row r="14381" spans="2:8" x14ac:dyDescent="0.2">
      <c r="B14381" s="3">
        <v>45813</v>
      </c>
      <c r="C14381" s="3"/>
      <c r="D14381" s="6"/>
      <c r="E14381" s="2"/>
      <c r="F14381" s="2">
        <v>25000</v>
      </c>
      <c r="G14381" s="2">
        <f t="shared" si="224"/>
        <v>-25000</v>
      </c>
      <c r="H14381" t="s">
        <v>8</v>
      </c>
    </row>
    <row r="14382" spans="2:8" x14ac:dyDescent="0.2">
      <c r="B14382" s="3">
        <v>45813</v>
      </c>
      <c r="C14382" s="3"/>
      <c r="D14382" s="6"/>
      <c r="E14382" s="2"/>
      <c r="F14382" s="2"/>
      <c r="G14382" s="2">
        <f t="shared" si="224"/>
        <v>0</v>
      </c>
      <c r="H14382" t="s">
        <v>7</v>
      </c>
    </row>
    <row r="14383" spans="2:8" x14ac:dyDescent="0.2">
      <c r="B14383" s="3">
        <v>45813</v>
      </c>
      <c r="C14383" s="3"/>
      <c r="D14383" s="6"/>
      <c r="E14383" s="2"/>
      <c r="F14383" s="2">
        <v>19000</v>
      </c>
      <c r="G14383" s="2">
        <f t="shared" si="224"/>
        <v>-19000</v>
      </c>
      <c r="H14383" t="s">
        <v>6</v>
      </c>
    </row>
    <row r="14384" spans="2:8" x14ac:dyDescent="0.2">
      <c r="B14384" s="3">
        <v>45813</v>
      </c>
      <c r="C14384" s="3"/>
      <c r="D14384" s="6"/>
      <c r="E14384" s="2"/>
      <c r="F14384" s="2"/>
      <c r="G14384" s="2">
        <f t="shared" si="224"/>
        <v>0</v>
      </c>
      <c r="H14384" t="s">
        <v>5</v>
      </c>
    </row>
    <row r="14385" spans="2:8" x14ac:dyDescent="0.2">
      <c r="B14385" s="3">
        <v>45813</v>
      </c>
      <c r="C14385" s="3"/>
      <c r="D14385" s="6"/>
      <c r="E14385" s="2"/>
      <c r="F14385" s="2"/>
      <c r="G14385" s="2">
        <f t="shared" si="224"/>
        <v>0</v>
      </c>
      <c r="H14385" s="1"/>
    </row>
    <row r="14386" spans="2:8" x14ac:dyDescent="0.2">
      <c r="B14386" s="3">
        <v>45813</v>
      </c>
      <c r="C14386" s="3"/>
      <c r="D14386" s="2"/>
      <c r="E14386" s="2"/>
      <c r="F14386" s="2"/>
      <c r="G14386" s="2">
        <f t="shared" si="224"/>
        <v>0</v>
      </c>
      <c r="H14386" t="s">
        <v>0</v>
      </c>
    </row>
    <row r="14387" spans="2:8" x14ac:dyDescent="0.2">
      <c r="B14387" s="3">
        <v>45814</v>
      </c>
      <c r="C14387" s="2"/>
      <c r="D14387" s="2"/>
      <c r="E14387" s="2"/>
      <c r="F14387" s="2"/>
      <c r="G14387" s="2">
        <f t="shared" si="224"/>
        <v>0</v>
      </c>
      <c r="H14387" t="s">
        <v>14</v>
      </c>
    </row>
    <row r="14388" spans="2:8" x14ac:dyDescent="0.2">
      <c r="B14388" s="3">
        <v>45814</v>
      </c>
      <c r="C14388" s="2"/>
      <c r="D14388" s="2"/>
      <c r="E14388" s="2"/>
      <c r="F14388" s="2"/>
      <c r="G14388" s="2">
        <f t="shared" si="224"/>
        <v>0</v>
      </c>
      <c r="H14388" t="s">
        <v>13</v>
      </c>
    </row>
    <row r="14389" spans="2:8" x14ac:dyDescent="0.2">
      <c r="B14389" s="3">
        <v>45814</v>
      </c>
      <c r="C14389" s="3"/>
      <c r="D14389" s="6"/>
      <c r="E14389" s="2"/>
      <c r="F14389" s="2"/>
      <c r="G14389" s="2">
        <f t="shared" si="224"/>
        <v>0</v>
      </c>
      <c r="H14389" t="s">
        <v>11</v>
      </c>
    </row>
    <row r="14390" spans="2:8" x14ac:dyDescent="0.2">
      <c r="B14390" s="3">
        <v>45814</v>
      </c>
      <c r="C14390" s="3"/>
      <c r="D14390" s="6"/>
      <c r="E14390" s="2"/>
      <c r="F14390" s="2"/>
      <c r="G14390" s="2">
        <f t="shared" si="224"/>
        <v>0</v>
      </c>
      <c r="H14390" t="s">
        <v>10</v>
      </c>
    </row>
    <row r="14391" spans="2:8" x14ac:dyDescent="0.2">
      <c r="B14391" s="3">
        <v>45814</v>
      </c>
      <c r="C14391" s="3"/>
      <c r="D14391" s="6"/>
      <c r="E14391" s="2"/>
      <c r="F14391" s="2"/>
      <c r="G14391" s="2">
        <f t="shared" si="224"/>
        <v>0</v>
      </c>
      <c r="H14391" t="s">
        <v>9</v>
      </c>
    </row>
    <row r="14392" spans="2:8" x14ac:dyDescent="0.2">
      <c r="B14392" s="3">
        <v>45814</v>
      </c>
      <c r="C14392" s="3"/>
      <c r="D14392" s="6"/>
      <c r="E14392" s="2"/>
      <c r="F14392" s="2"/>
      <c r="G14392" s="2">
        <f t="shared" si="224"/>
        <v>0</v>
      </c>
      <c r="H14392" t="s">
        <v>8</v>
      </c>
    </row>
    <row r="14393" spans="2:8" x14ac:dyDescent="0.2">
      <c r="B14393" s="3">
        <v>45814</v>
      </c>
      <c r="C14393" s="3"/>
      <c r="D14393" s="6"/>
      <c r="E14393" s="2"/>
      <c r="F14393" s="2"/>
      <c r="G14393" s="2">
        <f t="shared" si="224"/>
        <v>0</v>
      </c>
      <c r="H14393" t="s">
        <v>7</v>
      </c>
    </row>
    <row r="14394" spans="2:8" x14ac:dyDescent="0.2">
      <c r="B14394" s="3">
        <v>45814</v>
      </c>
      <c r="C14394" s="3"/>
      <c r="D14394" s="6"/>
      <c r="E14394" s="2"/>
      <c r="F14394" s="2"/>
      <c r="G14394" s="2">
        <f t="shared" si="224"/>
        <v>0</v>
      </c>
      <c r="H14394" t="s">
        <v>6</v>
      </c>
    </row>
    <row r="14395" spans="2:8" x14ac:dyDescent="0.2">
      <c r="B14395" s="3">
        <v>45814</v>
      </c>
      <c r="C14395" s="3"/>
      <c r="D14395" s="6"/>
      <c r="E14395" s="2"/>
      <c r="F14395" s="2"/>
      <c r="G14395" s="2">
        <f t="shared" si="224"/>
        <v>0</v>
      </c>
      <c r="H14395" t="s">
        <v>5</v>
      </c>
    </row>
    <row r="14396" spans="2:8" x14ac:dyDescent="0.2">
      <c r="B14396" s="3">
        <v>45814</v>
      </c>
      <c r="C14396" s="3"/>
      <c r="D14396" s="6"/>
      <c r="E14396" s="2"/>
      <c r="F14396" s="2"/>
      <c r="G14396" s="2">
        <f t="shared" si="224"/>
        <v>0</v>
      </c>
      <c r="H14396" s="1"/>
    </row>
    <row r="14397" spans="2:8" x14ac:dyDescent="0.2">
      <c r="B14397" s="3">
        <v>45814</v>
      </c>
      <c r="C14397" s="3"/>
      <c r="D14397" s="2"/>
      <c r="E14397" s="2"/>
      <c r="F14397" s="2"/>
      <c r="G14397" s="2">
        <f t="shared" si="224"/>
        <v>0</v>
      </c>
      <c r="H14397" t="s">
        <v>0</v>
      </c>
    </row>
    <row r="14398" spans="2:8" x14ac:dyDescent="0.2">
      <c r="B14398" s="3">
        <v>45815</v>
      </c>
      <c r="C14398" s="2"/>
      <c r="D14398" s="2"/>
      <c r="E14398" s="2"/>
      <c r="F14398" s="2"/>
      <c r="G14398" s="2">
        <f t="shared" si="224"/>
        <v>0</v>
      </c>
      <c r="H14398" t="s">
        <v>14</v>
      </c>
    </row>
    <row r="14399" spans="2:8" x14ac:dyDescent="0.2">
      <c r="B14399" s="3">
        <v>45815</v>
      </c>
      <c r="C14399" s="2"/>
      <c r="D14399" s="2"/>
      <c r="E14399" s="2"/>
      <c r="F14399" s="2"/>
      <c r="G14399" s="2">
        <f t="shared" si="224"/>
        <v>0</v>
      </c>
      <c r="H14399" t="s">
        <v>13</v>
      </c>
    </row>
    <row r="14400" spans="2:8" x14ac:dyDescent="0.2">
      <c r="B14400" s="3">
        <v>45815</v>
      </c>
      <c r="C14400" s="3"/>
      <c r="D14400" s="6"/>
      <c r="E14400" s="2"/>
      <c r="F14400" s="2"/>
      <c r="G14400" s="2">
        <f t="shared" si="224"/>
        <v>0</v>
      </c>
      <c r="H14400" t="s">
        <v>11</v>
      </c>
    </row>
    <row r="14401" spans="2:8" x14ac:dyDescent="0.2">
      <c r="B14401" s="3">
        <v>45815</v>
      </c>
      <c r="C14401" s="3"/>
      <c r="D14401" s="6"/>
      <c r="E14401" s="2"/>
      <c r="F14401" s="2"/>
      <c r="G14401" s="2">
        <f t="shared" si="224"/>
        <v>0</v>
      </c>
      <c r="H14401" t="s">
        <v>10</v>
      </c>
    </row>
    <row r="14402" spans="2:8" x14ac:dyDescent="0.2">
      <c r="B14402" s="3">
        <v>45815</v>
      </c>
      <c r="C14402" s="3"/>
      <c r="D14402" s="6"/>
      <c r="E14402" s="2"/>
      <c r="F14402" s="2"/>
      <c r="G14402" s="2">
        <f t="shared" si="224"/>
        <v>0</v>
      </c>
      <c r="H14402" t="s">
        <v>9</v>
      </c>
    </row>
    <row r="14403" spans="2:8" x14ac:dyDescent="0.2">
      <c r="B14403" s="3">
        <v>45815</v>
      </c>
      <c r="C14403" s="3"/>
      <c r="D14403" s="6"/>
      <c r="E14403" s="2"/>
      <c r="F14403" s="2"/>
      <c r="G14403" s="2">
        <f t="shared" ref="G14403:G14466" si="225">E14403-F14403</f>
        <v>0</v>
      </c>
      <c r="H14403" t="s">
        <v>8</v>
      </c>
    </row>
    <row r="14404" spans="2:8" x14ac:dyDescent="0.2">
      <c r="B14404" s="3">
        <v>45815</v>
      </c>
      <c r="C14404" s="3"/>
      <c r="D14404" s="6"/>
      <c r="E14404" s="2"/>
      <c r="F14404" s="2"/>
      <c r="G14404" s="2">
        <f t="shared" si="225"/>
        <v>0</v>
      </c>
      <c r="H14404" t="s">
        <v>7</v>
      </c>
    </row>
    <row r="14405" spans="2:8" x14ac:dyDescent="0.2">
      <c r="B14405" s="3">
        <v>45815</v>
      </c>
      <c r="C14405" s="3"/>
      <c r="D14405" s="6"/>
      <c r="E14405" s="2"/>
      <c r="F14405" s="2"/>
      <c r="G14405" s="2">
        <f t="shared" si="225"/>
        <v>0</v>
      </c>
      <c r="H14405" t="s">
        <v>6</v>
      </c>
    </row>
    <row r="14406" spans="2:8" x14ac:dyDescent="0.2">
      <c r="B14406" s="3">
        <v>45815</v>
      </c>
      <c r="C14406" s="3"/>
      <c r="D14406" s="6"/>
      <c r="E14406" s="2"/>
      <c r="F14406" s="2"/>
      <c r="G14406" s="2">
        <f t="shared" si="225"/>
        <v>0</v>
      </c>
      <c r="H14406" t="s">
        <v>5</v>
      </c>
    </row>
    <row r="14407" spans="2:8" x14ac:dyDescent="0.2">
      <c r="B14407" s="3">
        <v>45815</v>
      </c>
      <c r="C14407" s="3"/>
      <c r="D14407" s="6"/>
      <c r="E14407" s="2"/>
      <c r="F14407" s="2"/>
      <c r="G14407" s="2">
        <f t="shared" si="225"/>
        <v>0</v>
      </c>
      <c r="H14407" s="1"/>
    </row>
    <row r="14408" spans="2:8" x14ac:dyDescent="0.2">
      <c r="B14408" s="3">
        <v>45815</v>
      </c>
      <c r="C14408" s="3"/>
      <c r="D14408" s="2"/>
      <c r="E14408" s="2"/>
      <c r="F14408" s="2"/>
      <c r="G14408" s="2">
        <f t="shared" si="225"/>
        <v>0</v>
      </c>
      <c r="H14408" t="s">
        <v>0</v>
      </c>
    </row>
    <row r="14409" spans="2:8" x14ac:dyDescent="0.2">
      <c r="B14409" s="3">
        <v>45816</v>
      </c>
      <c r="C14409" s="2"/>
      <c r="D14409" s="2"/>
      <c r="E14409" s="2"/>
      <c r="F14409" s="2"/>
      <c r="G14409" s="2">
        <f t="shared" si="225"/>
        <v>0</v>
      </c>
      <c r="H14409" t="s">
        <v>14</v>
      </c>
    </row>
    <row r="14410" spans="2:8" x14ac:dyDescent="0.2">
      <c r="B14410" s="3">
        <v>45816</v>
      </c>
      <c r="C14410" s="2"/>
      <c r="D14410" s="2"/>
      <c r="E14410" s="2"/>
      <c r="F14410" s="2"/>
      <c r="G14410" s="2">
        <f t="shared" si="225"/>
        <v>0</v>
      </c>
      <c r="H14410" t="s">
        <v>13</v>
      </c>
    </row>
    <row r="14411" spans="2:8" x14ac:dyDescent="0.2">
      <c r="B14411" s="3">
        <v>45816</v>
      </c>
      <c r="C14411" s="3"/>
      <c r="D14411" s="6"/>
      <c r="E14411" s="2"/>
      <c r="F14411" s="2"/>
      <c r="G14411" s="2">
        <f t="shared" si="225"/>
        <v>0</v>
      </c>
      <c r="H14411" t="s">
        <v>11</v>
      </c>
    </row>
    <row r="14412" spans="2:8" x14ac:dyDescent="0.2">
      <c r="B14412" s="3">
        <v>45816</v>
      </c>
      <c r="C14412" s="3"/>
      <c r="D14412" s="6"/>
      <c r="E14412" s="2"/>
      <c r="F14412" s="2"/>
      <c r="G14412" s="2">
        <f t="shared" si="225"/>
        <v>0</v>
      </c>
      <c r="H14412" t="s">
        <v>10</v>
      </c>
    </row>
    <row r="14413" spans="2:8" x14ac:dyDescent="0.2">
      <c r="B14413" s="3">
        <v>45816</v>
      </c>
      <c r="C14413" s="3"/>
      <c r="D14413" s="6"/>
      <c r="E14413" s="2"/>
      <c r="F14413" s="2"/>
      <c r="G14413" s="2">
        <f t="shared" si="225"/>
        <v>0</v>
      </c>
      <c r="H14413" t="s">
        <v>9</v>
      </c>
    </row>
    <row r="14414" spans="2:8" x14ac:dyDescent="0.2">
      <c r="B14414" s="3">
        <v>45816</v>
      </c>
      <c r="C14414" s="3"/>
      <c r="D14414" s="6"/>
      <c r="E14414" s="2"/>
      <c r="F14414" s="2"/>
      <c r="G14414" s="2">
        <f t="shared" si="225"/>
        <v>0</v>
      </c>
      <c r="H14414" t="s">
        <v>8</v>
      </c>
    </row>
    <row r="14415" spans="2:8" x14ac:dyDescent="0.2">
      <c r="B14415" s="3">
        <v>45816</v>
      </c>
      <c r="C14415" s="3"/>
      <c r="D14415" s="6"/>
      <c r="E14415" s="2"/>
      <c r="F14415" s="2"/>
      <c r="G14415" s="2">
        <f t="shared" si="225"/>
        <v>0</v>
      </c>
      <c r="H14415" t="s">
        <v>7</v>
      </c>
    </row>
    <row r="14416" spans="2:8" x14ac:dyDescent="0.2">
      <c r="B14416" s="3">
        <v>45816</v>
      </c>
      <c r="C14416" s="3"/>
      <c r="D14416" s="6"/>
      <c r="E14416" s="2"/>
      <c r="F14416" s="2"/>
      <c r="G14416" s="2">
        <f t="shared" si="225"/>
        <v>0</v>
      </c>
      <c r="H14416" t="s">
        <v>6</v>
      </c>
    </row>
    <row r="14417" spans="2:8" x14ac:dyDescent="0.2">
      <c r="B14417" s="3">
        <v>45816</v>
      </c>
      <c r="C14417" s="3"/>
      <c r="D14417" s="6"/>
      <c r="E14417" s="2"/>
      <c r="F14417" s="2"/>
      <c r="G14417" s="2">
        <f t="shared" si="225"/>
        <v>0</v>
      </c>
      <c r="H14417" t="s">
        <v>5</v>
      </c>
    </row>
    <row r="14418" spans="2:8" x14ac:dyDescent="0.2">
      <c r="B14418" s="3">
        <v>45816</v>
      </c>
      <c r="C14418" s="3"/>
      <c r="D14418" s="6"/>
      <c r="E14418" s="2"/>
      <c r="F14418" s="2"/>
      <c r="G14418" s="2">
        <f t="shared" si="225"/>
        <v>0</v>
      </c>
      <c r="H14418" s="1"/>
    </row>
    <row r="14419" spans="2:8" x14ac:dyDescent="0.2">
      <c r="B14419" s="3">
        <v>45816</v>
      </c>
      <c r="C14419" s="3"/>
      <c r="D14419" s="2"/>
      <c r="E14419" s="2"/>
      <c r="F14419" s="2"/>
      <c r="G14419" s="2">
        <f t="shared" si="225"/>
        <v>0</v>
      </c>
      <c r="H14419" t="s">
        <v>0</v>
      </c>
    </row>
    <row r="14420" spans="2:8" x14ac:dyDescent="0.2">
      <c r="B14420" s="3">
        <v>45817</v>
      </c>
      <c r="C14420" s="2"/>
      <c r="D14420" s="2"/>
      <c r="E14420" s="2"/>
      <c r="F14420" s="2"/>
      <c r="G14420" s="2">
        <f t="shared" si="225"/>
        <v>0</v>
      </c>
      <c r="H14420" t="s">
        <v>14</v>
      </c>
    </row>
    <row r="14421" spans="2:8" x14ac:dyDescent="0.2">
      <c r="B14421" s="3">
        <v>45817</v>
      </c>
      <c r="C14421" s="2"/>
      <c r="D14421" s="2"/>
      <c r="E14421" s="2"/>
      <c r="F14421" s="2"/>
      <c r="G14421" s="2">
        <f t="shared" si="225"/>
        <v>0</v>
      </c>
      <c r="H14421" t="s">
        <v>13</v>
      </c>
    </row>
    <row r="14422" spans="2:8" x14ac:dyDescent="0.2">
      <c r="B14422" s="3">
        <v>45817</v>
      </c>
      <c r="C14422" s="3"/>
      <c r="D14422" s="6"/>
      <c r="E14422" s="2"/>
      <c r="F14422" s="2"/>
      <c r="G14422" s="2">
        <f t="shared" si="225"/>
        <v>0</v>
      </c>
      <c r="H14422" t="s">
        <v>11</v>
      </c>
    </row>
    <row r="14423" spans="2:8" x14ac:dyDescent="0.2">
      <c r="B14423" s="3">
        <v>45817</v>
      </c>
      <c r="C14423" s="3"/>
      <c r="D14423" s="6"/>
      <c r="E14423" s="2"/>
      <c r="F14423" s="2"/>
      <c r="G14423" s="2">
        <f t="shared" si="225"/>
        <v>0</v>
      </c>
      <c r="H14423" t="s">
        <v>10</v>
      </c>
    </row>
    <row r="14424" spans="2:8" x14ac:dyDescent="0.2">
      <c r="B14424" s="3">
        <v>45817</v>
      </c>
      <c r="C14424" s="3"/>
      <c r="D14424" s="6"/>
      <c r="E14424" s="2"/>
      <c r="F14424" s="2"/>
      <c r="G14424" s="2">
        <f t="shared" si="225"/>
        <v>0</v>
      </c>
      <c r="H14424" t="s">
        <v>9</v>
      </c>
    </row>
    <row r="14425" spans="2:8" x14ac:dyDescent="0.2">
      <c r="B14425" s="3">
        <v>45817</v>
      </c>
      <c r="C14425" s="3"/>
      <c r="D14425" s="6"/>
      <c r="E14425" s="2"/>
      <c r="F14425" s="2"/>
      <c r="G14425" s="2">
        <f t="shared" si="225"/>
        <v>0</v>
      </c>
      <c r="H14425" t="s">
        <v>8</v>
      </c>
    </row>
    <row r="14426" spans="2:8" x14ac:dyDescent="0.2">
      <c r="B14426" s="3">
        <v>45817</v>
      </c>
      <c r="C14426" s="3"/>
      <c r="D14426" s="6"/>
      <c r="E14426" s="2"/>
      <c r="F14426" s="2"/>
      <c r="G14426" s="2">
        <f t="shared" si="225"/>
        <v>0</v>
      </c>
      <c r="H14426" t="s">
        <v>7</v>
      </c>
    </row>
    <row r="14427" spans="2:8" x14ac:dyDescent="0.2">
      <c r="B14427" s="3">
        <v>45817</v>
      </c>
      <c r="C14427" s="3"/>
      <c r="D14427" s="6"/>
      <c r="E14427" s="2"/>
      <c r="F14427" s="2"/>
      <c r="G14427" s="2">
        <f t="shared" si="225"/>
        <v>0</v>
      </c>
      <c r="H14427" t="s">
        <v>6</v>
      </c>
    </row>
    <row r="14428" spans="2:8" x14ac:dyDescent="0.2">
      <c r="B14428" s="3">
        <v>45817</v>
      </c>
      <c r="C14428" s="3"/>
      <c r="D14428" s="6"/>
      <c r="E14428" s="2"/>
      <c r="F14428" s="2"/>
      <c r="G14428" s="2">
        <f t="shared" si="225"/>
        <v>0</v>
      </c>
      <c r="H14428" t="s">
        <v>5</v>
      </c>
    </row>
    <row r="14429" spans="2:8" x14ac:dyDescent="0.2">
      <c r="B14429" s="3">
        <v>45817</v>
      </c>
      <c r="C14429" s="3"/>
      <c r="D14429" s="6"/>
      <c r="E14429" s="2"/>
      <c r="F14429" s="2"/>
      <c r="G14429" s="2">
        <f t="shared" si="225"/>
        <v>0</v>
      </c>
      <c r="H14429" s="1"/>
    </row>
    <row r="14430" spans="2:8" x14ac:dyDescent="0.2">
      <c r="B14430" s="3">
        <v>45817</v>
      </c>
      <c r="C14430" s="3"/>
      <c r="D14430" s="2"/>
      <c r="E14430" s="2"/>
      <c r="F14430" s="2"/>
      <c r="G14430" s="2">
        <f t="shared" si="225"/>
        <v>0</v>
      </c>
      <c r="H14430" t="s">
        <v>0</v>
      </c>
    </row>
    <row r="14431" spans="2:8" x14ac:dyDescent="0.2">
      <c r="B14431" s="3">
        <v>45818</v>
      </c>
      <c r="C14431" s="2"/>
      <c r="D14431" s="2"/>
      <c r="E14431" s="2"/>
      <c r="F14431" s="2"/>
      <c r="G14431" s="2">
        <f t="shared" si="225"/>
        <v>0</v>
      </c>
      <c r="H14431" t="s">
        <v>14</v>
      </c>
    </row>
    <row r="14432" spans="2:8" x14ac:dyDescent="0.2">
      <c r="B14432" s="3">
        <v>45818</v>
      </c>
      <c r="C14432" s="2"/>
      <c r="D14432" s="2"/>
      <c r="E14432" s="2"/>
      <c r="F14432" s="2"/>
      <c r="G14432" s="2">
        <f t="shared" si="225"/>
        <v>0</v>
      </c>
      <c r="H14432" t="s">
        <v>13</v>
      </c>
    </row>
    <row r="14433" spans="2:8" x14ac:dyDescent="0.2">
      <c r="B14433" s="3">
        <v>45818</v>
      </c>
      <c r="C14433" s="3"/>
      <c r="D14433" s="6"/>
      <c r="E14433" s="2"/>
      <c r="F14433" s="2"/>
      <c r="G14433" s="2">
        <f t="shared" si="225"/>
        <v>0</v>
      </c>
      <c r="H14433" t="s">
        <v>11</v>
      </c>
    </row>
    <row r="14434" spans="2:8" x14ac:dyDescent="0.2">
      <c r="B14434" s="3">
        <v>45818</v>
      </c>
      <c r="C14434" s="3"/>
      <c r="D14434" s="6"/>
      <c r="E14434" s="2"/>
      <c r="F14434" s="2"/>
      <c r="G14434" s="2">
        <f t="shared" si="225"/>
        <v>0</v>
      </c>
      <c r="H14434" t="s">
        <v>10</v>
      </c>
    </row>
    <row r="14435" spans="2:8" x14ac:dyDescent="0.2">
      <c r="B14435" s="3">
        <v>45818</v>
      </c>
      <c r="C14435" s="3"/>
      <c r="D14435" s="6"/>
      <c r="E14435" s="2"/>
      <c r="F14435" s="2"/>
      <c r="G14435" s="2">
        <f t="shared" si="225"/>
        <v>0</v>
      </c>
      <c r="H14435" t="s">
        <v>9</v>
      </c>
    </row>
    <row r="14436" spans="2:8" x14ac:dyDescent="0.2">
      <c r="B14436" s="3">
        <v>45818</v>
      </c>
      <c r="C14436" s="3"/>
      <c r="D14436" s="6"/>
      <c r="E14436" s="2"/>
      <c r="F14436" s="2"/>
      <c r="G14436" s="2">
        <f t="shared" si="225"/>
        <v>0</v>
      </c>
      <c r="H14436" t="s">
        <v>8</v>
      </c>
    </row>
    <row r="14437" spans="2:8" x14ac:dyDescent="0.2">
      <c r="B14437" s="3">
        <v>45818</v>
      </c>
      <c r="C14437" s="3"/>
      <c r="D14437" s="6"/>
      <c r="E14437" s="2"/>
      <c r="F14437" s="2"/>
      <c r="G14437" s="2">
        <f t="shared" si="225"/>
        <v>0</v>
      </c>
      <c r="H14437" t="s">
        <v>7</v>
      </c>
    </row>
    <row r="14438" spans="2:8" x14ac:dyDescent="0.2">
      <c r="B14438" s="3">
        <v>45818</v>
      </c>
      <c r="C14438" s="2">
        <v>74</v>
      </c>
      <c r="D14438" s="6">
        <v>19450</v>
      </c>
      <c r="E14438" s="2">
        <v>19950</v>
      </c>
      <c r="F14438" s="2"/>
      <c r="G14438" s="2">
        <f t="shared" si="225"/>
        <v>19950</v>
      </c>
      <c r="H14438" t="s">
        <v>6</v>
      </c>
    </row>
    <row r="14439" spans="2:8" x14ac:dyDescent="0.2">
      <c r="B14439" s="3">
        <v>45818</v>
      </c>
      <c r="C14439" s="3"/>
      <c r="D14439" s="6"/>
      <c r="E14439" s="2"/>
      <c r="F14439" s="2"/>
      <c r="G14439" s="2">
        <f t="shared" si="225"/>
        <v>0</v>
      </c>
      <c r="H14439" t="s">
        <v>5</v>
      </c>
    </row>
    <row r="14440" spans="2:8" x14ac:dyDescent="0.2">
      <c r="B14440" s="3">
        <v>45818</v>
      </c>
      <c r="C14440" s="3"/>
      <c r="D14440" s="6"/>
      <c r="E14440" s="2"/>
      <c r="F14440" s="2"/>
      <c r="G14440" s="2">
        <f t="shared" si="225"/>
        <v>0</v>
      </c>
      <c r="H14440" s="1"/>
    </row>
    <row r="14441" spans="2:8" x14ac:dyDescent="0.2">
      <c r="B14441" s="3">
        <v>45818</v>
      </c>
      <c r="C14441" s="3"/>
      <c r="D14441" s="2"/>
      <c r="E14441" s="2"/>
      <c r="F14441" s="2"/>
      <c r="G14441" s="2">
        <f t="shared" si="225"/>
        <v>0</v>
      </c>
      <c r="H14441" t="s">
        <v>0</v>
      </c>
    </row>
    <row r="14442" spans="2:8" x14ac:dyDescent="0.2">
      <c r="B14442" s="3">
        <v>45819</v>
      </c>
      <c r="C14442" s="2"/>
      <c r="D14442" s="2"/>
      <c r="E14442" s="2"/>
      <c r="F14442" s="2"/>
      <c r="G14442" s="2">
        <f t="shared" si="225"/>
        <v>0</v>
      </c>
      <c r="H14442" t="s">
        <v>14</v>
      </c>
    </row>
    <row r="14443" spans="2:8" x14ac:dyDescent="0.2">
      <c r="B14443" s="3">
        <v>45819</v>
      </c>
      <c r="C14443" s="2"/>
      <c r="D14443" s="2"/>
      <c r="E14443" s="2"/>
      <c r="F14443" s="2"/>
      <c r="G14443" s="2">
        <f t="shared" si="225"/>
        <v>0</v>
      </c>
      <c r="H14443" t="s">
        <v>13</v>
      </c>
    </row>
    <row r="14444" spans="2:8" x14ac:dyDescent="0.2">
      <c r="B14444" s="3">
        <v>45819</v>
      </c>
      <c r="C14444" s="3"/>
      <c r="D14444" s="6"/>
      <c r="E14444" s="2"/>
      <c r="F14444" s="2"/>
      <c r="G14444" s="2">
        <f t="shared" si="225"/>
        <v>0</v>
      </c>
      <c r="H14444" t="s">
        <v>11</v>
      </c>
    </row>
    <row r="14445" spans="2:8" x14ac:dyDescent="0.2">
      <c r="B14445" s="3">
        <v>45819</v>
      </c>
      <c r="C14445" s="3"/>
      <c r="D14445" s="6"/>
      <c r="E14445" s="2"/>
      <c r="F14445" s="2"/>
      <c r="G14445" s="2">
        <f t="shared" si="225"/>
        <v>0</v>
      </c>
      <c r="H14445" t="s">
        <v>10</v>
      </c>
    </row>
    <row r="14446" spans="2:8" x14ac:dyDescent="0.2">
      <c r="B14446" s="3">
        <v>45819</v>
      </c>
      <c r="C14446" s="3"/>
      <c r="D14446" s="6"/>
      <c r="E14446" s="2"/>
      <c r="F14446" s="2"/>
      <c r="G14446" s="2">
        <f t="shared" si="225"/>
        <v>0</v>
      </c>
      <c r="H14446" t="s">
        <v>9</v>
      </c>
    </row>
    <row r="14447" spans="2:8" x14ac:dyDescent="0.2">
      <c r="B14447" s="3">
        <v>45819</v>
      </c>
      <c r="C14447" s="3"/>
      <c r="D14447" s="6"/>
      <c r="E14447" s="2"/>
      <c r="F14447" s="2"/>
      <c r="G14447" s="2">
        <f t="shared" si="225"/>
        <v>0</v>
      </c>
      <c r="H14447" t="s">
        <v>8</v>
      </c>
    </row>
    <row r="14448" spans="2:8" x14ac:dyDescent="0.2">
      <c r="B14448" s="3">
        <v>45819</v>
      </c>
      <c r="C14448" s="3"/>
      <c r="D14448" s="6"/>
      <c r="E14448" s="2"/>
      <c r="F14448" s="2"/>
      <c r="G14448" s="2">
        <f t="shared" si="225"/>
        <v>0</v>
      </c>
      <c r="H14448" t="s">
        <v>7</v>
      </c>
    </row>
    <row r="14449" spans="2:8" x14ac:dyDescent="0.2">
      <c r="B14449" s="3">
        <v>45819</v>
      </c>
      <c r="C14449" s="3"/>
      <c r="D14449" s="6"/>
      <c r="E14449" s="2"/>
      <c r="F14449" s="2"/>
      <c r="G14449" s="2">
        <f t="shared" si="225"/>
        <v>0</v>
      </c>
      <c r="H14449" t="s">
        <v>6</v>
      </c>
    </row>
    <row r="14450" spans="2:8" x14ac:dyDescent="0.2">
      <c r="B14450" s="3">
        <v>45819</v>
      </c>
      <c r="C14450" s="3"/>
      <c r="D14450" s="6"/>
      <c r="E14450" s="2"/>
      <c r="F14450" s="2">
        <v>7500</v>
      </c>
      <c r="G14450" s="2">
        <f t="shared" si="225"/>
        <v>-7500</v>
      </c>
      <c r="H14450" t="s">
        <v>5</v>
      </c>
    </row>
    <row r="14451" spans="2:8" x14ac:dyDescent="0.2">
      <c r="B14451" s="3">
        <v>45819</v>
      </c>
      <c r="C14451" s="3"/>
      <c r="D14451" s="6"/>
      <c r="E14451" s="2"/>
      <c r="F14451" s="2"/>
      <c r="G14451" s="2">
        <f t="shared" si="225"/>
        <v>0</v>
      </c>
      <c r="H14451" s="1"/>
    </row>
    <row r="14452" spans="2:8" x14ac:dyDescent="0.2">
      <c r="B14452" s="3">
        <v>45819</v>
      </c>
      <c r="C14452" s="3"/>
      <c r="D14452" s="2"/>
      <c r="E14452" s="2"/>
      <c r="F14452" s="2"/>
      <c r="G14452" s="2">
        <f t="shared" si="225"/>
        <v>0</v>
      </c>
      <c r="H14452" t="s">
        <v>0</v>
      </c>
    </row>
    <row r="14453" spans="2:8" x14ac:dyDescent="0.2">
      <c r="B14453" s="3">
        <v>45820</v>
      </c>
      <c r="C14453" s="2"/>
      <c r="D14453" s="2"/>
      <c r="E14453" s="2"/>
      <c r="F14453" s="2"/>
      <c r="G14453" s="2">
        <f t="shared" si="225"/>
        <v>0</v>
      </c>
      <c r="H14453" t="s">
        <v>14</v>
      </c>
    </row>
    <row r="14454" spans="2:8" x14ac:dyDescent="0.2">
      <c r="B14454" s="3">
        <v>45820</v>
      </c>
      <c r="C14454" s="2"/>
      <c r="D14454" s="2"/>
      <c r="E14454" s="2"/>
      <c r="F14454" s="2"/>
      <c r="G14454" s="2">
        <f t="shared" si="225"/>
        <v>0</v>
      </c>
      <c r="H14454" t="s">
        <v>13</v>
      </c>
    </row>
    <row r="14455" spans="2:8" x14ac:dyDescent="0.2">
      <c r="B14455" s="3">
        <v>45820</v>
      </c>
      <c r="C14455" s="3"/>
      <c r="D14455" s="6"/>
      <c r="E14455" s="2"/>
      <c r="F14455" s="2"/>
      <c r="G14455" s="2">
        <f t="shared" si="225"/>
        <v>0</v>
      </c>
      <c r="H14455" t="s">
        <v>11</v>
      </c>
    </row>
    <row r="14456" spans="2:8" x14ac:dyDescent="0.2">
      <c r="B14456" s="3">
        <v>45820</v>
      </c>
      <c r="C14456" s="3"/>
      <c r="D14456" s="6"/>
      <c r="E14456" s="2"/>
      <c r="F14456" s="2"/>
      <c r="G14456" s="2">
        <f t="shared" si="225"/>
        <v>0</v>
      </c>
      <c r="H14456" t="s">
        <v>10</v>
      </c>
    </row>
    <row r="14457" spans="2:8" x14ac:dyDescent="0.2">
      <c r="B14457" s="3">
        <v>45820</v>
      </c>
      <c r="C14457" s="3"/>
      <c r="D14457" s="6"/>
      <c r="E14457" s="2"/>
      <c r="F14457" s="2"/>
      <c r="G14457" s="2">
        <f t="shared" si="225"/>
        <v>0</v>
      </c>
      <c r="H14457" t="s">
        <v>9</v>
      </c>
    </row>
    <row r="14458" spans="2:8" x14ac:dyDescent="0.2">
      <c r="B14458" s="3">
        <v>45820</v>
      </c>
      <c r="C14458" s="3"/>
      <c r="D14458" s="6"/>
      <c r="E14458" s="2"/>
      <c r="F14458" s="2"/>
      <c r="G14458" s="2">
        <f t="shared" si="225"/>
        <v>0</v>
      </c>
      <c r="H14458" t="s">
        <v>8</v>
      </c>
    </row>
    <row r="14459" spans="2:8" x14ac:dyDescent="0.2">
      <c r="B14459" s="3">
        <v>45820</v>
      </c>
      <c r="C14459" s="3"/>
      <c r="D14459" s="6"/>
      <c r="E14459" s="2"/>
      <c r="F14459" s="2"/>
      <c r="G14459" s="2">
        <f t="shared" si="225"/>
        <v>0</v>
      </c>
      <c r="H14459" t="s">
        <v>7</v>
      </c>
    </row>
    <row r="14460" spans="2:8" x14ac:dyDescent="0.2">
      <c r="B14460" s="3">
        <v>45820</v>
      </c>
      <c r="C14460" s="3"/>
      <c r="D14460" s="6"/>
      <c r="E14460" s="2"/>
      <c r="F14460" s="2"/>
      <c r="G14460" s="2">
        <f t="shared" si="225"/>
        <v>0</v>
      </c>
      <c r="H14460" t="s">
        <v>6</v>
      </c>
    </row>
    <row r="14461" spans="2:8" x14ac:dyDescent="0.2">
      <c r="B14461" s="3">
        <v>45820</v>
      </c>
      <c r="C14461" s="3"/>
      <c r="D14461" s="6"/>
      <c r="E14461" s="2"/>
      <c r="F14461" s="2"/>
      <c r="G14461" s="2">
        <f t="shared" si="225"/>
        <v>0</v>
      </c>
      <c r="H14461" t="s">
        <v>5</v>
      </c>
    </row>
    <row r="14462" spans="2:8" x14ac:dyDescent="0.2">
      <c r="B14462" s="3">
        <v>45820</v>
      </c>
      <c r="C14462" s="3"/>
      <c r="D14462" s="6"/>
      <c r="E14462" s="2"/>
      <c r="F14462" s="2"/>
      <c r="G14462" s="2">
        <f t="shared" si="225"/>
        <v>0</v>
      </c>
      <c r="H14462" s="1"/>
    </row>
    <row r="14463" spans="2:8" x14ac:dyDescent="0.2">
      <c r="B14463" s="3">
        <v>45820</v>
      </c>
      <c r="C14463" s="3"/>
      <c r="D14463" s="2"/>
      <c r="E14463" s="2"/>
      <c r="F14463" s="2"/>
      <c r="G14463" s="2">
        <f t="shared" si="225"/>
        <v>0</v>
      </c>
      <c r="H14463" t="s">
        <v>0</v>
      </c>
    </row>
    <row r="14464" spans="2:8" x14ac:dyDescent="0.2">
      <c r="B14464" s="3">
        <v>45821</v>
      </c>
      <c r="C14464" s="2">
        <v>76</v>
      </c>
      <c r="D14464" s="2">
        <v>8000</v>
      </c>
      <c r="E14464" s="2">
        <v>9000</v>
      </c>
      <c r="F14464" s="2"/>
      <c r="G14464" s="2">
        <f t="shared" si="225"/>
        <v>9000</v>
      </c>
      <c r="H14464" t="s">
        <v>14</v>
      </c>
    </row>
    <row r="14465" spans="2:8" x14ac:dyDescent="0.2">
      <c r="B14465" s="3">
        <v>45821</v>
      </c>
      <c r="C14465" s="2"/>
      <c r="D14465" s="2"/>
      <c r="E14465" s="2"/>
      <c r="F14465" s="2"/>
      <c r="G14465" s="2">
        <f t="shared" si="225"/>
        <v>0</v>
      </c>
      <c r="H14465" t="s">
        <v>13</v>
      </c>
    </row>
    <row r="14466" spans="2:8" x14ac:dyDescent="0.2">
      <c r="B14466" s="3">
        <v>45821</v>
      </c>
      <c r="C14466" s="2">
        <v>75</v>
      </c>
      <c r="D14466" s="6">
        <v>11615</v>
      </c>
      <c r="E14466" s="11">
        <v>12205</v>
      </c>
      <c r="F14466" s="2"/>
      <c r="G14466" s="2">
        <f t="shared" si="225"/>
        <v>12205</v>
      </c>
      <c r="H14466" t="s">
        <v>11</v>
      </c>
    </row>
    <row r="14467" spans="2:8" x14ac:dyDescent="0.2">
      <c r="B14467" s="3">
        <v>45821</v>
      </c>
      <c r="C14467" s="3"/>
      <c r="D14467" s="6"/>
      <c r="E14467" s="2"/>
      <c r="F14467" s="2"/>
      <c r="G14467" s="2">
        <f t="shared" ref="G14467:G14530" si="226">E14467-F14467</f>
        <v>0</v>
      </c>
      <c r="H14467" t="s">
        <v>10</v>
      </c>
    </row>
    <row r="14468" spans="2:8" x14ac:dyDescent="0.2">
      <c r="B14468" s="3">
        <v>45821</v>
      </c>
      <c r="C14468" s="3"/>
      <c r="D14468" s="6"/>
      <c r="E14468" s="2"/>
      <c r="F14468" s="2"/>
      <c r="G14468" s="2">
        <f t="shared" si="226"/>
        <v>0</v>
      </c>
      <c r="H14468" t="s">
        <v>9</v>
      </c>
    </row>
    <row r="14469" spans="2:8" x14ac:dyDescent="0.2">
      <c r="B14469" s="3">
        <v>45821</v>
      </c>
      <c r="C14469" s="3"/>
      <c r="D14469" s="6"/>
      <c r="E14469" s="2"/>
      <c r="F14469" s="2"/>
      <c r="G14469" s="2">
        <f t="shared" si="226"/>
        <v>0</v>
      </c>
      <c r="H14469" t="s">
        <v>8</v>
      </c>
    </row>
    <row r="14470" spans="2:8" x14ac:dyDescent="0.2">
      <c r="B14470" s="3">
        <v>45821</v>
      </c>
      <c r="C14470" s="3"/>
      <c r="D14470" s="6"/>
      <c r="E14470" s="2"/>
      <c r="F14470" s="2"/>
      <c r="G14470" s="2">
        <f t="shared" si="226"/>
        <v>0</v>
      </c>
      <c r="H14470" t="s">
        <v>7</v>
      </c>
    </row>
    <row r="14471" spans="2:8" x14ac:dyDescent="0.2">
      <c r="B14471" s="3">
        <v>45821</v>
      </c>
      <c r="C14471" s="3"/>
      <c r="D14471" s="6"/>
      <c r="E14471" s="2"/>
      <c r="F14471" s="2"/>
      <c r="G14471" s="2">
        <f t="shared" si="226"/>
        <v>0</v>
      </c>
      <c r="H14471" t="s">
        <v>6</v>
      </c>
    </row>
    <row r="14472" spans="2:8" x14ac:dyDescent="0.2">
      <c r="B14472" s="3">
        <v>45821</v>
      </c>
      <c r="C14472" s="3"/>
      <c r="D14472" s="6"/>
      <c r="E14472" s="2"/>
      <c r="F14472" s="2"/>
      <c r="G14472" s="2">
        <f t="shared" si="226"/>
        <v>0</v>
      </c>
      <c r="H14472" t="s">
        <v>5</v>
      </c>
    </row>
    <row r="14473" spans="2:8" x14ac:dyDescent="0.2">
      <c r="B14473" s="3">
        <v>45821</v>
      </c>
      <c r="C14473" s="3"/>
      <c r="D14473" s="6"/>
      <c r="E14473" s="2"/>
      <c r="F14473" s="2"/>
      <c r="G14473" s="2">
        <f t="shared" si="226"/>
        <v>0</v>
      </c>
      <c r="H14473" s="1"/>
    </row>
    <row r="14474" spans="2:8" x14ac:dyDescent="0.2">
      <c r="B14474" s="3">
        <v>45821</v>
      </c>
      <c r="C14474" s="3"/>
      <c r="D14474" s="2"/>
      <c r="E14474" s="2"/>
      <c r="F14474" s="2"/>
      <c r="G14474" s="2">
        <f t="shared" si="226"/>
        <v>0</v>
      </c>
      <c r="H14474" t="s">
        <v>0</v>
      </c>
    </row>
    <row r="14475" spans="2:8" x14ac:dyDescent="0.2">
      <c r="B14475" s="3">
        <v>45822</v>
      </c>
      <c r="C14475" s="2"/>
      <c r="D14475" s="2"/>
      <c r="E14475" s="2"/>
      <c r="F14475" s="2">
        <v>15000</v>
      </c>
      <c r="G14475" s="2">
        <f t="shared" si="226"/>
        <v>-15000</v>
      </c>
      <c r="H14475" t="s">
        <v>14</v>
      </c>
    </row>
    <row r="14476" spans="2:8" x14ac:dyDescent="0.2">
      <c r="B14476" s="3">
        <v>45822</v>
      </c>
      <c r="C14476" s="2"/>
      <c r="D14476" s="2"/>
      <c r="E14476" s="2"/>
      <c r="F14476" s="2"/>
      <c r="G14476" s="2">
        <f t="shared" si="226"/>
        <v>0</v>
      </c>
      <c r="H14476" t="s">
        <v>13</v>
      </c>
    </row>
    <row r="14477" spans="2:8" x14ac:dyDescent="0.2">
      <c r="B14477" s="3">
        <v>45822</v>
      </c>
      <c r="C14477" s="3"/>
      <c r="D14477" s="6"/>
      <c r="E14477" s="2"/>
      <c r="F14477" s="2"/>
      <c r="G14477" s="2">
        <f t="shared" si="226"/>
        <v>0</v>
      </c>
      <c r="H14477" t="s">
        <v>11</v>
      </c>
    </row>
    <row r="14478" spans="2:8" x14ac:dyDescent="0.2">
      <c r="B14478" s="3">
        <v>45822</v>
      </c>
      <c r="C14478" s="3"/>
      <c r="D14478" s="6"/>
      <c r="E14478" s="2"/>
      <c r="F14478" s="2"/>
      <c r="G14478" s="2">
        <f t="shared" si="226"/>
        <v>0</v>
      </c>
      <c r="H14478" t="s">
        <v>10</v>
      </c>
    </row>
    <row r="14479" spans="2:8" x14ac:dyDescent="0.2">
      <c r="B14479" s="3">
        <v>45822</v>
      </c>
      <c r="C14479" s="3"/>
      <c r="D14479" s="6"/>
      <c r="E14479" s="2"/>
      <c r="F14479" s="2"/>
      <c r="G14479" s="2">
        <f t="shared" si="226"/>
        <v>0</v>
      </c>
      <c r="H14479" t="s">
        <v>9</v>
      </c>
    </row>
    <row r="14480" spans="2:8" x14ac:dyDescent="0.2">
      <c r="B14480" s="3">
        <v>45822</v>
      </c>
      <c r="C14480" s="3"/>
      <c r="D14480" s="6"/>
      <c r="E14480" s="2"/>
      <c r="F14480" s="2">
        <v>30000</v>
      </c>
      <c r="G14480" s="2">
        <f t="shared" si="226"/>
        <v>-30000</v>
      </c>
      <c r="H14480" t="s">
        <v>8</v>
      </c>
    </row>
    <row r="14481" spans="2:8" x14ac:dyDescent="0.2">
      <c r="B14481" s="3">
        <v>45822</v>
      </c>
      <c r="C14481" s="3"/>
      <c r="D14481" s="6"/>
      <c r="E14481" s="2"/>
      <c r="F14481" s="2"/>
      <c r="G14481" s="2">
        <f t="shared" si="226"/>
        <v>0</v>
      </c>
      <c r="H14481" t="s">
        <v>7</v>
      </c>
    </row>
    <row r="14482" spans="2:8" x14ac:dyDescent="0.2">
      <c r="B14482" s="3">
        <v>45822</v>
      </c>
      <c r="C14482" s="3"/>
      <c r="D14482" s="6"/>
      <c r="E14482" s="2"/>
      <c r="F14482" s="2"/>
      <c r="G14482" s="2">
        <f t="shared" si="226"/>
        <v>0</v>
      </c>
      <c r="H14482" t="s">
        <v>6</v>
      </c>
    </row>
    <row r="14483" spans="2:8" x14ac:dyDescent="0.2">
      <c r="B14483" s="3">
        <v>45822</v>
      </c>
      <c r="C14483" s="3"/>
      <c r="D14483" s="6"/>
      <c r="E14483" s="2"/>
      <c r="F14483" s="2"/>
      <c r="G14483" s="2">
        <f t="shared" si="226"/>
        <v>0</v>
      </c>
      <c r="H14483" t="s">
        <v>5</v>
      </c>
    </row>
    <row r="14484" spans="2:8" x14ac:dyDescent="0.2">
      <c r="B14484" s="3">
        <v>45822</v>
      </c>
      <c r="C14484" s="3"/>
      <c r="D14484" s="6"/>
      <c r="E14484" s="2"/>
      <c r="F14484" s="2"/>
      <c r="G14484" s="2">
        <f t="shared" si="226"/>
        <v>0</v>
      </c>
      <c r="H14484" s="1"/>
    </row>
    <row r="14485" spans="2:8" x14ac:dyDescent="0.2">
      <c r="B14485" s="3">
        <v>45822</v>
      </c>
      <c r="C14485" s="3"/>
      <c r="D14485" s="2"/>
      <c r="E14485" s="2"/>
      <c r="F14485" s="2"/>
      <c r="G14485" s="2">
        <f t="shared" si="226"/>
        <v>0</v>
      </c>
      <c r="H14485" t="s">
        <v>0</v>
      </c>
    </row>
    <row r="14486" spans="2:8" x14ac:dyDescent="0.2">
      <c r="B14486" s="3">
        <v>45823</v>
      </c>
      <c r="C14486" s="2"/>
      <c r="D14486" s="2"/>
      <c r="E14486" s="2"/>
      <c r="F14486" s="2"/>
      <c r="G14486" s="2">
        <f t="shared" si="226"/>
        <v>0</v>
      </c>
      <c r="H14486" t="s">
        <v>14</v>
      </c>
    </row>
    <row r="14487" spans="2:8" x14ac:dyDescent="0.2">
      <c r="B14487" s="3">
        <v>45823</v>
      </c>
      <c r="C14487" s="2"/>
      <c r="D14487" s="2"/>
      <c r="E14487" s="2"/>
      <c r="F14487" s="2"/>
      <c r="G14487" s="2">
        <f t="shared" si="226"/>
        <v>0</v>
      </c>
      <c r="H14487" t="s">
        <v>13</v>
      </c>
    </row>
    <row r="14488" spans="2:8" x14ac:dyDescent="0.2">
      <c r="B14488" s="3">
        <v>45823</v>
      </c>
      <c r="C14488" s="3"/>
      <c r="D14488" s="6"/>
      <c r="E14488" s="2"/>
      <c r="F14488" s="2">
        <v>12530</v>
      </c>
      <c r="G14488" s="2">
        <f t="shared" si="226"/>
        <v>-12530</v>
      </c>
      <c r="H14488" t="s">
        <v>11</v>
      </c>
    </row>
    <row r="14489" spans="2:8" x14ac:dyDescent="0.2">
      <c r="B14489" s="3">
        <v>45823</v>
      </c>
      <c r="C14489" s="2">
        <v>77</v>
      </c>
      <c r="D14489" s="6">
        <v>6735</v>
      </c>
      <c r="E14489" s="2">
        <v>7380</v>
      </c>
      <c r="F14489" s="2"/>
      <c r="G14489" s="2">
        <f t="shared" si="226"/>
        <v>7380</v>
      </c>
      <c r="H14489" t="s">
        <v>10</v>
      </c>
    </row>
    <row r="14490" spans="2:8" x14ac:dyDescent="0.2">
      <c r="B14490" s="3">
        <v>45823</v>
      </c>
      <c r="C14490" s="3"/>
      <c r="D14490" s="6"/>
      <c r="E14490" s="2"/>
      <c r="F14490" s="2">
        <v>36500</v>
      </c>
      <c r="G14490" s="2">
        <f t="shared" si="226"/>
        <v>-36500</v>
      </c>
      <c r="H14490" t="s">
        <v>9</v>
      </c>
    </row>
    <row r="14491" spans="2:8" x14ac:dyDescent="0.2">
      <c r="B14491" s="3">
        <v>45823</v>
      </c>
      <c r="C14491" s="3"/>
      <c r="D14491" s="6"/>
      <c r="E14491" s="2"/>
      <c r="F14491" s="2"/>
      <c r="G14491" s="2">
        <f t="shared" si="226"/>
        <v>0</v>
      </c>
      <c r="H14491" t="s">
        <v>8</v>
      </c>
    </row>
    <row r="14492" spans="2:8" x14ac:dyDescent="0.2">
      <c r="B14492" s="3">
        <v>45823</v>
      </c>
      <c r="C14492" s="3"/>
      <c r="D14492" s="6"/>
      <c r="E14492" s="2"/>
      <c r="F14492" s="2"/>
      <c r="G14492" s="2">
        <f t="shared" si="226"/>
        <v>0</v>
      </c>
      <c r="H14492" t="s">
        <v>7</v>
      </c>
    </row>
    <row r="14493" spans="2:8" x14ac:dyDescent="0.2">
      <c r="B14493" s="3">
        <v>45823</v>
      </c>
      <c r="C14493" s="3"/>
      <c r="D14493" s="6"/>
      <c r="E14493" s="2"/>
      <c r="F14493" s="2"/>
      <c r="G14493" s="2">
        <f t="shared" si="226"/>
        <v>0</v>
      </c>
      <c r="H14493" t="s">
        <v>6</v>
      </c>
    </row>
    <row r="14494" spans="2:8" x14ac:dyDescent="0.2">
      <c r="B14494" s="3">
        <v>45823</v>
      </c>
      <c r="C14494" s="3"/>
      <c r="D14494" s="6"/>
      <c r="E14494" s="2"/>
      <c r="F14494" s="2"/>
      <c r="G14494" s="2">
        <f t="shared" si="226"/>
        <v>0</v>
      </c>
      <c r="H14494" t="s">
        <v>5</v>
      </c>
    </row>
    <row r="14495" spans="2:8" x14ac:dyDescent="0.2">
      <c r="B14495" s="3">
        <v>45823</v>
      </c>
      <c r="C14495" s="3"/>
      <c r="D14495" s="6"/>
      <c r="E14495" s="2"/>
      <c r="F14495" s="2"/>
      <c r="G14495" s="2">
        <f t="shared" si="226"/>
        <v>0</v>
      </c>
      <c r="H14495" s="1"/>
    </row>
    <row r="14496" spans="2:8" x14ac:dyDescent="0.2">
      <c r="B14496" s="3">
        <v>45823</v>
      </c>
      <c r="C14496" s="3"/>
      <c r="D14496" s="2"/>
      <c r="E14496" s="2"/>
      <c r="F14496" s="2">
        <v>45000</v>
      </c>
      <c r="G14496" s="2">
        <f t="shared" si="226"/>
        <v>-45000</v>
      </c>
      <c r="H14496" t="s">
        <v>0</v>
      </c>
    </row>
    <row r="14497" spans="2:8" x14ac:dyDescent="0.2">
      <c r="B14497" s="3">
        <v>45824</v>
      </c>
      <c r="C14497" s="2"/>
      <c r="D14497" s="2"/>
      <c r="E14497" s="2"/>
      <c r="F14497" s="2"/>
      <c r="G14497" s="2">
        <f t="shared" si="226"/>
        <v>0</v>
      </c>
      <c r="H14497" t="s">
        <v>14</v>
      </c>
    </row>
    <row r="14498" spans="2:8" x14ac:dyDescent="0.2">
      <c r="B14498" s="3">
        <v>45824</v>
      </c>
      <c r="C14498" s="2"/>
      <c r="D14498" s="2"/>
      <c r="E14498" s="2"/>
      <c r="F14498" s="2"/>
      <c r="G14498" s="2">
        <f t="shared" si="226"/>
        <v>0</v>
      </c>
      <c r="H14498" t="s">
        <v>13</v>
      </c>
    </row>
    <row r="14499" spans="2:8" x14ac:dyDescent="0.2">
      <c r="B14499" s="3">
        <v>45824</v>
      </c>
      <c r="C14499" s="3"/>
      <c r="D14499" s="6"/>
      <c r="E14499" s="2"/>
      <c r="F14499" s="2"/>
      <c r="G14499" s="2">
        <f t="shared" si="226"/>
        <v>0</v>
      </c>
      <c r="H14499" t="s">
        <v>11</v>
      </c>
    </row>
    <row r="14500" spans="2:8" x14ac:dyDescent="0.2">
      <c r="B14500" s="3">
        <v>45824</v>
      </c>
      <c r="C14500" s="3"/>
      <c r="D14500" s="6"/>
      <c r="E14500" s="2"/>
      <c r="F14500" s="2">
        <v>7380</v>
      </c>
      <c r="G14500" s="2">
        <f t="shared" si="226"/>
        <v>-7380</v>
      </c>
      <c r="H14500" t="s">
        <v>10</v>
      </c>
    </row>
    <row r="14501" spans="2:8" x14ac:dyDescent="0.2">
      <c r="B14501" s="3">
        <v>45824</v>
      </c>
      <c r="C14501" s="3"/>
      <c r="D14501" s="6"/>
      <c r="E14501" s="2"/>
      <c r="F14501" s="2"/>
      <c r="G14501" s="2">
        <f t="shared" si="226"/>
        <v>0</v>
      </c>
      <c r="H14501" t="s">
        <v>9</v>
      </c>
    </row>
    <row r="14502" spans="2:8" x14ac:dyDescent="0.2">
      <c r="B14502" s="3">
        <v>45824</v>
      </c>
      <c r="C14502" s="2">
        <v>78</v>
      </c>
      <c r="D14502" s="6">
        <v>13190</v>
      </c>
      <c r="E14502" s="2">
        <v>14900</v>
      </c>
      <c r="F14502" s="2"/>
      <c r="G14502" s="2">
        <f t="shared" si="226"/>
        <v>14900</v>
      </c>
      <c r="H14502" t="s">
        <v>8</v>
      </c>
    </row>
    <row r="14503" spans="2:8" x14ac:dyDescent="0.2">
      <c r="B14503" s="3">
        <v>45824</v>
      </c>
      <c r="C14503" s="3"/>
      <c r="D14503" s="6"/>
      <c r="E14503" s="2"/>
      <c r="F14503" s="2"/>
      <c r="G14503" s="2">
        <f t="shared" si="226"/>
        <v>0</v>
      </c>
      <c r="H14503" t="s">
        <v>7</v>
      </c>
    </row>
    <row r="14504" spans="2:8" x14ac:dyDescent="0.2">
      <c r="B14504" s="3">
        <v>45824</v>
      </c>
      <c r="C14504" s="3"/>
      <c r="D14504" s="6"/>
      <c r="E14504" s="2"/>
      <c r="F14504" s="2"/>
      <c r="G14504" s="2">
        <f t="shared" si="226"/>
        <v>0</v>
      </c>
      <c r="H14504" t="s">
        <v>6</v>
      </c>
    </row>
    <row r="14505" spans="2:8" x14ac:dyDescent="0.2">
      <c r="B14505" s="3">
        <v>45824</v>
      </c>
      <c r="C14505" s="3"/>
      <c r="D14505" s="6"/>
      <c r="E14505" s="2"/>
      <c r="F14505" s="2"/>
      <c r="G14505" s="2">
        <f t="shared" si="226"/>
        <v>0</v>
      </c>
      <c r="H14505" t="s">
        <v>5</v>
      </c>
    </row>
    <row r="14506" spans="2:8" x14ac:dyDescent="0.2">
      <c r="B14506" s="3">
        <v>45824</v>
      </c>
      <c r="C14506" s="3"/>
      <c r="D14506" s="6"/>
      <c r="E14506" s="2"/>
      <c r="F14506" s="2"/>
      <c r="G14506" s="2">
        <f t="shared" si="226"/>
        <v>0</v>
      </c>
      <c r="H14506" s="1"/>
    </row>
    <row r="14507" spans="2:8" x14ac:dyDescent="0.2">
      <c r="B14507" s="3">
        <v>45824</v>
      </c>
      <c r="C14507" s="3"/>
      <c r="D14507" s="2"/>
      <c r="E14507" s="2"/>
      <c r="F14507" s="2"/>
      <c r="G14507" s="2">
        <f t="shared" si="226"/>
        <v>0</v>
      </c>
      <c r="H14507" t="s">
        <v>0</v>
      </c>
    </row>
    <row r="14508" spans="2:8" x14ac:dyDescent="0.2">
      <c r="B14508" s="3">
        <v>45825</v>
      </c>
      <c r="C14508" s="2"/>
      <c r="D14508" s="2"/>
      <c r="E14508" s="2"/>
      <c r="F14508" s="2"/>
      <c r="G14508" s="2">
        <f t="shared" si="226"/>
        <v>0</v>
      </c>
      <c r="H14508" t="s">
        <v>14</v>
      </c>
    </row>
    <row r="14509" spans="2:8" x14ac:dyDescent="0.2">
      <c r="B14509" s="3">
        <v>45825</v>
      </c>
      <c r="C14509" s="2"/>
      <c r="D14509" s="2"/>
      <c r="E14509" s="2"/>
      <c r="F14509" s="2"/>
      <c r="G14509" s="2">
        <f t="shared" si="226"/>
        <v>0</v>
      </c>
      <c r="H14509" t="s">
        <v>13</v>
      </c>
    </row>
    <row r="14510" spans="2:8" x14ac:dyDescent="0.2">
      <c r="B14510" s="3">
        <v>45825</v>
      </c>
      <c r="C14510" s="3"/>
      <c r="D14510" s="6"/>
      <c r="E14510" s="2"/>
      <c r="F14510" s="2"/>
      <c r="G14510" s="2">
        <f t="shared" si="226"/>
        <v>0</v>
      </c>
      <c r="H14510" t="s">
        <v>11</v>
      </c>
    </row>
    <row r="14511" spans="2:8" x14ac:dyDescent="0.2">
      <c r="B14511" s="3">
        <v>45825</v>
      </c>
      <c r="C14511" s="3"/>
      <c r="D14511" s="6"/>
      <c r="E14511" s="2"/>
      <c r="F14511" s="2"/>
      <c r="G14511" s="2">
        <f t="shared" si="226"/>
        <v>0</v>
      </c>
      <c r="H14511" t="s">
        <v>10</v>
      </c>
    </row>
    <row r="14512" spans="2:8" x14ac:dyDescent="0.2">
      <c r="B14512" s="3">
        <v>45825</v>
      </c>
      <c r="C14512" s="3"/>
      <c r="D14512" s="6"/>
      <c r="E14512" s="2"/>
      <c r="F14512" s="2"/>
      <c r="G14512" s="2">
        <f t="shared" si="226"/>
        <v>0</v>
      </c>
      <c r="H14512" t="s">
        <v>9</v>
      </c>
    </row>
    <row r="14513" spans="2:8" x14ac:dyDescent="0.2">
      <c r="B14513" s="3">
        <v>45825</v>
      </c>
      <c r="C14513" s="3"/>
      <c r="D14513" s="6"/>
      <c r="E14513" s="2"/>
      <c r="F14513" s="2"/>
      <c r="G14513" s="2">
        <f t="shared" si="226"/>
        <v>0</v>
      </c>
      <c r="H14513" t="s">
        <v>8</v>
      </c>
    </row>
    <row r="14514" spans="2:8" x14ac:dyDescent="0.2">
      <c r="B14514" s="3">
        <v>45825</v>
      </c>
      <c r="C14514" s="3"/>
      <c r="D14514" s="6"/>
      <c r="E14514" s="2"/>
      <c r="F14514" s="2"/>
      <c r="G14514" s="2">
        <f t="shared" si="226"/>
        <v>0</v>
      </c>
      <c r="H14514" t="s">
        <v>7</v>
      </c>
    </row>
    <row r="14515" spans="2:8" x14ac:dyDescent="0.2">
      <c r="B14515" s="3">
        <v>45825</v>
      </c>
      <c r="C14515" s="3"/>
      <c r="D14515" s="6"/>
      <c r="E14515" s="2"/>
      <c r="F14515" s="2"/>
      <c r="G14515" s="2">
        <f t="shared" si="226"/>
        <v>0</v>
      </c>
      <c r="H14515" t="s">
        <v>6</v>
      </c>
    </row>
    <row r="14516" spans="2:8" x14ac:dyDescent="0.2">
      <c r="B14516" s="3">
        <v>45825</v>
      </c>
      <c r="C14516" s="3"/>
      <c r="D14516" s="6"/>
      <c r="E14516" s="2"/>
      <c r="F14516" s="2"/>
      <c r="G14516" s="2">
        <f t="shared" si="226"/>
        <v>0</v>
      </c>
      <c r="H14516" t="s">
        <v>5</v>
      </c>
    </row>
    <row r="14517" spans="2:8" x14ac:dyDescent="0.2">
      <c r="B14517" s="3">
        <v>45825</v>
      </c>
      <c r="C14517" s="3"/>
      <c r="D14517" s="6"/>
      <c r="E14517" s="2"/>
      <c r="F14517" s="2"/>
      <c r="G14517" s="2">
        <f t="shared" si="226"/>
        <v>0</v>
      </c>
      <c r="H14517" s="1"/>
    </row>
    <row r="14518" spans="2:8" x14ac:dyDescent="0.2">
      <c r="B14518" s="3">
        <v>45825</v>
      </c>
      <c r="C14518" s="3"/>
      <c r="D14518" s="2"/>
      <c r="E14518" s="2"/>
      <c r="F14518" s="2"/>
      <c r="G14518" s="2">
        <f t="shared" si="226"/>
        <v>0</v>
      </c>
      <c r="H14518" t="s">
        <v>0</v>
      </c>
    </row>
    <row r="14519" spans="2:8" x14ac:dyDescent="0.2">
      <c r="B14519" s="3">
        <v>45826</v>
      </c>
      <c r="C14519" s="2"/>
      <c r="D14519" s="2"/>
      <c r="E14519" s="2"/>
      <c r="F14519" s="2"/>
      <c r="G14519" s="2">
        <f t="shared" si="226"/>
        <v>0</v>
      </c>
      <c r="H14519" t="s">
        <v>14</v>
      </c>
    </row>
    <row r="14520" spans="2:8" x14ac:dyDescent="0.2">
      <c r="B14520" s="3">
        <v>45826</v>
      </c>
      <c r="C14520" s="2"/>
      <c r="D14520" s="2"/>
      <c r="E14520" s="2"/>
      <c r="F14520" s="2"/>
      <c r="G14520" s="2">
        <f t="shared" si="226"/>
        <v>0</v>
      </c>
      <c r="H14520" t="s">
        <v>13</v>
      </c>
    </row>
    <row r="14521" spans="2:8" x14ac:dyDescent="0.2">
      <c r="B14521" s="3">
        <v>45826</v>
      </c>
      <c r="C14521" s="3"/>
      <c r="D14521" s="6"/>
      <c r="E14521" s="11"/>
      <c r="F14521" s="2"/>
      <c r="G14521" s="2">
        <f t="shared" si="226"/>
        <v>0</v>
      </c>
      <c r="H14521" t="s">
        <v>11</v>
      </c>
    </row>
    <row r="14522" spans="2:8" x14ac:dyDescent="0.2">
      <c r="B14522" s="3">
        <v>45826</v>
      </c>
      <c r="C14522" s="3"/>
      <c r="D14522" s="6"/>
      <c r="E14522" s="2"/>
      <c r="F14522" s="2"/>
      <c r="G14522" s="2">
        <f t="shared" si="226"/>
        <v>0</v>
      </c>
      <c r="H14522" t="s">
        <v>10</v>
      </c>
    </row>
    <row r="14523" spans="2:8" x14ac:dyDescent="0.2">
      <c r="B14523" s="3">
        <v>45826</v>
      </c>
      <c r="C14523" s="2">
        <v>79</v>
      </c>
      <c r="D14523" s="6">
        <v>146358</v>
      </c>
      <c r="E14523" s="2">
        <v>156350</v>
      </c>
      <c r="F14523" s="2"/>
      <c r="G14523" s="2">
        <f t="shared" si="226"/>
        <v>156350</v>
      </c>
      <c r="H14523" t="s">
        <v>9</v>
      </c>
    </row>
    <row r="14524" spans="2:8" x14ac:dyDescent="0.2">
      <c r="B14524" s="3">
        <v>45826</v>
      </c>
      <c r="C14524" s="3"/>
      <c r="D14524" s="6"/>
      <c r="E14524" s="2"/>
      <c r="F14524" s="2"/>
      <c r="G14524" s="2">
        <f t="shared" si="226"/>
        <v>0</v>
      </c>
      <c r="H14524" t="s">
        <v>8</v>
      </c>
    </row>
    <row r="14525" spans="2:8" x14ac:dyDescent="0.2">
      <c r="B14525" s="3">
        <v>45826</v>
      </c>
      <c r="C14525" s="3"/>
      <c r="D14525" s="6"/>
      <c r="E14525" s="2"/>
      <c r="F14525" s="2"/>
      <c r="G14525" s="2">
        <f t="shared" si="226"/>
        <v>0</v>
      </c>
      <c r="H14525" t="s">
        <v>7</v>
      </c>
    </row>
    <row r="14526" spans="2:8" x14ac:dyDescent="0.2">
      <c r="B14526" s="3">
        <v>45826</v>
      </c>
      <c r="C14526" s="3"/>
      <c r="D14526" s="6"/>
      <c r="E14526" s="2"/>
      <c r="F14526" s="2"/>
      <c r="G14526" s="2">
        <f t="shared" si="226"/>
        <v>0</v>
      </c>
      <c r="H14526" t="s">
        <v>6</v>
      </c>
    </row>
    <row r="14527" spans="2:8" x14ac:dyDescent="0.2">
      <c r="B14527" s="3">
        <v>45826</v>
      </c>
      <c r="C14527" s="3"/>
      <c r="D14527" s="6"/>
      <c r="E14527" s="2"/>
      <c r="F14527" s="2"/>
      <c r="G14527" s="2">
        <f t="shared" si="226"/>
        <v>0</v>
      </c>
      <c r="H14527" t="s">
        <v>5</v>
      </c>
    </row>
    <row r="14528" spans="2:8" x14ac:dyDescent="0.2">
      <c r="B14528" s="3">
        <v>45826</v>
      </c>
      <c r="C14528" s="3"/>
      <c r="D14528" s="6"/>
      <c r="E14528" s="2"/>
      <c r="F14528" s="2"/>
      <c r="G14528" s="2">
        <f t="shared" si="226"/>
        <v>0</v>
      </c>
      <c r="H14528" s="1"/>
    </row>
    <row r="14529" spans="2:8" x14ac:dyDescent="0.2">
      <c r="B14529" s="3">
        <v>45826</v>
      </c>
      <c r="C14529" s="3"/>
      <c r="D14529" s="2"/>
      <c r="E14529" s="2"/>
      <c r="F14529" s="2">
        <v>20000</v>
      </c>
      <c r="G14529" s="2">
        <f t="shared" si="226"/>
        <v>-20000</v>
      </c>
      <c r="H14529" t="s">
        <v>0</v>
      </c>
    </row>
    <row r="14530" spans="2:8" x14ac:dyDescent="0.2">
      <c r="B14530" s="3">
        <v>45827</v>
      </c>
      <c r="C14530" s="2"/>
      <c r="D14530" s="2"/>
      <c r="E14530" s="2"/>
      <c r="F14530" s="2"/>
      <c r="G14530" s="2">
        <f t="shared" si="226"/>
        <v>0</v>
      </c>
      <c r="H14530" t="s">
        <v>14</v>
      </c>
    </row>
    <row r="14531" spans="2:8" x14ac:dyDescent="0.2">
      <c r="B14531" s="3">
        <v>45827</v>
      </c>
      <c r="C14531" s="2"/>
      <c r="D14531" s="2"/>
      <c r="E14531" s="2"/>
      <c r="F14531" s="2"/>
      <c r="G14531" s="2">
        <f t="shared" ref="G14531:G14594" si="227">E14531-F14531</f>
        <v>0</v>
      </c>
      <c r="H14531" t="s">
        <v>13</v>
      </c>
    </row>
    <row r="14532" spans="2:8" x14ac:dyDescent="0.2">
      <c r="B14532" s="3">
        <v>45827</v>
      </c>
      <c r="C14532" s="3"/>
      <c r="D14532" s="6"/>
      <c r="E14532" s="2"/>
      <c r="F14532" s="2"/>
      <c r="G14532" s="2">
        <f t="shared" si="227"/>
        <v>0</v>
      </c>
      <c r="H14532" t="s">
        <v>11</v>
      </c>
    </row>
    <row r="14533" spans="2:8" x14ac:dyDescent="0.2">
      <c r="B14533" s="3">
        <v>45827</v>
      </c>
      <c r="C14533" s="3"/>
      <c r="D14533" s="6"/>
      <c r="E14533" s="2"/>
      <c r="F14533" s="2"/>
      <c r="G14533" s="2">
        <f t="shared" si="227"/>
        <v>0</v>
      </c>
      <c r="H14533" t="s">
        <v>10</v>
      </c>
    </row>
    <row r="14534" spans="2:8" x14ac:dyDescent="0.2">
      <c r="B14534" s="3">
        <v>45827</v>
      </c>
      <c r="C14534" s="3"/>
      <c r="D14534" s="6"/>
      <c r="E14534" s="2"/>
      <c r="F14534" s="2"/>
      <c r="G14534" s="2">
        <f t="shared" si="227"/>
        <v>0</v>
      </c>
      <c r="H14534" t="s">
        <v>9</v>
      </c>
    </row>
    <row r="14535" spans="2:8" x14ac:dyDescent="0.2">
      <c r="B14535" s="3">
        <v>45827</v>
      </c>
      <c r="C14535" s="3"/>
      <c r="D14535" s="6"/>
      <c r="E14535" s="2"/>
      <c r="F14535" s="2"/>
      <c r="G14535" s="2">
        <f t="shared" si="227"/>
        <v>0</v>
      </c>
      <c r="H14535" t="s">
        <v>8</v>
      </c>
    </row>
    <row r="14536" spans="2:8" x14ac:dyDescent="0.2">
      <c r="B14536" s="3">
        <v>45827</v>
      </c>
      <c r="C14536" s="3"/>
      <c r="D14536" s="6"/>
      <c r="E14536" s="2"/>
      <c r="F14536" s="2"/>
      <c r="G14536" s="2">
        <f t="shared" si="227"/>
        <v>0</v>
      </c>
      <c r="H14536" t="s">
        <v>7</v>
      </c>
    </row>
    <row r="14537" spans="2:8" x14ac:dyDescent="0.2">
      <c r="B14537" s="3">
        <v>45827</v>
      </c>
      <c r="C14537" s="3"/>
      <c r="D14537" s="6"/>
      <c r="E14537" s="2"/>
      <c r="F14537" s="2">
        <v>10000</v>
      </c>
      <c r="G14537" s="2">
        <f t="shared" si="227"/>
        <v>-10000</v>
      </c>
      <c r="H14537" t="s">
        <v>6</v>
      </c>
    </row>
    <row r="14538" spans="2:8" x14ac:dyDescent="0.2">
      <c r="B14538" s="3">
        <v>45827</v>
      </c>
      <c r="C14538" s="3"/>
      <c r="D14538" s="6"/>
      <c r="E14538" s="2"/>
      <c r="F14538" s="2"/>
      <c r="G14538" s="2">
        <f t="shared" si="227"/>
        <v>0</v>
      </c>
      <c r="H14538" t="s">
        <v>5</v>
      </c>
    </row>
    <row r="14539" spans="2:8" x14ac:dyDescent="0.2">
      <c r="B14539" s="3">
        <v>45827</v>
      </c>
      <c r="C14539" s="3"/>
      <c r="D14539" s="6"/>
      <c r="E14539" s="2"/>
      <c r="F14539" s="2"/>
      <c r="G14539" s="2">
        <f t="shared" si="227"/>
        <v>0</v>
      </c>
      <c r="H14539" s="1"/>
    </row>
    <row r="14540" spans="2:8" x14ac:dyDescent="0.2">
      <c r="B14540" s="3">
        <v>45827</v>
      </c>
      <c r="C14540" s="3"/>
      <c r="D14540" s="2"/>
      <c r="E14540" s="2"/>
      <c r="F14540" s="2"/>
      <c r="G14540" s="2">
        <f t="shared" si="227"/>
        <v>0</v>
      </c>
      <c r="H14540" t="s">
        <v>0</v>
      </c>
    </row>
    <row r="14541" spans="2:8" x14ac:dyDescent="0.2">
      <c r="B14541" s="3">
        <v>45828</v>
      </c>
      <c r="C14541" s="2"/>
      <c r="D14541" s="2"/>
      <c r="E14541" s="2"/>
      <c r="F14541" s="2"/>
      <c r="G14541" s="2">
        <f t="shared" si="227"/>
        <v>0</v>
      </c>
      <c r="H14541" t="s">
        <v>14</v>
      </c>
    </row>
    <row r="14542" spans="2:8" x14ac:dyDescent="0.2">
      <c r="B14542" s="3">
        <v>45828</v>
      </c>
      <c r="C14542" s="2"/>
      <c r="D14542" s="2"/>
      <c r="E14542" s="2"/>
      <c r="F14542" s="2"/>
      <c r="G14542" s="2">
        <f t="shared" si="227"/>
        <v>0</v>
      </c>
      <c r="H14542" t="s">
        <v>13</v>
      </c>
    </row>
    <row r="14543" spans="2:8" x14ac:dyDescent="0.2">
      <c r="B14543" s="3">
        <v>45828</v>
      </c>
      <c r="C14543" s="3"/>
      <c r="D14543" s="6"/>
      <c r="E14543" s="2"/>
      <c r="F14543" s="2"/>
      <c r="G14543" s="2">
        <f t="shared" si="227"/>
        <v>0</v>
      </c>
      <c r="H14543" t="s">
        <v>11</v>
      </c>
    </row>
    <row r="14544" spans="2:8" x14ac:dyDescent="0.2">
      <c r="B14544" s="3">
        <v>45828</v>
      </c>
      <c r="C14544" s="3"/>
      <c r="D14544" s="6"/>
      <c r="E14544" s="2"/>
      <c r="F14544" s="2"/>
      <c r="G14544" s="2">
        <f t="shared" si="227"/>
        <v>0</v>
      </c>
      <c r="H14544" t="s">
        <v>10</v>
      </c>
    </row>
    <row r="14545" spans="2:8" x14ac:dyDescent="0.2">
      <c r="B14545" s="3">
        <v>45828</v>
      </c>
      <c r="C14545" s="3"/>
      <c r="D14545" s="6"/>
      <c r="E14545" s="2"/>
      <c r="F14545" s="2"/>
      <c r="G14545" s="2">
        <f t="shared" si="227"/>
        <v>0</v>
      </c>
      <c r="H14545" t="s">
        <v>9</v>
      </c>
    </row>
    <row r="14546" spans="2:8" x14ac:dyDescent="0.2">
      <c r="B14546" s="3">
        <v>45828</v>
      </c>
      <c r="C14546" s="3"/>
      <c r="D14546" s="6"/>
      <c r="E14546" s="2"/>
      <c r="F14546" s="2"/>
      <c r="G14546" s="2">
        <f t="shared" si="227"/>
        <v>0</v>
      </c>
      <c r="H14546" t="s">
        <v>8</v>
      </c>
    </row>
    <row r="14547" spans="2:8" x14ac:dyDescent="0.2">
      <c r="B14547" s="3">
        <v>45828</v>
      </c>
      <c r="C14547" s="3"/>
      <c r="D14547" s="6"/>
      <c r="E14547" s="2"/>
      <c r="F14547" s="2"/>
      <c r="G14547" s="2">
        <f t="shared" si="227"/>
        <v>0</v>
      </c>
      <c r="H14547" t="s">
        <v>7</v>
      </c>
    </row>
    <row r="14548" spans="2:8" x14ac:dyDescent="0.2">
      <c r="B14548" s="3">
        <v>45828</v>
      </c>
      <c r="C14548" s="3"/>
      <c r="D14548" s="6"/>
      <c r="E14548" s="2"/>
      <c r="F14548" s="2"/>
      <c r="G14548" s="2">
        <f t="shared" si="227"/>
        <v>0</v>
      </c>
      <c r="H14548" t="s">
        <v>6</v>
      </c>
    </row>
    <row r="14549" spans="2:8" x14ac:dyDescent="0.2">
      <c r="B14549" s="3">
        <v>45828</v>
      </c>
      <c r="C14549" s="3"/>
      <c r="D14549" s="6"/>
      <c r="E14549" s="2"/>
      <c r="F14549" s="2"/>
      <c r="G14549" s="2">
        <f t="shared" si="227"/>
        <v>0</v>
      </c>
      <c r="H14549" t="s">
        <v>5</v>
      </c>
    </row>
    <row r="14550" spans="2:8" x14ac:dyDescent="0.2">
      <c r="B14550" s="3">
        <v>45828</v>
      </c>
      <c r="C14550" s="3"/>
      <c r="D14550" s="6"/>
      <c r="E14550" s="2"/>
      <c r="F14550" s="2"/>
      <c r="G14550" s="2">
        <f t="shared" si="227"/>
        <v>0</v>
      </c>
      <c r="H14550" s="1"/>
    </row>
    <row r="14551" spans="2:8" x14ac:dyDescent="0.2">
      <c r="B14551" s="3">
        <v>45828</v>
      </c>
      <c r="C14551" s="3"/>
      <c r="D14551" s="2"/>
      <c r="E14551" s="2"/>
      <c r="F14551" s="2"/>
      <c r="G14551" s="2">
        <f t="shared" si="227"/>
        <v>0</v>
      </c>
      <c r="H14551" t="s">
        <v>0</v>
      </c>
    </row>
    <row r="14552" spans="2:8" x14ac:dyDescent="0.2">
      <c r="B14552" s="3">
        <v>45829</v>
      </c>
      <c r="C14552" s="2"/>
      <c r="D14552" s="2"/>
      <c r="E14552" s="2"/>
      <c r="F14552" s="2"/>
      <c r="G14552" s="2">
        <f t="shared" si="227"/>
        <v>0</v>
      </c>
      <c r="H14552" t="s">
        <v>14</v>
      </c>
    </row>
    <row r="14553" spans="2:8" x14ac:dyDescent="0.2">
      <c r="B14553" s="3">
        <v>45829</v>
      </c>
      <c r="C14553" s="2"/>
      <c r="D14553" s="2"/>
      <c r="E14553" s="2"/>
      <c r="F14553" s="2"/>
      <c r="G14553" s="2">
        <f t="shared" si="227"/>
        <v>0</v>
      </c>
      <c r="H14553" t="s">
        <v>13</v>
      </c>
    </row>
    <row r="14554" spans="2:8" x14ac:dyDescent="0.2">
      <c r="B14554" s="3">
        <v>45829</v>
      </c>
      <c r="C14554" s="3"/>
      <c r="D14554" s="6"/>
      <c r="E14554" s="2"/>
      <c r="F14554" s="2"/>
      <c r="G14554" s="2">
        <f t="shared" si="227"/>
        <v>0</v>
      </c>
      <c r="H14554" t="s">
        <v>11</v>
      </c>
    </row>
    <row r="14555" spans="2:8" x14ac:dyDescent="0.2">
      <c r="B14555" s="3">
        <v>45829</v>
      </c>
      <c r="C14555" s="3"/>
      <c r="D14555" s="6"/>
      <c r="E14555" s="2"/>
      <c r="F14555" s="2"/>
      <c r="G14555" s="2">
        <f t="shared" si="227"/>
        <v>0</v>
      </c>
      <c r="H14555" t="s">
        <v>10</v>
      </c>
    </row>
    <row r="14556" spans="2:8" x14ac:dyDescent="0.2">
      <c r="B14556" s="3">
        <v>45829</v>
      </c>
      <c r="C14556" s="3"/>
      <c r="D14556" s="6"/>
      <c r="E14556" s="2"/>
      <c r="F14556" s="2"/>
      <c r="G14556" s="2">
        <f t="shared" si="227"/>
        <v>0</v>
      </c>
      <c r="H14556" t="s">
        <v>9</v>
      </c>
    </row>
    <row r="14557" spans="2:8" x14ac:dyDescent="0.2">
      <c r="B14557" s="3">
        <v>45829</v>
      </c>
      <c r="C14557" s="3"/>
      <c r="D14557" s="6"/>
      <c r="E14557" s="2"/>
      <c r="F14557" s="2"/>
      <c r="G14557" s="2">
        <f t="shared" si="227"/>
        <v>0</v>
      </c>
      <c r="H14557" t="s">
        <v>8</v>
      </c>
    </row>
    <row r="14558" spans="2:8" x14ac:dyDescent="0.2">
      <c r="B14558" s="3">
        <v>45829</v>
      </c>
      <c r="C14558" s="3"/>
      <c r="D14558" s="6"/>
      <c r="E14558" s="2"/>
      <c r="F14558" s="2"/>
      <c r="G14558" s="2">
        <f t="shared" si="227"/>
        <v>0</v>
      </c>
      <c r="H14558" t="s">
        <v>7</v>
      </c>
    </row>
    <row r="14559" spans="2:8" x14ac:dyDescent="0.2">
      <c r="B14559" s="3">
        <v>45829</v>
      </c>
      <c r="C14559" s="3"/>
      <c r="D14559" s="6"/>
      <c r="E14559" s="2"/>
      <c r="F14559" s="2"/>
      <c r="G14559" s="2">
        <f t="shared" si="227"/>
        <v>0</v>
      </c>
      <c r="H14559" t="s">
        <v>6</v>
      </c>
    </row>
    <row r="14560" spans="2:8" x14ac:dyDescent="0.2">
      <c r="B14560" s="3">
        <v>45829</v>
      </c>
      <c r="C14560" s="3"/>
      <c r="D14560" s="6"/>
      <c r="E14560" s="2"/>
      <c r="F14560" s="2"/>
      <c r="G14560" s="2">
        <f t="shared" si="227"/>
        <v>0</v>
      </c>
      <c r="H14560" t="s">
        <v>5</v>
      </c>
    </row>
    <row r="14561" spans="2:8" x14ac:dyDescent="0.2">
      <c r="B14561" s="3">
        <v>45829</v>
      </c>
      <c r="C14561" s="3"/>
      <c r="D14561" s="6"/>
      <c r="E14561" s="2"/>
      <c r="F14561" s="2"/>
      <c r="G14561" s="2">
        <f t="shared" si="227"/>
        <v>0</v>
      </c>
      <c r="H14561" s="1"/>
    </row>
    <row r="14562" spans="2:8" x14ac:dyDescent="0.2">
      <c r="B14562" s="3">
        <v>45829</v>
      </c>
      <c r="C14562" s="3"/>
      <c r="D14562" s="2"/>
      <c r="E14562" s="2"/>
      <c r="F14562" s="2">
        <v>130000</v>
      </c>
      <c r="G14562" s="2">
        <f t="shared" si="227"/>
        <v>-130000</v>
      </c>
      <c r="H14562" t="s">
        <v>0</v>
      </c>
    </row>
    <row r="14563" spans="2:8" x14ac:dyDescent="0.2">
      <c r="B14563" s="3">
        <v>45830</v>
      </c>
      <c r="C14563" s="2"/>
      <c r="D14563" s="2"/>
      <c r="E14563" s="2"/>
      <c r="F14563" s="2"/>
      <c r="G14563" s="2">
        <f t="shared" si="227"/>
        <v>0</v>
      </c>
      <c r="H14563" t="s">
        <v>14</v>
      </c>
    </row>
    <row r="14564" spans="2:8" x14ac:dyDescent="0.2">
      <c r="B14564" s="3">
        <v>45830</v>
      </c>
      <c r="C14564" s="2"/>
      <c r="D14564" s="2"/>
      <c r="E14564" s="2"/>
      <c r="F14564" s="2"/>
      <c r="G14564" s="2">
        <f t="shared" si="227"/>
        <v>0</v>
      </c>
      <c r="H14564" t="s">
        <v>13</v>
      </c>
    </row>
    <row r="14565" spans="2:8" x14ac:dyDescent="0.2">
      <c r="B14565" s="3">
        <v>45830</v>
      </c>
      <c r="C14565" s="3"/>
      <c r="D14565" s="6"/>
      <c r="E14565" s="2"/>
      <c r="F14565" s="2"/>
      <c r="G14565" s="2">
        <f t="shared" si="227"/>
        <v>0</v>
      </c>
      <c r="H14565" t="s">
        <v>11</v>
      </c>
    </row>
    <row r="14566" spans="2:8" x14ac:dyDescent="0.2">
      <c r="B14566" s="3">
        <v>45830</v>
      </c>
      <c r="C14566" s="3"/>
      <c r="D14566" s="6"/>
      <c r="E14566" s="2"/>
      <c r="F14566" s="2"/>
      <c r="G14566" s="2">
        <f t="shared" si="227"/>
        <v>0</v>
      </c>
      <c r="H14566" t="s">
        <v>10</v>
      </c>
    </row>
    <row r="14567" spans="2:8" x14ac:dyDescent="0.2">
      <c r="B14567" s="3">
        <v>45830</v>
      </c>
      <c r="C14567" s="3"/>
      <c r="D14567" s="6"/>
      <c r="E14567" s="2"/>
      <c r="F14567" s="2"/>
      <c r="G14567" s="2">
        <f t="shared" si="227"/>
        <v>0</v>
      </c>
      <c r="H14567" t="s">
        <v>9</v>
      </c>
    </row>
    <row r="14568" spans="2:8" x14ac:dyDescent="0.2">
      <c r="B14568" s="3">
        <v>45830</v>
      </c>
      <c r="C14568" s="3"/>
      <c r="D14568" s="6"/>
      <c r="E14568" s="2"/>
      <c r="F14568" s="2">
        <v>30000</v>
      </c>
      <c r="G14568" s="2">
        <f t="shared" si="227"/>
        <v>-30000</v>
      </c>
      <c r="H14568" t="s">
        <v>8</v>
      </c>
    </row>
    <row r="14569" spans="2:8" x14ac:dyDescent="0.2">
      <c r="B14569" s="3">
        <v>45830</v>
      </c>
      <c r="C14569" s="3"/>
      <c r="D14569" s="6"/>
      <c r="E14569" s="2"/>
      <c r="F14569" s="2"/>
      <c r="G14569" s="2">
        <f t="shared" si="227"/>
        <v>0</v>
      </c>
      <c r="H14569" t="s">
        <v>7</v>
      </c>
    </row>
    <row r="14570" spans="2:8" x14ac:dyDescent="0.2">
      <c r="B14570" s="3">
        <v>45830</v>
      </c>
      <c r="C14570" s="3"/>
      <c r="D14570" s="6"/>
      <c r="E14570" s="2"/>
      <c r="F14570" s="2"/>
      <c r="G14570" s="2">
        <f t="shared" si="227"/>
        <v>0</v>
      </c>
      <c r="H14570" t="s">
        <v>6</v>
      </c>
    </row>
    <row r="14571" spans="2:8" x14ac:dyDescent="0.2">
      <c r="B14571" s="3">
        <v>45830</v>
      </c>
      <c r="C14571" s="2">
        <v>80</v>
      </c>
      <c r="D14571" s="6">
        <v>23220</v>
      </c>
      <c r="E14571" s="2">
        <v>23750</v>
      </c>
      <c r="F14571" s="2">
        <v>23750</v>
      </c>
      <c r="G14571" s="2">
        <f t="shared" si="227"/>
        <v>0</v>
      </c>
      <c r="H14571" t="s">
        <v>5</v>
      </c>
    </row>
    <row r="14572" spans="2:8" x14ac:dyDescent="0.2">
      <c r="B14572" s="3">
        <v>45830</v>
      </c>
      <c r="C14572" s="3"/>
      <c r="D14572" s="6"/>
      <c r="E14572" s="2"/>
      <c r="F14572" s="2"/>
      <c r="G14572" s="2">
        <f t="shared" si="227"/>
        <v>0</v>
      </c>
      <c r="H14572" s="1"/>
    </row>
    <row r="14573" spans="2:8" x14ac:dyDescent="0.2">
      <c r="B14573" s="3">
        <v>45830</v>
      </c>
      <c r="C14573" s="3"/>
      <c r="D14573" s="2"/>
      <c r="E14573" s="2"/>
      <c r="F14573" s="2"/>
      <c r="G14573" s="2">
        <f t="shared" si="227"/>
        <v>0</v>
      </c>
      <c r="H14573" t="s">
        <v>0</v>
      </c>
    </row>
    <row r="14574" spans="2:8" x14ac:dyDescent="0.2">
      <c r="B14574" s="3">
        <v>45831</v>
      </c>
      <c r="C14574" s="2"/>
      <c r="D14574" s="2"/>
      <c r="E14574" s="2"/>
      <c r="F14574" s="2">
        <v>20000</v>
      </c>
      <c r="G14574" s="2">
        <f t="shared" si="227"/>
        <v>-20000</v>
      </c>
      <c r="H14574" t="s">
        <v>14</v>
      </c>
    </row>
    <row r="14575" spans="2:8" x14ac:dyDescent="0.2">
      <c r="B14575" s="3">
        <v>45831</v>
      </c>
      <c r="C14575" s="2"/>
      <c r="D14575" s="2"/>
      <c r="E14575" s="2"/>
      <c r="F14575" s="2"/>
      <c r="G14575" s="2">
        <f t="shared" si="227"/>
        <v>0</v>
      </c>
      <c r="H14575" t="s">
        <v>13</v>
      </c>
    </row>
    <row r="14576" spans="2:8" x14ac:dyDescent="0.2">
      <c r="B14576" s="3">
        <v>45831</v>
      </c>
      <c r="C14576" s="3"/>
      <c r="D14576" s="6"/>
      <c r="E14576" s="2"/>
      <c r="F14576" s="2"/>
      <c r="G14576" s="2">
        <f t="shared" si="227"/>
        <v>0</v>
      </c>
      <c r="H14576" t="s">
        <v>11</v>
      </c>
    </row>
    <row r="14577" spans="2:8" x14ac:dyDescent="0.2">
      <c r="B14577" s="3">
        <v>45831</v>
      </c>
      <c r="C14577" s="3"/>
      <c r="D14577" s="6"/>
      <c r="E14577" s="2"/>
      <c r="F14577" s="2"/>
      <c r="G14577" s="2">
        <f t="shared" si="227"/>
        <v>0</v>
      </c>
      <c r="H14577" t="s">
        <v>10</v>
      </c>
    </row>
    <row r="14578" spans="2:8" x14ac:dyDescent="0.2">
      <c r="B14578" s="3">
        <v>45831</v>
      </c>
      <c r="C14578" s="3"/>
      <c r="D14578" s="6"/>
      <c r="E14578" s="2"/>
      <c r="F14578" s="2">
        <v>45000</v>
      </c>
      <c r="G14578" s="2">
        <f t="shared" si="227"/>
        <v>-45000</v>
      </c>
      <c r="H14578" t="s">
        <v>9</v>
      </c>
    </row>
    <row r="14579" spans="2:8" x14ac:dyDescent="0.2">
      <c r="B14579" s="3">
        <v>45831</v>
      </c>
      <c r="C14579" s="3"/>
      <c r="D14579" s="6"/>
      <c r="E14579" s="2"/>
      <c r="F14579" s="2"/>
      <c r="G14579" s="2">
        <f t="shared" si="227"/>
        <v>0</v>
      </c>
      <c r="H14579" t="s">
        <v>8</v>
      </c>
    </row>
    <row r="14580" spans="2:8" x14ac:dyDescent="0.2">
      <c r="B14580" s="3">
        <v>45831</v>
      </c>
      <c r="C14580" s="3"/>
      <c r="D14580" s="6"/>
      <c r="E14580" s="2"/>
      <c r="F14580" s="2"/>
      <c r="G14580" s="2">
        <f t="shared" si="227"/>
        <v>0</v>
      </c>
      <c r="H14580" t="s">
        <v>7</v>
      </c>
    </row>
    <row r="14581" spans="2:8" x14ac:dyDescent="0.2">
      <c r="B14581" s="3">
        <v>45831</v>
      </c>
      <c r="C14581" s="3"/>
      <c r="D14581" s="6"/>
      <c r="E14581" s="2"/>
      <c r="F14581" s="2"/>
      <c r="G14581" s="2">
        <f t="shared" si="227"/>
        <v>0</v>
      </c>
      <c r="H14581" t="s">
        <v>6</v>
      </c>
    </row>
    <row r="14582" spans="2:8" x14ac:dyDescent="0.2">
      <c r="B14582" s="3">
        <v>45831</v>
      </c>
      <c r="C14582" s="3"/>
      <c r="D14582" s="6"/>
      <c r="E14582" s="2"/>
      <c r="F14582" s="2"/>
      <c r="G14582" s="2">
        <f t="shared" si="227"/>
        <v>0</v>
      </c>
      <c r="H14582" t="s">
        <v>5</v>
      </c>
    </row>
    <row r="14583" spans="2:8" x14ac:dyDescent="0.2">
      <c r="B14583" s="3">
        <v>45831</v>
      </c>
      <c r="C14583" s="3"/>
      <c r="D14583" s="6"/>
      <c r="E14583" s="2"/>
      <c r="F14583" s="2"/>
      <c r="G14583" s="2">
        <f t="shared" si="227"/>
        <v>0</v>
      </c>
      <c r="H14583" s="1"/>
    </row>
    <row r="14584" spans="2:8" x14ac:dyDescent="0.2">
      <c r="B14584" s="3">
        <v>45831</v>
      </c>
      <c r="C14584" s="3"/>
      <c r="D14584" s="2"/>
      <c r="E14584" s="2"/>
      <c r="F14584" s="2"/>
      <c r="G14584" s="2">
        <f t="shared" si="227"/>
        <v>0</v>
      </c>
      <c r="H14584" t="s">
        <v>0</v>
      </c>
    </row>
    <row r="14585" spans="2:8" x14ac:dyDescent="0.2">
      <c r="B14585" s="3">
        <v>45832</v>
      </c>
      <c r="C14585" s="2"/>
      <c r="D14585" s="2"/>
      <c r="E14585" s="2"/>
      <c r="F14585" s="2"/>
      <c r="G14585" s="2">
        <f t="shared" si="227"/>
        <v>0</v>
      </c>
      <c r="H14585" t="s">
        <v>14</v>
      </c>
    </row>
    <row r="14586" spans="2:8" x14ac:dyDescent="0.2">
      <c r="B14586" s="3">
        <v>45832</v>
      </c>
      <c r="C14586" s="2"/>
      <c r="D14586" s="2"/>
      <c r="E14586" s="2"/>
      <c r="F14586" s="2"/>
      <c r="G14586" s="2">
        <f t="shared" si="227"/>
        <v>0</v>
      </c>
      <c r="H14586" t="s">
        <v>13</v>
      </c>
    </row>
    <row r="14587" spans="2:8" x14ac:dyDescent="0.2">
      <c r="B14587" s="3">
        <v>45832</v>
      </c>
      <c r="C14587" s="3"/>
      <c r="D14587" s="6"/>
      <c r="E14587" s="2"/>
      <c r="F14587" s="2"/>
      <c r="G14587" s="2">
        <f t="shared" si="227"/>
        <v>0</v>
      </c>
      <c r="H14587" t="s">
        <v>11</v>
      </c>
    </row>
    <row r="14588" spans="2:8" x14ac:dyDescent="0.2">
      <c r="B14588" s="3">
        <v>45832</v>
      </c>
      <c r="C14588" s="3"/>
      <c r="D14588" s="6"/>
      <c r="E14588" s="2"/>
      <c r="F14588" s="2"/>
      <c r="G14588" s="2">
        <f t="shared" si="227"/>
        <v>0</v>
      </c>
      <c r="H14588" t="s">
        <v>10</v>
      </c>
    </row>
    <row r="14589" spans="2:8" x14ac:dyDescent="0.2">
      <c r="B14589" s="3">
        <v>45832</v>
      </c>
      <c r="C14589" s="3"/>
      <c r="D14589" s="6"/>
      <c r="E14589" s="2"/>
      <c r="F14589" s="2"/>
      <c r="G14589" s="2">
        <f t="shared" si="227"/>
        <v>0</v>
      </c>
      <c r="H14589" t="s">
        <v>9</v>
      </c>
    </row>
    <row r="14590" spans="2:8" x14ac:dyDescent="0.2">
      <c r="B14590" s="3">
        <v>45832</v>
      </c>
      <c r="C14590" s="3"/>
      <c r="D14590" s="6"/>
      <c r="E14590" s="2"/>
      <c r="F14590" s="2"/>
      <c r="G14590" s="2">
        <f t="shared" si="227"/>
        <v>0</v>
      </c>
      <c r="H14590" t="s">
        <v>8</v>
      </c>
    </row>
    <row r="14591" spans="2:8" x14ac:dyDescent="0.2">
      <c r="B14591" s="3">
        <v>45832</v>
      </c>
      <c r="C14591" s="3"/>
      <c r="D14591" s="6"/>
      <c r="E14591" s="2"/>
      <c r="F14591" s="2"/>
      <c r="G14591" s="2">
        <f t="shared" si="227"/>
        <v>0</v>
      </c>
      <c r="H14591" t="s">
        <v>7</v>
      </c>
    </row>
    <row r="14592" spans="2:8" x14ac:dyDescent="0.2">
      <c r="B14592" s="3">
        <v>45832</v>
      </c>
      <c r="C14592" s="2">
        <v>81</v>
      </c>
      <c r="D14592" s="6">
        <v>44850</v>
      </c>
      <c r="E14592" s="2">
        <v>48380</v>
      </c>
      <c r="F14592" s="2">
        <v>20805</v>
      </c>
      <c r="G14592" s="2">
        <f t="shared" si="227"/>
        <v>27575</v>
      </c>
      <c r="H14592" t="s">
        <v>6</v>
      </c>
    </row>
    <row r="14593" spans="2:8" x14ac:dyDescent="0.2">
      <c r="B14593" s="3">
        <v>45832</v>
      </c>
      <c r="C14593" s="3"/>
      <c r="D14593" s="6"/>
      <c r="E14593" s="2"/>
      <c r="F14593" s="2"/>
      <c r="G14593" s="2">
        <f t="shared" si="227"/>
        <v>0</v>
      </c>
      <c r="H14593" t="s">
        <v>5</v>
      </c>
    </row>
    <row r="14594" spans="2:8" x14ac:dyDescent="0.2">
      <c r="B14594" s="3">
        <v>45832</v>
      </c>
      <c r="C14594" s="3"/>
      <c r="D14594" s="6"/>
      <c r="E14594" s="2"/>
      <c r="F14594" s="2"/>
      <c r="G14594" s="2">
        <f t="shared" si="227"/>
        <v>0</v>
      </c>
      <c r="H14594" s="1"/>
    </row>
    <row r="14595" spans="2:8" x14ac:dyDescent="0.2">
      <c r="B14595" s="3">
        <v>45832</v>
      </c>
      <c r="C14595" s="3"/>
      <c r="D14595" s="2"/>
      <c r="E14595" s="2"/>
      <c r="F14595" s="2"/>
      <c r="G14595" s="2">
        <f t="shared" ref="G14595:G14658" si="228">E14595-F14595</f>
        <v>0</v>
      </c>
      <c r="H14595" t="s">
        <v>0</v>
      </c>
    </row>
    <row r="14596" spans="2:8" x14ac:dyDescent="0.2">
      <c r="B14596" s="3">
        <v>45833</v>
      </c>
      <c r="C14596" s="2"/>
      <c r="D14596" s="2"/>
      <c r="E14596" s="2"/>
      <c r="F14596" s="2"/>
      <c r="G14596" s="2">
        <f t="shared" si="228"/>
        <v>0</v>
      </c>
      <c r="H14596" t="s">
        <v>14</v>
      </c>
    </row>
    <row r="14597" spans="2:8" x14ac:dyDescent="0.2">
      <c r="B14597" s="3">
        <v>45833</v>
      </c>
      <c r="C14597" s="2"/>
      <c r="D14597" s="2"/>
      <c r="E14597" s="2"/>
      <c r="F14597" s="2"/>
      <c r="G14597" s="2">
        <f t="shared" si="228"/>
        <v>0</v>
      </c>
      <c r="H14597" t="s">
        <v>13</v>
      </c>
    </row>
    <row r="14598" spans="2:8" x14ac:dyDescent="0.2">
      <c r="B14598" s="3">
        <v>45833</v>
      </c>
      <c r="C14598" s="3"/>
      <c r="D14598" s="6"/>
      <c r="E14598" s="2"/>
      <c r="F14598" s="2"/>
      <c r="G14598" s="2">
        <f t="shared" si="228"/>
        <v>0</v>
      </c>
      <c r="H14598" t="s">
        <v>11</v>
      </c>
    </row>
    <row r="14599" spans="2:8" x14ac:dyDescent="0.2">
      <c r="B14599" s="3">
        <v>45833</v>
      </c>
      <c r="C14599" s="3"/>
      <c r="D14599" s="6"/>
      <c r="E14599" s="2"/>
      <c r="F14599" s="2"/>
      <c r="G14599" s="2">
        <f t="shared" si="228"/>
        <v>0</v>
      </c>
      <c r="H14599" t="s">
        <v>10</v>
      </c>
    </row>
    <row r="14600" spans="2:8" x14ac:dyDescent="0.2">
      <c r="B14600" s="3">
        <v>45833</v>
      </c>
      <c r="C14600" s="3"/>
      <c r="D14600" s="6"/>
      <c r="E14600" s="2"/>
      <c r="F14600" s="2"/>
      <c r="G14600" s="2">
        <f t="shared" si="228"/>
        <v>0</v>
      </c>
      <c r="H14600" t="s">
        <v>9</v>
      </c>
    </row>
    <row r="14601" spans="2:8" x14ac:dyDescent="0.2">
      <c r="B14601" s="3">
        <v>45833</v>
      </c>
      <c r="C14601" s="3"/>
      <c r="D14601" s="6"/>
      <c r="E14601" s="2"/>
      <c r="F14601" s="2"/>
      <c r="G14601" s="2">
        <f t="shared" si="228"/>
        <v>0</v>
      </c>
      <c r="H14601" t="s">
        <v>8</v>
      </c>
    </row>
    <row r="14602" spans="2:8" x14ac:dyDescent="0.2">
      <c r="B14602" s="3">
        <v>45833</v>
      </c>
      <c r="C14602" s="3"/>
      <c r="D14602" s="6"/>
      <c r="E14602" s="2"/>
      <c r="F14602" s="2"/>
      <c r="G14602" s="2">
        <f t="shared" si="228"/>
        <v>0</v>
      </c>
      <c r="H14602" t="s">
        <v>7</v>
      </c>
    </row>
    <row r="14603" spans="2:8" x14ac:dyDescent="0.2">
      <c r="B14603" s="3">
        <v>45833</v>
      </c>
      <c r="C14603" s="2"/>
      <c r="D14603" s="6"/>
      <c r="E14603" s="2"/>
      <c r="F14603" s="2"/>
      <c r="G14603" s="2">
        <f t="shared" si="228"/>
        <v>0</v>
      </c>
      <c r="H14603" t="s">
        <v>6</v>
      </c>
    </row>
    <row r="14604" spans="2:8" x14ac:dyDescent="0.2">
      <c r="B14604" s="3">
        <v>45833</v>
      </c>
      <c r="C14604" s="3"/>
      <c r="D14604" s="6"/>
      <c r="E14604" s="2"/>
      <c r="F14604" s="2"/>
      <c r="G14604" s="2">
        <f t="shared" si="228"/>
        <v>0</v>
      </c>
      <c r="H14604" t="s">
        <v>5</v>
      </c>
    </row>
    <row r="14605" spans="2:8" x14ac:dyDescent="0.2">
      <c r="B14605" s="3">
        <v>45833</v>
      </c>
      <c r="C14605" s="3"/>
      <c r="D14605" s="6"/>
      <c r="E14605" s="2"/>
      <c r="F14605" s="2"/>
      <c r="G14605" s="2">
        <f t="shared" si="228"/>
        <v>0</v>
      </c>
      <c r="H14605" s="1"/>
    </row>
    <row r="14606" spans="2:8" x14ac:dyDescent="0.2">
      <c r="B14606" s="3">
        <v>45833</v>
      </c>
      <c r="C14606" s="2">
        <v>10322</v>
      </c>
      <c r="D14606" s="2">
        <v>24692</v>
      </c>
      <c r="E14606" s="2">
        <v>25252.45</v>
      </c>
      <c r="F14606" s="2"/>
      <c r="G14606" s="2">
        <f t="shared" si="228"/>
        <v>25252.45</v>
      </c>
      <c r="H14606" t="s">
        <v>0</v>
      </c>
    </row>
    <row r="14607" spans="2:8" x14ac:dyDescent="0.2">
      <c r="B14607" s="3">
        <v>45834</v>
      </c>
      <c r="C14607" s="2"/>
      <c r="D14607" s="2"/>
      <c r="E14607" s="2"/>
      <c r="F14607" s="2"/>
      <c r="G14607" s="2">
        <f t="shared" si="228"/>
        <v>0</v>
      </c>
      <c r="H14607" t="s">
        <v>14</v>
      </c>
    </row>
    <row r="14608" spans="2:8" x14ac:dyDescent="0.2">
      <c r="B14608" s="3">
        <v>45834</v>
      </c>
      <c r="C14608" s="2"/>
      <c r="D14608" s="2"/>
      <c r="E14608" s="2"/>
      <c r="F14608" s="2"/>
      <c r="G14608" s="2">
        <f t="shared" si="228"/>
        <v>0</v>
      </c>
      <c r="H14608" t="s">
        <v>13</v>
      </c>
    </row>
    <row r="14609" spans="2:8" x14ac:dyDescent="0.2">
      <c r="B14609" s="3">
        <v>45834</v>
      </c>
      <c r="C14609" s="2">
        <v>83</v>
      </c>
      <c r="D14609" s="6">
        <v>17930</v>
      </c>
      <c r="E14609" s="2">
        <v>18700</v>
      </c>
      <c r="F14609" s="2"/>
      <c r="G14609" s="2">
        <f t="shared" si="228"/>
        <v>18700</v>
      </c>
      <c r="H14609" t="s">
        <v>11</v>
      </c>
    </row>
    <row r="14610" spans="2:8" x14ac:dyDescent="0.2">
      <c r="B14610" s="3">
        <v>45834</v>
      </c>
      <c r="C14610" s="3"/>
      <c r="D14610" s="6"/>
      <c r="E14610" s="2"/>
      <c r="F14610" s="2"/>
      <c r="G14610" s="2">
        <f t="shared" si="228"/>
        <v>0</v>
      </c>
      <c r="H14610" t="s">
        <v>10</v>
      </c>
    </row>
    <row r="14611" spans="2:8" x14ac:dyDescent="0.2">
      <c r="B14611" s="3">
        <v>45834</v>
      </c>
      <c r="C14611" s="3"/>
      <c r="D14611" s="6"/>
      <c r="E14611" s="2"/>
      <c r="F14611" s="2"/>
      <c r="G14611" s="2">
        <f t="shared" si="228"/>
        <v>0</v>
      </c>
      <c r="H14611" t="s">
        <v>9</v>
      </c>
    </row>
    <row r="14612" spans="2:8" x14ac:dyDescent="0.2">
      <c r="B14612" s="3">
        <v>45834</v>
      </c>
      <c r="C14612" s="3"/>
      <c r="D14612" s="6"/>
      <c r="E14612" s="2"/>
      <c r="F14612" s="2"/>
      <c r="G14612" s="2">
        <f t="shared" si="228"/>
        <v>0</v>
      </c>
      <c r="H14612" t="s">
        <v>8</v>
      </c>
    </row>
    <row r="14613" spans="2:8" x14ac:dyDescent="0.2">
      <c r="B14613" s="3">
        <v>45834</v>
      </c>
      <c r="C14613" s="3"/>
      <c r="D14613" s="6"/>
      <c r="E14613" s="2"/>
      <c r="F14613" s="2"/>
      <c r="G14613" s="2">
        <f t="shared" si="228"/>
        <v>0</v>
      </c>
      <c r="H14613" t="s">
        <v>7</v>
      </c>
    </row>
    <row r="14614" spans="2:8" x14ac:dyDescent="0.2">
      <c r="B14614" s="3">
        <v>45834</v>
      </c>
      <c r="C14614" s="2">
        <v>82</v>
      </c>
      <c r="D14614" s="6">
        <v>7770</v>
      </c>
      <c r="E14614" s="2">
        <v>8232</v>
      </c>
      <c r="F14614" s="2"/>
      <c r="G14614" s="2">
        <f t="shared" si="228"/>
        <v>8232</v>
      </c>
      <c r="H14614" t="s">
        <v>6</v>
      </c>
    </row>
    <row r="14615" spans="2:8" x14ac:dyDescent="0.2">
      <c r="B14615" s="3">
        <v>45834</v>
      </c>
      <c r="C14615" s="3"/>
      <c r="D14615" s="6"/>
      <c r="E14615" s="2"/>
      <c r="F14615" s="2"/>
      <c r="G14615" s="2">
        <f t="shared" si="228"/>
        <v>0</v>
      </c>
      <c r="H14615" t="s">
        <v>5</v>
      </c>
    </row>
    <row r="14616" spans="2:8" x14ac:dyDescent="0.2">
      <c r="B14616" s="3">
        <v>45834</v>
      </c>
      <c r="C14616" s="3"/>
      <c r="D14616" s="6"/>
      <c r="E14616" s="2"/>
      <c r="F14616" s="2"/>
      <c r="G14616" s="2">
        <f t="shared" si="228"/>
        <v>0</v>
      </c>
      <c r="H14616" s="1"/>
    </row>
    <row r="14617" spans="2:8" x14ac:dyDescent="0.2">
      <c r="B14617" s="3">
        <v>45834</v>
      </c>
      <c r="C14617" s="2">
        <v>10323</v>
      </c>
      <c r="D14617" s="2">
        <v>13977.1</v>
      </c>
      <c r="E14617" s="2">
        <v>14448.6</v>
      </c>
      <c r="F14617" s="2"/>
      <c r="G14617" s="2">
        <f t="shared" si="228"/>
        <v>14448.6</v>
      </c>
      <c r="H14617" t="s">
        <v>0</v>
      </c>
    </row>
    <row r="14618" spans="2:8" x14ac:dyDescent="0.2">
      <c r="B14618" s="3">
        <v>45835</v>
      </c>
      <c r="C14618" s="2"/>
      <c r="D14618" s="2"/>
      <c r="E14618" s="2"/>
      <c r="F14618" s="2"/>
      <c r="G14618" s="2">
        <f t="shared" si="228"/>
        <v>0</v>
      </c>
      <c r="H14618" t="s">
        <v>14</v>
      </c>
    </row>
    <row r="14619" spans="2:8" x14ac:dyDescent="0.2">
      <c r="B14619" s="3">
        <v>45835</v>
      </c>
      <c r="C14619" s="2"/>
      <c r="D14619" s="2"/>
      <c r="E14619" s="2"/>
      <c r="F14619" s="2"/>
      <c r="G14619" s="2">
        <f t="shared" si="228"/>
        <v>0</v>
      </c>
      <c r="H14619" t="s">
        <v>13</v>
      </c>
    </row>
    <row r="14620" spans="2:8" x14ac:dyDescent="0.2">
      <c r="B14620" s="3">
        <v>45835</v>
      </c>
      <c r="C14620" s="3"/>
      <c r="D14620" s="6"/>
      <c r="E14620" s="2"/>
      <c r="F14620" s="2"/>
      <c r="G14620" s="2">
        <f t="shared" si="228"/>
        <v>0</v>
      </c>
      <c r="H14620" t="s">
        <v>11</v>
      </c>
    </row>
    <row r="14621" spans="2:8" x14ac:dyDescent="0.2">
      <c r="B14621" s="3">
        <v>45835</v>
      </c>
      <c r="C14621" s="3"/>
      <c r="D14621" s="6"/>
      <c r="E14621" s="2"/>
      <c r="F14621" s="2"/>
      <c r="G14621" s="2">
        <f t="shared" si="228"/>
        <v>0</v>
      </c>
      <c r="H14621" t="s">
        <v>10</v>
      </c>
    </row>
    <row r="14622" spans="2:8" x14ac:dyDescent="0.2">
      <c r="B14622" s="3">
        <v>45835</v>
      </c>
      <c r="C14622" s="3"/>
      <c r="D14622" s="6"/>
      <c r="E14622" s="2"/>
      <c r="F14622" s="2"/>
      <c r="G14622" s="2">
        <f t="shared" si="228"/>
        <v>0</v>
      </c>
      <c r="H14622" t="s">
        <v>9</v>
      </c>
    </row>
    <row r="14623" spans="2:8" x14ac:dyDescent="0.2">
      <c r="B14623" s="3">
        <v>45835</v>
      </c>
      <c r="C14623" s="3"/>
      <c r="D14623" s="6"/>
      <c r="E14623" s="2"/>
      <c r="F14623" s="2"/>
      <c r="G14623" s="2">
        <f t="shared" si="228"/>
        <v>0</v>
      </c>
      <c r="H14623" t="s">
        <v>8</v>
      </c>
    </row>
    <row r="14624" spans="2:8" x14ac:dyDescent="0.2">
      <c r="B14624" s="3">
        <v>45835</v>
      </c>
      <c r="C14624" s="3"/>
      <c r="D14624" s="6"/>
      <c r="E14624" s="2"/>
      <c r="F14624" s="2"/>
      <c r="G14624" s="2">
        <f t="shared" si="228"/>
        <v>0</v>
      </c>
      <c r="H14624" t="s">
        <v>7</v>
      </c>
    </row>
    <row r="14625" spans="2:8" x14ac:dyDescent="0.2">
      <c r="B14625" s="3">
        <v>45835</v>
      </c>
      <c r="C14625" s="3"/>
      <c r="D14625" s="6"/>
      <c r="E14625" s="2"/>
      <c r="F14625" s="2"/>
      <c r="G14625" s="2">
        <f t="shared" si="228"/>
        <v>0</v>
      </c>
      <c r="H14625" t="s">
        <v>6</v>
      </c>
    </row>
    <row r="14626" spans="2:8" x14ac:dyDescent="0.2">
      <c r="B14626" s="3">
        <v>45835</v>
      </c>
      <c r="C14626" s="3"/>
      <c r="D14626" s="6"/>
      <c r="E14626" s="2"/>
      <c r="F14626" s="2"/>
      <c r="G14626" s="2">
        <f t="shared" si="228"/>
        <v>0</v>
      </c>
      <c r="H14626" t="s">
        <v>5</v>
      </c>
    </row>
    <row r="14627" spans="2:8" x14ac:dyDescent="0.2">
      <c r="B14627" s="3">
        <v>45835</v>
      </c>
      <c r="C14627" s="3"/>
      <c r="D14627" s="6"/>
      <c r="E14627" s="2"/>
      <c r="F14627" s="2"/>
      <c r="G14627" s="2">
        <f t="shared" si="228"/>
        <v>0</v>
      </c>
      <c r="H14627" s="1"/>
    </row>
    <row r="14628" spans="2:8" x14ac:dyDescent="0.2">
      <c r="B14628" s="3">
        <v>45835</v>
      </c>
      <c r="C14628" s="2">
        <v>10324</v>
      </c>
      <c r="D14628" s="2">
        <v>40195.379999999997</v>
      </c>
      <c r="E14628" s="2">
        <v>41450.22</v>
      </c>
      <c r="F14628" s="2"/>
      <c r="G14628" s="2">
        <f t="shared" si="228"/>
        <v>41450.22</v>
      </c>
      <c r="H14628" t="s">
        <v>0</v>
      </c>
    </row>
    <row r="14629" spans="2:8" x14ac:dyDescent="0.2">
      <c r="B14629" s="3">
        <v>45836</v>
      </c>
      <c r="C14629" s="2"/>
      <c r="D14629" s="2"/>
      <c r="E14629" s="2"/>
      <c r="F14629" s="2"/>
      <c r="G14629" s="2">
        <f t="shared" si="228"/>
        <v>0</v>
      </c>
      <c r="H14629" t="s">
        <v>14</v>
      </c>
    </row>
    <row r="14630" spans="2:8" x14ac:dyDescent="0.2">
      <c r="B14630" s="3">
        <v>45836</v>
      </c>
      <c r="C14630" s="2"/>
      <c r="D14630" s="2"/>
      <c r="E14630" s="2"/>
      <c r="F14630" s="2"/>
      <c r="G14630" s="2">
        <f t="shared" si="228"/>
        <v>0</v>
      </c>
      <c r="H14630" t="s">
        <v>13</v>
      </c>
    </row>
    <row r="14631" spans="2:8" x14ac:dyDescent="0.2">
      <c r="B14631" s="3">
        <v>45836</v>
      </c>
      <c r="C14631" s="3"/>
      <c r="D14631" s="6"/>
      <c r="E14631" s="2"/>
      <c r="F14631" s="2">
        <v>12200</v>
      </c>
      <c r="G14631" s="2">
        <f t="shared" si="228"/>
        <v>-12200</v>
      </c>
      <c r="H14631" t="s">
        <v>11</v>
      </c>
    </row>
    <row r="14632" spans="2:8" x14ac:dyDescent="0.2">
      <c r="B14632" s="3">
        <v>45836</v>
      </c>
      <c r="C14632" s="3"/>
      <c r="D14632" s="6"/>
      <c r="E14632" s="2"/>
      <c r="F14632" s="2"/>
      <c r="G14632" s="2">
        <f t="shared" si="228"/>
        <v>0</v>
      </c>
      <c r="H14632" t="s">
        <v>10</v>
      </c>
    </row>
    <row r="14633" spans="2:8" x14ac:dyDescent="0.2">
      <c r="B14633" s="3">
        <v>45836</v>
      </c>
      <c r="C14633" s="3"/>
      <c r="D14633" s="6"/>
      <c r="E14633" s="2"/>
      <c r="F14633" s="2"/>
      <c r="G14633" s="2">
        <f t="shared" si="228"/>
        <v>0</v>
      </c>
      <c r="H14633" t="s">
        <v>9</v>
      </c>
    </row>
    <row r="14634" spans="2:8" x14ac:dyDescent="0.2">
      <c r="B14634" s="3">
        <v>45836</v>
      </c>
      <c r="C14634" s="3"/>
      <c r="D14634" s="6"/>
      <c r="E14634" s="2"/>
      <c r="F14634" s="2"/>
      <c r="G14634" s="2">
        <f t="shared" si="228"/>
        <v>0</v>
      </c>
      <c r="H14634" t="s">
        <v>8</v>
      </c>
    </row>
    <row r="14635" spans="2:8" x14ac:dyDescent="0.2">
      <c r="B14635" s="3">
        <v>45836</v>
      </c>
      <c r="C14635" s="3"/>
      <c r="D14635" s="6"/>
      <c r="E14635" s="2"/>
      <c r="F14635" s="2"/>
      <c r="G14635" s="2">
        <f t="shared" si="228"/>
        <v>0</v>
      </c>
      <c r="H14635" t="s">
        <v>7</v>
      </c>
    </row>
    <row r="14636" spans="2:8" x14ac:dyDescent="0.2">
      <c r="B14636" s="3">
        <v>45836</v>
      </c>
      <c r="C14636" s="3"/>
      <c r="D14636" s="6"/>
      <c r="E14636" s="2"/>
      <c r="F14636" s="2"/>
      <c r="G14636" s="2">
        <f t="shared" si="228"/>
        <v>0</v>
      </c>
      <c r="H14636" t="s">
        <v>6</v>
      </c>
    </row>
    <row r="14637" spans="2:8" x14ac:dyDescent="0.2">
      <c r="B14637" s="3">
        <v>45836</v>
      </c>
      <c r="C14637" s="3"/>
      <c r="D14637" s="6"/>
      <c r="E14637" s="2"/>
      <c r="F14637" s="2"/>
      <c r="G14637" s="2">
        <f t="shared" si="228"/>
        <v>0</v>
      </c>
      <c r="H14637" t="s">
        <v>5</v>
      </c>
    </row>
    <row r="14638" spans="2:8" x14ac:dyDescent="0.2">
      <c r="B14638" s="3">
        <v>45836</v>
      </c>
      <c r="C14638" s="3"/>
      <c r="D14638" s="6"/>
      <c r="E14638" s="2"/>
      <c r="F14638" s="2"/>
      <c r="G14638" s="2">
        <f t="shared" si="228"/>
        <v>0</v>
      </c>
      <c r="H14638" s="1"/>
    </row>
    <row r="14639" spans="2:8" x14ac:dyDescent="0.2">
      <c r="B14639" s="3">
        <v>45836</v>
      </c>
      <c r="C14639" s="2">
        <v>10325</v>
      </c>
      <c r="D14639" s="2">
        <v>43680.62</v>
      </c>
      <c r="E14639" s="2">
        <v>45854.89</v>
      </c>
      <c r="F14639" s="2"/>
      <c r="G14639" s="2">
        <f t="shared" si="228"/>
        <v>45854.89</v>
      </c>
      <c r="H14639" t="s">
        <v>0</v>
      </c>
    </row>
    <row r="14640" spans="2:8" x14ac:dyDescent="0.2">
      <c r="B14640" s="3">
        <v>45837</v>
      </c>
      <c r="C14640" s="2"/>
      <c r="D14640" s="2"/>
      <c r="E14640" s="2"/>
      <c r="F14640" s="2"/>
      <c r="G14640" s="2">
        <f t="shared" si="228"/>
        <v>0</v>
      </c>
      <c r="H14640" t="s">
        <v>14</v>
      </c>
    </row>
    <row r="14641" spans="2:8" x14ac:dyDescent="0.2">
      <c r="B14641" s="3">
        <v>45837</v>
      </c>
      <c r="C14641" s="2"/>
      <c r="D14641" s="2"/>
      <c r="E14641" s="2"/>
      <c r="F14641" s="2"/>
      <c r="G14641" s="2">
        <f t="shared" si="228"/>
        <v>0</v>
      </c>
      <c r="H14641" t="s">
        <v>13</v>
      </c>
    </row>
    <row r="14642" spans="2:8" x14ac:dyDescent="0.2">
      <c r="B14642" s="3">
        <v>45837</v>
      </c>
      <c r="C14642" s="3"/>
      <c r="D14642" s="6"/>
      <c r="E14642" s="2"/>
      <c r="F14642" s="2"/>
      <c r="G14642" s="2">
        <f t="shared" si="228"/>
        <v>0</v>
      </c>
      <c r="H14642" t="s">
        <v>11</v>
      </c>
    </row>
    <row r="14643" spans="2:8" x14ac:dyDescent="0.2">
      <c r="B14643" s="3">
        <v>45837</v>
      </c>
      <c r="C14643" s="3"/>
      <c r="D14643" s="6"/>
      <c r="E14643" s="2"/>
      <c r="F14643" s="2"/>
      <c r="G14643" s="2">
        <f t="shared" si="228"/>
        <v>0</v>
      </c>
      <c r="H14643" t="s">
        <v>10</v>
      </c>
    </row>
    <row r="14644" spans="2:8" x14ac:dyDescent="0.2">
      <c r="B14644" s="3">
        <v>45837</v>
      </c>
      <c r="C14644" s="3"/>
      <c r="D14644" s="6"/>
      <c r="E14644" s="2"/>
      <c r="F14644" s="2"/>
      <c r="G14644" s="2">
        <f t="shared" si="228"/>
        <v>0</v>
      </c>
      <c r="H14644" t="s">
        <v>9</v>
      </c>
    </row>
    <row r="14645" spans="2:8" x14ac:dyDescent="0.2">
      <c r="B14645" s="3">
        <v>45837</v>
      </c>
      <c r="C14645" s="3"/>
      <c r="D14645" s="6"/>
      <c r="E14645" s="2"/>
      <c r="F14645" s="2"/>
      <c r="G14645" s="2">
        <f t="shared" si="228"/>
        <v>0</v>
      </c>
      <c r="H14645" t="s">
        <v>8</v>
      </c>
    </row>
    <row r="14646" spans="2:8" x14ac:dyDescent="0.2">
      <c r="B14646" s="3">
        <v>45837</v>
      </c>
      <c r="C14646" s="3"/>
      <c r="D14646" s="6"/>
      <c r="E14646" s="2"/>
      <c r="F14646" s="2"/>
      <c r="G14646" s="2">
        <f t="shared" si="228"/>
        <v>0</v>
      </c>
      <c r="H14646" t="s">
        <v>7</v>
      </c>
    </row>
    <row r="14647" spans="2:8" x14ac:dyDescent="0.2">
      <c r="B14647" s="3">
        <v>45837</v>
      </c>
      <c r="C14647" s="3"/>
      <c r="D14647" s="6"/>
      <c r="E14647" s="2"/>
      <c r="F14647" s="2"/>
      <c r="G14647" s="2">
        <f t="shared" si="228"/>
        <v>0</v>
      </c>
      <c r="H14647" t="s">
        <v>6</v>
      </c>
    </row>
    <row r="14648" spans="2:8" x14ac:dyDescent="0.2">
      <c r="B14648" s="3">
        <v>45837</v>
      </c>
      <c r="C14648" s="3"/>
      <c r="D14648" s="6"/>
      <c r="E14648" s="2"/>
      <c r="F14648" s="2"/>
      <c r="G14648" s="2">
        <f t="shared" si="228"/>
        <v>0</v>
      </c>
      <c r="H14648" t="s">
        <v>5</v>
      </c>
    </row>
    <row r="14649" spans="2:8" x14ac:dyDescent="0.2">
      <c r="B14649" s="3">
        <v>45837</v>
      </c>
      <c r="C14649" s="3"/>
      <c r="D14649" s="6"/>
      <c r="E14649" s="2"/>
      <c r="F14649" s="2"/>
      <c r="G14649" s="2">
        <f t="shared" si="228"/>
        <v>0</v>
      </c>
      <c r="H14649" s="1"/>
    </row>
    <row r="14650" spans="2:8" x14ac:dyDescent="0.2">
      <c r="B14650" s="3">
        <v>45837</v>
      </c>
      <c r="C14650" s="2">
        <v>10326</v>
      </c>
      <c r="D14650" s="2">
        <v>7484.15</v>
      </c>
      <c r="E14650" s="2">
        <v>7706.1</v>
      </c>
      <c r="F14650" s="2">
        <v>30000</v>
      </c>
      <c r="G14650" s="2">
        <f t="shared" si="228"/>
        <v>-22293.9</v>
      </c>
      <c r="H14650" t="s">
        <v>0</v>
      </c>
    </row>
    <row r="14651" spans="2:8" x14ac:dyDescent="0.2">
      <c r="B14651" s="3">
        <v>45838</v>
      </c>
      <c r="C14651" s="2"/>
      <c r="D14651" s="2"/>
      <c r="E14651" s="2"/>
      <c r="F14651" s="2"/>
      <c r="G14651" s="2">
        <f t="shared" si="228"/>
        <v>0</v>
      </c>
      <c r="H14651" t="s">
        <v>14</v>
      </c>
    </row>
    <row r="14652" spans="2:8" x14ac:dyDescent="0.2">
      <c r="B14652" s="3">
        <v>45838</v>
      </c>
      <c r="C14652" s="2"/>
      <c r="D14652" s="2"/>
      <c r="E14652" s="2"/>
      <c r="F14652" s="2"/>
      <c r="G14652" s="2">
        <f t="shared" si="228"/>
        <v>0</v>
      </c>
      <c r="H14652" t="s">
        <v>13</v>
      </c>
    </row>
    <row r="14653" spans="2:8" x14ac:dyDescent="0.2">
      <c r="B14653" s="3">
        <v>45838</v>
      </c>
      <c r="C14653" s="3"/>
      <c r="D14653" s="6"/>
      <c r="E14653" s="2"/>
      <c r="F14653" s="2"/>
      <c r="G14653" s="2">
        <f t="shared" si="228"/>
        <v>0</v>
      </c>
      <c r="H14653" t="s">
        <v>11</v>
      </c>
    </row>
    <row r="14654" spans="2:8" x14ac:dyDescent="0.2">
      <c r="B14654" s="3">
        <v>45838</v>
      </c>
      <c r="C14654" s="3"/>
      <c r="D14654" s="6"/>
      <c r="E14654" s="2"/>
      <c r="F14654" s="2"/>
      <c r="G14654" s="2">
        <f t="shared" si="228"/>
        <v>0</v>
      </c>
      <c r="H14654" t="s">
        <v>10</v>
      </c>
    </row>
    <row r="14655" spans="2:8" x14ac:dyDescent="0.2">
      <c r="B14655" s="3">
        <v>45838</v>
      </c>
      <c r="C14655" s="2">
        <v>84</v>
      </c>
      <c r="D14655" s="6">
        <v>28075</v>
      </c>
      <c r="E14655" s="2">
        <v>29875</v>
      </c>
      <c r="F14655" s="2"/>
      <c r="G14655" s="2">
        <f t="shared" si="228"/>
        <v>29875</v>
      </c>
      <c r="H14655" t="s">
        <v>9</v>
      </c>
    </row>
    <row r="14656" spans="2:8" x14ac:dyDescent="0.2">
      <c r="B14656" s="3">
        <v>45838</v>
      </c>
      <c r="C14656" s="3"/>
      <c r="D14656" s="6"/>
      <c r="E14656" s="2"/>
      <c r="F14656" s="2"/>
      <c r="G14656" s="2">
        <f t="shared" si="228"/>
        <v>0</v>
      </c>
      <c r="H14656" t="s">
        <v>8</v>
      </c>
    </row>
    <row r="14657" spans="2:8" x14ac:dyDescent="0.2">
      <c r="B14657" s="3">
        <v>45838</v>
      </c>
      <c r="C14657" s="3"/>
      <c r="D14657" s="6"/>
      <c r="E14657" s="2"/>
      <c r="F14657" s="2"/>
      <c r="G14657" s="2">
        <f t="shared" si="228"/>
        <v>0</v>
      </c>
      <c r="H14657" t="s">
        <v>7</v>
      </c>
    </row>
    <row r="14658" spans="2:8" x14ac:dyDescent="0.2">
      <c r="B14658" s="3">
        <v>45838</v>
      </c>
      <c r="C14658" s="3"/>
      <c r="D14658" s="6"/>
      <c r="E14658" s="2"/>
      <c r="F14658" s="2"/>
      <c r="G14658" s="2">
        <f t="shared" si="228"/>
        <v>0</v>
      </c>
      <c r="H14658" t="s">
        <v>6</v>
      </c>
    </row>
    <row r="14659" spans="2:8" x14ac:dyDescent="0.2">
      <c r="B14659" s="3">
        <v>45838</v>
      </c>
      <c r="C14659" s="3"/>
      <c r="D14659" s="6"/>
      <c r="E14659" s="2"/>
      <c r="F14659" s="2"/>
      <c r="G14659" s="2">
        <f t="shared" ref="G14659:G14722" si="229">E14659-F14659</f>
        <v>0</v>
      </c>
      <c r="H14659" t="s">
        <v>5</v>
      </c>
    </row>
    <row r="14660" spans="2:8" x14ac:dyDescent="0.2">
      <c r="B14660" s="3">
        <v>45838</v>
      </c>
      <c r="C14660" s="3"/>
      <c r="D14660" s="6"/>
      <c r="E14660" s="2"/>
      <c r="F14660" s="2"/>
      <c r="G14660" s="2">
        <f t="shared" si="229"/>
        <v>0</v>
      </c>
      <c r="H14660" s="1"/>
    </row>
    <row r="14661" spans="2:8" x14ac:dyDescent="0.2">
      <c r="B14661" s="3">
        <v>45838</v>
      </c>
      <c r="C14661" s="2">
        <v>10327</v>
      </c>
      <c r="D14661" s="2">
        <v>13155.6</v>
      </c>
      <c r="E14661" s="2">
        <v>13559.82</v>
      </c>
      <c r="F14661" s="2"/>
      <c r="G14661" s="2">
        <f t="shared" si="229"/>
        <v>13559.82</v>
      </c>
      <c r="H14661" t="s">
        <v>0</v>
      </c>
    </row>
    <row r="14662" spans="2:8" x14ac:dyDescent="0.2">
      <c r="B14662" s="3">
        <v>45839</v>
      </c>
      <c r="C14662" s="2"/>
      <c r="D14662" s="2"/>
      <c r="E14662" s="2"/>
      <c r="F14662" s="2"/>
      <c r="G14662" s="2">
        <f t="shared" si="229"/>
        <v>0</v>
      </c>
      <c r="H14662" t="s">
        <v>14</v>
      </c>
    </row>
    <row r="14663" spans="2:8" x14ac:dyDescent="0.2">
      <c r="B14663" s="3">
        <v>45839</v>
      </c>
      <c r="C14663" s="2"/>
      <c r="D14663" s="2"/>
      <c r="E14663" s="2"/>
      <c r="F14663" s="2"/>
      <c r="G14663" s="2">
        <f t="shared" si="229"/>
        <v>0</v>
      </c>
      <c r="H14663" t="s">
        <v>13</v>
      </c>
    </row>
    <row r="14664" spans="2:8" x14ac:dyDescent="0.2">
      <c r="B14664" s="3">
        <v>45839</v>
      </c>
      <c r="C14664" s="3"/>
      <c r="D14664" s="6"/>
      <c r="E14664" s="2"/>
      <c r="F14664" s="2"/>
      <c r="G14664" s="2">
        <f t="shared" si="229"/>
        <v>0</v>
      </c>
      <c r="H14664" t="s">
        <v>11</v>
      </c>
    </row>
    <row r="14665" spans="2:8" x14ac:dyDescent="0.2">
      <c r="B14665" s="3">
        <v>45839</v>
      </c>
      <c r="C14665" s="3"/>
      <c r="D14665" s="6"/>
      <c r="E14665" s="2"/>
      <c r="F14665" s="2"/>
      <c r="G14665" s="2">
        <f t="shared" si="229"/>
        <v>0</v>
      </c>
      <c r="H14665" t="s">
        <v>10</v>
      </c>
    </row>
    <row r="14666" spans="2:8" x14ac:dyDescent="0.2">
      <c r="B14666" s="3">
        <v>45839</v>
      </c>
      <c r="C14666" s="3"/>
      <c r="D14666" s="6"/>
      <c r="E14666" s="2"/>
      <c r="F14666" s="2"/>
      <c r="G14666" s="2">
        <f t="shared" si="229"/>
        <v>0</v>
      </c>
      <c r="H14666" t="s">
        <v>9</v>
      </c>
    </row>
    <row r="14667" spans="2:8" x14ac:dyDescent="0.2">
      <c r="B14667" s="3">
        <v>45839</v>
      </c>
      <c r="C14667" s="3"/>
      <c r="D14667" s="6"/>
      <c r="E14667" s="2"/>
      <c r="F14667" s="2"/>
      <c r="G14667" s="2">
        <f t="shared" si="229"/>
        <v>0</v>
      </c>
      <c r="H14667" t="s">
        <v>8</v>
      </c>
    </row>
    <row r="14668" spans="2:8" x14ac:dyDescent="0.2">
      <c r="B14668" s="3">
        <v>45839</v>
      </c>
      <c r="C14668" s="3"/>
      <c r="D14668" s="6"/>
      <c r="E14668" s="2"/>
      <c r="F14668" s="2"/>
      <c r="G14668" s="2">
        <f t="shared" si="229"/>
        <v>0</v>
      </c>
      <c r="H14668" t="s">
        <v>7</v>
      </c>
    </row>
    <row r="14669" spans="2:8" x14ac:dyDescent="0.2">
      <c r="B14669" s="3">
        <v>45839</v>
      </c>
      <c r="C14669" s="3"/>
      <c r="D14669" s="6"/>
      <c r="E14669" s="2"/>
      <c r="F14669" s="2"/>
      <c r="G14669" s="2">
        <f t="shared" si="229"/>
        <v>0</v>
      </c>
      <c r="H14669" t="s">
        <v>6</v>
      </c>
    </row>
    <row r="14670" spans="2:8" x14ac:dyDescent="0.2">
      <c r="B14670" s="3">
        <v>45839</v>
      </c>
      <c r="C14670" s="3"/>
      <c r="D14670" s="6"/>
      <c r="E14670" s="2"/>
      <c r="F14670" s="2"/>
      <c r="G14670" s="2">
        <f t="shared" si="229"/>
        <v>0</v>
      </c>
      <c r="H14670" t="s">
        <v>5</v>
      </c>
    </row>
    <row r="14671" spans="2:8" x14ac:dyDescent="0.2">
      <c r="B14671" s="3">
        <v>45839</v>
      </c>
      <c r="C14671" s="3"/>
      <c r="D14671" s="6"/>
      <c r="E14671" s="2"/>
      <c r="F14671" s="2"/>
      <c r="G14671" s="2">
        <f t="shared" si="229"/>
        <v>0</v>
      </c>
      <c r="H14671" s="1"/>
    </row>
    <row r="14672" spans="2:8" x14ac:dyDescent="0.2">
      <c r="B14672" s="3">
        <v>45839</v>
      </c>
      <c r="C14672" s="3"/>
      <c r="D14672" s="2">
        <v>-1870.85</v>
      </c>
      <c r="E14672" s="4">
        <v>-2002.6</v>
      </c>
      <c r="F14672" s="2"/>
      <c r="G14672" s="2">
        <f t="shared" si="229"/>
        <v>-2002.6</v>
      </c>
      <c r="H14672" t="s">
        <v>0</v>
      </c>
    </row>
    <row r="14673" spans="2:8" x14ac:dyDescent="0.2">
      <c r="B14673" s="3">
        <v>45840</v>
      </c>
      <c r="C14673" s="2"/>
      <c r="D14673" s="2"/>
      <c r="E14673" s="2"/>
      <c r="F14673" s="2"/>
      <c r="G14673" s="2">
        <f t="shared" si="229"/>
        <v>0</v>
      </c>
      <c r="H14673" t="s">
        <v>14</v>
      </c>
    </row>
    <row r="14674" spans="2:8" x14ac:dyDescent="0.2">
      <c r="B14674" s="3">
        <v>45840</v>
      </c>
      <c r="C14674" s="2"/>
      <c r="D14674" s="2"/>
      <c r="E14674" s="2"/>
      <c r="F14674" s="2"/>
      <c r="G14674" s="2">
        <f t="shared" si="229"/>
        <v>0</v>
      </c>
      <c r="H14674" t="s">
        <v>13</v>
      </c>
    </row>
    <row r="14675" spans="2:8" x14ac:dyDescent="0.2">
      <c r="B14675" s="3">
        <v>45840</v>
      </c>
      <c r="C14675" s="3"/>
      <c r="D14675" s="6"/>
      <c r="E14675" s="2"/>
      <c r="F14675" s="2"/>
      <c r="G14675" s="2">
        <f t="shared" si="229"/>
        <v>0</v>
      </c>
      <c r="H14675" t="s">
        <v>11</v>
      </c>
    </row>
    <row r="14676" spans="2:8" x14ac:dyDescent="0.2">
      <c r="B14676" s="3">
        <v>45840</v>
      </c>
      <c r="C14676" s="3"/>
      <c r="D14676" s="6"/>
      <c r="E14676" s="2"/>
      <c r="F14676" s="2"/>
      <c r="G14676" s="2">
        <f t="shared" si="229"/>
        <v>0</v>
      </c>
      <c r="H14676" t="s">
        <v>10</v>
      </c>
    </row>
    <row r="14677" spans="2:8" x14ac:dyDescent="0.2">
      <c r="B14677" s="3">
        <v>45840</v>
      </c>
      <c r="C14677" s="3"/>
      <c r="D14677" s="6"/>
      <c r="E14677" s="2"/>
      <c r="F14677" s="2"/>
      <c r="G14677" s="2">
        <f t="shared" si="229"/>
        <v>0</v>
      </c>
      <c r="H14677" t="s">
        <v>9</v>
      </c>
    </row>
    <row r="14678" spans="2:8" x14ac:dyDescent="0.2">
      <c r="B14678" s="3">
        <v>45840</v>
      </c>
      <c r="C14678" s="3"/>
      <c r="D14678" s="6"/>
      <c r="E14678" s="2"/>
      <c r="F14678" s="2">
        <v>30000</v>
      </c>
      <c r="G14678" s="2">
        <f t="shared" si="229"/>
        <v>-30000</v>
      </c>
      <c r="H14678" t="s">
        <v>8</v>
      </c>
    </row>
    <row r="14679" spans="2:8" x14ac:dyDescent="0.2">
      <c r="B14679" s="3">
        <v>45840</v>
      </c>
      <c r="C14679" s="3"/>
      <c r="D14679" s="6"/>
      <c r="E14679" s="2"/>
      <c r="F14679" s="2"/>
      <c r="G14679" s="2">
        <f t="shared" si="229"/>
        <v>0</v>
      </c>
      <c r="H14679" t="s">
        <v>7</v>
      </c>
    </row>
    <row r="14680" spans="2:8" x14ac:dyDescent="0.2">
      <c r="B14680" s="3">
        <v>45840</v>
      </c>
      <c r="C14680" s="3"/>
      <c r="D14680" s="6"/>
      <c r="E14680" s="2"/>
      <c r="F14680" s="2"/>
      <c r="G14680" s="2">
        <f t="shared" si="229"/>
        <v>0</v>
      </c>
      <c r="H14680" t="s">
        <v>6</v>
      </c>
    </row>
    <row r="14681" spans="2:8" x14ac:dyDescent="0.2">
      <c r="B14681" s="3">
        <v>45840</v>
      </c>
      <c r="C14681" s="3"/>
      <c r="D14681" s="6"/>
      <c r="E14681" s="2"/>
      <c r="F14681" s="2"/>
      <c r="G14681" s="2">
        <f t="shared" si="229"/>
        <v>0</v>
      </c>
      <c r="H14681" t="s">
        <v>5</v>
      </c>
    </row>
    <row r="14682" spans="2:8" x14ac:dyDescent="0.2">
      <c r="B14682" s="3">
        <v>45840</v>
      </c>
      <c r="C14682" s="2">
        <v>85</v>
      </c>
      <c r="D14682" s="6">
        <v>3680</v>
      </c>
      <c r="E14682" s="2">
        <v>3850</v>
      </c>
      <c r="F14682" s="2"/>
      <c r="G14682" s="2">
        <f t="shared" si="229"/>
        <v>3850</v>
      </c>
      <c r="H14682" s="1" t="s">
        <v>77</v>
      </c>
    </row>
    <row r="14683" spans="2:8" x14ac:dyDescent="0.2">
      <c r="B14683" s="3">
        <v>45840</v>
      </c>
      <c r="C14683" s="3"/>
      <c r="D14683" s="2"/>
      <c r="E14683" s="2"/>
      <c r="F14683" s="2"/>
      <c r="G14683" s="2">
        <f t="shared" si="229"/>
        <v>0</v>
      </c>
      <c r="H14683" t="s">
        <v>0</v>
      </c>
    </row>
    <row r="14684" spans="2:8" x14ac:dyDescent="0.2">
      <c r="B14684" s="3">
        <v>45841</v>
      </c>
      <c r="C14684" s="2"/>
      <c r="D14684" s="2"/>
      <c r="E14684" s="2"/>
      <c r="F14684" s="2"/>
      <c r="G14684" s="2">
        <f t="shared" si="229"/>
        <v>0</v>
      </c>
      <c r="H14684" t="s">
        <v>14</v>
      </c>
    </row>
    <row r="14685" spans="2:8" x14ac:dyDescent="0.2">
      <c r="B14685" s="3">
        <v>45841</v>
      </c>
      <c r="C14685" s="2"/>
      <c r="D14685" s="2"/>
      <c r="E14685" s="2"/>
      <c r="F14685" s="2"/>
      <c r="G14685" s="2">
        <f t="shared" si="229"/>
        <v>0</v>
      </c>
      <c r="H14685" t="s">
        <v>13</v>
      </c>
    </row>
    <row r="14686" spans="2:8" x14ac:dyDescent="0.2">
      <c r="B14686" s="3">
        <v>45841</v>
      </c>
      <c r="C14686" s="3"/>
      <c r="D14686" s="6"/>
      <c r="E14686" s="2"/>
      <c r="F14686" s="2"/>
      <c r="G14686" s="2">
        <f t="shared" si="229"/>
        <v>0</v>
      </c>
      <c r="H14686" t="s">
        <v>11</v>
      </c>
    </row>
    <row r="14687" spans="2:8" x14ac:dyDescent="0.2">
      <c r="B14687" s="3">
        <v>45841</v>
      </c>
      <c r="C14687" s="3"/>
      <c r="D14687" s="6"/>
      <c r="E14687" s="2"/>
      <c r="F14687" s="2"/>
      <c r="G14687" s="2">
        <f t="shared" si="229"/>
        <v>0</v>
      </c>
      <c r="H14687" t="s">
        <v>10</v>
      </c>
    </row>
    <row r="14688" spans="2:8" x14ac:dyDescent="0.2">
      <c r="B14688" s="3">
        <v>45841</v>
      </c>
      <c r="C14688" s="3"/>
      <c r="D14688" s="6"/>
      <c r="E14688" s="2"/>
      <c r="F14688" s="2"/>
      <c r="G14688" s="2">
        <f t="shared" si="229"/>
        <v>0</v>
      </c>
      <c r="H14688" t="s">
        <v>9</v>
      </c>
    </row>
    <row r="14689" spans="2:8" x14ac:dyDescent="0.2">
      <c r="B14689" s="3">
        <v>45841</v>
      </c>
      <c r="C14689" s="3"/>
      <c r="D14689" s="6"/>
      <c r="E14689" s="2"/>
      <c r="F14689" s="2"/>
      <c r="G14689" s="2">
        <f t="shared" si="229"/>
        <v>0</v>
      </c>
      <c r="H14689" t="s">
        <v>8</v>
      </c>
    </row>
    <row r="14690" spans="2:8" x14ac:dyDescent="0.2">
      <c r="B14690" s="3">
        <v>45841</v>
      </c>
      <c r="C14690" s="3"/>
      <c r="D14690" s="6"/>
      <c r="E14690" s="2"/>
      <c r="F14690" s="2"/>
      <c r="G14690" s="2">
        <f t="shared" si="229"/>
        <v>0</v>
      </c>
      <c r="H14690" t="s">
        <v>7</v>
      </c>
    </row>
    <row r="14691" spans="2:8" x14ac:dyDescent="0.2">
      <c r="B14691" s="3">
        <v>45841</v>
      </c>
      <c r="C14691" s="3"/>
      <c r="D14691" s="6"/>
      <c r="E14691" s="2"/>
      <c r="F14691" s="2"/>
      <c r="G14691" s="2">
        <f t="shared" si="229"/>
        <v>0</v>
      </c>
      <c r="H14691" t="s">
        <v>6</v>
      </c>
    </row>
    <row r="14692" spans="2:8" x14ac:dyDescent="0.2">
      <c r="B14692" s="3">
        <v>45841</v>
      </c>
      <c r="C14692" s="3"/>
      <c r="D14692" s="6"/>
      <c r="E14692" s="2"/>
      <c r="F14692" s="2"/>
      <c r="G14692" s="2">
        <f t="shared" si="229"/>
        <v>0</v>
      </c>
      <c r="H14692" t="s">
        <v>5</v>
      </c>
    </row>
    <row r="14693" spans="2:8" x14ac:dyDescent="0.2">
      <c r="B14693" s="3">
        <v>45841</v>
      </c>
      <c r="C14693" s="2"/>
      <c r="D14693" s="6"/>
      <c r="E14693" s="2"/>
      <c r="F14693" s="2"/>
      <c r="G14693" s="2">
        <f t="shared" si="229"/>
        <v>0</v>
      </c>
      <c r="H14693" s="1"/>
    </row>
    <row r="14694" spans="2:8" x14ac:dyDescent="0.2">
      <c r="B14694" s="3">
        <v>45841</v>
      </c>
      <c r="C14694" s="3"/>
      <c r="D14694" s="2"/>
      <c r="E14694" s="2"/>
      <c r="F14694" s="2"/>
      <c r="G14694" s="2">
        <f t="shared" si="229"/>
        <v>0</v>
      </c>
      <c r="H14694" t="s">
        <v>0</v>
      </c>
    </row>
    <row r="14695" spans="2:8" x14ac:dyDescent="0.2">
      <c r="B14695" s="3">
        <v>45842</v>
      </c>
      <c r="C14695" s="2"/>
      <c r="D14695" s="2"/>
      <c r="E14695" s="2"/>
      <c r="F14695" s="2"/>
      <c r="G14695" s="2">
        <f t="shared" si="229"/>
        <v>0</v>
      </c>
      <c r="H14695" t="s">
        <v>14</v>
      </c>
    </row>
    <row r="14696" spans="2:8" x14ac:dyDescent="0.2">
      <c r="B14696" s="3">
        <v>45842</v>
      </c>
      <c r="C14696" s="2"/>
      <c r="D14696" s="2"/>
      <c r="E14696" s="2"/>
      <c r="F14696" s="2"/>
      <c r="G14696" s="2">
        <f t="shared" si="229"/>
        <v>0</v>
      </c>
      <c r="H14696" t="s">
        <v>13</v>
      </c>
    </row>
    <row r="14697" spans="2:8" x14ac:dyDescent="0.2">
      <c r="B14697" s="3">
        <v>45842</v>
      </c>
      <c r="C14697" s="3"/>
      <c r="D14697" s="6"/>
      <c r="E14697" s="2"/>
      <c r="F14697" s="2"/>
      <c r="G14697" s="2">
        <f t="shared" si="229"/>
        <v>0</v>
      </c>
      <c r="H14697" t="s">
        <v>11</v>
      </c>
    </row>
    <row r="14698" spans="2:8" x14ac:dyDescent="0.2">
      <c r="B14698" s="3">
        <v>45842</v>
      </c>
      <c r="C14698" s="3"/>
      <c r="D14698" s="6"/>
      <c r="E14698" s="2"/>
      <c r="F14698" s="2"/>
      <c r="G14698" s="2">
        <f t="shared" si="229"/>
        <v>0</v>
      </c>
      <c r="H14698" t="s">
        <v>10</v>
      </c>
    </row>
    <row r="14699" spans="2:8" x14ac:dyDescent="0.2">
      <c r="B14699" s="3">
        <v>45842</v>
      </c>
      <c r="C14699" s="3"/>
      <c r="D14699" s="6"/>
      <c r="E14699" s="2"/>
      <c r="F14699" s="2"/>
      <c r="G14699" s="2">
        <f t="shared" si="229"/>
        <v>0</v>
      </c>
      <c r="H14699" t="s">
        <v>9</v>
      </c>
    </row>
    <row r="14700" spans="2:8" x14ac:dyDescent="0.2">
      <c r="B14700" s="3">
        <v>45842</v>
      </c>
      <c r="C14700" s="3"/>
      <c r="D14700" s="6"/>
      <c r="E14700" s="2"/>
      <c r="F14700" s="2"/>
      <c r="G14700" s="2">
        <f t="shared" si="229"/>
        <v>0</v>
      </c>
      <c r="H14700" t="s">
        <v>8</v>
      </c>
    </row>
    <row r="14701" spans="2:8" x14ac:dyDescent="0.2">
      <c r="B14701" s="3">
        <v>45842</v>
      </c>
      <c r="C14701" s="3"/>
      <c r="D14701" s="6"/>
      <c r="E14701" s="2"/>
      <c r="F14701" s="2"/>
      <c r="G14701" s="2">
        <f t="shared" si="229"/>
        <v>0</v>
      </c>
      <c r="H14701" t="s">
        <v>7</v>
      </c>
    </row>
    <row r="14702" spans="2:8" x14ac:dyDescent="0.2">
      <c r="B14702" s="3">
        <v>45842</v>
      </c>
      <c r="C14702" s="3"/>
      <c r="D14702" s="6"/>
      <c r="E14702" s="2"/>
      <c r="F14702" s="2"/>
      <c r="G14702" s="2">
        <f t="shared" si="229"/>
        <v>0</v>
      </c>
      <c r="H14702" t="s">
        <v>6</v>
      </c>
    </row>
    <row r="14703" spans="2:8" x14ac:dyDescent="0.2">
      <c r="B14703" s="3">
        <v>45842</v>
      </c>
      <c r="C14703" s="3"/>
      <c r="D14703" s="6"/>
      <c r="E14703" s="2"/>
      <c r="F14703" s="2"/>
      <c r="G14703" s="2">
        <f t="shared" si="229"/>
        <v>0</v>
      </c>
      <c r="H14703" t="s">
        <v>5</v>
      </c>
    </row>
    <row r="14704" spans="2:8" x14ac:dyDescent="0.2">
      <c r="B14704" s="3">
        <v>45842</v>
      </c>
      <c r="C14704" s="3"/>
      <c r="D14704" s="6"/>
      <c r="E14704" s="2"/>
      <c r="F14704" s="2"/>
      <c r="G14704" s="2">
        <f t="shared" si="229"/>
        <v>0</v>
      </c>
      <c r="H14704" s="1"/>
    </row>
    <row r="14705" spans="2:8" x14ac:dyDescent="0.2">
      <c r="B14705" s="3">
        <v>45842</v>
      </c>
      <c r="C14705" s="3"/>
      <c r="D14705" s="2"/>
      <c r="E14705" s="2"/>
      <c r="F14705" s="2"/>
      <c r="G14705" s="2">
        <f t="shared" si="229"/>
        <v>0</v>
      </c>
      <c r="H14705" t="s">
        <v>0</v>
      </c>
    </row>
    <row r="14706" spans="2:8" x14ac:dyDescent="0.2">
      <c r="B14706" s="3">
        <v>45843</v>
      </c>
      <c r="C14706" s="2">
        <v>88</v>
      </c>
      <c r="D14706" s="2">
        <v>23400</v>
      </c>
      <c r="E14706" s="2">
        <v>25700</v>
      </c>
      <c r="F14706" s="2"/>
      <c r="G14706" s="2">
        <f t="shared" si="229"/>
        <v>25700</v>
      </c>
      <c r="H14706" t="s">
        <v>14</v>
      </c>
    </row>
    <row r="14707" spans="2:8" x14ac:dyDescent="0.2">
      <c r="B14707" s="3">
        <v>45843</v>
      </c>
      <c r="C14707" s="2"/>
      <c r="D14707" s="2"/>
      <c r="E14707" s="2"/>
      <c r="F14707" s="2"/>
      <c r="G14707" s="2">
        <f t="shared" si="229"/>
        <v>0</v>
      </c>
      <c r="H14707" t="s">
        <v>13</v>
      </c>
    </row>
    <row r="14708" spans="2:8" x14ac:dyDescent="0.2">
      <c r="B14708" s="3">
        <v>45843</v>
      </c>
      <c r="C14708" s="2">
        <v>86</v>
      </c>
      <c r="D14708" s="6">
        <v>12557.5</v>
      </c>
      <c r="E14708" s="2">
        <v>13432.5</v>
      </c>
      <c r="F14708" s="2"/>
      <c r="G14708" s="2">
        <f t="shared" si="229"/>
        <v>13432.5</v>
      </c>
      <c r="H14708" t="s">
        <v>11</v>
      </c>
    </row>
    <row r="14709" spans="2:8" x14ac:dyDescent="0.2">
      <c r="B14709" s="3">
        <v>45843</v>
      </c>
      <c r="C14709" s="3"/>
      <c r="D14709" s="6"/>
      <c r="E14709" s="2"/>
      <c r="F14709" s="2"/>
      <c r="G14709" s="2">
        <f t="shared" si="229"/>
        <v>0</v>
      </c>
      <c r="H14709" t="s">
        <v>10</v>
      </c>
    </row>
    <row r="14710" spans="2:8" x14ac:dyDescent="0.2">
      <c r="B14710" s="3">
        <v>45843</v>
      </c>
      <c r="C14710" s="3"/>
      <c r="D14710" s="6"/>
      <c r="E14710" s="2"/>
      <c r="F14710" s="2"/>
      <c r="G14710" s="2">
        <f t="shared" si="229"/>
        <v>0</v>
      </c>
      <c r="H14710" t="s">
        <v>9</v>
      </c>
    </row>
    <row r="14711" spans="2:8" x14ac:dyDescent="0.2">
      <c r="B14711" s="3">
        <v>45843</v>
      </c>
      <c r="C14711" s="3"/>
      <c r="D14711" s="6"/>
      <c r="E14711" s="2"/>
      <c r="F14711" s="2"/>
      <c r="G14711" s="2">
        <f t="shared" si="229"/>
        <v>0</v>
      </c>
      <c r="H14711" t="s">
        <v>8</v>
      </c>
    </row>
    <row r="14712" spans="2:8" x14ac:dyDescent="0.2">
      <c r="B14712" s="3">
        <v>45843</v>
      </c>
      <c r="C14712" s="3"/>
      <c r="D14712" s="6"/>
      <c r="E14712" s="2"/>
      <c r="F14712" s="2"/>
      <c r="G14712" s="2">
        <f t="shared" si="229"/>
        <v>0</v>
      </c>
      <c r="H14712" t="s">
        <v>7</v>
      </c>
    </row>
    <row r="14713" spans="2:8" x14ac:dyDescent="0.2">
      <c r="B14713" s="3">
        <v>45843</v>
      </c>
      <c r="C14713" s="2">
        <v>87</v>
      </c>
      <c r="D14713" s="6">
        <v>18295</v>
      </c>
      <c r="E14713" s="2">
        <v>19295</v>
      </c>
      <c r="F14713" s="2"/>
      <c r="G14713" s="2">
        <f t="shared" si="229"/>
        <v>19295</v>
      </c>
      <c r="H14713" t="s">
        <v>6</v>
      </c>
    </row>
    <row r="14714" spans="2:8" x14ac:dyDescent="0.2">
      <c r="B14714" s="3">
        <v>45843</v>
      </c>
      <c r="C14714" s="3"/>
      <c r="D14714" s="6"/>
      <c r="E14714" s="2"/>
      <c r="F14714" s="2"/>
      <c r="G14714" s="2">
        <f t="shared" si="229"/>
        <v>0</v>
      </c>
      <c r="H14714" t="s">
        <v>5</v>
      </c>
    </row>
    <row r="14715" spans="2:8" x14ac:dyDescent="0.2">
      <c r="B14715" s="3">
        <v>45843</v>
      </c>
      <c r="C14715" s="3"/>
      <c r="D14715" s="6"/>
      <c r="E14715" s="2"/>
      <c r="F14715" s="2"/>
      <c r="G14715" s="2">
        <f t="shared" si="229"/>
        <v>0</v>
      </c>
      <c r="H14715" s="1"/>
    </row>
    <row r="14716" spans="2:8" x14ac:dyDescent="0.2">
      <c r="B14716" s="3">
        <v>45843</v>
      </c>
      <c r="C14716" s="3"/>
      <c r="D14716" s="2"/>
      <c r="E14716" s="2"/>
      <c r="F14716" s="2"/>
      <c r="G14716" s="2">
        <f t="shared" si="229"/>
        <v>0</v>
      </c>
      <c r="H14716" t="s">
        <v>0</v>
      </c>
    </row>
    <row r="14717" spans="2:8" x14ac:dyDescent="0.2">
      <c r="B14717" s="3">
        <v>45844</v>
      </c>
      <c r="C14717" s="2"/>
      <c r="D14717" s="2"/>
      <c r="E14717" s="2"/>
      <c r="F14717" s="2"/>
      <c r="G14717" s="2">
        <f t="shared" si="229"/>
        <v>0</v>
      </c>
      <c r="H14717" t="s">
        <v>14</v>
      </c>
    </row>
    <row r="14718" spans="2:8" x14ac:dyDescent="0.2">
      <c r="B14718" s="3">
        <v>45844</v>
      </c>
      <c r="C14718" s="2"/>
      <c r="D14718" s="2"/>
      <c r="E14718" s="2"/>
      <c r="F14718" s="2"/>
      <c r="G14718" s="2">
        <f t="shared" si="229"/>
        <v>0</v>
      </c>
      <c r="H14718" t="s">
        <v>13</v>
      </c>
    </row>
    <row r="14719" spans="2:8" x14ac:dyDescent="0.2">
      <c r="B14719" s="3">
        <v>45844</v>
      </c>
      <c r="C14719" s="3"/>
      <c r="D14719" s="6"/>
      <c r="E14719" s="2"/>
      <c r="F14719" s="2"/>
      <c r="G14719" s="2">
        <f t="shared" si="229"/>
        <v>0</v>
      </c>
      <c r="H14719" t="s">
        <v>11</v>
      </c>
    </row>
    <row r="14720" spans="2:8" x14ac:dyDescent="0.2">
      <c r="B14720" s="3">
        <v>45844</v>
      </c>
      <c r="C14720" s="3"/>
      <c r="D14720" s="6"/>
      <c r="E14720" s="2"/>
      <c r="F14720" s="2"/>
      <c r="G14720" s="2">
        <f t="shared" si="229"/>
        <v>0</v>
      </c>
      <c r="H14720" t="s">
        <v>10</v>
      </c>
    </row>
    <row r="14721" spans="2:8" x14ac:dyDescent="0.2">
      <c r="B14721" s="3">
        <v>45844</v>
      </c>
      <c r="C14721" s="3"/>
      <c r="D14721" s="6"/>
      <c r="E14721" s="2"/>
      <c r="F14721" s="2"/>
      <c r="G14721" s="2">
        <f t="shared" si="229"/>
        <v>0</v>
      </c>
      <c r="H14721" t="s">
        <v>9</v>
      </c>
    </row>
    <row r="14722" spans="2:8" x14ac:dyDescent="0.2">
      <c r="B14722" s="3">
        <v>45844</v>
      </c>
      <c r="C14722" s="3"/>
      <c r="D14722" s="6"/>
      <c r="E14722" s="2"/>
      <c r="F14722" s="2"/>
      <c r="G14722" s="2">
        <f t="shared" si="229"/>
        <v>0</v>
      </c>
      <c r="H14722" t="s">
        <v>8</v>
      </c>
    </row>
    <row r="14723" spans="2:8" x14ac:dyDescent="0.2">
      <c r="B14723" s="3">
        <v>45844</v>
      </c>
      <c r="C14723" s="3"/>
      <c r="D14723" s="6"/>
      <c r="E14723" s="2"/>
      <c r="F14723" s="2"/>
      <c r="G14723" s="2">
        <f t="shared" ref="G14723:G14786" si="230">E14723-F14723</f>
        <v>0</v>
      </c>
      <c r="H14723" t="s">
        <v>7</v>
      </c>
    </row>
    <row r="14724" spans="2:8" x14ac:dyDescent="0.2">
      <c r="B14724" s="3">
        <v>45844</v>
      </c>
      <c r="C14724" s="3"/>
      <c r="D14724" s="6"/>
      <c r="E14724" s="2"/>
      <c r="F14724" s="2"/>
      <c r="G14724" s="2">
        <f t="shared" si="230"/>
        <v>0</v>
      </c>
      <c r="H14724" t="s">
        <v>6</v>
      </c>
    </row>
    <row r="14725" spans="2:8" x14ac:dyDescent="0.2">
      <c r="B14725" s="3">
        <v>45844</v>
      </c>
      <c r="C14725" s="3"/>
      <c r="D14725" s="6"/>
      <c r="E14725" s="2"/>
      <c r="F14725" s="2"/>
      <c r="G14725" s="2">
        <f t="shared" si="230"/>
        <v>0</v>
      </c>
      <c r="H14725" t="s">
        <v>5</v>
      </c>
    </row>
    <row r="14726" spans="2:8" x14ac:dyDescent="0.2">
      <c r="B14726" s="3">
        <v>45844</v>
      </c>
      <c r="C14726" s="3"/>
      <c r="D14726" s="6"/>
      <c r="E14726" s="2"/>
      <c r="F14726" s="2"/>
      <c r="G14726" s="2">
        <f t="shared" si="230"/>
        <v>0</v>
      </c>
      <c r="H14726" s="1"/>
    </row>
    <row r="14727" spans="2:8" x14ac:dyDescent="0.2">
      <c r="B14727" s="3">
        <v>45844</v>
      </c>
      <c r="C14727" s="3"/>
      <c r="D14727" s="2"/>
      <c r="E14727" s="2"/>
      <c r="F14727" s="2"/>
      <c r="G14727" s="2">
        <f t="shared" si="230"/>
        <v>0</v>
      </c>
      <c r="H14727" t="s">
        <v>0</v>
      </c>
    </row>
    <row r="14728" spans="2:8" x14ac:dyDescent="0.2">
      <c r="B14728" s="3">
        <v>45845</v>
      </c>
      <c r="C14728" s="2">
        <v>89</v>
      </c>
      <c r="D14728" s="2">
        <v>13800</v>
      </c>
      <c r="E14728" s="2">
        <v>15000</v>
      </c>
      <c r="F14728" s="2">
        <v>10000</v>
      </c>
      <c r="G14728" s="2">
        <f t="shared" si="230"/>
        <v>5000</v>
      </c>
      <c r="H14728" t="s">
        <v>14</v>
      </c>
    </row>
    <row r="14729" spans="2:8" x14ac:dyDescent="0.2">
      <c r="B14729" s="3">
        <v>45845</v>
      </c>
      <c r="C14729" s="2"/>
      <c r="D14729" s="2"/>
      <c r="E14729" s="2"/>
      <c r="F14729" s="2"/>
      <c r="G14729" s="2">
        <f t="shared" si="230"/>
        <v>0</v>
      </c>
      <c r="H14729" t="s">
        <v>13</v>
      </c>
    </row>
    <row r="14730" spans="2:8" x14ac:dyDescent="0.2">
      <c r="B14730" s="3">
        <v>45845</v>
      </c>
      <c r="C14730" s="3"/>
      <c r="D14730" s="6"/>
      <c r="E14730" s="2"/>
      <c r="F14730" s="2"/>
      <c r="G14730" s="2">
        <f t="shared" si="230"/>
        <v>0</v>
      </c>
      <c r="H14730" t="s">
        <v>11</v>
      </c>
    </row>
    <row r="14731" spans="2:8" x14ac:dyDescent="0.2">
      <c r="B14731" s="3">
        <v>45845</v>
      </c>
      <c r="C14731" s="3"/>
      <c r="D14731" s="6"/>
      <c r="E14731" s="2"/>
      <c r="F14731" s="2"/>
      <c r="G14731" s="2">
        <f t="shared" si="230"/>
        <v>0</v>
      </c>
      <c r="H14731" t="s">
        <v>10</v>
      </c>
    </row>
    <row r="14732" spans="2:8" x14ac:dyDescent="0.2">
      <c r="B14732" s="3">
        <v>45845</v>
      </c>
      <c r="C14732" s="3"/>
      <c r="D14732" s="6"/>
      <c r="E14732" s="2"/>
      <c r="F14732" s="2"/>
      <c r="G14732" s="2">
        <f t="shared" si="230"/>
        <v>0</v>
      </c>
      <c r="H14732" t="s">
        <v>9</v>
      </c>
    </row>
    <row r="14733" spans="2:8" x14ac:dyDescent="0.2">
      <c r="B14733" s="3">
        <v>45845</v>
      </c>
      <c r="C14733" s="3"/>
      <c r="D14733" s="6"/>
      <c r="E14733" s="2"/>
      <c r="F14733" s="2"/>
      <c r="G14733" s="2">
        <f t="shared" si="230"/>
        <v>0</v>
      </c>
      <c r="H14733" t="s">
        <v>8</v>
      </c>
    </row>
    <row r="14734" spans="2:8" x14ac:dyDescent="0.2">
      <c r="B14734" s="3">
        <v>45845</v>
      </c>
      <c r="C14734" s="3"/>
      <c r="D14734" s="6"/>
      <c r="E14734" s="2"/>
      <c r="F14734" s="2"/>
      <c r="G14734" s="2">
        <f t="shared" si="230"/>
        <v>0</v>
      </c>
      <c r="H14734" t="s">
        <v>7</v>
      </c>
    </row>
    <row r="14735" spans="2:8" x14ac:dyDescent="0.2">
      <c r="B14735" s="3">
        <v>45845</v>
      </c>
      <c r="C14735" s="3"/>
      <c r="D14735" s="6"/>
      <c r="E14735" s="2"/>
      <c r="F14735" s="2"/>
      <c r="G14735" s="2">
        <f t="shared" si="230"/>
        <v>0</v>
      </c>
      <c r="H14735" t="s">
        <v>6</v>
      </c>
    </row>
    <row r="14736" spans="2:8" x14ac:dyDescent="0.2">
      <c r="B14736" s="3">
        <v>45845</v>
      </c>
      <c r="C14736" s="3"/>
      <c r="D14736" s="6"/>
      <c r="E14736" s="2"/>
      <c r="F14736" s="2"/>
      <c r="G14736" s="2">
        <f t="shared" si="230"/>
        <v>0</v>
      </c>
      <c r="H14736" t="s">
        <v>5</v>
      </c>
    </row>
    <row r="14737" spans="2:8" x14ac:dyDescent="0.2">
      <c r="B14737" s="3">
        <v>45845</v>
      </c>
      <c r="C14737" s="3"/>
      <c r="D14737" s="6"/>
      <c r="E14737" s="2"/>
      <c r="F14737" s="2"/>
      <c r="G14737" s="2">
        <f t="shared" si="230"/>
        <v>0</v>
      </c>
      <c r="H14737" s="1"/>
    </row>
    <row r="14738" spans="2:8" x14ac:dyDescent="0.2">
      <c r="B14738" s="3">
        <v>45845</v>
      </c>
      <c r="C14738" s="3"/>
      <c r="D14738" s="2"/>
      <c r="E14738" s="2"/>
      <c r="F14738" s="2">
        <v>31555</v>
      </c>
      <c r="G14738" s="2">
        <f t="shared" si="230"/>
        <v>-31555</v>
      </c>
      <c r="H14738" t="s">
        <v>0</v>
      </c>
    </row>
    <row r="14739" spans="2:8" x14ac:dyDescent="0.2">
      <c r="B14739" s="3">
        <v>45846</v>
      </c>
      <c r="C14739" s="2">
        <v>90</v>
      </c>
      <c r="D14739" s="2">
        <v>6320</v>
      </c>
      <c r="E14739" s="2">
        <v>6880</v>
      </c>
      <c r="F14739" s="2"/>
      <c r="G14739" s="2">
        <f t="shared" si="230"/>
        <v>6880</v>
      </c>
      <c r="H14739" t="s">
        <v>14</v>
      </c>
    </row>
    <row r="14740" spans="2:8" x14ac:dyDescent="0.2">
      <c r="B14740" s="3">
        <v>45846</v>
      </c>
      <c r="C14740" s="2"/>
      <c r="D14740" s="2"/>
      <c r="E14740" s="2"/>
      <c r="F14740" s="2"/>
      <c r="G14740" s="2">
        <f t="shared" si="230"/>
        <v>0</v>
      </c>
      <c r="H14740" t="s">
        <v>13</v>
      </c>
    </row>
    <row r="14741" spans="2:8" x14ac:dyDescent="0.2">
      <c r="B14741" s="3">
        <v>45846</v>
      </c>
      <c r="C14741" s="3"/>
      <c r="D14741" s="6"/>
      <c r="E14741" s="2"/>
      <c r="F14741" s="2"/>
      <c r="G14741" s="2">
        <f t="shared" si="230"/>
        <v>0</v>
      </c>
      <c r="H14741" t="s">
        <v>11</v>
      </c>
    </row>
    <row r="14742" spans="2:8" x14ac:dyDescent="0.2">
      <c r="B14742" s="3">
        <v>45846</v>
      </c>
      <c r="C14742" s="3"/>
      <c r="D14742" s="6"/>
      <c r="E14742" s="2"/>
      <c r="F14742" s="2"/>
      <c r="G14742" s="2">
        <f t="shared" si="230"/>
        <v>0</v>
      </c>
      <c r="H14742" t="s">
        <v>10</v>
      </c>
    </row>
    <row r="14743" spans="2:8" x14ac:dyDescent="0.2">
      <c r="B14743" s="3">
        <v>45846</v>
      </c>
      <c r="C14743" s="3"/>
      <c r="D14743" s="6"/>
      <c r="E14743" s="2"/>
      <c r="F14743" s="2"/>
      <c r="G14743" s="2">
        <f t="shared" si="230"/>
        <v>0</v>
      </c>
      <c r="H14743" t="s">
        <v>9</v>
      </c>
    </row>
    <row r="14744" spans="2:8" x14ac:dyDescent="0.2">
      <c r="B14744" s="3">
        <v>45846</v>
      </c>
      <c r="C14744" s="3"/>
      <c r="D14744" s="6"/>
      <c r="E14744" s="2"/>
      <c r="F14744" s="2"/>
      <c r="G14744" s="2">
        <f t="shared" si="230"/>
        <v>0</v>
      </c>
      <c r="H14744" t="s">
        <v>8</v>
      </c>
    </row>
    <row r="14745" spans="2:8" x14ac:dyDescent="0.2">
      <c r="B14745" s="3">
        <v>45846</v>
      </c>
      <c r="C14745" s="3"/>
      <c r="D14745" s="6"/>
      <c r="E14745" s="2"/>
      <c r="F14745" s="2"/>
      <c r="G14745" s="2">
        <f t="shared" si="230"/>
        <v>0</v>
      </c>
      <c r="H14745" t="s">
        <v>7</v>
      </c>
    </row>
    <row r="14746" spans="2:8" x14ac:dyDescent="0.2">
      <c r="B14746" s="3">
        <v>45846</v>
      </c>
      <c r="C14746" s="3"/>
      <c r="D14746" s="6"/>
      <c r="E14746" s="2"/>
      <c r="F14746" s="2"/>
      <c r="G14746" s="2">
        <f t="shared" si="230"/>
        <v>0</v>
      </c>
      <c r="H14746" t="s">
        <v>6</v>
      </c>
    </row>
    <row r="14747" spans="2:8" x14ac:dyDescent="0.2">
      <c r="B14747" s="3">
        <v>45846</v>
      </c>
      <c r="C14747" s="3"/>
      <c r="D14747" s="6"/>
      <c r="E14747" s="2"/>
      <c r="F14747" s="2"/>
      <c r="G14747" s="2">
        <f t="shared" si="230"/>
        <v>0</v>
      </c>
      <c r="H14747" t="s">
        <v>5</v>
      </c>
    </row>
    <row r="14748" spans="2:8" x14ac:dyDescent="0.2">
      <c r="B14748" s="3">
        <v>45846</v>
      </c>
      <c r="C14748" s="3"/>
      <c r="D14748" s="6"/>
      <c r="E14748" s="2"/>
      <c r="F14748" s="2"/>
      <c r="G14748" s="2">
        <f t="shared" si="230"/>
        <v>0</v>
      </c>
      <c r="H14748" s="1"/>
    </row>
    <row r="14749" spans="2:8" x14ac:dyDescent="0.2">
      <c r="B14749" s="3">
        <v>45846</v>
      </c>
      <c r="C14749" s="3"/>
      <c r="D14749" s="2"/>
      <c r="E14749" s="2"/>
      <c r="F14749" s="2"/>
      <c r="G14749" s="2">
        <f t="shared" si="230"/>
        <v>0</v>
      </c>
      <c r="H14749" t="s">
        <v>0</v>
      </c>
    </row>
    <row r="14750" spans="2:8" x14ac:dyDescent="0.2">
      <c r="B14750" s="3">
        <v>45847</v>
      </c>
      <c r="C14750" s="2"/>
      <c r="D14750" s="2"/>
      <c r="E14750" s="2"/>
      <c r="F14750" s="2"/>
      <c r="G14750" s="2">
        <f t="shared" si="230"/>
        <v>0</v>
      </c>
      <c r="H14750" t="s">
        <v>14</v>
      </c>
    </row>
    <row r="14751" spans="2:8" x14ac:dyDescent="0.2">
      <c r="B14751" s="3">
        <v>45847</v>
      </c>
      <c r="C14751" s="2"/>
      <c r="D14751" s="2"/>
      <c r="E14751" s="2"/>
      <c r="F14751" s="2"/>
      <c r="G14751" s="2">
        <f t="shared" si="230"/>
        <v>0</v>
      </c>
      <c r="H14751" t="s">
        <v>13</v>
      </c>
    </row>
    <row r="14752" spans="2:8" x14ac:dyDescent="0.2">
      <c r="B14752" s="3">
        <v>45847</v>
      </c>
      <c r="C14752" s="3"/>
      <c r="D14752" s="6"/>
      <c r="E14752" s="2"/>
      <c r="F14752" s="2"/>
      <c r="G14752" s="2">
        <f t="shared" si="230"/>
        <v>0</v>
      </c>
      <c r="H14752" t="s">
        <v>11</v>
      </c>
    </row>
    <row r="14753" spans="2:8" x14ac:dyDescent="0.2">
      <c r="B14753" s="3">
        <v>45847</v>
      </c>
      <c r="C14753" s="3"/>
      <c r="D14753" s="6"/>
      <c r="E14753" s="2"/>
      <c r="F14753" s="2"/>
      <c r="G14753" s="2">
        <f t="shared" si="230"/>
        <v>0</v>
      </c>
      <c r="H14753" t="s">
        <v>10</v>
      </c>
    </row>
    <row r="14754" spans="2:8" x14ac:dyDescent="0.2">
      <c r="B14754" s="3">
        <v>45847</v>
      </c>
      <c r="C14754" s="3"/>
      <c r="D14754" s="6"/>
      <c r="E14754" s="2"/>
      <c r="F14754" s="2"/>
      <c r="G14754" s="2">
        <f t="shared" si="230"/>
        <v>0</v>
      </c>
      <c r="H14754" t="s">
        <v>9</v>
      </c>
    </row>
    <row r="14755" spans="2:8" x14ac:dyDescent="0.2">
      <c r="B14755" s="3">
        <v>45847</v>
      </c>
      <c r="C14755" s="3"/>
      <c r="D14755" s="6"/>
      <c r="E14755" s="2"/>
      <c r="F14755" s="2"/>
      <c r="G14755" s="2">
        <f t="shared" si="230"/>
        <v>0</v>
      </c>
      <c r="H14755" t="s">
        <v>8</v>
      </c>
    </row>
    <row r="14756" spans="2:8" x14ac:dyDescent="0.2">
      <c r="B14756" s="3">
        <v>45847</v>
      </c>
      <c r="C14756" s="3"/>
      <c r="D14756" s="6"/>
      <c r="E14756" s="2"/>
      <c r="F14756" s="2"/>
      <c r="G14756" s="2">
        <f t="shared" si="230"/>
        <v>0</v>
      </c>
      <c r="H14756" t="s">
        <v>7</v>
      </c>
    </row>
    <row r="14757" spans="2:8" x14ac:dyDescent="0.2">
      <c r="B14757" s="3">
        <v>45847</v>
      </c>
      <c r="C14757" s="3"/>
      <c r="D14757" s="6"/>
      <c r="E14757" s="2"/>
      <c r="F14757" s="2"/>
      <c r="G14757" s="2">
        <f t="shared" si="230"/>
        <v>0</v>
      </c>
      <c r="H14757" t="s">
        <v>6</v>
      </c>
    </row>
    <row r="14758" spans="2:8" x14ac:dyDescent="0.2">
      <c r="B14758" s="3">
        <v>45847</v>
      </c>
      <c r="C14758" s="3"/>
      <c r="D14758" s="6"/>
      <c r="E14758" s="2"/>
      <c r="F14758" s="2"/>
      <c r="G14758" s="2">
        <f t="shared" si="230"/>
        <v>0</v>
      </c>
      <c r="H14758" t="s">
        <v>5</v>
      </c>
    </row>
    <row r="14759" spans="2:8" x14ac:dyDescent="0.2">
      <c r="B14759" s="3">
        <v>45847</v>
      </c>
      <c r="C14759" s="3"/>
      <c r="D14759" s="6"/>
      <c r="E14759" s="2"/>
      <c r="F14759" s="2"/>
      <c r="G14759" s="2">
        <f t="shared" si="230"/>
        <v>0</v>
      </c>
      <c r="H14759" s="1"/>
    </row>
    <row r="14760" spans="2:8" x14ac:dyDescent="0.2">
      <c r="B14760" s="3">
        <v>45847</v>
      </c>
      <c r="C14760" s="3"/>
      <c r="D14760" s="2"/>
      <c r="E14760" s="2"/>
      <c r="F14760" s="2"/>
      <c r="G14760" s="2">
        <f t="shared" si="230"/>
        <v>0</v>
      </c>
      <c r="H14760" t="s">
        <v>0</v>
      </c>
    </row>
    <row r="14761" spans="2:8" x14ac:dyDescent="0.2">
      <c r="B14761" s="3">
        <v>45848</v>
      </c>
      <c r="C14761" s="2"/>
      <c r="D14761" s="2"/>
      <c r="E14761" s="2"/>
      <c r="F14761" s="2">
        <v>10000</v>
      </c>
      <c r="G14761" s="2">
        <f t="shared" si="230"/>
        <v>-10000</v>
      </c>
      <c r="H14761" t="s">
        <v>14</v>
      </c>
    </row>
    <row r="14762" spans="2:8" x14ac:dyDescent="0.2">
      <c r="B14762" s="3">
        <v>45848</v>
      </c>
      <c r="C14762" s="2"/>
      <c r="D14762" s="2"/>
      <c r="E14762" s="2"/>
      <c r="F14762" s="2"/>
      <c r="G14762" s="2">
        <f t="shared" si="230"/>
        <v>0</v>
      </c>
      <c r="H14762" t="s">
        <v>13</v>
      </c>
    </row>
    <row r="14763" spans="2:8" x14ac:dyDescent="0.2">
      <c r="B14763" s="3">
        <v>45848</v>
      </c>
      <c r="C14763" s="2">
        <v>92</v>
      </c>
      <c r="D14763" s="6">
        <v>11379.75</v>
      </c>
      <c r="E14763" s="2">
        <v>11748</v>
      </c>
      <c r="F14763" s="2">
        <v>18700</v>
      </c>
      <c r="G14763" s="2">
        <f t="shared" si="230"/>
        <v>-6952</v>
      </c>
      <c r="H14763" t="s">
        <v>11</v>
      </c>
    </row>
    <row r="14764" spans="2:8" x14ac:dyDescent="0.2">
      <c r="B14764" s="3">
        <v>45848</v>
      </c>
      <c r="C14764" s="2">
        <v>93</v>
      </c>
      <c r="D14764" s="6">
        <v>6390</v>
      </c>
      <c r="E14764" s="2">
        <v>7020</v>
      </c>
      <c r="F14764" s="2"/>
      <c r="G14764" s="2">
        <f t="shared" si="230"/>
        <v>7020</v>
      </c>
      <c r="H14764" t="s">
        <v>10</v>
      </c>
    </row>
    <row r="14765" spans="2:8" x14ac:dyDescent="0.2">
      <c r="B14765" s="3">
        <v>45848</v>
      </c>
      <c r="C14765" s="3"/>
      <c r="D14765" s="6"/>
      <c r="E14765" s="2"/>
      <c r="F14765" s="2">
        <v>40000</v>
      </c>
      <c r="G14765" s="2">
        <f t="shared" si="230"/>
        <v>-40000</v>
      </c>
      <c r="H14765" t="s">
        <v>9</v>
      </c>
    </row>
    <row r="14766" spans="2:8" x14ac:dyDescent="0.2">
      <c r="B14766" s="3">
        <v>45848</v>
      </c>
      <c r="C14766" s="2">
        <v>91</v>
      </c>
      <c r="D14766" s="6">
        <v>56397.5</v>
      </c>
      <c r="E14766" s="2">
        <v>62400</v>
      </c>
      <c r="F14766" s="2">
        <v>30000</v>
      </c>
      <c r="G14766" s="2">
        <f t="shared" si="230"/>
        <v>32400</v>
      </c>
      <c r="H14766" t="s">
        <v>8</v>
      </c>
    </row>
    <row r="14767" spans="2:8" x14ac:dyDescent="0.2">
      <c r="B14767" s="3">
        <v>45848</v>
      </c>
      <c r="C14767" s="3"/>
      <c r="D14767" s="6"/>
      <c r="E14767" s="2"/>
      <c r="F14767" s="2"/>
      <c r="G14767" s="2">
        <f t="shared" si="230"/>
        <v>0</v>
      </c>
      <c r="H14767" t="s">
        <v>7</v>
      </c>
    </row>
    <row r="14768" spans="2:8" x14ac:dyDescent="0.2">
      <c r="B14768" s="3">
        <v>45848</v>
      </c>
      <c r="C14768" s="3"/>
      <c r="D14768" s="6"/>
      <c r="E14768" s="2"/>
      <c r="F14768" s="2"/>
      <c r="G14768" s="2">
        <f t="shared" si="230"/>
        <v>0</v>
      </c>
      <c r="H14768" t="s">
        <v>6</v>
      </c>
    </row>
    <row r="14769" spans="2:8" x14ac:dyDescent="0.2">
      <c r="B14769" s="3">
        <v>45848</v>
      </c>
      <c r="C14769" s="3"/>
      <c r="D14769" s="6"/>
      <c r="E14769" s="2"/>
      <c r="F14769" s="2"/>
      <c r="G14769" s="2">
        <f t="shared" si="230"/>
        <v>0</v>
      </c>
      <c r="H14769" t="s">
        <v>5</v>
      </c>
    </row>
    <row r="14770" spans="2:8" x14ac:dyDescent="0.2">
      <c r="B14770" s="3">
        <v>45848</v>
      </c>
      <c r="C14770" s="3"/>
      <c r="D14770" s="6"/>
      <c r="E14770" s="2"/>
      <c r="F14770" s="2"/>
      <c r="G14770" s="2">
        <f t="shared" si="230"/>
        <v>0</v>
      </c>
      <c r="H14770" s="1"/>
    </row>
    <row r="14771" spans="2:8" x14ac:dyDescent="0.2">
      <c r="B14771" s="3">
        <v>45848</v>
      </c>
      <c r="C14771" s="3"/>
      <c r="D14771" s="2"/>
      <c r="E14771" s="2"/>
      <c r="F14771" s="2"/>
      <c r="G14771" s="2">
        <f t="shared" si="230"/>
        <v>0</v>
      </c>
      <c r="H14771" t="s">
        <v>0</v>
      </c>
    </row>
    <row r="14772" spans="2:8" x14ac:dyDescent="0.2">
      <c r="B14772" s="3">
        <v>45849</v>
      </c>
      <c r="C14772" s="2"/>
      <c r="D14772" s="2"/>
      <c r="E14772" s="2"/>
      <c r="F14772" s="2"/>
      <c r="G14772" s="2">
        <f t="shared" si="230"/>
        <v>0</v>
      </c>
      <c r="H14772" t="s">
        <v>14</v>
      </c>
    </row>
    <row r="14773" spans="2:8" x14ac:dyDescent="0.2">
      <c r="B14773" s="3">
        <v>45849</v>
      </c>
      <c r="C14773" s="2"/>
      <c r="D14773" s="2"/>
      <c r="E14773" s="2"/>
      <c r="F14773" s="2"/>
      <c r="G14773" s="2">
        <f t="shared" si="230"/>
        <v>0</v>
      </c>
      <c r="H14773" t="s">
        <v>13</v>
      </c>
    </row>
    <row r="14774" spans="2:8" x14ac:dyDescent="0.2">
      <c r="B14774" s="3">
        <v>45849</v>
      </c>
      <c r="C14774" s="3"/>
      <c r="D14774" s="6"/>
      <c r="E14774" s="2"/>
      <c r="F14774" s="2"/>
      <c r="G14774" s="2">
        <f t="shared" si="230"/>
        <v>0</v>
      </c>
      <c r="H14774" t="s">
        <v>11</v>
      </c>
    </row>
    <row r="14775" spans="2:8" x14ac:dyDescent="0.2">
      <c r="B14775" s="3">
        <v>45849</v>
      </c>
      <c r="C14775" s="3"/>
      <c r="D14775" s="6"/>
      <c r="E14775" s="2"/>
      <c r="F14775" s="2"/>
      <c r="G14775" s="2">
        <f t="shared" si="230"/>
        <v>0</v>
      </c>
      <c r="H14775" t="s">
        <v>10</v>
      </c>
    </row>
    <row r="14776" spans="2:8" x14ac:dyDescent="0.2">
      <c r="B14776" s="3">
        <v>45849</v>
      </c>
      <c r="C14776" s="3"/>
      <c r="D14776" s="6"/>
      <c r="E14776" s="2"/>
      <c r="F14776" s="2"/>
      <c r="G14776" s="2">
        <f t="shared" si="230"/>
        <v>0</v>
      </c>
      <c r="H14776" t="s">
        <v>9</v>
      </c>
    </row>
    <row r="14777" spans="2:8" x14ac:dyDescent="0.2">
      <c r="B14777" s="3">
        <v>45849</v>
      </c>
      <c r="C14777" s="3"/>
      <c r="D14777" s="6"/>
      <c r="E14777" s="2"/>
      <c r="F14777" s="2"/>
      <c r="G14777" s="2">
        <f t="shared" si="230"/>
        <v>0</v>
      </c>
      <c r="H14777" t="s">
        <v>8</v>
      </c>
    </row>
    <row r="14778" spans="2:8" x14ac:dyDescent="0.2">
      <c r="B14778" s="3">
        <v>45849</v>
      </c>
      <c r="C14778" s="3"/>
      <c r="D14778" s="6"/>
      <c r="E14778" s="2"/>
      <c r="F14778" s="2"/>
      <c r="G14778" s="2">
        <f t="shared" si="230"/>
        <v>0</v>
      </c>
      <c r="H14778" t="s">
        <v>7</v>
      </c>
    </row>
    <row r="14779" spans="2:8" x14ac:dyDescent="0.2">
      <c r="B14779" s="3">
        <v>45849</v>
      </c>
      <c r="C14779" s="3"/>
      <c r="D14779" s="6"/>
      <c r="E14779" s="2"/>
      <c r="F14779" s="2"/>
      <c r="G14779" s="2">
        <f t="shared" si="230"/>
        <v>0</v>
      </c>
      <c r="H14779" t="s">
        <v>6</v>
      </c>
    </row>
    <row r="14780" spans="2:8" x14ac:dyDescent="0.2">
      <c r="B14780" s="3">
        <v>45849</v>
      </c>
      <c r="C14780" s="3"/>
      <c r="D14780" s="6"/>
      <c r="E14780" s="2"/>
      <c r="F14780" s="2"/>
      <c r="G14780" s="2">
        <f t="shared" si="230"/>
        <v>0</v>
      </c>
      <c r="H14780" t="s">
        <v>5</v>
      </c>
    </row>
    <row r="14781" spans="2:8" x14ac:dyDescent="0.2">
      <c r="B14781" s="3">
        <v>45849</v>
      </c>
      <c r="C14781" s="3"/>
      <c r="D14781" s="6"/>
      <c r="E14781" s="2"/>
      <c r="F14781" s="2"/>
      <c r="G14781" s="2">
        <f t="shared" si="230"/>
        <v>0</v>
      </c>
      <c r="H14781" s="1"/>
    </row>
    <row r="14782" spans="2:8" x14ac:dyDescent="0.2">
      <c r="B14782" s="3">
        <v>45849</v>
      </c>
      <c r="C14782" s="3"/>
      <c r="D14782" s="2"/>
      <c r="E14782" s="2"/>
      <c r="F14782" s="2"/>
      <c r="G14782" s="2">
        <f t="shared" si="230"/>
        <v>0</v>
      </c>
      <c r="H14782" t="s">
        <v>0</v>
      </c>
    </row>
    <row r="14783" spans="2:8" x14ac:dyDescent="0.2">
      <c r="B14783" s="3">
        <v>45850</v>
      </c>
      <c r="C14783" s="2"/>
      <c r="D14783" s="2"/>
      <c r="E14783" s="2"/>
      <c r="F14783" s="2"/>
      <c r="G14783" s="2">
        <f t="shared" si="230"/>
        <v>0</v>
      </c>
      <c r="H14783" t="s">
        <v>14</v>
      </c>
    </row>
    <row r="14784" spans="2:8" x14ac:dyDescent="0.2">
      <c r="B14784" s="3">
        <v>45850</v>
      </c>
      <c r="C14784" s="2"/>
      <c r="D14784" s="2"/>
      <c r="E14784" s="2"/>
      <c r="F14784" s="2"/>
      <c r="G14784" s="2">
        <f t="shared" si="230"/>
        <v>0</v>
      </c>
      <c r="H14784" t="s">
        <v>13</v>
      </c>
    </row>
    <row r="14785" spans="2:8" x14ac:dyDescent="0.2">
      <c r="B14785" s="3">
        <v>45850</v>
      </c>
      <c r="C14785" s="3"/>
      <c r="D14785" s="6"/>
      <c r="E14785" s="2"/>
      <c r="F14785" s="2"/>
      <c r="G14785" s="2">
        <f t="shared" si="230"/>
        <v>0</v>
      </c>
      <c r="H14785" t="s">
        <v>11</v>
      </c>
    </row>
    <row r="14786" spans="2:8" x14ac:dyDescent="0.2">
      <c r="B14786" s="3">
        <v>45850</v>
      </c>
      <c r="C14786" s="3"/>
      <c r="D14786" s="6"/>
      <c r="E14786" s="2"/>
      <c r="F14786" s="2"/>
      <c r="G14786" s="2">
        <f t="shared" si="230"/>
        <v>0</v>
      </c>
      <c r="H14786" t="s">
        <v>10</v>
      </c>
    </row>
    <row r="14787" spans="2:8" x14ac:dyDescent="0.2">
      <c r="B14787" s="3">
        <v>45850</v>
      </c>
      <c r="C14787" s="3"/>
      <c r="D14787" s="6"/>
      <c r="E14787" s="2"/>
      <c r="F14787" s="2"/>
      <c r="G14787" s="2">
        <f t="shared" ref="G14787:G14850" si="231">E14787-F14787</f>
        <v>0</v>
      </c>
      <c r="H14787" t="s">
        <v>9</v>
      </c>
    </row>
    <row r="14788" spans="2:8" x14ac:dyDescent="0.2">
      <c r="B14788" s="3">
        <v>45850</v>
      </c>
      <c r="C14788" s="3"/>
      <c r="D14788" s="6"/>
      <c r="E14788" s="2"/>
      <c r="F14788" s="2"/>
      <c r="G14788" s="2">
        <f t="shared" si="231"/>
        <v>0</v>
      </c>
      <c r="H14788" t="s">
        <v>8</v>
      </c>
    </row>
    <row r="14789" spans="2:8" x14ac:dyDescent="0.2">
      <c r="B14789" s="3">
        <v>45850</v>
      </c>
      <c r="C14789" s="3"/>
      <c r="D14789" s="6"/>
      <c r="E14789" s="2"/>
      <c r="F14789" s="2"/>
      <c r="G14789" s="2">
        <f t="shared" si="231"/>
        <v>0</v>
      </c>
      <c r="H14789" t="s">
        <v>7</v>
      </c>
    </row>
    <row r="14790" spans="2:8" x14ac:dyDescent="0.2">
      <c r="B14790" s="3">
        <v>45850</v>
      </c>
      <c r="C14790" s="3"/>
      <c r="D14790" s="6"/>
      <c r="E14790" s="2"/>
      <c r="F14790" s="2"/>
      <c r="G14790" s="2">
        <f t="shared" si="231"/>
        <v>0</v>
      </c>
      <c r="H14790" t="s">
        <v>6</v>
      </c>
    </row>
    <row r="14791" spans="2:8" x14ac:dyDescent="0.2">
      <c r="B14791" s="3">
        <v>45850</v>
      </c>
      <c r="C14791" s="3"/>
      <c r="D14791" s="6"/>
      <c r="E14791" s="2"/>
      <c r="F14791" s="2"/>
      <c r="G14791" s="2">
        <f t="shared" si="231"/>
        <v>0</v>
      </c>
      <c r="H14791" t="s">
        <v>5</v>
      </c>
    </row>
    <row r="14792" spans="2:8" x14ac:dyDescent="0.2">
      <c r="B14792" s="3">
        <v>45850</v>
      </c>
      <c r="C14792" s="3"/>
      <c r="D14792" s="6">
        <v>5584.5</v>
      </c>
      <c r="E14792" s="2">
        <v>5884.5</v>
      </c>
      <c r="F14792" s="2"/>
      <c r="G14792" s="2">
        <f t="shared" si="231"/>
        <v>5884.5</v>
      </c>
      <c r="H14792" s="1" t="s">
        <v>1</v>
      </c>
    </row>
    <row r="14793" spans="2:8" x14ac:dyDescent="0.2">
      <c r="B14793" s="3">
        <v>45850</v>
      </c>
      <c r="C14793" s="3"/>
      <c r="D14793" s="2"/>
      <c r="E14793" s="2"/>
      <c r="F14793" s="2"/>
      <c r="G14793" s="2">
        <f t="shared" si="231"/>
        <v>0</v>
      </c>
      <c r="H14793" t="s">
        <v>0</v>
      </c>
    </row>
    <row r="14794" spans="2:8" x14ac:dyDescent="0.2">
      <c r="B14794" s="3">
        <v>45851</v>
      </c>
      <c r="C14794" s="2">
        <v>94</v>
      </c>
      <c r="D14794" s="2">
        <v>36891.019999999997</v>
      </c>
      <c r="E14794" s="2">
        <v>39200</v>
      </c>
      <c r="F14794" s="2"/>
      <c r="G14794" s="2">
        <f t="shared" si="231"/>
        <v>39200</v>
      </c>
      <c r="H14794" t="s">
        <v>14</v>
      </c>
    </row>
    <row r="14795" spans="2:8" x14ac:dyDescent="0.2">
      <c r="B14795" s="3">
        <v>45851</v>
      </c>
      <c r="C14795" s="2"/>
      <c r="D14795" s="2"/>
      <c r="E14795" s="2"/>
      <c r="F14795" s="2"/>
      <c r="G14795" s="2">
        <f t="shared" si="231"/>
        <v>0</v>
      </c>
      <c r="H14795" t="s">
        <v>13</v>
      </c>
    </row>
    <row r="14796" spans="2:8" x14ac:dyDescent="0.2">
      <c r="B14796" s="3">
        <v>45851</v>
      </c>
      <c r="C14796" s="3"/>
      <c r="D14796" s="6"/>
      <c r="E14796" s="2"/>
      <c r="F14796" s="2"/>
      <c r="G14796" s="2">
        <f t="shared" si="231"/>
        <v>0</v>
      </c>
      <c r="H14796" t="s">
        <v>11</v>
      </c>
    </row>
    <row r="14797" spans="2:8" x14ac:dyDescent="0.2">
      <c r="B14797" s="3">
        <v>45851</v>
      </c>
      <c r="C14797" s="3"/>
      <c r="D14797" s="6"/>
      <c r="E14797" s="2"/>
      <c r="F14797" s="2"/>
      <c r="G14797" s="2">
        <f t="shared" si="231"/>
        <v>0</v>
      </c>
      <c r="H14797" t="s">
        <v>10</v>
      </c>
    </row>
    <row r="14798" spans="2:8" x14ac:dyDescent="0.2">
      <c r="B14798" s="3">
        <v>45851</v>
      </c>
      <c r="C14798" s="3"/>
      <c r="D14798" s="6"/>
      <c r="E14798" s="2"/>
      <c r="F14798" s="2"/>
      <c r="G14798" s="2">
        <f t="shared" si="231"/>
        <v>0</v>
      </c>
      <c r="H14798" t="s">
        <v>9</v>
      </c>
    </row>
    <row r="14799" spans="2:8" x14ac:dyDescent="0.2">
      <c r="B14799" s="3">
        <v>45851</v>
      </c>
      <c r="C14799" s="3"/>
      <c r="D14799" s="6"/>
      <c r="E14799" s="2"/>
      <c r="F14799" s="2"/>
      <c r="G14799" s="2">
        <f t="shared" si="231"/>
        <v>0</v>
      </c>
      <c r="H14799" t="s">
        <v>8</v>
      </c>
    </row>
    <row r="14800" spans="2:8" x14ac:dyDescent="0.2">
      <c r="B14800" s="3">
        <v>45851</v>
      </c>
      <c r="C14800" s="3"/>
      <c r="D14800" s="6"/>
      <c r="E14800" s="2"/>
      <c r="F14800" s="2"/>
      <c r="G14800" s="2">
        <f t="shared" si="231"/>
        <v>0</v>
      </c>
      <c r="H14800" t="s">
        <v>7</v>
      </c>
    </row>
    <row r="14801" spans="2:8" x14ac:dyDescent="0.2">
      <c r="B14801" s="3">
        <v>45851</v>
      </c>
      <c r="C14801" s="3"/>
      <c r="D14801" s="6"/>
      <c r="E14801" s="2"/>
      <c r="F14801" s="2">
        <v>17000</v>
      </c>
      <c r="G14801" s="2">
        <f t="shared" si="231"/>
        <v>-17000</v>
      </c>
      <c r="H14801" t="s">
        <v>6</v>
      </c>
    </row>
    <row r="14802" spans="2:8" x14ac:dyDescent="0.2">
      <c r="B14802" s="3">
        <v>45851</v>
      </c>
      <c r="C14802" s="3"/>
      <c r="D14802" s="6"/>
      <c r="E14802" s="2"/>
      <c r="F14802" s="2"/>
      <c r="G14802" s="2">
        <f t="shared" si="231"/>
        <v>0</v>
      </c>
      <c r="H14802" t="s">
        <v>5</v>
      </c>
    </row>
    <row r="14803" spans="2:8" x14ac:dyDescent="0.2">
      <c r="B14803" s="3">
        <v>45851</v>
      </c>
      <c r="C14803" s="3"/>
      <c r="D14803" s="6"/>
      <c r="E14803" s="2"/>
      <c r="F14803" s="2"/>
      <c r="G14803" s="2">
        <f t="shared" si="231"/>
        <v>0</v>
      </c>
      <c r="H14803" s="1"/>
    </row>
    <row r="14804" spans="2:8" x14ac:dyDescent="0.2">
      <c r="B14804" s="3">
        <v>45851</v>
      </c>
      <c r="C14804" s="3"/>
      <c r="D14804" s="2"/>
      <c r="E14804" s="2"/>
      <c r="F14804" s="2">
        <v>36852</v>
      </c>
      <c r="G14804" s="2">
        <f t="shared" si="231"/>
        <v>-36852</v>
      </c>
      <c r="H14804" t="s">
        <v>0</v>
      </c>
    </row>
    <row r="14805" spans="2:8" x14ac:dyDescent="0.2">
      <c r="B14805" s="3">
        <v>45852</v>
      </c>
      <c r="C14805" s="2"/>
      <c r="D14805" s="2"/>
      <c r="E14805" s="2"/>
      <c r="F14805" s="2"/>
      <c r="G14805" s="2">
        <f t="shared" si="231"/>
        <v>0</v>
      </c>
      <c r="H14805" t="s">
        <v>14</v>
      </c>
    </row>
    <row r="14806" spans="2:8" x14ac:dyDescent="0.2">
      <c r="B14806" s="3">
        <v>45852</v>
      </c>
      <c r="C14806" s="2"/>
      <c r="D14806" s="2"/>
      <c r="E14806" s="2"/>
      <c r="F14806" s="2"/>
      <c r="G14806" s="2">
        <f t="shared" si="231"/>
        <v>0</v>
      </c>
      <c r="H14806" t="s">
        <v>13</v>
      </c>
    </row>
    <row r="14807" spans="2:8" x14ac:dyDescent="0.2">
      <c r="B14807" s="3">
        <v>45852</v>
      </c>
      <c r="C14807" s="3"/>
      <c r="D14807" s="6"/>
      <c r="E14807" s="2"/>
      <c r="F14807" s="2"/>
      <c r="G14807" s="2">
        <f t="shared" si="231"/>
        <v>0</v>
      </c>
      <c r="H14807" t="s">
        <v>11</v>
      </c>
    </row>
    <row r="14808" spans="2:8" x14ac:dyDescent="0.2">
      <c r="B14808" s="3">
        <v>45852</v>
      </c>
      <c r="C14808" s="3"/>
      <c r="D14808" s="6"/>
      <c r="E14808" s="2"/>
      <c r="F14808" s="2"/>
      <c r="G14808" s="2">
        <f t="shared" si="231"/>
        <v>0</v>
      </c>
      <c r="H14808" t="s">
        <v>10</v>
      </c>
    </row>
    <row r="14809" spans="2:8" x14ac:dyDescent="0.2">
      <c r="B14809" s="3">
        <v>45852</v>
      </c>
      <c r="C14809" s="3"/>
      <c r="D14809" s="6"/>
      <c r="E14809" s="2"/>
      <c r="F14809" s="2"/>
      <c r="G14809" s="2">
        <f t="shared" si="231"/>
        <v>0</v>
      </c>
      <c r="H14809" t="s">
        <v>9</v>
      </c>
    </row>
    <row r="14810" spans="2:8" x14ac:dyDescent="0.2">
      <c r="B14810" s="3">
        <v>45852</v>
      </c>
      <c r="C14810" s="3"/>
      <c r="D14810" s="6"/>
      <c r="E14810" s="2"/>
      <c r="F14810" s="2"/>
      <c r="G14810" s="2">
        <f t="shared" si="231"/>
        <v>0</v>
      </c>
      <c r="H14810" t="s">
        <v>8</v>
      </c>
    </row>
    <row r="14811" spans="2:8" x14ac:dyDescent="0.2">
      <c r="B14811" s="3">
        <v>45852</v>
      </c>
      <c r="C14811" s="3"/>
      <c r="D14811" s="6"/>
      <c r="E14811" s="2"/>
      <c r="F14811" s="2"/>
      <c r="G14811" s="2">
        <f t="shared" si="231"/>
        <v>0</v>
      </c>
      <c r="H14811" t="s">
        <v>7</v>
      </c>
    </row>
    <row r="14812" spans="2:8" x14ac:dyDescent="0.2">
      <c r="B14812" s="3">
        <v>45852</v>
      </c>
      <c r="C14812" s="3"/>
      <c r="D14812" s="6"/>
      <c r="E14812" s="2"/>
      <c r="F14812" s="2"/>
      <c r="G14812" s="2">
        <f t="shared" si="231"/>
        <v>0</v>
      </c>
      <c r="H14812" t="s">
        <v>6</v>
      </c>
    </row>
    <row r="14813" spans="2:8" x14ac:dyDescent="0.2">
      <c r="B14813" s="3">
        <v>45852</v>
      </c>
      <c r="C14813" s="3"/>
      <c r="D14813" s="6"/>
      <c r="E14813" s="2"/>
      <c r="F14813" s="2"/>
      <c r="G14813" s="2">
        <f t="shared" si="231"/>
        <v>0</v>
      </c>
      <c r="H14813" t="s">
        <v>5</v>
      </c>
    </row>
    <row r="14814" spans="2:8" x14ac:dyDescent="0.2">
      <c r="B14814" s="3">
        <v>45852</v>
      </c>
      <c r="C14814" s="3"/>
      <c r="D14814" s="6"/>
      <c r="E14814" s="2"/>
      <c r="F14814" s="2"/>
      <c r="G14814" s="2">
        <f t="shared" si="231"/>
        <v>0</v>
      </c>
      <c r="H14814" s="1"/>
    </row>
    <row r="14815" spans="2:8" x14ac:dyDescent="0.2">
      <c r="B14815" s="3">
        <v>45852</v>
      </c>
      <c r="C14815" s="3"/>
      <c r="D14815" s="2">
        <v>68793.95</v>
      </c>
      <c r="E14815" s="2">
        <v>71638.35000000002</v>
      </c>
      <c r="F14815" s="2"/>
      <c r="G14815" s="2">
        <f t="shared" si="231"/>
        <v>71638.35000000002</v>
      </c>
      <c r="H14815" t="s">
        <v>0</v>
      </c>
    </row>
    <row r="14816" spans="2:8" x14ac:dyDescent="0.2">
      <c r="B14816" s="3">
        <v>45853</v>
      </c>
      <c r="C14816" s="2"/>
      <c r="D14816" s="2"/>
      <c r="E14816" s="2"/>
      <c r="F14816" s="2"/>
      <c r="G14816" s="2">
        <f t="shared" si="231"/>
        <v>0</v>
      </c>
      <c r="H14816" t="s">
        <v>14</v>
      </c>
    </row>
    <row r="14817" spans="2:8" x14ac:dyDescent="0.2">
      <c r="B14817" s="3">
        <v>45853</v>
      </c>
      <c r="C14817" s="2"/>
      <c r="D14817" s="2"/>
      <c r="E14817" s="2"/>
      <c r="F14817" s="2"/>
      <c r="G14817" s="2">
        <f t="shared" si="231"/>
        <v>0</v>
      </c>
      <c r="H14817" t="s">
        <v>13</v>
      </c>
    </row>
    <row r="14818" spans="2:8" x14ac:dyDescent="0.2">
      <c r="B14818" s="3">
        <v>45853</v>
      </c>
      <c r="C14818" s="3"/>
      <c r="D14818" s="6"/>
      <c r="E14818" s="2"/>
      <c r="F14818" s="2"/>
      <c r="G14818" s="2">
        <f t="shared" si="231"/>
        <v>0</v>
      </c>
      <c r="H14818" t="s">
        <v>11</v>
      </c>
    </row>
    <row r="14819" spans="2:8" x14ac:dyDescent="0.2">
      <c r="B14819" s="3">
        <v>45853</v>
      </c>
      <c r="C14819" s="3"/>
      <c r="D14819" s="6"/>
      <c r="E14819" s="2"/>
      <c r="F14819" s="2"/>
      <c r="G14819" s="2">
        <f t="shared" si="231"/>
        <v>0</v>
      </c>
      <c r="H14819" t="s">
        <v>10</v>
      </c>
    </row>
    <row r="14820" spans="2:8" x14ac:dyDescent="0.2">
      <c r="B14820" s="3">
        <v>45853</v>
      </c>
      <c r="C14820" s="3"/>
      <c r="D14820" s="6"/>
      <c r="E14820" s="2"/>
      <c r="F14820" s="2"/>
      <c r="G14820" s="2">
        <f t="shared" si="231"/>
        <v>0</v>
      </c>
      <c r="H14820" t="s">
        <v>9</v>
      </c>
    </row>
    <row r="14821" spans="2:8" x14ac:dyDescent="0.2">
      <c r="B14821" s="3">
        <v>45853</v>
      </c>
      <c r="C14821" s="3"/>
      <c r="D14821" s="6"/>
      <c r="E14821" s="2"/>
      <c r="F14821" s="2"/>
      <c r="G14821" s="2">
        <f t="shared" si="231"/>
        <v>0</v>
      </c>
      <c r="H14821" t="s">
        <v>8</v>
      </c>
    </row>
    <row r="14822" spans="2:8" x14ac:dyDescent="0.2">
      <c r="B14822" s="3">
        <v>45853</v>
      </c>
      <c r="C14822" s="3"/>
      <c r="D14822" s="6"/>
      <c r="E14822" s="2"/>
      <c r="F14822" s="2"/>
      <c r="G14822" s="2">
        <f t="shared" si="231"/>
        <v>0</v>
      </c>
      <c r="H14822" t="s">
        <v>7</v>
      </c>
    </row>
    <row r="14823" spans="2:8" x14ac:dyDescent="0.2">
      <c r="B14823" s="3">
        <v>45853</v>
      </c>
      <c r="C14823" s="3"/>
      <c r="D14823" s="6"/>
      <c r="E14823" s="2"/>
      <c r="F14823" s="2"/>
      <c r="G14823" s="2">
        <f t="shared" si="231"/>
        <v>0</v>
      </c>
      <c r="H14823" t="s">
        <v>6</v>
      </c>
    </row>
    <row r="14824" spans="2:8" x14ac:dyDescent="0.2">
      <c r="B14824" s="3">
        <v>45853</v>
      </c>
      <c r="C14824" s="3"/>
      <c r="D14824" s="6"/>
      <c r="E14824" s="2"/>
      <c r="F14824" s="2"/>
      <c r="G14824" s="2">
        <f t="shared" si="231"/>
        <v>0</v>
      </c>
      <c r="H14824" t="s">
        <v>5</v>
      </c>
    </row>
    <row r="14825" spans="2:8" x14ac:dyDescent="0.2">
      <c r="B14825" s="3">
        <v>45853</v>
      </c>
      <c r="C14825" s="3"/>
      <c r="D14825" s="6"/>
      <c r="E14825" s="2"/>
      <c r="F14825" s="2"/>
      <c r="G14825" s="2">
        <f t="shared" si="231"/>
        <v>0</v>
      </c>
      <c r="H14825" s="1"/>
    </row>
    <row r="14826" spans="2:8" x14ac:dyDescent="0.2">
      <c r="B14826" s="3">
        <v>45853</v>
      </c>
      <c r="C14826" s="3"/>
      <c r="D14826" s="2">
        <v>39548.9</v>
      </c>
      <c r="E14826" s="4">
        <v>43739.1</v>
      </c>
      <c r="F14826" s="2"/>
      <c r="G14826" s="2">
        <f t="shared" si="231"/>
        <v>43739.1</v>
      </c>
      <c r="H14826" t="s">
        <v>0</v>
      </c>
    </row>
    <row r="14827" spans="2:8" x14ac:dyDescent="0.2">
      <c r="B14827" s="3">
        <v>45854</v>
      </c>
      <c r="C14827" s="2"/>
      <c r="D14827" s="2"/>
      <c r="E14827" s="2"/>
      <c r="F14827" s="2">
        <v>25700</v>
      </c>
      <c r="G14827" s="2">
        <f t="shared" si="231"/>
        <v>-25700</v>
      </c>
      <c r="H14827" t="s">
        <v>14</v>
      </c>
    </row>
    <row r="14828" spans="2:8" x14ac:dyDescent="0.2">
      <c r="B14828" s="3">
        <v>45854</v>
      </c>
      <c r="C14828" s="2"/>
      <c r="D14828" s="2"/>
      <c r="E14828" s="2"/>
      <c r="F14828" s="2"/>
      <c r="G14828" s="2">
        <f t="shared" si="231"/>
        <v>0</v>
      </c>
      <c r="H14828" t="s">
        <v>13</v>
      </c>
    </row>
    <row r="14829" spans="2:8" x14ac:dyDescent="0.2">
      <c r="B14829" s="3">
        <v>45854</v>
      </c>
      <c r="C14829" s="3"/>
      <c r="D14829" s="6"/>
      <c r="E14829" s="2"/>
      <c r="F14829" s="2"/>
      <c r="G14829" s="2">
        <f t="shared" si="231"/>
        <v>0</v>
      </c>
      <c r="H14829" t="s">
        <v>11</v>
      </c>
    </row>
    <row r="14830" spans="2:8" x14ac:dyDescent="0.2">
      <c r="B14830" s="3">
        <v>45854</v>
      </c>
      <c r="C14830" s="3"/>
      <c r="D14830" s="6"/>
      <c r="E14830" s="2"/>
      <c r="F14830" s="2"/>
      <c r="G14830" s="2">
        <f t="shared" si="231"/>
        <v>0</v>
      </c>
      <c r="H14830" t="s">
        <v>10</v>
      </c>
    </row>
    <row r="14831" spans="2:8" x14ac:dyDescent="0.2">
      <c r="B14831" s="3">
        <v>45854</v>
      </c>
      <c r="C14831" s="3"/>
      <c r="D14831" s="6"/>
      <c r="E14831" s="2"/>
      <c r="F14831" s="2">
        <v>40000</v>
      </c>
      <c r="G14831" s="2">
        <f t="shared" si="231"/>
        <v>-40000</v>
      </c>
      <c r="H14831" t="s">
        <v>9</v>
      </c>
    </row>
    <row r="14832" spans="2:8" x14ac:dyDescent="0.2">
      <c r="B14832" s="3">
        <v>45854</v>
      </c>
      <c r="C14832" s="3"/>
      <c r="D14832" s="6"/>
      <c r="E14832" s="2"/>
      <c r="F14832" s="2"/>
      <c r="G14832" s="2">
        <f t="shared" si="231"/>
        <v>0</v>
      </c>
      <c r="H14832" t="s">
        <v>8</v>
      </c>
    </row>
    <row r="14833" spans="2:8" x14ac:dyDescent="0.2">
      <c r="B14833" s="3">
        <v>45854</v>
      </c>
      <c r="C14833" s="3"/>
      <c r="D14833" s="6"/>
      <c r="E14833" s="2"/>
      <c r="F14833" s="2"/>
      <c r="G14833" s="2">
        <f t="shared" si="231"/>
        <v>0</v>
      </c>
      <c r="H14833" t="s">
        <v>7</v>
      </c>
    </row>
    <row r="14834" spans="2:8" x14ac:dyDescent="0.2">
      <c r="B14834" s="3">
        <v>45854</v>
      </c>
      <c r="C14834" s="3"/>
      <c r="D14834" s="6"/>
      <c r="E14834" s="2"/>
      <c r="F14834" s="2"/>
      <c r="G14834" s="2">
        <f t="shared" si="231"/>
        <v>0</v>
      </c>
      <c r="H14834" t="s">
        <v>6</v>
      </c>
    </row>
    <row r="14835" spans="2:8" x14ac:dyDescent="0.2">
      <c r="B14835" s="3">
        <v>45854</v>
      </c>
      <c r="C14835" s="3"/>
      <c r="D14835" s="6"/>
      <c r="E14835" s="2"/>
      <c r="F14835" s="2"/>
      <c r="G14835" s="2">
        <f t="shared" si="231"/>
        <v>0</v>
      </c>
      <c r="H14835" t="s">
        <v>5</v>
      </c>
    </row>
    <row r="14836" spans="2:8" x14ac:dyDescent="0.2">
      <c r="B14836" s="3">
        <v>45854</v>
      </c>
      <c r="C14836" s="3"/>
      <c r="D14836" s="6"/>
      <c r="E14836" s="2"/>
      <c r="F14836" s="2"/>
      <c r="G14836" s="2">
        <f t="shared" si="231"/>
        <v>0</v>
      </c>
      <c r="H14836" s="1"/>
    </row>
    <row r="14837" spans="2:8" x14ac:dyDescent="0.2">
      <c r="B14837" s="3">
        <v>45854</v>
      </c>
      <c r="C14837" s="3"/>
      <c r="D14837" s="2">
        <v>37502.979999999996</v>
      </c>
      <c r="E14837" s="2">
        <v>41095.799999999996</v>
      </c>
      <c r="F14837" s="2"/>
      <c r="G14837" s="2">
        <f t="shared" si="231"/>
        <v>41095.799999999996</v>
      </c>
      <c r="H14837" t="s">
        <v>0</v>
      </c>
    </row>
    <row r="14838" spans="2:8" x14ac:dyDescent="0.2">
      <c r="B14838" s="3">
        <v>45855</v>
      </c>
      <c r="C14838" s="2"/>
      <c r="D14838" s="2"/>
      <c r="E14838" s="2"/>
      <c r="F14838" s="2"/>
      <c r="G14838" s="2">
        <f t="shared" si="231"/>
        <v>0</v>
      </c>
      <c r="H14838" t="s">
        <v>14</v>
      </c>
    </row>
    <row r="14839" spans="2:8" x14ac:dyDescent="0.2">
      <c r="B14839" s="3">
        <v>45855</v>
      </c>
      <c r="C14839" s="2"/>
      <c r="D14839" s="2"/>
      <c r="E14839" s="2"/>
      <c r="F14839" s="2"/>
      <c r="G14839" s="2">
        <f t="shared" si="231"/>
        <v>0</v>
      </c>
      <c r="H14839" t="s">
        <v>13</v>
      </c>
    </row>
    <row r="14840" spans="2:8" x14ac:dyDescent="0.2">
      <c r="B14840" s="3">
        <v>45855</v>
      </c>
      <c r="C14840" s="2">
        <v>96</v>
      </c>
      <c r="D14840" s="6">
        <v>16440</v>
      </c>
      <c r="E14840" s="2">
        <v>17240</v>
      </c>
      <c r="F14840" s="2">
        <v>10000</v>
      </c>
      <c r="G14840" s="2">
        <f t="shared" si="231"/>
        <v>7240</v>
      </c>
      <c r="H14840" t="s">
        <v>11</v>
      </c>
    </row>
    <row r="14841" spans="2:8" x14ac:dyDescent="0.2">
      <c r="B14841" s="3">
        <v>45855</v>
      </c>
      <c r="C14841" s="3"/>
      <c r="D14841" s="6"/>
      <c r="E14841" s="2"/>
      <c r="F14841" s="2"/>
      <c r="G14841" s="2">
        <f t="shared" si="231"/>
        <v>0</v>
      </c>
      <c r="H14841" t="s">
        <v>10</v>
      </c>
    </row>
    <row r="14842" spans="2:8" x14ac:dyDescent="0.2">
      <c r="B14842" s="3">
        <v>45855</v>
      </c>
      <c r="C14842" s="3"/>
      <c r="D14842" s="6"/>
      <c r="E14842" s="2"/>
      <c r="F14842" s="2"/>
      <c r="G14842" s="2">
        <f t="shared" si="231"/>
        <v>0</v>
      </c>
      <c r="H14842" t="s">
        <v>9</v>
      </c>
    </row>
    <row r="14843" spans="2:8" x14ac:dyDescent="0.2">
      <c r="B14843" s="3">
        <v>45855</v>
      </c>
      <c r="C14843" s="2">
        <v>95</v>
      </c>
      <c r="D14843" s="6">
        <v>7278</v>
      </c>
      <c r="E14843" s="2">
        <v>7740</v>
      </c>
      <c r="F14843" s="2"/>
      <c r="G14843" s="2">
        <f t="shared" si="231"/>
        <v>7740</v>
      </c>
      <c r="H14843" t="s">
        <v>8</v>
      </c>
    </row>
    <row r="14844" spans="2:8" x14ac:dyDescent="0.2">
      <c r="B14844" s="3">
        <v>45855</v>
      </c>
      <c r="C14844" s="3"/>
      <c r="D14844" s="6"/>
      <c r="E14844" s="2"/>
      <c r="F14844" s="2"/>
      <c r="G14844" s="2">
        <f t="shared" si="231"/>
        <v>0</v>
      </c>
      <c r="H14844" t="s">
        <v>7</v>
      </c>
    </row>
    <row r="14845" spans="2:8" x14ac:dyDescent="0.2">
      <c r="B14845" s="3">
        <v>45855</v>
      </c>
      <c r="C14845" s="3"/>
      <c r="D14845" s="6"/>
      <c r="E14845" s="2"/>
      <c r="F14845" s="2"/>
      <c r="G14845" s="2">
        <f t="shared" si="231"/>
        <v>0</v>
      </c>
      <c r="H14845" t="s">
        <v>6</v>
      </c>
    </row>
    <row r="14846" spans="2:8" x14ac:dyDescent="0.2">
      <c r="B14846" s="3">
        <v>45855</v>
      </c>
      <c r="C14846" s="3"/>
      <c r="D14846" s="6"/>
      <c r="E14846" s="2"/>
      <c r="F14846" s="2"/>
      <c r="G14846" s="2">
        <f t="shared" si="231"/>
        <v>0</v>
      </c>
      <c r="H14846" t="s">
        <v>5</v>
      </c>
    </row>
    <row r="14847" spans="2:8" x14ac:dyDescent="0.2">
      <c r="B14847" s="3">
        <v>45855</v>
      </c>
      <c r="C14847" s="2">
        <v>97</v>
      </c>
      <c r="D14847" s="6">
        <v>610</v>
      </c>
      <c r="E14847" s="2">
        <v>675</v>
      </c>
      <c r="F14847" s="2"/>
      <c r="G14847" s="2">
        <f t="shared" si="231"/>
        <v>675</v>
      </c>
      <c r="H14847" s="1" t="s">
        <v>39</v>
      </c>
    </row>
    <row r="14848" spans="2:8" x14ac:dyDescent="0.2">
      <c r="B14848" s="3">
        <v>45855</v>
      </c>
      <c r="C14848" s="3"/>
      <c r="D14848" s="2"/>
      <c r="E14848" s="2"/>
      <c r="F14848" s="2"/>
      <c r="G14848" s="2">
        <f t="shared" si="231"/>
        <v>0</v>
      </c>
      <c r="H14848" t="s">
        <v>0</v>
      </c>
    </row>
    <row r="14849" spans="2:8" x14ac:dyDescent="0.2">
      <c r="B14849" s="3">
        <v>45856</v>
      </c>
      <c r="C14849" s="2"/>
      <c r="D14849" s="2"/>
      <c r="E14849" s="2"/>
      <c r="F14849" s="2"/>
      <c r="G14849" s="2">
        <f t="shared" si="231"/>
        <v>0</v>
      </c>
      <c r="H14849" t="s">
        <v>14</v>
      </c>
    </row>
    <row r="14850" spans="2:8" x14ac:dyDescent="0.2">
      <c r="B14850" s="3">
        <v>45856</v>
      </c>
      <c r="C14850" s="2"/>
      <c r="D14850" s="2"/>
      <c r="E14850" s="2"/>
      <c r="F14850" s="2"/>
      <c r="G14850" s="2">
        <f t="shared" si="231"/>
        <v>0</v>
      </c>
      <c r="H14850" t="s">
        <v>13</v>
      </c>
    </row>
    <row r="14851" spans="2:8" x14ac:dyDescent="0.2">
      <c r="B14851" s="3">
        <v>45856</v>
      </c>
      <c r="C14851" s="3"/>
      <c r="D14851" s="6"/>
      <c r="E14851" s="2"/>
      <c r="F14851" s="2"/>
      <c r="G14851" s="2">
        <f t="shared" ref="G14851:G14914" si="232">E14851-F14851</f>
        <v>0</v>
      </c>
      <c r="H14851" t="s">
        <v>11</v>
      </c>
    </row>
    <row r="14852" spans="2:8" x14ac:dyDescent="0.2">
      <c r="B14852" s="3">
        <v>45856</v>
      </c>
      <c r="C14852" s="3"/>
      <c r="D14852" s="6"/>
      <c r="E14852" s="2"/>
      <c r="F14852" s="2"/>
      <c r="G14852" s="2">
        <f t="shared" si="232"/>
        <v>0</v>
      </c>
      <c r="H14852" t="s">
        <v>10</v>
      </c>
    </row>
    <row r="14853" spans="2:8" x14ac:dyDescent="0.2">
      <c r="B14853" s="3">
        <v>45856</v>
      </c>
      <c r="C14853" s="3"/>
      <c r="D14853" s="6"/>
      <c r="E14853" s="2"/>
      <c r="F14853" s="2"/>
      <c r="G14853" s="2">
        <f t="shared" si="232"/>
        <v>0</v>
      </c>
      <c r="H14853" t="s">
        <v>9</v>
      </c>
    </row>
    <row r="14854" spans="2:8" x14ac:dyDescent="0.2">
      <c r="B14854" s="3">
        <v>45856</v>
      </c>
      <c r="C14854" s="3"/>
      <c r="D14854" s="6"/>
      <c r="E14854" s="2"/>
      <c r="F14854" s="2"/>
      <c r="G14854" s="2">
        <f t="shared" si="232"/>
        <v>0</v>
      </c>
      <c r="H14854" t="s">
        <v>8</v>
      </c>
    </row>
    <row r="14855" spans="2:8" x14ac:dyDescent="0.2">
      <c r="B14855" s="3">
        <v>45856</v>
      </c>
      <c r="C14855" s="3"/>
      <c r="D14855" s="6"/>
      <c r="E14855" s="2"/>
      <c r="F14855" s="2"/>
      <c r="G14855" s="2">
        <f t="shared" si="232"/>
        <v>0</v>
      </c>
      <c r="H14855" t="s">
        <v>7</v>
      </c>
    </row>
    <row r="14856" spans="2:8" x14ac:dyDescent="0.2">
      <c r="B14856" s="3">
        <v>45856</v>
      </c>
      <c r="C14856" s="3"/>
      <c r="D14856" s="6"/>
      <c r="E14856" s="2"/>
      <c r="F14856" s="2"/>
      <c r="G14856" s="2">
        <f t="shared" si="232"/>
        <v>0</v>
      </c>
      <c r="H14856" t="s">
        <v>6</v>
      </c>
    </row>
    <row r="14857" spans="2:8" x14ac:dyDescent="0.2">
      <c r="B14857" s="3">
        <v>45856</v>
      </c>
      <c r="C14857" s="3"/>
      <c r="D14857" s="6"/>
      <c r="E14857" s="2"/>
      <c r="F14857" s="2"/>
      <c r="G14857" s="2">
        <f t="shared" si="232"/>
        <v>0</v>
      </c>
      <c r="H14857" t="s">
        <v>5</v>
      </c>
    </row>
    <row r="14858" spans="2:8" x14ac:dyDescent="0.2">
      <c r="B14858" s="3">
        <v>45856</v>
      </c>
      <c r="C14858" s="3"/>
      <c r="D14858" s="6"/>
      <c r="E14858" s="2"/>
      <c r="F14858" s="2"/>
      <c r="G14858" s="2">
        <f t="shared" si="232"/>
        <v>0</v>
      </c>
      <c r="H14858" s="1"/>
    </row>
    <row r="14859" spans="2:8" x14ac:dyDescent="0.2">
      <c r="B14859" s="3">
        <v>45856</v>
      </c>
      <c r="C14859" s="3"/>
      <c r="D14859" s="2"/>
      <c r="E14859" s="2"/>
      <c r="F14859" s="2"/>
      <c r="G14859" s="2">
        <f t="shared" si="232"/>
        <v>0</v>
      </c>
      <c r="H14859" t="s">
        <v>0</v>
      </c>
    </row>
    <row r="14860" spans="2:8" x14ac:dyDescent="0.2">
      <c r="B14860" s="3">
        <v>45857</v>
      </c>
      <c r="C14860" s="2"/>
      <c r="D14860" s="2"/>
      <c r="E14860" s="2"/>
      <c r="F14860" s="2"/>
      <c r="G14860" s="2">
        <f t="shared" si="232"/>
        <v>0</v>
      </c>
      <c r="H14860" t="s">
        <v>14</v>
      </c>
    </row>
    <row r="14861" spans="2:8" x14ac:dyDescent="0.2">
      <c r="B14861" s="3">
        <v>45857</v>
      </c>
      <c r="C14861" s="2"/>
      <c r="D14861" s="2"/>
      <c r="E14861" s="2"/>
      <c r="F14861" s="2"/>
      <c r="G14861" s="2">
        <f t="shared" si="232"/>
        <v>0</v>
      </c>
      <c r="H14861" t="s">
        <v>13</v>
      </c>
    </row>
    <row r="14862" spans="2:8" x14ac:dyDescent="0.2">
      <c r="B14862" s="3">
        <v>45857</v>
      </c>
      <c r="C14862" s="3"/>
      <c r="D14862" s="6"/>
      <c r="E14862" s="2"/>
      <c r="F14862" s="2"/>
      <c r="G14862" s="2">
        <f t="shared" si="232"/>
        <v>0</v>
      </c>
      <c r="H14862" t="s">
        <v>11</v>
      </c>
    </row>
    <row r="14863" spans="2:8" x14ac:dyDescent="0.2">
      <c r="B14863" s="3">
        <v>45857</v>
      </c>
      <c r="C14863" s="3"/>
      <c r="D14863" s="6"/>
      <c r="E14863" s="2"/>
      <c r="F14863" s="2"/>
      <c r="G14863" s="2">
        <f t="shared" si="232"/>
        <v>0</v>
      </c>
      <c r="H14863" t="s">
        <v>10</v>
      </c>
    </row>
    <row r="14864" spans="2:8" x14ac:dyDescent="0.2">
      <c r="B14864" s="3">
        <v>45857</v>
      </c>
      <c r="C14864" s="3"/>
      <c r="D14864" s="6"/>
      <c r="E14864" s="2"/>
      <c r="F14864" s="2"/>
      <c r="G14864" s="2">
        <f t="shared" si="232"/>
        <v>0</v>
      </c>
      <c r="H14864" t="s">
        <v>9</v>
      </c>
    </row>
    <row r="14865" spans="2:8" x14ac:dyDescent="0.2">
      <c r="B14865" s="3">
        <v>45857</v>
      </c>
      <c r="C14865" s="3"/>
      <c r="D14865" s="6"/>
      <c r="E14865" s="2"/>
      <c r="F14865" s="2">
        <v>30000</v>
      </c>
      <c r="G14865" s="2">
        <f t="shared" si="232"/>
        <v>-30000</v>
      </c>
      <c r="H14865" t="s">
        <v>8</v>
      </c>
    </row>
    <row r="14866" spans="2:8" x14ac:dyDescent="0.2">
      <c r="B14866" s="3">
        <v>45857</v>
      </c>
      <c r="C14866" s="3"/>
      <c r="D14866" s="6"/>
      <c r="E14866" s="2"/>
      <c r="F14866" s="2"/>
      <c r="G14866" s="2">
        <f t="shared" si="232"/>
        <v>0</v>
      </c>
      <c r="H14866" t="s">
        <v>7</v>
      </c>
    </row>
    <row r="14867" spans="2:8" x14ac:dyDescent="0.2">
      <c r="B14867" s="3">
        <v>45857</v>
      </c>
      <c r="C14867" s="3"/>
      <c r="D14867" s="6"/>
      <c r="E14867" s="2"/>
      <c r="F14867" s="2"/>
      <c r="G14867" s="2">
        <f t="shared" si="232"/>
        <v>0</v>
      </c>
      <c r="H14867" t="s">
        <v>6</v>
      </c>
    </row>
    <row r="14868" spans="2:8" x14ac:dyDescent="0.2">
      <c r="B14868" s="3">
        <v>45857</v>
      </c>
      <c r="C14868" s="3"/>
      <c r="D14868" s="6"/>
      <c r="E14868" s="2"/>
      <c r="F14868" s="2"/>
      <c r="G14868" s="2">
        <f t="shared" si="232"/>
        <v>0</v>
      </c>
      <c r="H14868" t="s">
        <v>5</v>
      </c>
    </row>
    <row r="14869" spans="2:8" x14ac:dyDescent="0.2">
      <c r="B14869" s="3">
        <v>45857</v>
      </c>
      <c r="C14869" s="3"/>
      <c r="D14869" s="6"/>
      <c r="E14869" s="2"/>
      <c r="F14869" s="2"/>
      <c r="G14869" s="2">
        <f t="shared" si="232"/>
        <v>0</v>
      </c>
      <c r="H14869" s="1"/>
    </row>
    <row r="14870" spans="2:8" x14ac:dyDescent="0.2">
      <c r="B14870" s="3">
        <v>45857</v>
      </c>
      <c r="C14870" s="3"/>
      <c r="D14870" s="2"/>
      <c r="E14870" s="2"/>
      <c r="F14870" s="2"/>
      <c r="G14870" s="2">
        <f t="shared" si="232"/>
        <v>0</v>
      </c>
      <c r="H14870" t="s">
        <v>0</v>
      </c>
    </row>
    <row r="14871" spans="2:8" x14ac:dyDescent="0.2">
      <c r="B14871" s="3">
        <v>45858</v>
      </c>
      <c r="C14871" s="2"/>
      <c r="D14871" s="2"/>
      <c r="E14871" s="2"/>
      <c r="F14871" s="2"/>
      <c r="G14871" s="2">
        <f t="shared" si="232"/>
        <v>0</v>
      </c>
      <c r="H14871" t="s">
        <v>14</v>
      </c>
    </row>
    <row r="14872" spans="2:8" x14ac:dyDescent="0.2">
      <c r="B14872" s="3">
        <v>45858</v>
      </c>
      <c r="C14872" s="2"/>
      <c r="D14872" s="2"/>
      <c r="E14872" s="2"/>
      <c r="F14872" s="2"/>
      <c r="G14872" s="2">
        <f t="shared" si="232"/>
        <v>0</v>
      </c>
      <c r="H14872" t="s">
        <v>13</v>
      </c>
    </row>
    <row r="14873" spans="2:8" x14ac:dyDescent="0.2">
      <c r="B14873" s="3">
        <v>45858</v>
      </c>
      <c r="C14873" s="3"/>
      <c r="D14873" s="6"/>
      <c r="E14873" s="2"/>
      <c r="F14873" s="2"/>
      <c r="G14873" s="2">
        <f t="shared" si="232"/>
        <v>0</v>
      </c>
      <c r="H14873" t="s">
        <v>11</v>
      </c>
    </row>
    <row r="14874" spans="2:8" x14ac:dyDescent="0.2">
      <c r="B14874" s="3">
        <v>45858</v>
      </c>
      <c r="C14874" s="3"/>
      <c r="D14874" s="6"/>
      <c r="E14874" s="2"/>
      <c r="F14874" s="2"/>
      <c r="G14874" s="2">
        <f t="shared" si="232"/>
        <v>0</v>
      </c>
      <c r="H14874" t="s">
        <v>10</v>
      </c>
    </row>
    <row r="14875" spans="2:8" x14ac:dyDescent="0.2">
      <c r="B14875" s="3">
        <v>45858</v>
      </c>
      <c r="C14875" s="3"/>
      <c r="D14875" s="6"/>
      <c r="E14875" s="2"/>
      <c r="F14875" s="2"/>
      <c r="G14875" s="2">
        <f t="shared" si="232"/>
        <v>0</v>
      </c>
      <c r="H14875" t="s">
        <v>9</v>
      </c>
    </row>
    <row r="14876" spans="2:8" x14ac:dyDescent="0.2">
      <c r="B14876" s="3">
        <v>45858</v>
      </c>
      <c r="C14876" s="3"/>
      <c r="D14876" s="6"/>
      <c r="E14876" s="2"/>
      <c r="F14876" s="2"/>
      <c r="G14876" s="2">
        <f t="shared" si="232"/>
        <v>0</v>
      </c>
      <c r="H14876" t="s">
        <v>8</v>
      </c>
    </row>
    <row r="14877" spans="2:8" x14ac:dyDescent="0.2">
      <c r="B14877" s="3">
        <v>45858</v>
      </c>
      <c r="C14877" s="3"/>
      <c r="D14877" s="6"/>
      <c r="E14877" s="2"/>
      <c r="F14877" s="2"/>
      <c r="G14877" s="2">
        <f t="shared" si="232"/>
        <v>0</v>
      </c>
      <c r="H14877" t="s">
        <v>7</v>
      </c>
    </row>
    <row r="14878" spans="2:8" x14ac:dyDescent="0.2">
      <c r="B14878" s="3">
        <v>45858</v>
      </c>
      <c r="C14878" s="3"/>
      <c r="D14878" s="6"/>
      <c r="E14878" s="2"/>
      <c r="F14878" s="2"/>
      <c r="G14878" s="2">
        <f t="shared" si="232"/>
        <v>0</v>
      </c>
      <c r="H14878" t="s">
        <v>6</v>
      </c>
    </row>
    <row r="14879" spans="2:8" x14ac:dyDescent="0.2">
      <c r="B14879" s="3">
        <v>45858</v>
      </c>
      <c r="C14879" s="3"/>
      <c r="D14879" s="6"/>
      <c r="E14879" s="2"/>
      <c r="F14879" s="2"/>
      <c r="G14879" s="2">
        <f t="shared" si="232"/>
        <v>0</v>
      </c>
      <c r="H14879" t="s">
        <v>5</v>
      </c>
    </row>
    <row r="14880" spans="2:8" x14ac:dyDescent="0.2">
      <c r="B14880" s="3">
        <v>45858</v>
      </c>
      <c r="C14880" s="3"/>
      <c r="D14880" s="6"/>
      <c r="E14880" s="2"/>
      <c r="F14880" s="2"/>
      <c r="G14880" s="2">
        <f t="shared" si="232"/>
        <v>0</v>
      </c>
      <c r="H14880" s="1"/>
    </row>
    <row r="14881" spans="2:8" x14ac:dyDescent="0.2">
      <c r="B14881" s="3">
        <v>45858</v>
      </c>
      <c r="C14881" s="3"/>
      <c r="D14881" s="2"/>
      <c r="E14881" s="2"/>
      <c r="F14881" s="2"/>
      <c r="G14881" s="2">
        <f t="shared" si="232"/>
        <v>0</v>
      </c>
      <c r="H14881" t="s">
        <v>0</v>
      </c>
    </row>
    <row r="14882" spans="2:8" x14ac:dyDescent="0.2">
      <c r="B14882" s="3">
        <v>45859</v>
      </c>
      <c r="C14882" s="2"/>
      <c r="D14882" s="2"/>
      <c r="E14882" s="2"/>
      <c r="F14882" s="2"/>
      <c r="G14882" s="2">
        <f t="shared" si="232"/>
        <v>0</v>
      </c>
      <c r="H14882" t="s">
        <v>14</v>
      </c>
    </row>
    <row r="14883" spans="2:8" x14ac:dyDescent="0.2">
      <c r="B14883" s="3">
        <v>45859</v>
      </c>
      <c r="C14883" s="2"/>
      <c r="D14883" s="2"/>
      <c r="E14883" s="2"/>
      <c r="F14883" s="2"/>
      <c r="G14883" s="2">
        <f t="shared" si="232"/>
        <v>0</v>
      </c>
      <c r="H14883" t="s">
        <v>13</v>
      </c>
    </row>
    <row r="14884" spans="2:8" x14ac:dyDescent="0.2">
      <c r="B14884" s="3">
        <v>45859</v>
      </c>
      <c r="C14884" s="3"/>
      <c r="D14884" s="6"/>
      <c r="E14884" s="2"/>
      <c r="F14884" s="2"/>
      <c r="G14884" s="2">
        <f t="shared" si="232"/>
        <v>0</v>
      </c>
      <c r="H14884" t="s">
        <v>11</v>
      </c>
    </row>
    <row r="14885" spans="2:8" x14ac:dyDescent="0.2">
      <c r="B14885" s="3">
        <v>45859</v>
      </c>
      <c r="C14885" s="3"/>
      <c r="D14885" s="6"/>
      <c r="E14885" s="2"/>
      <c r="F14885" s="2"/>
      <c r="G14885" s="2">
        <f t="shared" si="232"/>
        <v>0</v>
      </c>
      <c r="H14885" t="s">
        <v>10</v>
      </c>
    </row>
    <row r="14886" spans="2:8" x14ac:dyDescent="0.2">
      <c r="B14886" s="3">
        <v>45859</v>
      </c>
      <c r="C14886" s="3"/>
      <c r="D14886" s="6"/>
      <c r="E14886" s="2"/>
      <c r="F14886" s="2"/>
      <c r="G14886" s="2">
        <f t="shared" si="232"/>
        <v>0</v>
      </c>
      <c r="H14886" t="s">
        <v>9</v>
      </c>
    </row>
    <row r="14887" spans="2:8" x14ac:dyDescent="0.2">
      <c r="B14887" s="3">
        <v>45859</v>
      </c>
      <c r="C14887" s="3"/>
      <c r="D14887" s="6"/>
      <c r="E14887" s="2"/>
      <c r="F14887" s="2"/>
      <c r="G14887" s="2">
        <f t="shared" si="232"/>
        <v>0</v>
      </c>
      <c r="H14887" t="s">
        <v>8</v>
      </c>
    </row>
    <row r="14888" spans="2:8" x14ac:dyDescent="0.2">
      <c r="B14888" s="3">
        <v>45859</v>
      </c>
      <c r="C14888" s="3"/>
      <c r="D14888" s="6"/>
      <c r="E14888" s="2"/>
      <c r="F14888" s="2"/>
      <c r="G14888" s="2">
        <f t="shared" si="232"/>
        <v>0</v>
      </c>
      <c r="H14888" t="s">
        <v>7</v>
      </c>
    </row>
    <row r="14889" spans="2:8" x14ac:dyDescent="0.2">
      <c r="B14889" s="3">
        <v>45859</v>
      </c>
      <c r="C14889" s="3"/>
      <c r="D14889" s="6"/>
      <c r="E14889" s="2"/>
      <c r="F14889" s="2"/>
      <c r="G14889" s="2">
        <f t="shared" si="232"/>
        <v>0</v>
      </c>
      <c r="H14889" t="s">
        <v>6</v>
      </c>
    </row>
    <row r="14890" spans="2:8" x14ac:dyDescent="0.2">
      <c r="B14890" s="3">
        <v>45859</v>
      </c>
      <c r="C14890" s="3"/>
      <c r="D14890" s="6"/>
      <c r="E14890" s="2"/>
      <c r="F14890" s="2"/>
      <c r="G14890" s="2">
        <f t="shared" si="232"/>
        <v>0</v>
      </c>
      <c r="H14890" t="s">
        <v>5</v>
      </c>
    </row>
    <row r="14891" spans="2:8" x14ac:dyDescent="0.2">
      <c r="B14891" s="3">
        <v>45859</v>
      </c>
      <c r="C14891" s="3"/>
      <c r="D14891" s="6"/>
      <c r="E14891" s="2"/>
      <c r="F14891" s="2"/>
      <c r="G14891" s="2">
        <f t="shared" si="232"/>
        <v>0</v>
      </c>
      <c r="H14891" s="1"/>
    </row>
    <row r="14892" spans="2:8" x14ac:dyDescent="0.2">
      <c r="B14892" s="3">
        <v>45859</v>
      </c>
      <c r="C14892" s="3"/>
      <c r="D14892" s="2"/>
      <c r="E14892" s="2"/>
      <c r="F14892" s="2">
        <v>40000</v>
      </c>
      <c r="G14892" s="2">
        <f t="shared" si="232"/>
        <v>-40000</v>
      </c>
      <c r="H14892" t="s">
        <v>0</v>
      </c>
    </row>
    <row r="14893" spans="2:8" x14ac:dyDescent="0.2">
      <c r="B14893" s="3">
        <v>45860</v>
      </c>
      <c r="C14893" s="2"/>
      <c r="D14893" s="2"/>
      <c r="E14893" s="2"/>
      <c r="F14893" s="2"/>
      <c r="G14893" s="2">
        <f t="shared" si="232"/>
        <v>0</v>
      </c>
      <c r="H14893" t="s">
        <v>14</v>
      </c>
    </row>
    <row r="14894" spans="2:8" x14ac:dyDescent="0.2">
      <c r="B14894" s="3">
        <v>45860</v>
      </c>
      <c r="C14894" s="2"/>
      <c r="D14894" s="2"/>
      <c r="E14894" s="2"/>
      <c r="F14894" s="2"/>
      <c r="G14894" s="2">
        <f t="shared" si="232"/>
        <v>0</v>
      </c>
      <c r="H14894" t="s">
        <v>13</v>
      </c>
    </row>
    <row r="14895" spans="2:8" x14ac:dyDescent="0.2">
      <c r="B14895" s="3">
        <v>45860</v>
      </c>
      <c r="C14895" s="2">
        <v>99</v>
      </c>
      <c r="D14895" s="6">
        <v>16406</v>
      </c>
      <c r="E14895" s="2">
        <v>17811</v>
      </c>
      <c r="F14895" s="2"/>
      <c r="G14895" s="2">
        <f t="shared" si="232"/>
        <v>17811</v>
      </c>
      <c r="H14895" t="s">
        <v>11</v>
      </c>
    </row>
    <row r="14896" spans="2:8" x14ac:dyDescent="0.2">
      <c r="B14896" s="3">
        <v>45860</v>
      </c>
      <c r="C14896" s="3"/>
      <c r="D14896" s="6"/>
      <c r="E14896" s="2"/>
      <c r="F14896" s="2"/>
      <c r="G14896" s="2">
        <f t="shared" si="232"/>
        <v>0</v>
      </c>
      <c r="H14896" t="s">
        <v>10</v>
      </c>
    </row>
    <row r="14897" spans="2:8" x14ac:dyDescent="0.2">
      <c r="B14897" s="3">
        <v>45860</v>
      </c>
      <c r="C14897" s="3"/>
      <c r="D14897" s="6"/>
      <c r="E14897" s="2"/>
      <c r="F14897" s="2"/>
      <c r="G14897" s="2">
        <f t="shared" si="232"/>
        <v>0</v>
      </c>
      <c r="H14897" t="s">
        <v>9</v>
      </c>
    </row>
    <row r="14898" spans="2:8" x14ac:dyDescent="0.2">
      <c r="B14898" s="3">
        <v>45860</v>
      </c>
      <c r="C14898" s="22">
        <v>98</v>
      </c>
      <c r="D14898" s="22">
        <v>13200</v>
      </c>
      <c r="E14898" s="22">
        <v>15000</v>
      </c>
      <c r="F14898" s="2"/>
      <c r="G14898" s="2">
        <f t="shared" si="232"/>
        <v>15000</v>
      </c>
      <c r="H14898" t="s">
        <v>8</v>
      </c>
    </row>
    <row r="14899" spans="2:8" x14ac:dyDescent="0.2">
      <c r="B14899" s="3">
        <v>45860</v>
      </c>
      <c r="C14899" s="3"/>
      <c r="D14899" s="6"/>
      <c r="E14899" s="2"/>
      <c r="F14899" s="2"/>
      <c r="G14899" s="2">
        <f t="shared" si="232"/>
        <v>0</v>
      </c>
      <c r="H14899" t="s">
        <v>7</v>
      </c>
    </row>
    <row r="14900" spans="2:8" x14ac:dyDescent="0.2">
      <c r="B14900" s="3">
        <v>45860</v>
      </c>
      <c r="C14900" s="3"/>
      <c r="D14900" s="6"/>
      <c r="E14900" s="2"/>
      <c r="F14900" s="2"/>
      <c r="G14900" s="2">
        <f t="shared" si="232"/>
        <v>0</v>
      </c>
      <c r="H14900" t="s">
        <v>6</v>
      </c>
    </row>
    <row r="14901" spans="2:8" x14ac:dyDescent="0.2">
      <c r="B14901" s="3">
        <v>45860</v>
      </c>
      <c r="C14901" s="3"/>
      <c r="D14901" s="6"/>
      <c r="E14901" s="2"/>
      <c r="F14901" s="2"/>
      <c r="G14901" s="2">
        <f t="shared" si="232"/>
        <v>0</v>
      </c>
      <c r="H14901" t="s">
        <v>5</v>
      </c>
    </row>
    <row r="14902" spans="2:8" x14ac:dyDescent="0.2">
      <c r="B14902" s="3">
        <v>45860</v>
      </c>
      <c r="C14902" s="3"/>
      <c r="D14902" s="6"/>
      <c r="E14902" s="2"/>
      <c r="F14902" s="2"/>
      <c r="G14902" s="2">
        <f t="shared" si="232"/>
        <v>0</v>
      </c>
      <c r="H14902" s="1"/>
    </row>
    <row r="14903" spans="2:8" x14ac:dyDescent="0.2">
      <c r="B14903" s="3">
        <v>45860</v>
      </c>
      <c r="C14903" s="3"/>
      <c r="D14903" s="2"/>
      <c r="E14903" s="2"/>
      <c r="F14903" s="2"/>
      <c r="G14903" s="2">
        <f t="shared" si="232"/>
        <v>0</v>
      </c>
      <c r="H14903" t="s">
        <v>0</v>
      </c>
    </row>
    <row r="14904" spans="2:8" x14ac:dyDescent="0.2">
      <c r="B14904" s="3">
        <v>45861</v>
      </c>
      <c r="C14904" s="2"/>
      <c r="D14904" s="2"/>
      <c r="E14904" s="2"/>
      <c r="F14904" s="2"/>
      <c r="G14904" s="2">
        <f t="shared" si="232"/>
        <v>0</v>
      </c>
      <c r="H14904" t="s">
        <v>14</v>
      </c>
    </row>
    <row r="14905" spans="2:8" x14ac:dyDescent="0.2">
      <c r="B14905" s="3">
        <v>45861</v>
      </c>
      <c r="C14905" s="2"/>
      <c r="D14905" s="2"/>
      <c r="E14905" s="2"/>
      <c r="F14905" s="2"/>
      <c r="G14905" s="2">
        <f t="shared" si="232"/>
        <v>0</v>
      </c>
      <c r="H14905" t="s">
        <v>13</v>
      </c>
    </row>
    <row r="14906" spans="2:8" x14ac:dyDescent="0.2">
      <c r="B14906" s="3">
        <v>45861</v>
      </c>
      <c r="C14906" s="3"/>
      <c r="D14906" s="6"/>
      <c r="E14906" s="2"/>
      <c r="F14906" s="2"/>
      <c r="G14906" s="2">
        <f t="shared" si="232"/>
        <v>0</v>
      </c>
      <c r="H14906" t="s">
        <v>11</v>
      </c>
    </row>
    <row r="14907" spans="2:8" x14ac:dyDescent="0.2">
      <c r="B14907" s="3">
        <v>45861</v>
      </c>
      <c r="C14907" s="3"/>
      <c r="D14907" s="6"/>
      <c r="E14907" s="2"/>
      <c r="F14907" s="2"/>
      <c r="G14907" s="2">
        <f t="shared" si="232"/>
        <v>0</v>
      </c>
      <c r="H14907" t="s">
        <v>10</v>
      </c>
    </row>
    <row r="14908" spans="2:8" x14ac:dyDescent="0.2">
      <c r="B14908" s="3">
        <v>45861</v>
      </c>
      <c r="C14908" s="3"/>
      <c r="D14908" s="6"/>
      <c r="E14908" s="2"/>
      <c r="F14908" s="2"/>
      <c r="G14908" s="2">
        <f t="shared" si="232"/>
        <v>0</v>
      </c>
      <c r="H14908" t="s">
        <v>9</v>
      </c>
    </row>
    <row r="14909" spans="2:8" x14ac:dyDescent="0.2">
      <c r="B14909" s="3">
        <v>45861</v>
      </c>
      <c r="C14909" s="3"/>
      <c r="D14909" s="6"/>
      <c r="E14909" s="2"/>
      <c r="F14909" s="2">
        <v>30000</v>
      </c>
      <c r="G14909" s="2">
        <f t="shared" si="232"/>
        <v>-30000</v>
      </c>
      <c r="H14909" t="s">
        <v>8</v>
      </c>
    </row>
    <row r="14910" spans="2:8" x14ac:dyDescent="0.2">
      <c r="B14910" s="3">
        <v>45861</v>
      </c>
      <c r="C14910" s="3"/>
      <c r="D14910" s="6"/>
      <c r="E14910" s="2"/>
      <c r="F14910" s="2"/>
      <c r="G14910" s="2">
        <f t="shared" si="232"/>
        <v>0</v>
      </c>
      <c r="H14910" t="s">
        <v>7</v>
      </c>
    </row>
    <row r="14911" spans="2:8" x14ac:dyDescent="0.2">
      <c r="B14911" s="3">
        <v>45861</v>
      </c>
      <c r="C14911" s="3"/>
      <c r="D14911" s="6"/>
      <c r="E14911" s="2"/>
      <c r="F14911" s="2">
        <v>15000</v>
      </c>
      <c r="G14911" s="2">
        <f t="shared" si="232"/>
        <v>-15000</v>
      </c>
      <c r="H14911" t="s">
        <v>6</v>
      </c>
    </row>
    <row r="14912" spans="2:8" x14ac:dyDescent="0.2">
      <c r="B14912" s="3">
        <v>45861</v>
      </c>
      <c r="C14912" s="3"/>
      <c r="D14912" s="6"/>
      <c r="E14912" s="2"/>
      <c r="F14912" s="2"/>
      <c r="G14912" s="2">
        <f t="shared" si="232"/>
        <v>0</v>
      </c>
      <c r="H14912" t="s">
        <v>5</v>
      </c>
    </row>
    <row r="14913" spans="2:8" x14ac:dyDescent="0.2">
      <c r="B14913" s="3">
        <v>45861</v>
      </c>
      <c r="C14913" s="3"/>
      <c r="D14913" s="6"/>
      <c r="E14913" s="2"/>
      <c r="F14913" s="2"/>
      <c r="G14913" s="2">
        <f t="shared" si="232"/>
        <v>0</v>
      </c>
      <c r="H14913" s="1"/>
    </row>
    <row r="14914" spans="2:8" x14ac:dyDescent="0.2">
      <c r="B14914" s="3">
        <v>45861</v>
      </c>
      <c r="C14914" s="3"/>
      <c r="D14914" s="2">
        <v>123050.17</v>
      </c>
      <c r="E14914" s="2">
        <v>127943.35</v>
      </c>
      <c r="F14914" s="2"/>
      <c r="G14914" s="2">
        <f t="shared" si="232"/>
        <v>127943.35</v>
      </c>
      <c r="H14914" t="s">
        <v>0</v>
      </c>
    </row>
    <row r="14915" spans="2:8" x14ac:dyDescent="0.2">
      <c r="B14915" s="3">
        <v>45862</v>
      </c>
      <c r="C14915" s="2"/>
      <c r="D14915" s="2"/>
      <c r="E14915" s="2"/>
      <c r="F14915" s="2"/>
      <c r="G14915" s="2">
        <f t="shared" ref="G14915:G14978" si="233">E14915-F14915</f>
        <v>0</v>
      </c>
      <c r="H14915" t="s">
        <v>14</v>
      </c>
    </row>
    <row r="14916" spans="2:8" x14ac:dyDescent="0.2">
      <c r="B14916" s="3">
        <v>45862</v>
      </c>
      <c r="C14916" s="2"/>
      <c r="D14916" s="2"/>
      <c r="E14916" s="2"/>
      <c r="F14916" s="2"/>
      <c r="G14916" s="2">
        <f t="shared" si="233"/>
        <v>0</v>
      </c>
      <c r="H14916" t="s">
        <v>13</v>
      </c>
    </row>
    <row r="14917" spans="2:8" x14ac:dyDescent="0.2">
      <c r="B14917" s="3">
        <v>45862</v>
      </c>
      <c r="C14917" s="3"/>
      <c r="D14917" s="6"/>
      <c r="E14917" s="2"/>
      <c r="F14917" s="2"/>
      <c r="G14917" s="2">
        <f t="shared" si="233"/>
        <v>0</v>
      </c>
      <c r="H14917" t="s">
        <v>11</v>
      </c>
    </row>
    <row r="14918" spans="2:8" x14ac:dyDescent="0.2">
      <c r="B14918" s="3">
        <v>45862</v>
      </c>
      <c r="C14918" s="3"/>
      <c r="D14918" s="6"/>
      <c r="E14918" s="2"/>
      <c r="F14918" s="2"/>
      <c r="G14918" s="2">
        <f t="shared" si="233"/>
        <v>0</v>
      </c>
      <c r="H14918" t="s">
        <v>10</v>
      </c>
    </row>
    <row r="14919" spans="2:8" x14ac:dyDescent="0.2">
      <c r="B14919" s="3">
        <v>45862</v>
      </c>
      <c r="C14919" s="3"/>
      <c r="D14919" s="6"/>
      <c r="E14919" s="2"/>
      <c r="F14919" s="2"/>
      <c r="G14919" s="2">
        <f t="shared" si="233"/>
        <v>0</v>
      </c>
      <c r="H14919" t="s">
        <v>9</v>
      </c>
    </row>
    <row r="14920" spans="2:8" x14ac:dyDescent="0.2">
      <c r="B14920" s="3">
        <v>45862</v>
      </c>
      <c r="C14920" s="3"/>
      <c r="D14920" s="6"/>
      <c r="E14920" s="2"/>
      <c r="F14920" s="2"/>
      <c r="G14920" s="2">
        <f t="shared" si="233"/>
        <v>0</v>
      </c>
      <c r="H14920" t="s">
        <v>8</v>
      </c>
    </row>
    <row r="14921" spans="2:8" x14ac:dyDescent="0.2">
      <c r="B14921" s="3">
        <v>45862</v>
      </c>
      <c r="C14921" s="3"/>
      <c r="D14921" s="6"/>
      <c r="E14921" s="2"/>
      <c r="F14921" s="2"/>
      <c r="G14921" s="2">
        <f t="shared" si="233"/>
        <v>0</v>
      </c>
      <c r="H14921" t="s">
        <v>7</v>
      </c>
    </row>
    <row r="14922" spans="2:8" x14ac:dyDescent="0.2">
      <c r="B14922" s="3">
        <v>45862</v>
      </c>
      <c r="C14922" s="3"/>
      <c r="D14922" s="6"/>
      <c r="E14922" s="2"/>
      <c r="F14922" s="2"/>
      <c r="G14922" s="2">
        <f t="shared" si="233"/>
        <v>0</v>
      </c>
      <c r="H14922" t="s">
        <v>6</v>
      </c>
    </row>
    <row r="14923" spans="2:8" x14ac:dyDescent="0.2">
      <c r="B14923" s="3">
        <v>45862</v>
      </c>
      <c r="C14923" s="3"/>
      <c r="D14923" s="6"/>
      <c r="E14923" s="2"/>
      <c r="F14923" s="2"/>
      <c r="G14923" s="2">
        <f t="shared" si="233"/>
        <v>0</v>
      </c>
      <c r="H14923" t="s">
        <v>5</v>
      </c>
    </row>
    <row r="14924" spans="2:8" x14ac:dyDescent="0.2">
      <c r="B14924" s="3">
        <v>45862</v>
      </c>
      <c r="C14924" s="3"/>
      <c r="D14924" s="6"/>
      <c r="E14924" s="2"/>
      <c r="F14924" s="2"/>
      <c r="G14924" s="2">
        <f t="shared" si="233"/>
        <v>0</v>
      </c>
      <c r="H14924" s="1"/>
    </row>
    <row r="14925" spans="2:8" x14ac:dyDescent="0.2">
      <c r="B14925" s="3">
        <v>45862</v>
      </c>
      <c r="C14925" s="3"/>
      <c r="D14925" s="2"/>
      <c r="E14925" s="2"/>
      <c r="F14925" s="2"/>
      <c r="G14925" s="2">
        <f t="shared" si="233"/>
        <v>0</v>
      </c>
      <c r="H14925" t="s">
        <v>0</v>
      </c>
    </row>
    <row r="14926" spans="2:8" x14ac:dyDescent="0.2">
      <c r="B14926" s="3">
        <v>45863</v>
      </c>
      <c r="C14926" s="2"/>
      <c r="D14926" s="2"/>
      <c r="E14926" s="2"/>
      <c r="F14926" s="2"/>
      <c r="G14926" s="2">
        <f t="shared" si="233"/>
        <v>0</v>
      </c>
      <c r="H14926" t="s">
        <v>14</v>
      </c>
    </row>
    <row r="14927" spans="2:8" x14ac:dyDescent="0.2">
      <c r="B14927" s="3">
        <v>45863</v>
      </c>
      <c r="C14927" s="2"/>
      <c r="D14927" s="2"/>
      <c r="E14927" s="2"/>
      <c r="F14927" s="2"/>
      <c r="G14927" s="2">
        <f t="shared" si="233"/>
        <v>0</v>
      </c>
      <c r="H14927" t="s">
        <v>13</v>
      </c>
    </row>
    <row r="14928" spans="2:8" x14ac:dyDescent="0.2">
      <c r="B14928" s="3">
        <v>45863</v>
      </c>
      <c r="C14928" s="3"/>
      <c r="D14928" s="6"/>
      <c r="E14928" s="2"/>
      <c r="F14928" s="2"/>
      <c r="G14928" s="2">
        <f t="shared" si="233"/>
        <v>0</v>
      </c>
      <c r="H14928" t="s">
        <v>11</v>
      </c>
    </row>
    <row r="14929" spans="2:8" x14ac:dyDescent="0.2">
      <c r="B14929" s="3">
        <v>45863</v>
      </c>
      <c r="C14929" s="3"/>
      <c r="D14929" s="6"/>
      <c r="E14929" s="2"/>
      <c r="F14929" s="2">
        <v>7020</v>
      </c>
      <c r="G14929" s="2">
        <f t="shared" si="233"/>
        <v>-7020</v>
      </c>
      <c r="H14929" t="s">
        <v>10</v>
      </c>
    </row>
    <row r="14930" spans="2:8" x14ac:dyDescent="0.2">
      <c r="B14930" s="3">
        <v>45863</v>
      </c>
      <c r="C14930" s="3"/>
      <c r="D14930" s="6"/>
      <c r="E14930" s="2"/>
      <c r="F14930" s="2"/>
      <c r="G14930" s="2">
        <f t="shared" si="233"/>
        <v>0</v>
      </c>
      <c r="H14930" t="s">
        <v>9</v>
      </c>
    </row>
    <row r="14931" spans="2:8" x14ac:dyDescent="0.2">
      <c r="B14931" s="3">
        <v>45863</v>
      </c>
      <c r="C14931" s="3"/>
      <c r="D14931" s="6"/>
      <c r="E14931" s="2"/>
      <c r="F14931" s="2"/>
      <c r="G14931" s="2">
        <f t="shared" si="233"/>
        <v>0</v>
      </c>
      <c r="H14931" t="s">
        <v>8</v>
      </c>
    </row>
    <row r="14932" spans="2:8" x14ac:dyDescent="0.2">
      <c r="B14932" s="3">
        <v>45863</v>
      </c>
      <c r="C14932" s="3"/>
      <c r="D14932" s="6"/>
      <c r="E14932" s="2"/>
      <c r="F14932" s="2"/>
      <c r="G14932" s="2">
        <f t="shared" si="233"/>
        <v>0</v>
      </c>
      <c r="H14932" t="s">
        <v>7</v>
      </c>
    </row>
    <row r="14933" spans="2:8" x14ac:dyDescent="0.2">
      <c r="B14933" s="3">
        <v>45863</v>
      </c>
      <c r="C14933" s="3"/>
      <c r="D14933" s="6"/>
      <c r="E14933" s="2"/>
      <c r="F14933" s="2"/>
      <c r="G14933" s="2">
        <f t="shared" si="233"/>
        <v>0</v>
      </c>
      <c r="H14933" t="s">
        <v>6</v>
      </c>
    </row>
    <row r="14934" spans="2:8" x14ac:dyDescent="0.2">
      <c r="B14934" s="3">
        <v>45863</v>
      </c>
      <c r="C14934" s="3"/>
      <c r="D14934" s="6"/>
      <c r="E14934" s="2"/>
      <c r="F14934" s="2"/>
      <c r="G14934" s="2">
        <f t="shared" si="233"/>
        <v>0</v>
      </c>
      <c r="H14934" t="s">
        <v>5</v>
      </c>
    </row>
    <row r="14935" spans="2:8" x14ac:dyDescent="0.2">
      <c r="B14935" s="3">
        <v>45863</v>
      </c>
      <c r="C14935" s="3"/>
      <c r="D14935" s="6"/>
      <c r="E14935" s="2"/>
      <c r="F14935" s="2"/>
      <c r="G14935" s="2">
        <f t="shared" si="233"/>
        <v>0</v>
      </c>
      <c r="H14935" s="1"/>
    </row>
    <row r="14936" spans="2:8" x14ac:dyDescent="0.2">
      <c r="B14936" s="3">
        <v>45863</v>
      </c>
      <c r="C14936" s="3"/>
      <c r="D14936" s="2"/>
      <c r="E14936" s="2"/>
      <c r="F14936" s="2"/>
      <c r="G14936" s="2">
        <f t="shared" si="233"/>
        <v>0</v>
      </c>
      <c r="H14936" t="s">
        <v>0</v>
      </c>
    </row>
    <row r="14937" spans="2:8" x14ac:dyDescent="0.2">
      <c r="B14937" s="3">
        <v>45864</v>
      </c>
      <c r="C14937" s="2"/>
      <c r="D14937" s="2"/>
      <c r="E14937" s="2"/>
      <c r="F14937" s="2"/>
      <c r="G14937" s="2">
        <f t="shared" si="233"/>
        <v>0</v>
      </c>
      <c r="H14937" t="s">
        <v>14</v>
      </c>
    </row>
    <row r="14938" spans="2:8" x14ac:dyDescent="0.2">
      <c r="B14938" s="3">
        <v>45864</v>
      </c>
      <c r="C14938" s="2"/>
      <c r="D14938" s="2"/>
      <c r="E14938" s="2"/>
      <c r="F14938" s="2"/>
      <c r="G14938" s="2">
        <f t="shared" si="233"/>
        <v>0</v>
      </c>
      <c r="H14938" t="s">
        <v>13</v>
      </c>
    </row>
    <row r="14939" spans="2:8" x14ac:dyDescent="0.2">
      <c r="B14939" s="3">
        <v>45864</v>
      </c>
      <c r="C14939" s="3"/>
      <c r="D14939" s="6"/>
      <c r="E14939" s="2"/>
      <c r="F14939" s="2"/>
      <c r="G14939" s="2">
        <f t="shared" si="233"/>
        <v>0</v>
      </c>
      <c r="H14939" t="s">
        <v>11</v>
      </c>
    </row>
    <row r="14940" spans="2:8" x14ac:dyDescent="0.2">
      <c r="B14940" s="3">
        <v>45864</v>
      </c>
      <c r="C14940" s="3"/>
      <c r="D14940" s="6"/>
      <c r="E14940" s="2"/>
      <c r="F14940" s="2"/>
      <c r="G14940" s="2">
        <f t="shared" si="233"/>
        <v>0</v>
      </c>
      <c r="H14940" t="s">
        <v>10</v>
      </c>
    </row>
    <row r="14941" spans="2:8" x14ac:dyDescent="0.2">
      <c r="B14941" s="3">
        <v>45864</v>
      </c>
      <c r="C14941" s="3"/>
      <c r="D14941" s="6"/>
      <c r="E14941" s="2"/>
      <c r="F14941" s="2"/>
      <c r="G14941" s="2">
        <f t="shared" si="233"/>
        <v>0</v>
      </c>
      <c r="H14941" t="s">
        <v>9</v>
      </c>
    </row>
    <row r="14942" spans="2:8" x14ac:dyDescent="0.2">
      <c r="B14942" s="3">
        <v>45864</v>
      </c>
      <c r="C14942" s="3"/>
      <c r="D14942" s="6"/>
      <c r="E14942" s="2"/>
      <c r="F14942" s="2"/>
      <c r="G14942" s="2">
        <f t="shared" si="233"/>
        <v>0</v>
      </c>
      <c r="H14942" t="s">
        <v>8</v>
      </c>
    </row>
    <row r="14943" spans="2:8" x14ac:dyDescent="0.2">
      <c r="B14943" s="3">
        <v>45864</v>
      </c>
      <c r="C14943" s="3"/>
      <c r="D14943" s="6"/>
      <c r="E14943" s="2"/>
      <c r="F14943" s="2"/>
      <c r="G14943" s="2">
        <f t="shared" si="233"/>
        <v>0</v>
      </c>
      <c r="H14943" t="s">
        <v>7</v>
      </c>
    </row>
    <row r="14944" spans="2:8" x14ac:dyDescent="0.2">
      <c r="B14944" s="3">
        <v>45864</v>
      </c>
      <c r="C14944" s="3"/>
      <c r="D14944" s="6"/>
      <c r="E14944" s="2"/>
      <c r="F14944" s="2"/>
      <c r="G14944" s="2">
        <f t="shared" si="233"/>
        <v>0</v>
      </c>
      <c r="H14944" t="s">
        <v>6</v>
      </c>
    </row>
    <row r="14945" spans="2:8" x14ac:dyDescent="0.2">
      <c r="B14945" s="3">
        <v>45864</v>
      </c>
      <c r="C14945" s="3"/>
      <c r="D14945" s="6"/>
      <c r="E14945" s="2"/>
      <c r="F14945" s="2"/>
      <c r="G14945" s="2">
        <f t="shared" si="233"/>
        <v>0</v>
      </c>
      <c r="H14945" t="s">
        <v>5</v>
      </c>
    </row>
    <row r="14946" spans="2:8" x14ac:dyDescent="0.2">
      <c r="B14946" s="3">
        <v>45864</v>
      </c>
      <c r="C14946" s="3"/>
      <c r="D14946" s="6"/>
      <c r="E14946" s="2"/>
      <c r="F14946" s="2"/>
      <c r="G14946" s="2">
        <f t="shared" si="233"/>
        <v>0</v>
      </c>
      <c r="H14946" s="1"/>
    </row>
    <row r="14947" spans="2:8" x14ac:dyDescent="0.2">
      <c r="B14947" s="3">
        <v>45864</v>
      </c>
      <c r="C14947" s="3"/>
      <c r="D14947" s="2"/>
      <c r="E14947" s="2"/>
      <c r="F14947" s="2"/>
      <c r="G14947" s="2">
        <f t="shared" si="233"/>
        <v>0</v>
      </c>
      <c r="H14947" t="s">
        <v>0</v>
      </c>
    </row>
    <row r="14948" spans="2:8" x14ac:dyDescent="0.2">
      <c r="B14948" s="3">
        <v>45865</v>
      </c>
      <c r="C14948" s="2"/>
      <c r="D14948" s="2"/>
      <c r="E14948" s="2"/>
      <c r="F14948" s="2"/>
      <c r="G14948" s="2">
        <f t="shared" si="233"/>
        <v>0</v>
      </c>
      <c r="H14948" t="s">
        <v>14</v>
      </c>
    </row>
    <row r="14949" spans="2:8" x14ac:dyDescent="0.2">
      <c r="B14949" s="3">
        <v>45865</v>
      </c>
      <c r="C14949" s="2"/>
      <c r="D14949" s="2"/>
      <c r="E14949" s="2"/>
      <c r="F14949" s="2"/>
      <c r="G14949" s="2">
        <f t="shared" si="233"/>
        <v>0</v>
      </c>
      <c r="H14949" t="s">
        <v>13</v>
      </c>
    </row>
    <row r="14950" spans="2:8" x14ac:dyDescent="0.2">
      <c r="B14950" s="3">
        <v>45865</v>
      </c>
      <c r="C14950" s="2">
        <v>101</v>
      </c>
      <c r="D14950" s="6">
        <v>4460</v>
      </c>
      <c r="E14950" s="2">
        <v>4990</v>
      </c>
      <c r="F14950" s="2"/>
      <c r="G14950" s="2">
        <f t="shared" si="233"/>
        <v>4990</v>
      </c>
      <c r="H14950" t="s">
        <v>11</v>
      </c>
    </row>
    <row r="14951" spans="2:8" x14ac:dyDescent="0.2">
      <c r="B14951" s="3">
        <v>45865</v>
      </c>
      <c r="C14951" s="3"/>
      <c r="D14951" s="6"/>
      <c r="E14951" s="2"/>
      <c r="F14951" s="2"/>
      <c r="G14951" s="2">
        <f t="shared" si="233"/>
        <v>0</v>
      </c>
      <c r="H14951" t="s">
        <v>10</v>
      </c>
    </row>
    <row r="14952" spans="2:8" x14ac:dyDescent="0.2">
      <c r="B14952" s="3">
        <v>45865</v>
      </c>
      <c r="C14952" s="3"/>
      <c r="D14952" s="6"/>
      <c r="E14952" s="2"/>
      <c r="F14952" s="2"/>
      <c r="G14952" s="2">
        <f t="shared" si="233"/>
        <v>0</v>
      </c>
      <c r="H14952" t="s">
        <v>9</v>
      </c>
    </row>
    <row r="14953" spans="2:8" x14ac:dyDescent="0.2">
      <c r="B14953" s="3">
        <v>45865</v>
      </c>
      <c r="C14953" s="2">
        <v>100</v>
      </c>
      <c r="D14953" s="6">
        <v>5590</v>
      </c>
      <c r="E14953" s="2">
        <v>6162.5</v>
      </c>
      <c r="F14953" s="2"/>
      <c r="G14953" s="2">
        <f t="shared" si="233"/>
        <v>6162.5</v>
      </c>
      <c r="H14953" t="s">
        <v>8</v>
      </c>
    </row>
    <row r="14954" spans="2:8" x14ac:dyDescent="0.2">
      <c r="B14954" s="3">
        <v>45865</v>
      </c>
      <c r="C14954" s="3"/>
      <c r="D14954" s="6"/>
      <c r="E14954" s="2"/>
      <c r="F14954" s="2"/>
      <c r="G14954" s="2">
        <f t="shared" si="233"/>
        <v>0</v>
      </c>
      <c r="H14954" t="s">
        <v>7</v>
      </c>
    </row>
    <row r="14955" spans="2:8" x14ac:dyDescent="0.2">
      <c r="B14955" s="3">
        <v>45865</v>
      </c>
      <c r="C14955" s="3"/>
      <c r="D14955" s="6"/>
      <c r="E14955" s="2"/>
      <c r="F14955" s="2"/>
      <c r="G14955" s="2">
        <f t="shared" si="233"/>
        <v>0</v>
      </c>
      <c r="H14955" t="s">
        <v>6</v>
      </c>
    </row>
    <row r="14956" spans="2:8" x14ac:dyDescent="0.2">
      <c r="B14956" s="3">
        <v>45865</v>
      </c>
      <c r="C14956" s="3"/>
      <c r="D14956" s="6"/>
      <c r="E14956" s="2"/>
      <c r="F14956" s="2"/>
      <c r="G14956" s="2">
        <f t="shared" si="233"/>
        <v>0</v>
      </c>
      <c r="H14956" t="s">
        <v>5</v>
      </c>
    </row>
    <row r="14957" spans="2:8" x14ac:dyDescent="0.2">
      <c r="B14957" s="3">
        <v>45865</v>
      </c>
      <c r="C14957" s="3"/>
      <c r="D14957" s="6">
        <v>17571.38</v>
      </c>
      <c r="E14957" s="2">
        <v>20855</v>
      </c>
      <c r="F14957" s="2">
        <v>20855</v>
      </c>
      <c r="G14957" s="2">
        <f t="shared" si="233"/>
        <v>0</v>
      </c>
      <c r="H14957" s="1" t="s">
        <v>84</v>
      </c>
    </row>
    <row r="14958" spans="2:8" x14ac:dyDescent="0.2">
      <c r="B14958" s="3">
        <v>45865</v>
      </c>
      <c r="C14958" s="3"/>
      <c r="D14958" s="2"/>
      <c r="E14958" s="2"/>
      <c r="F14958" s="2"/>
      <c r="G14958" s="2">
        <f t="shared" si="233"/>
        <v>0</v>
      </c>
      <c r="H14958" t="s">
        <v>0</v>
      </c>
    </row>
    <row r="14959" spans="2:8" x14ac:dyDescent="0.2">
      <c r="B14959" s="3">
        <v>45866</v>
      </c>
      <c r="C14959" s="2"/>
      <c r="D14959" s="2"/>
      <c r="E14959" s="2"/>
      <c r="F14959" s="2">
        <v>35000</v>
      </c>
      <c r="G14959" s="2">
        <f t="shared" si="233"/>
        <v>-35000</v>
      </c>
      <c r="H14959" t="s">
        <v>14</v>
      </c>
    </row>
    <row r="14960" spans="2:8" x14ac:dyDescent="0.2">
      <c r="B14960" s="3">
        <v>45866</v>
      </c>
      <c r="C14960" s="2"/>
      <c r="D14960" s="2"/>
      <c r="E14960" s="2"/>
      <c r="F14960" s="2"/>
      <c r="G14960" s="2">
        <f t="shared" si="233"/>
        <v>0</v>
      </c>
      <c r="H14960" t="s">
        <v>13</v>
      </c>
    </row>
    <row r="14961" spans="2:8" x14ac:dyDescent="0.2">
      <c r="B14961" s="3">
        <v>45866</v>
      </c>
      <c r="C14961" s="3"/>
      <c r="D14961" s="6"/>
      <c r="E14961" s="2"/>
      <c r="F14961" s="2"/>
      <c r="G14961" s="2">
        <f t="shared" si="233"/>
        <v>0</v>
      </c>
      <c r="H14961" t="s">
        <v>11</v>
      </c>
    </row>
    <row r="14962" spans="2:8" x14ac:dyDescent="0.2">
      <c r="B14962" s="3">
        <v>45866</v>
      </c>
      <c r="C14962" s="3"/>
      <c r="D14962" s="6"/>
      <c r="E14962" s="2"/>
      <c r="F14962" s="2"/>
      <c r="G14962" s="2">
        <f t="shared" si="233"/>
        <v>0</v>
      </c>
      <c r="H14962" t="s">
        <v>10</v>
      </c>
    </row>
    <row r="14963" spans="2:8" x14ac:dyDescent="0.2">
      <c r="B14963" s="3">
        <v>45866</v>
      </c>
      <c r="C14963" s="3"/>
      <c r="D14963" s="6"/>
      <c r="E14963" s="2"/>
      <c r="F14963" s="2">
        <v>40000</v>
      </c>
      <c r="G14963" s="2">
        <f t="shared" si="233"/>
        <v>-40000</v>
      </c>
      <c r="H14963" t="s">
        <v>9</v>
      </c>
    </row>
    <row r="14964" spans="2:8" x14ac:dyDescent="0.2">
      <c r="B14964" s="3">
        <v>45866</v>
      </c>
      <c r="C14964" s="3"/>
      <c r="D14964" s="6"/>
      <c r="E14964" s="2"/>
      <c r="F14964" s="2"/>
      <c r="G14964" s="2">
        <f t="shared" si="233"/>
        <v>0</v>
      </c>
      <c r="H14964" t="s">
        <v>8</v>
      </c>
    </row>
    <row r="14965" spans="2:8" x14ac:dyDescent="0.2">
      <c r="B14965" s="3">
        <v>45866</v>
      </c>
      <c r="C14965" s="3"/>
      <c r="D14965" s="6"/>
      <c r="E14965" s="2"/>
      <c r="F14965" s="2"/>
      <c r="G14965" s="2">
        <f t="shared" si="233"/>
        <v>0</v>
      </c>
      <c r="H14965" t="s">
        <v>7</v>
      </c>
    </row>
    <row r="14966" spans="2:8" x14ac:dyDescent="0.2">
      <c r="B14966" s="3">
        <v>45866</v>
      </c>
      <c r="C14966" s="3"/>
      <c r="D14966" s="6"/>
      <c r="E14966" s="2"/>
      <c r="F14966" s="2"/>
      <c r="G14966" s="2">
        <f t="shared" si="233"/>
        <v>0</v>
      </c>
      <c r="H14966" t="s">
        <v>6</v>
      </c>
    </row>
    <row r="14967" spans="2:8" x14ac:dyDescent="0.2">
      <c r="B14967" s="3">
        <v>45866</v>
      </c>
      <c r="C14967" s="3"/>
      <c r="D14967" s="6"/>
      <c r="E14967" s="2"/>
      <c r="F14967" s="2"/>
      <c r="G14967" s="2">
        <f t="shared" si="233"/>
        <v>0</v>
      </c>
      <c r="H14967" t="s">
        <v>5</v>
      </c>
    </row>
    <row r="14968" spans="2:8" x14ac:dyDescent="0.2">
      <c r="B14968" s="3">
        <v>45866</v>
      </c>
      <c r="C14968" s="3"/>
      <c r="D14968" s="6"/>
      <c r="E14968" s="2"/>
      <c r="F14968" s="2"/>
      <c r="G14968" s="2">
        <f t="shared" si="233"/>
        <v>0</v>
      </c>
      <c r="H14968" s="1"/>
    </row>
    <row r="14969" spans="2:8" x14ac:dyDescent="0.2">
      <c r="B14969" s="3">
        <v>45866</v>
      </c>
      <c r="C14969" s="3"/>
      <c r="D14969" s="2"/>
      <c r="E14969" s="2"/>
      <c r="F14969" s="2">
        <v>115375</v>
      </c>
      <c r="G14969" s="2">
        <f t="shared" si="233"/>
        <v>-115375</v>
      </c>
      <c r="H14969" t="s">
        <v>0</v>
      </c>
    </row>
    <row r="14970" spans="2:8" x14ac:dyDescent="0.2">
      <c r="B14970" s="3">
        <v>45867</v>
      </c>
      <c r="C14970" s="2"/>
      <c r="D14970" s="2"/>
      <c r="E14970" s="2"/>
      <c r="F14970" s="2"/>
      <c r="G14970" s="2">
        <f t="shared" si="233"/>
        <v>0</v>
      </c>
      <c r="H14970" t="s">
        <v>14</v>
      </c>
    </row>
    <row r="14971" spans="2:8" x14ac:dyDescent="0.2">
      <c r="B14971" s="3">
        <v>45867</v>
      </c>
      <c r="C14971" s="2"/>
      <c r="D14971" s="2"/>
      <c r="E14971" s="2"/>
      <c r="F14971" s="2"/>
      <c r="G14971" s="2">
        <f t="shared" si="233"/>
        <v>0</v>
      </c>
      <c r="H14971" t="s">
        <v>13</v>
      </c>
    </row>
    <row r="14972" spans="2:8" x14ac:dyDescent="0.2">
      <c r="B14972" s="3">
        <v>45867</v>
      </c>
      <c r="C14972" s="3"/>
      <c r="D14972" s="6"/>
      <c r="E14972" s="2"/>
      <c r="F14972" s="2"/>
      <c r="G14972" s="2">
        <f t="shared" si="233"/>
        <v>0</v>
      </c>
      <c r="H14972" t="s">
        <v>11</v>
      </c>
    </row>
    <row r="14973" spans="2:8" x14ac:dyDescent="0.2">
      <c r="B14973" s="3">
        <v>45867</v>
      </c>
      <c r="C14973" s="3"/>
      <c r="D14973" s="6"/>
      <c r="E14973" s="2"/>
      <c r="F14973" s="2"/>
      <c r="G14973" s="2">
        <f t="shared" si="233"/>
        <v>0</v>
      </c>
      <c r="H14973" t="s">
        <v>10</v>
      </c>
    </row>
    <row r="14974" spans="2:8" x14ac:dyDescent="0.2">
      <c r="B14974" s="3">
        <v>45867</v>
      </c>
      <c r="C14974" s="3"/>
      <c r="D14974" s="6"/>
      <c r="E14974" s="2"/>
      <c r="F14974" s="2"/>
      <c r="G14974" s="2">
        <f t="shared" si="233"/>
        <v>0</v>
      </c>
      <c r="H14974" t="s">
        <v>9</v>
      </c>
    </row>
    <row r="14975" spans="2:8" x14ac:dyDescent="0.2">
      <c r="B14975" s="3">
        <v>45867</v>
      </c>
      <c r="C14975" s="3"/>
      <c r="D14975" s="6"/>
      <c r="E14975" s="2"/>
      <c r="F14975" s="2"/>
      <c r="G14975" s="2">
        <f t="shared" si="233"/>
        <v>0</v>
      </c>
      <c r="H14975" t="s">
        <v>8</v>
      </c>
    </row>
    <row r="14976" spans="2:8" x14ac:dyDescent="0.2">
      <c r="B14976" s="3">
        <v>45867</v>
      </c>
      <c r="C14976" s="3"/>
      <c r="D14976" s="6"/>
      <c r="E14976" s="2"/>
      <c r="F14976" s="2"/>
      <c r="G14976" s="2">
        <f t="shared" si="233"/>
        <v>0</v>
      </c>
      <c r="H14976" t="s">
        <v>7</v>
      </c>
    </row>
    <row r="14977" spans="2:8" x14ac:dyDescent="0.2">
      <c r="B14977" s="3">
        <v>45867</v>
      </c>
      <c r="C14977" s="3"/>
      <c r="D14977" s="6"/>
      <c r="E14977" s="2"/>
      <c r="F14977" s="2"/>
      <c r="G14977" s="2">
        <f t="shared" si="233"/>
        <v>0</v>
      </c>
      <c r="H14977" t="s">
        <v>6</v>
      </c>
    </row>
    <row r="14978" spans="2:8" x14ac:dyDescent="0.2">
      <c r="B14978" s="3">
        <v>45867</v>
      </c>
      <c r="C14978" s="2">
        <v>102</v>
      </c>
      <c r="D14978" s="6">
        <v>20160</v>
      </c>
      <c r="E14978" s="2">
        <v>20640</v>
      </c>
      <c r="F14978" s="2">
        <v>20634.5</v>
      </c>
      <c r="G14978" s="2">
        <f t="shared" si="233"/>
        <v>5.5</v>
      </c>
      <c r="H14978" t="s">
        <v>5</v>
      </c>
    </row>
    <row r="14979" spans="2:8" x14ac:dyDescent="0.2">
      <c r="B14979" s="3">
        <v>45867</v>
      </c>
      <c r="C14979" s="3"/>
      <c r="D14979" s="6"/>
      <c r="E14979" s="2"/>
      <c r="F14979" s="2"/>
      <c r="G14979" s="2">
        <f t="shared" ref="G14979:G15042" si="234">E14979-F14979</f>
        <v>0</v>
      </c>
      <c r="H14979" s="1"/>
    </row>
    <row r="14980" spans="2:8" x14ac:dyDescent="0.2">
      <c r="B14980" s="3">
        <v>45867</v>
      </c>
      <c r="C14980" s="3"/>
      <c r="D14980" s="2">
        <v>115258.95</v>
      </c>
      <c r="E14980" s="2">
        <v>119498.79999999997</v>
      </c>
      <c r="F14980" s="2"/>
      <c r="G14980" s="2">
        <f t="shared" si="234"/>
        <v>119498.79999999997</v>
      </c>
      <c r="H14980" t="s">
        <v>0</v>
      </c>
    </row>
    <row r="14981" spans="2:8" x14ac:dyDescent="0.2">
      <c r="B14981" s="3">
        <v>45868</v>
      </c>
      <c r="C14981" s="2"/>
      <c r="D14981" s="2"/>
      <c r="E14981" s="2"/>
      <c r="F14981" s="2"/>
      <c r="G14981" s="2">
        <f t="shared" si="234"/>
        <v>0</v>
      </c>
      <c r="H14981" t="s">
        <v>14</v>
      </c>
    </row>
    <row r="14982" spans="2:8" x14ac:dyDescent="0.2">
      <c r="B14982" s="3">
        <v>45868</v>
      </c>
      <c r="C14982" s="2"/>
      <c r="D14982" s="2"/>
      <c r="E14982" s="2"/>
      <c r="F14982" s="2"/>
      <c r="G14982" s="2">
        <f t="shared" si="234"/>
        <v>0</v>
      </c>
      <c r="H14982" t="s">
        <v>13</v>
      </c>
    </row>
    <row r="14983" spans="2:8" x14ac:dyDescent="0.2">
      <c r="B14983" s="3">
        <v>45868</v>
      </c>
      <c r="C14983" s="3"/>
      <c r="D14983" s="6"/>
      <c r="E14983" s="2"/>
      <c r="F14983" s="2"/>
      <c r="G14983" s="2">
        <f t="shared" si="234"/>
        <v>0</v>
      </c>
      <c r="H14983" t="s">
        <v>11</v>
      </c>
    </row>
    <row r="14984" spans="2:8" x14ac:dyDescent="0.2">
      <c r="B14984" s="3">
        <v>45868</v>
      </c>
      <c r="C14984" s="3"/>
      <c r="D14984" s="6"/>
      <c r="E14984" s="2"/>
      <c r="F14984" s="2"/>
      <c r="G14984" s="2">
        <f t="shared" si="234"/>
        <v>0</v>
      </c>
      <c r="H14984" t="s">
        <v>10</v>
      </c>
    </row>
    <row r="14985" spans="2:8" x14ac:dyDescent="0.2">
      <c r="B14985" s="3">
        <v>45868</v>
      </c>
      <c r="C14985" s="3"/>
      <c r="D14985" s="6"/>
      <c r="E14985" s="2"/>
      <c r="F14985" s="2"/>
      <c r="G14985" s="2">
        <f t="shared" si="234"/>
        <v>0</v>
      </c>
      <c r="H14985" t="s">
        <v>9</v>
      </c>
    </row>
    <row r="14986" spans="2:8" x14ac:dyDescent="0.2">
      <c r="B14986" s="3">
        <v>45868</v>
      </c>
      <c r="C14986" s="3"/>
      <c r="D14986" s="6"/>
      <c r="E14986" s="2"/>
      <c r="F14986" s="2"/>
      <c r="G14986" s="2">
        <f t="shared" si="234"/>
        <v>0</v>
      </c>
      <c r="H14986" t="s">
        <v>8</v>
      </c>
    </row>
    <row r="14987" spans="2:8" x14ac:dyDescent="0.2">
      <c r="B14987" s="3">
        <v>45868</v>
      </c>
      <c r="C14987" s="3"/>
      <c r="D14987" s="6"/>
      <c r="E14987" s="2"/>
      <c r="F14987" s="2"/>
      <c r="G14987" s="2">
        <f t="shared" si="234"/>
        <v>0</v>
      </c>
      <c r="H14987" t="s">
        <v>7</v>
      </c>
    </row>
    <row r="14988" spans="2:8" x14ac:dyDescent="0.2">
      <c r="B14988" s="3">
        <v>45868</v>
      </c>
      <c r="C14988" s="3"/>
      <c r="D14988" s="6"/>
      <c r="E14988" s="2"/>
      <c r="F14988" s="2"/>
      <c r="G14988" s="2">
        <f t="shared" si="234"/>
        <v>0</v>
      </c>
      <c r="H14988" t="s">
        <v>6</v>
      </c>
    </row>
    <row r="14989" spans="2:8" x14ac:dyDescent="0.2">
      <c r="B14989" s="3">
        <v>45868</v>
      </c>
      <c r="C14989" s="3"/>
      <c r="D14989" s="6"/>
      <c r="E14989" s="2"/>
      <c r="F14989" s="2"/>
      <c r="G14989" s="2">
        <f t="shared" si="234"/>
        <v>0</v>
      </c>
      <c r="H14989" t="s">
        <v>5</v>
      </c>
    </row>
    <row r="14990" spans="2:8" x14ac:dyDescent="0.2">
      <c r="B14990" s="3">
        <v>45868</v>
      </c>
      <c r="C14990" s="3"/>
      <c r="D14990" s="6"/>
      <c r="E14990" s="2"/>
      <c r="F14990" s="2"/>
      <c r="G14990" s="2">
        <f t="shared" si="234"/>
        <v>0</v>
      </c>
      <c r="H14990" s="1"/>
    </row>
    <row r="14991" spans="2:8" x14ac:dyDescent="0.2">
      <c r="B14991" s="3">
        <v>45868</v>
      </c>
      <c r="C14991" s="3"/>
      <c r="D14991" s="2">
        <v>84234.150000000009</v>
      </c>
      <c r="E14991" s="2">
        <v>87966.97</v>
      </c>
      <c r="F14991" s="2"/>
      <c r="G14991" s="2">
        <f t="shared" si="234"/>
        <v>87966.97</v>
      </c>
      <c r="H14991" t="s">
        <v>0</v>
      </c>
    </row>
    <row r="14992" spans="2:8" x14ac:dyDescent="0.2">
      <c r="B14992" s="3">
        <v>45869</v>
      </c>
      <c r="C14992" s="2"/>
      <c r="D14992" s="2"/>
      <c r="E14992" s="2"/>
      <c r="F14992" s="2"/>
      <c r="G14992" s="2">
        <f t="shared" si="234"/>
        <v>0</v>
      </c>
      <c r="H14992" t="s">
        <v>14</v>
      </c>
    </row>
    <row r="14993" spans="2:8" x14ac:dyDescent="0.2">
      <c r="B14993" s="3">
        <v>45869</v>
      </c>
      <c r="C14993" s="2"/>
      <c r="D14993" s="2"/>
      <c r="E14993" s="2"/>
      <c r="F14993" s="2"/>
      <c r="G14993" s="2">
        <f t="shared" si="234"/>
        <v>0</v>
      </c>
      <c r="H14993" t="s">
        <v>13</v>
      </c>
    </row>
    <row r="14994" spans="2:8" x14ac:dyDescent="0.2">
      <c r="B14994" s="3">
        <v>45869</v>
      </c>
      <c r="C14994" s="3"/>
      <c r="D14994" s="6"/>
      <c r="E14994" s="2"/>
      <c r="F14994" s="2"/>
      <c r="G14994" s="2">
        <f t="shared" si="234"/>
        <v>0</v>
      </c>
      <c r="H14994" t="s">
        <v>11</v>
      </c>
    </row>
    <row r="14995" spans="2:8" x14ac:dyDescent="0.2">
      <c r="B14995" s="3">
        <v>45869</v>
      </c>
      <c r="C14995" s="3"/>
      <c r="D14995" s="6"/>
      <c r="E14995" s="2"/>
      <c r="F14995" s="2"/>
      <c r="G14995" s="2">
        <f t="shared" si="234"/>
        <v>0</v>
      </c>
      <c r="H14995" t="s">
        <v>10</v>
      </c>
    </row>
    <row r="14996" spans="2:8" x14ac:dyDescent="0.2">
      <c r="B14996" s="3">
        <v>45869</v>
      </c>
      <c r="C14996" s="3"/>
      <c r="D14996" s="6"/>
      <c r="E14996" s="2"/>
      <c r="F14996" s="2"/>
      <c r="G14996" s="2">
        <f t="shared" si="234"/>
        <v>0</v>
      </c>
      <c r="H14996" t="s">
        <v>9</v>
      </c>
    </row>
    <row r="14997" spans="2:8" x14ac:dyDescent="0.2">
      <c r="B14997" s="3">
        <v>45869</v>
      </c>
      <c r="C14997" s="3"/>
      <c r="D14997" s="6"/>
      <c r="E14997" s="2"/>
      <c r="F14997" s="2"/>
      <c r="G14997" s="2">
        <f t="shared" si="234"/>
        <v>0</v>
      </c>
      <c r="H14997" t="s">
        <v>8</v>
      </c>
    </row>
    <row r="14998" spans="2:8" x14ac:dyDescent="0.2">
      <c r="B14998" s="3">
        <v>45869</v>
      </c>
      <c r="C14998" s="3"/>
      <c r="D14998" s="6"/>
      <c r="E14998" s="2"/>
      <c r="F14998" s="2"/>
      <c r="G14998" s="2">
        <f t="shared" si="234"/>
        <v>0</v>
      </c>
      <c r="H14998" t="s">
        <v>7</v>
      </c>
    </row>
    <row r="14999" spans="2:8" x14ac:dyDescent="0.2">
      <c r="B14999" s="3">
        <v>45869</v>
      </c>
      <c r="C14999" s="3"/>
      <c r="D14999" s="6"/>
      <c r="E14999" s="2"/>
      <c r="F14999" s="2"/>
      <c r="G14999" s="2">
        <f t="shared" si="234"/>
        <v>0</v>
      </c>
      <c r="H14999" t="s">
        <v>6</v>
      </c>
    </row>
    <row r="15000" spans="2:8" x14ac:dyDescent="0.2">
      <c r="B15000" s="3">
        <v>45869</v>
      </c>
      <c r="C15000" s="3"/>
      <c r="D15000" s="6"/>
      <c r="E15000" s="2"/>
      <c r="F15000" s="2"/>
      <c r="G15000" s="2">
        <f t="shared" si="234"/>
        <v>0</v>
      </c>
      <c r="H15000" t="s">
        <v>5</v>
      </c>
    </row>
    <row r="15001" spans="2:8" x14ac:dyDescent="0.2">
      <c r="B15001" s="3">
        <v>45869</v>
      </c>
      <c r="C15001" s="3"/>
      <c r="D15001" s="6"/>
      <c r="E15001" s="2"/>
      <c r="F15001" s="2"/>
      <c r="G15001" s="2">
        <f t="shared" si="234"/>
        <v>0</v>
      </c>
      <c r="H15001" s="1"/>
    </row>
    <row r="15002" spans="2:8" x14ac:dyDescent="0.2">
      <c r="B15002" s="3">
        <v>45869</v>
      </c>
      <c r="C15002" s="3"/>
      <c r="D15002" s="2">
        <v>-4612.95</v>
      </c>
      <c r="E15002" s="4">
        <v>-4891.5</v>
      </c>
      <c r="F15002" s="2"/>
      <c r="G15002" s="2">
        <f t="shared" si="234"/>
        <v>-4891.5</v>
      </c>
      <c r="H15002" t="s">
        <v>0</v>
      </c>
    </row>
    <row r="15003" spans="2:8" x14ac:dyDescent="0.2">
      <c r="B15003" s="3">
        <v>45870</v>
      </c>
      <c r="C15003" s="2" t="s">
        <v>21</v>
      </c>
      <c r="D15003" s="2">
        <v>26561.924999999999</v>
      </c>
      <c r="E15003" s="2">
        <v>30238.5</v>
      </c>
      <c r="F15003" s="2"/>
      <c r="G15003" s="2">
        <f t="shared" si="234"/>
        <v>30238.5</v>
      </c>
      <c r="H15003" t="s">
        <v>14</v>
      </c>
    </row>
    <row r="15004" spans="2:8" x14ac:dyDescent="0.2">
      <c r="B15004" s="3">
        <v>45870</v>
      </c>
      <c r="C15004" s="2"/>
      <c r="D15004" s="2"/>
      <c r="E15004" s="2"/>
      <c r="F15004" s="2"/>
      <c r="G15004" s="2">
        <f t="shared" si="234"/>
        <v>0</v>
      </c>
      <c r="H15004" t="s">
        <v>13</v>
      </c>
    </row>
    <row r="15005" spans="2:8" x14ac:dyDescent="0.2">
      <c r="B15005" s="3">
        <v>45870</v>
      </c>
      <c r="C15005" s="3"/>
      <c r="D15005" s="6"/>
      <c r="E15005" s="2"/>
      <c r="F15005" s="2"/>
      <c r="G15005" s="2">
        <f t="shared" si="234"/>
        <v>0</v>
      </c>
      <c r="H15005" t="s">
        <v>11</v>
      </c>
    </row>
    <row r="15006" spans="2:8" x14ac:dyDescent="0.2">
      <c r="B15006" s="3">
        <v>45870</v>
      </c>
      <c r="C15006" s="3"/>
      <c r="D15006" s="6"/>
      <c r="E15006" s="2"/>
      <c r="F15006" s="2"/>
      <c r="G15006" s="2">
        <f t="shared" si="234"/>
        <v>0</v>
      </c>
      <c r="H15006" t="s">
        <v>10</v>
      </c>
    </row>
    <row r="15007" spans="2:8" x14ac:dyDescent="0.2">
      <c r="B15007" s="3">
        <v>45870</v>
      </c>
      <c r="C15007" s="3"/>
      <c r="D15007" s="6"/>
      <c r="E15007" s="2"/>
      <c r="F15007" s="2"/>
      <c r="G15007" s="2">
        <f t="shared" si="234"/>
        <v>0</v>
      </c>
      <c r="H15007" t="s">
        <v>9</v>
      </c>
    </row>
    <row r="15008" spans="2:8" x14ac:dyDescent="0.2">
      <c r="B15008" s="3">
        <v>45870</v>
      </c>
      <c r="C15008" s="3"/>
      <c r="D15008" s="6"/>
      <c r="E15008" s="2"/>
      <c r="F15008" s="2"/>
      <c r="G15008" s="2">
        <f t="shared" si="234"/>
        <v>0</v>
      </c>
      <c r="H15008" t="s">
        <v>8</v>
      </c>
    </row>
    <row r="15009" spans="2:8" x14ac:dyDescent="0.2">
      <c r="B15009" s="3">
        <v>45870</v>
      </c>
      <c r="C15009" s="3"/>
      <c r="D15009" s="6"/>
      <c r="E15009" s="2"/>
      <c r="F15009" s="2"/>
      <c r="G15009" s="2">
        <f t="shared" si="234"/>
        <v>0</v>
      </c>
      <c r="H15009" t="s">
        <v>7</v>
      </c>
    </row>
    <row r="15010" spans="2:8" x14ac:dyDescent="0.2">
      <c r="B15010" s="3">
        <v>45870</v>
      </c>
      <c r="C15010" s="3"/>
      <c r="D15010" s="6"/>
      <c r="E15010" s="2"/>
      <c r="F15010" s="2"/>
      <c r="G15010" s="2">
        <f t="shared" si="234"/>
        <v>0</v>
      </c>
      <c r="H15010" t="s">
        <v>6</v>
      </c>
    </row>
    <row r="15011" spans="2:8" x14ac:dyDescent="0.2">
      <c r="B15011" s="3">
        <v>45870</v>
      </c>
      <c r="C15011" s="3"/>
      <c r="D15011" s="6"/>
      <c r="E15011" s="2"/>
      <c r="F15011" s="2"/>
      <c r="G15011" s="2">
        <f t="shared" si="234"/>
        <v>0</v>
      </c>
      <c r="H15011" t="s">
        <v>5</v>
      </c>
    </row>
    <row r="15012" spans="2:8" x14ac:dyDescent="0.2">
      <c r="B15012" s="3">
        <v>45870</v>
      </c>
      <c r="C15012" s="3"/>
      <c r="D15012" s="6"/>
      <c r="E15012" s="2"/>
      <c r="F15012" s="2"/>
      <c r="G15012" s="2">
        <f t="shared" si="234"/>
        <v>0</v>
      </c>
      <c r="H15012" s="1"/>
    </row>
    <row r="15013" spans="2:8" x14ac:dyDescent="0.2">
      <c r="B15013" s="3">
        <v>45870</v>
      </c>
      <c r="C15013" s="3"/>
      <c r="D15013" s="2">
        <v>-720</v>
      </c>
      <c r="E15013" s="4">
        <v>-756</v>
      </c>
      <c r="F15013" s="2"/>
      <c r="G15013" s="2">
        <f t="shared" si="234"/>
        <v>-756</v>
      </c>
      <c r="H15013" t="s">
        <v>0</v>
      </c>
    </row>
    <row r="15014" spans="2:8" x14ac:dyDescent="0.2">
      <c r="B15014" s="3">
        <v>45871</v>
      </c>
      <c r="C15014" s="2"/>
      <c r="D15014" s="2"/>
      <c r="E15014" s="2"/>
      <c r="F15014" s="2"/>
      <c r="G15014" s="2">
        <f t="shared" si="234"/>
        <v>0</v>
      </c>
      <c r="H15014" t="s">
        <v>14</v>
      </c>
    </row>
    <row r="15015" spans="2:8" x14ac:dyDescent="0.2">
      <c r="B15015" s="3">
        <v>45871</v>
      </c>
      <c r="C15015" s="2"/>
      <c r="D15015" s="2"/>
      <c r="E15015" s="2"/>
      <c r="F15015" s="2"/>
      <c r="G15015" s="2">
        <f t="shared" si="234"/>
        <v>0</v>
      </c>
      <c r="H15015" t="s">
        <v>13</v>
      </c>
    </row>
    <row r="15016" spans="2:8" x14ac:dyDescent="0.2">
      <c r="B15016" s="3">
        <v>45871</v>
      </c>
      <c r="C15016" s="3"/>
      <c r="D15016" s="6"/>
      <c r="E15016" s="2"/>
      <c r="F15016" s="2"/>
      <c r="G15016" s="2">
        <f t="shared" si="234"/>
        <v>0</v>
      </c>
      <c r="H15016" t="s">
        <v>11</v>
      </c>
    </row>
    <row r="15017" spans="2:8" x14ac:dyDescent="0.2">
      <c r="B15017" s="3">
        <v>45871</v>
      </c>
      <c r="C15017" s="3"/>
      <c r="D15017" s="6"/>
      <c r="E15017" s="2"/>
      <c r="F15017" s="2"/>
      <c r="G15017" s="2">
        <f t="shared" si="234"/>
        <v>0</v>
      </c>
      <c r="H15017" t="s">
        <v>10</v>
      </c>
    </row>
    <row r="15018" spans="2:8" x14ac:dyDescent="0.2">
      <c r="B15018" s="3">
        <v>45871</v>
      </c>
      <c r="C15018" s="3"/>
      <c r="D15018" s="6"/>
      <c r="E15018" s="2"/>
      <c r="F15018" s="2"/>
      <c r="G15018" s="2">
        <f t="shared" si="234"/>
        <v>0</v>
      </c>
      <c r="H15018" t="s">
        <v>9</v>
      </c>
    </row>
    <row r="15019" spans="2:8" x14ac:dyDescent="0.2">
      <c r="B15019" s="3">
        <v>45871</v>
      </c>
      <c r="C15019" s="3"/>
      <c r="D15019" s="6"/>
      <c r="E15019" s="2"/>
      <c r="F15019" s="2"/>
      <c r="G15019" s="2">
        <f t="shared" si="234"/>
        <v>0</v>
      </c>
      <c r="H15019" t="s">
        <v>8</v>
      </c>
    </row>
    <row r="15020" spans="2:8" x14ac:dyDescent="0.2">
      <c r="B15020" s="3">
        <v>45871</v>
      </c>
      <c r="C15020" s="3"/>
      <c r="D15020" s="6"/>
      <c r="E15020" s="2"/>
      <c r="F15020" s="2"/>
      <c r="G15020" s="2">
        <f t="shared" si="234"/>
        <v>0</v>
      </c>
      <c r="H15020" t="s">
        <v>7</v>
      </c>
    </row>
    <row r="15021" spans="2:8" x14ac:dyDescent="0.2">
      <c r="B15021" s="3">
        <v>45871</v>
      </c>
      <c r="C15021" s="3"/>
      <c r="D15021" s="6"/>
      <c r="E15021" s="2"/>
      <c r="F15021" s="2"/>
      <c r="G15021" s="2">
        <f t="shared" si="234"/>
        <v>0</v>
      </c>
      <c r="H15021" t="s">
        <v>6</v>
      </c>
    </row>
    <row r="15022" spans="2:8" x14ac:dyDescent="0.2">
      <c r="B15022" s="3">
        <v>45871</v>
      </c>
      <c r="C15022" s="3"/>
      <c r="D15022" s="6"/>
      <c r="E15022" s="2"/>
      <c r="F15022" s="2"/>
      <c r="G15022" s="2">
        <f t="shared" si="234"/>
        <v>0</v>
      </c>
      <c r="H15022" t="s">
        <v>5</v>
      </c>
    </row>
    <row r="15023" spans="2:8" x14ac:dyDescent="0.2">
      <c r="B15023" s="3">
        <v>45871</v>
      </c>
      <c r="C15023" s="3"/>
      <c r="D15023" s="6"/>
      <c r="E15023" s="2"/>
      <c r="F15023" s="2"/>
      <c r="G15023" s="2">
        <f t="shared" si="234"/>
        <v>0</v>
      </c>
      <c r="H15023" s="1"/>
    </row>
    <row r="15024" spans="2:8" x14ac:dyDescent="0.2">
      <c r="B15024" s="3">
        <v>45871</v>
      </c>
      <c r="C15024" s="3"/>
      <c r="D15024" s="2"/>
      <c r="E15024" s="2"/>
      <c r="F15024" s="2"/>
      <c r="G15024" s="2">
        <f t="shared" si="234"/>
        <v>0</v>
      </c>
      <c r="H15024" t="s">
        <v>0</v>
      </c>
    </row>
    <row r="15025" spans="2:8" x14ac:dyDescent="0.2">
      <c r="B15025" s="3">
        <v>45872</v>
      </c>
      <c r="C15025" s="2" t="s">
        <v>20</v>
      </c>
      <c r="D15025" s="2">
        <v>14855</v>
      </c>
      <c r="E15025" s="2">
        <v>17100</v>
      </c>
      <c r="F15025" s="2"/>
      <c r="G15025" s="2">
        <f t="shared" si="234"/>
        <v>17100</v>
      </c>
      <c r="H15025" t="s">
        <v>14</v>
      </c>
    </row>
    <row r="15026" spans="2:8" x14ac:dyDescent="0.2">
      <c r="B15026" s="3">
        <v>45872</v>
      </c>
      <c r="C15026" s="2"/>
      <c r="D15026" s="2"/>
      <c r="E15026" s="2"/>
      <c r="F15026" s="2"/>
      <c r="G15026" s="2">
        <f t="shared" si="234"/>
        <v>0</v>
      </c>
      <c r="H15026" t="s">
        <v>13</v>
      </c>
    </row>
    <row r="15027" spans="2:8" x14ac:dyDescent="0.2">
      <c r="B15027" s="3">
        <v>45872</v>
      </c>
      <c r="C15027" s="3"/>
      <c r="D15027" s="6"/>
      <c r="E15027" s="2"/>
      <c r="F15027" s="2"/>
      <c r="G15027" s="2">
        <f t="shared" si="234"/>
        <v>0</v>
      </c>
      <c r="H15027" t="s">
        <v>11</v>
      </c>
    </row>
    <row r="15028" spans="2:8" x14ac:dyDescent="0.2">
      <c r="B15028" s="3">
        <v>45872</v>
      </c>
      <c r="C15028" s="3"/>
      <c r="D15028" s="6"/>
      <c r="E15028" s="2"/>
      <c r="F15028" s="2"/>
      <c r="G15028" s="2">
        <f t="shared" si="234"/>
        <v>0</v>
      </c>
      <c r="H15028" t="s">
        <v>10</v>
      </c>
    </row>
    <row r="15029" spans="2:8" x14ac:dyDescent="0.2">
      <c r="B15029" s="3">
        <v>45872</v>
      </c>
      <c r="C15029" s="3"/>
      <c r="D15029" s="6"/>
      <c r="E15029" s="2"/>
      <c r="F15029" s="2"/>
      <c r="G15029" s="2">
        <f t="shared" si="234"/>
        <v>0</v>
      </c>
      <c r="H15029" t="s">
        <v>9</v>
      </c>
    </row>
    <row r="15030" spans="2:8" x14ac:dyDescent="0.2">
      <c r="B15030" s="3">
        <v>45872</v>
      </c>
      <c r="C15030" s="3"/>
      <c r="D15030" s="6"/>
      <c r="E15030" s="2"/>
      <c r="F15030" s="2"/>
      <c r="G15030" s="2">
        <f t="shared" si="234"/>
        <v>0</v>
      </c>
      <c r="H15030" t="s">
        <v>8</v>
      </c>
    </row>
    <row r="15031" spans="2:8" x14ac:dyDescent="0.2">
      <c r="B15031" s="3">
        <v>45872</v>
      </c>
      <c r="C15031" s="3"/>
      <c r="D15031" s="6"/>
      <c r="E15031" s="2"/>
      <c r="F15031" s="2"/>
      <c r="G15031" s="2">
        <f t="shared" si="234"/>
        <v>0</v>
      </c>
      <c r="H15031" t="s">
        <v>7</v>
      </c>
    </row>
    <row r="15032" spans="2:8" x14ac:dyDescent="0.2">
      <c r="B15032" s="3">
        <v>45872</v>
      </c>
      <c r="C15032" s="3"/>
      <c r="D15032" s="6"/>
      <c r="E15032" s="2"/>
      <c r="F15032" s="2"/>
      <c r="G15032" s="2">
        <f t="shared" si="234"/>
        <v>0</v>
      </c>
      <c r="H15032" t="s">
        <v>6</v>
      </c>
    </row>
    <row r="15033" spans="2:8" x14ac:dyDescent="0.2">
      <c r="B15033" s="3">
        <v>45872</v>
      </c>
      <c r="C15033" s="3"/>
      <c r="D15033" s="6"/>
      <c r="E15033" s="2"/>
      <c r="F15033" s="2"/>
      <c r="G15033" s="2">
        <f t="shared" si="234"/>
        <v>0</v>
      </c>
      <c r="H15033" t="s">
        <v>5</v>
      </c>
    </row>
    <row r="15034" spans="2:8" x14ac:dyDescent="0.2">
      <c r="B15034" s="3">
        <v>45872</v>
      </c>
      <c r="C15034" s="3"/>
      <c r="D15034" s="6"/>
      <c r="E15034" s="2"/>
      <c r="F15034" s="2"/>
      <c r="G15034" s="2">
        <f t="shared" si="234"/>
        <v>0</v>
      </c>
      <c r="H15034" s="1"/>
    </row>
    <row r="15035" spans="2:8" x14ac:dyDescent="0.2">
      <c r="B15035" s="3">
        <v>45872</v>
      </c>
      <c r="C15035" s="3"/>
      <c r="D15035" s="2"/>
      <c r="E15035" s="2"/>
      <c r="F15035" s="2"/>
      <c r="G15035" s="2">
        <f t="shared" si="234"/>
        <v>0</v>
      </c>
      <c r="H15035" t="s">
        <v>0</v>
      </c>
    </row>
    <row r="15036" spans="2:8" x14ac:dyDescent="0.2">
      <c r="B15036" s="3">
        <v>45873</v>
      </c>
      <c r="C15036" s="2"/>
      <c r="D15036" s="2"/>
      <c r="E15036" s="2"/>
      <c r="F15036" s="2"/>
      <c r="G15036" s="2">
        <f t="shared" si="234"/>
        <v>0</v>
      </c>
      <c r="H15036" t="s">
        <v>14</v>
      </c>
    </row>
    <row r="15037" spans="2:8" x14ac:dyDescent="0.2">
      <c r="B15037" s="3">
        <v>45873</v>
      </c>
      <c r="C15037" s="2"/>
      <c r="D15037" s="2"/>
      <c r="E15037" s="2"/>
      <c r="F15037" s="2"/>
      <c r="G15037" s="2">
        <f t="shared" si="234"/>
        <v>0</v>
      </c>
      <c r="H15037" t="s">
        <v>13</v>
      </c>
    </row>
    <row r="15038" spans="2:8" x14ac:dyDescent="0.2">
      <c r="B15038" s="3">
        <v>45873</v>
      </c>
      <c r="C15038" s="3"/>
      <c r="D15038" s="6"/>
      <c r="E15038" s="2"/>
      <c r="F15038" s="2"/>
      <c r="G15038" s="2">
        <f t="shared" si="234"/>
        <v>0</v>
      </c>
      <c r="H15038" t="s">
        <v>11</v>
      </c>
    </row>
    <row r="15039" spans="2:8" x14ac:dyDescent="0.2">
      <c r="B15039" s="3">
        <v>45873</v>
      </c>
      <c r="C15039" s="3"/>
      <c r="D15039" s="6"/>
      <c r="E15039" s="2"/>
      <c r="F15039" s="2"/>
      <c r="G15039" s="2">
        <f t="shared" si="234"/>
        <v>0</v>
      </c>
      <c r="H15039" t="s">
        <v>10</v>
      </c>
    </row>
    <row r="15040" spans="2:8" x14ac:dyDescent="0.2">
      <c r="B15040" s="3">
        <v>45873</v>
      </c>
      <c r="C15040" s="3"/>
      <c r="D15040" s="6"/>
      <c r="E15040" s="2"/>
      <c r="F15040" s="2"/>
      <c r="G15040" s="2">
        <f t="shared" si="234"/>
        <v>0</v>
      </c>
      <c r="H15040" t="s">
        <v>9</v>
      </c>
    </row>
    <row r="15041" spans="2:8" x14ac:dyDescent="0.2">
      <c r="B15041" s="3">
        <v>45873</v>
      </c>
      <c r="C15041" s="3"/>
      <c r="D15041" s="6"/>
      <c r="E15041" s="2"/>
      <c r="F15041" s="2"/>
      <c r="G15041" s="2">
        <f t="shared" si="234"/>
        <v>0</v>
      </c>
      <c r="H15041" t="s">
        <v>8</v>
      </c>
    </row>
    <row r="15042" spans="2:8" x14ac:dyDescent="0.2">
      <c r="B15042" s="3">
        <v>45873</v>
      </c>
      <c r="C15042" s="3"/>
      <c r="D15042" s="6"/>
      <c r="E15042" s="2"/>
      <c r="F15042" s="2"/>
      <c r="G15042" s="2">
        <f t="shared" si="234"/>
        <v>0</v>
      </c>
      <c r="H15042" t="s">
        <v>7</v>
      </c>
    </row>
    <row r="15043" spans="2:8" x14ac:dyDescent="0.2">
      <c r="B15043" s="3">
        <v>45873</v>
      </c>
      <c r="C15043" s="3"/>
      <c r="D15043" s="6"/>
      <c r="E15043" s="2"/>
      <c r="F15043" s="2"/>
      <c r="G15043" s="2">
        <f t="shared" ref="G15043:G15106" si="235">E15043-F15043</f>
        <v>0</v>
      </c>
      <c r="H15043" t="s">
        <v>6</v>
      </c>
    </row>
    <row r="15044" spans="2:8" x14ac:dyDescent="0.2">
      <c r="B15044" s="3">
        <v>45873</v>
      </c>
      <c r="C15044" s="3"/>
      <c r="D15044" s="6"/>
      <c r="E15044" s="2"/>
      <c r="F15044" s="2"/>
      <c r="G15044" s="2">
        <f t="shared" si="235"/>
        <v>0</v>
      </c>
      <c r="H15044" t="s">
        <v>5</v>
      </c>
    </row>
    <row r="15045" spans="2:8" x14ac:dyDescent="0.2">
      <c r="B15045" s="3">
        <v>45873</v>
      </c>
      <c r="C15045" s="3"/>
      <c r="D15045" s="6"/>
      <c r="E15045" s="2"/>
      <c r="F15045" s="2"/>
      <c r="G15045" s="2">
        <f t="shared" si="235"/>
        <v>0</v>
      </c>
      <c r="H15045" s="1"/>
    </row>
    <row r="15046" spans="2:8" x14ac:dyDescent="0.2">
      <c r="B15046" s="3">
        <v>45873</v>
      </c>
      <c r="C15046" s="3"/>
      <c r="D15046" s="2"/>
      <c r="E15046" s="2"/>
      <c r="F15046" s="2"/>
      <c r="G15046" s="2">
        <f t="shared" si="235"/>
        <v>0</v>
      </c>
      <c r="H15046" t="s">
        <v>0</v>
      </c>
    </row>
    <row r="15047" spans="2:8" x14ac:dyDescent="0.2">
      <c r="B15047" s="3">
        <v>45874</v>
      </c>
      <c r="C15047" s="2"/>
      <c r="D15047" s="2"/>
      <c r="E15047" s="2"/>
      <c r="F15047" s="2"/>
      <c r="G15047" s="2">
        <f t="shared" si="235"/>
        <v>0</v>
      </c>
      <c r="H15047" t="s">
        <v>14</v>
      </c>
    </row>
    <row r="15048" spans="2:8" x14ac:dyDescent="0.2">
      <c r="B15048" s="3">
        <v>45874</v>
      </c>
      <c r="C15048" s="2"/>
      <c r="D15048" s="2"/>
      <c r="E15048" s="2"/>
      <c r="F15048" s="2"/>
      <c r="G15048" s="2">
        <f t="shared" si="235"/>
        <v>0</v>
      </c>
      <c r="H15048" t="s">
        <v>13</v>
      </c>
    </row>
    <row r="15049" spans="2:8" x14ac:dyDescent="0.2">
      <c r="B15049" s="3">
        <v>45874</v>
      </c>
      <c r="C15049" s="3"/>
      <c r="D15049" s="6"/>
      <c r="E15049" s="2"/>
      <c r="F15049" s="2"/>
      <c r="G15049" s="2">
        <f t="shared" si="235"/>
        <v>0</v>
      </c>
      <c r="H15049" t="s">
        <v>11</v>
      </c>
    </row>
    <row r="15050" spans="2:8" x14ac:dyDescent="0.2">
      <c r="B15050" s="3">
        <v>45874</v>
      </c>
      <c r="C15050" s="3"/>
      <c r="D15050" s="6"/>
      <c r="E15050" s="2"/>
      <c r="F15050" s="2"/>
      <c r="G15050" s="2">
        <f t="shared" si="235"/>
        <v>0</v>
      </c>
      <c r="H15050" t="s">
        <v>10</v>
      </c>
    </row>
    <row r="15051" spans="2:8" x14ac:dyDescent="0.2">
      <c r="B15051" s="3">
        <v>45874</v>
      </c>
      <c r="C15051" s="3"/>
      <c r="D15051" s="6"/>
      <c r="E15051" s="2"/>
      <c r="F15051" s="2">
        <v>21225</v>
      </c>
      <c r="G15051" s="2">
        <f t="shared" si="235"/>
        <v>-21225</v>
      </c>
      <c r="H15051" t="s">
        <v>9</v>
      </c>
    </row>
    <row r="15052" spans="2:8" x14ac:dyDescent="0.2">
      <c r="B15052" s="3">
        <v>45874</v>
      </c>
      <c r="C15052" s="2">
        <v>104</v>
      </c>
      <c r="D15052" s="6">
        <v>32115</v>
      </c>
      <c r="E15052" s="2">
        <v>36075</v>
      </c>
      <c r="F15052" s="2">
        <v>30000</v>
      </c>
      <c r="G15052" s="2">
        <f t="shared" si="235"/>
        <v>6075</v>
      </c>
      <c r="H15052" t="s">
        <v>8</v>
      </c>
    </row>
    <row r="15053" spans="2:8" x14ac:dyDescent="0.2">
      <c r="B15053" s="3">
        <v>45874</v>
      </c>
      <c r="C15053" s="3"/>
      <c r="D15053" s="6"/>
      <c r="E15053" s="2"/>
      <c r="F15053" s="2"/>
      <c r="G15053" s="2">
        <f t="shared" si="235"/>
        <v>0</v>
      </c>
      <c r="H15053" t="s">
        <v>7</v>
      </c>
    </row>
    <row r="15054" spans="2:8" x14ac:dyDescent="0.2">
      <c r="B15054" s="3">
        <v>45874</v>
      </c>
      <c r="C15054" s="3"/>
      <c r="D15054" s="6"/>
      <c r="E15054" s="2"/>
      <c r="F15054" s="2"/>
      <c r="G15054" s="2">
        <f t="shared" si="235"/>
        <v>0</v>
      </c>
      <c r="H15054" t="s">
        <v>6</v>
      </c>
    </row>
    <row r="15055" spans="2:8" x14ac:dyDescent="0.2">
      <c r="B15055" s="3">
        <v>45874</v>
      </c>
      <c r="C15055" s="2">
        <v>103</v>
      </c>
      <c r="D15055" s="6">
        <v>6100</v>
      </c>
      <c r="E15055" s="2">
        <v>6195</v>
      </c>
      <c r="F15055" s="2"/>
      <c r="G15055" s="2">
        <f t="shared" si="235"/>
        <v>6195</v>
      </c>
      <c r="H15055" t="s">
        <v>5</v>
      </c>
    </row>
    <row r="15056" spans="2:8" x14ac:dyDescent="0.2">
      <c r="B15056" s="3">
        <v>45874</v>
      </c>
      <c r="C15056" s="3"/>
      <c r="D15056" s="6"/>
      <c r="E15056" s="2"/>
      <c r="F15056" s="2"/>
      <c r="G15056" s="2">
        <f t="shared" si="235"/>
        <v>0</v>
      </c>
      <c r="H15056" s="1"/>
    </row>
    <row r="15057" spans="2:8" x14ac:dyDescent="0.2">
      <c r="B15057" s="3">
        <v>45874</v>
      </c>
      <c r="C15057" s="3"/>
      <c r="D15057" s="2">
        <v>24115.54</v>
      </c>
      <c r="E15057" s="2">
        <v>24952.43</v>
      </c>
      <c r="F15057" s="2">
        <v>167513</v>
      </c>
      <c r="G15057" s="2">
        <f t="shared" si="235"/>
        <v>-142560.57</v>
      </c>
      <c r="H15057" t="s">
        <v>0</v>
      </c>
    </row>
    <row r="15058" spans="2:8" x14ac:dyDescent="0.2">
      <c r="B15058" s="3">
        <v>45875</v>
      </c>
      <c r="C15058" s="2"/>
      <c r="D15058" s="2"/>
      <c r="E15058" s="2"/>
      <c r="F15058" s="2"/>
      <c r="G15058" s="2">
        <f t="shared" si="235"/>
        <v>0</v>
      </c>
      <c r="H15058" t="s">
        <v>14</v>
      </c>
    </row>
    <row r="15059" spans="2:8" x14ac:dyDescent="0.2">
      <c r="B15059" s="3">
        <v>45875</v>
      </c>
      <c r="C15059" s="2"/>
      <c r="D15059" s="2"/>
      <c r="E15059" s="2"/>
      <c r="F15059" s="2"/>
      <c r="G15059" s="2">
        <f t="shared" si="235"/>
        <v>0</v>
      </c>
      <c r="H15059" t="s">
        <v>13</v>
      </c>
    </row>
    <row r="15060" spans="2:8" x14ac:dyDescent="0.2">
      <c r="B15060" s="3">
        <v>45875</v>
      </c>
      <c r="C15060" s="3"/>
      <c r="D15060" s="6"/>
      <c r="E15060" s="2"/>
      <c r="F15060" s="2"/>
      <c r="G15060" s="2">
        <f t="shared" si="235"/>
        <v>0</v>
      </c>
      <c r="H15060" t="s">
        <v>11</v>
      </c>
    </row>
    <row r="15061" spans="2:8" x14ac:dyDescent="0.2">
      <c r="B15061" s="3">
        <v>45875</v>
      </c>
      <c r="C15061" s="3"/>
      <c r="D15061" s="6"/>
      <c r="E15061" s="2"/>
      <c r="F15061" s="2"/>
      <c r="G15061" s="2">
        <f t="shared" si="235"/>
        <v>0</v>
      </c>
      <c r="H15061" t="s">
        <v>10</v>
      </c>
    </row>
    <row r="15062" spans="2:8" x14ac:dyDescent="0.2">
      <c r="B15062" s="3">
        <v>45875</v>
      </c>
      <c r="C15062" s="3"/>
      <c r="D15062" s="6"/>
      <c r="E15062" s="2"/>
      <c r="F15062" s="2"/>
      <c r="G15062" s="2">
        <f t="shared" si="235"/>
        <v>0</v>
      </c>
      <c r="H15062" t="s">
        <v>9</v>
      </c>
    </row>
    <row r="15063" spans="2:8" x14ac:dyDescent="0.2">
      <c r="B15063" s="3">
        <v>45875</v>
      </c>
      <c r="C15063" s="2"/>
      <c r="D15063" s="6"/>
      <c r="E15063" s="2"/>
      <c r="F15063" s="2"/>
      <c r="G15063" s="2">
        <f t="shared" si="235"/>
        <v>0</v>
      </c>
      <c r="H15063" t="s">
        <v>8</v>
      </c>
    </row>
    <row r="15064" spans="2:8" x14ac:dyDescent="0.2">
      <c r="B15064" s="3">
        <v>45875</v>
      </c>
      <c r="C15064" s="3"/>
      <c r="D15064" s="6"/>
      <c r="E15064" s="2"/>
      <c r="F15064" s="2"/>
      <c r="G15064" s="2">
        <f t="shared" si="235"/>
        <v>0</v>
      </c>
      <c r="H15064" t="s">
        <v>7</v>
      </c>
    </row>
    <row r="15065" spans="2:8" x14ac:dyDescent="0.2">
      <c r="B15065" s="3">
        <v>45875</v>
      </c>
      <c r="C15065" s="3"/>
      <c r="D15065" s="6"/>
      <c r="E15065" s="2"/>
      <c r="F15065" s="2"/>
      <c r="G15065" s="2">
        <f t="shared" si="235"/>
        <v>0</v>
      </c>
      <c r="H15065" t="s">
        <v>6</v>
      </c>
    </row>
    <row r="15066" spans="2:8" x14ac:dyDescent="0.2">
      <c r="B15066" s="3">
        <v>45875</v>
      </c>
      <c r="C15066" s="3"/>
      <c r="D15066" s="6"/>
      <c r="E15066" s="2"/>
      <c r="F15066" s="2"/>
      <c r="G15066" s="2">
        <f t="shared" si="235"/>
        <v>0</v>
      </c>
      <c r="H15066" t="s">
        <v>5</v>
      </c>
    </row>
    <row r="15067" spans="2:8" x14ac:dyDescent="0.2">
      <c r="B15067" s="3">
        <v>45875</v>
      </c>
      <c r="C15067" s="3"/>
      <c r="D15067" s="6"/>
      <c r="E15067" s="2"/>
      <c r="F15067" s="2"/>
      <c r="G15067" s="2">
        <f t="shared" si="235"/>
        <v>0</v>
      </c>
      <c r="H15067" s="1"/>
    </row>
    <row r="15068" spans="2:8" x14ac:dyDescent="0.2">
      <c r="B15068" s="3">
        <v>45875</v>
      </c>
      <c r="C15068" s="3"/>
      <c r="D15068" s="2">
        <v>25294.3</v>
      </c>
      <c r="E15068" s="2">
        <v>28006.45</v>
      </c>
      <c r="F15068" s="2"/>
      <c r="G15068" s="2">
        <f t="shared" si="235"/>
        <v>28006.45</v>
      </c>
      <c r="H15068" t="s">
        <v>0</v>
      </c>
    </row>
    <row r="15069" spans="2:8" x14ac:dyDescent="0.2">
      <c r="B15069" s="3">
        <v>45876</v>
      </c>
      <c r="C15069" s="2"/>
      <c r="D15069" s="2"/>
      <c r="E15069" s="2"/>
      <c r="F15069" s="2"/>
      <c r="G15069" s="2">
        <f t="shared" si="235"/>
        <v>0</v>
      </c>
      <c r="H15069" t="s">
        <v>14</v>
      </c>
    </row>
    <row r="15070" spans="2:8" x14ac:dyDescent="0.2">
      <c r="B15070" s="3">
        <v>45876</v>
      </c>
      <c r="C15070" s="2"/>
      <c r="D15070" s="2"/>
      <c r="E15070" s="2"/>
      <c r="F15070" s="2"/>
      <c r="G15070" s="2">
        <f t="shared" si="235"/>
        <v>0</v>
      </c>
      <c r="H15070" t="s">
        <v>13</v>
      </c>
    </row>
    <row r="15071" spans="2:8" x14ac:dyDescent="0.2">
      <c r="B15071" s="3">
        <v>45876</v>
      </c>
      <c r="C15071" s="3"/>
      <c r="D15071" s="6"/>
      <c r="E15071" s="2"/>
      <c r="F15071" s="2"/>
      <c r="G15071" s="2">
        <f t="shared" si="235"/>
        <v>0</v>
      </c>
      <c r="H15071" t="s">
        <v>11</v>
      </c>
    </row>
    <row r="15072" spans="2:8" x14ac:dyDescent="0.2">
      <c r="B15072" s="3">
        <v>45876</v>
      </c>
      <c r="C15072" s="2">
        <v>105</v>
      </c>
      <c r="D15072" s="6">
        <v>6705</v>
      </c>
      <c r="E15072" s="5">
        <v>7380</v>
      </c>
      <c r="F15072" s="2"/>
      <c r="G15072" s="2">
        <f t="shared" si="235"/>
        <v>7380</v>
      </c>
      <c r="H15072" t="s">
        <v>10</v>
      </c>
    </row>
    <row r="15073" spans="2:8" x14ac:dyDescent="0.2">
      <c r="B15073" s="3">
        <v>45876</v>
      </c>
      <c r="C15073" s="3"/>
      <c r="D15073" s="6"/>
      <c r="E15073" s="2"/>
      <c r="F15073" s="2"/>
      <c r="G15073" s="2">
        <f t="shared" si="235"/>
        <v>0</v>
      </c>
      <c r="H15073" t="s">
        <v>9</v>
      </c>
    </row>
    <row r="15074" spans="2:8" x14ac:dyDescent="0.2">
      <c r="B15074" s="3">
        <v>45876</v>
      </c>
      <c r="C15074" s="2"/>
      <c r="D15074" s="6"/>
      <c r="E15074" s="2"/>
      <c r="F15074" s="2"/>
      <c r="G15074" s="2">
        <f t="shared" si="235"/>
        <v>0</v>
      </c>
      <c r="H15074" t="s">
        <v>8</v>
      </c>
    </row>
    <row r="15075" spans="2:8" x14ac:dyDescent="0.2">
      <c r="B15075" s="3">
        <v>45876</v>
      </c>
      <c r="C15075" s="3"/>
      <c r="D15075" s="6"/>
      <c r="E15075" s="2"/>
      <c r="F15075" s="2"/>
      <c r="G15075" s="2">
        <f t="shared" si="235"/>
        <v>0</v>
      </c>
      <c r="H15075" t="s">
        <v>7</v>
      </c>
    </row>
    <row r="15076" spans="2:8" x14ac:dyDescent="0.2">
      <c r="B15076" s="3">
        <v>45876</v>
      </c>
      <c r="C15076" s="3"/>
      <c r="D15076" s="6"/>
      <c r="E15076" s="2"/>
      <c r="F15076" s="2"/>
      <c r="G15076" s="2">
        <f t="shared" si="235"/>
        <v>0</v>
      </c>
      <c r="H15076" t="s">
        <v>6</v>
      </c>
    </row>
    <row r="15077" spans="2:8" x14ac:dyDescent="0.2">
      <c r="B15077" s="3">
        <v>45876</v>
      </c>
      <c r="C15077" s="3"/>
      <c r="D15077" s="6"/>
      <c r="E15077" s="2"/>
      <c r="F15077" s="2"/>
      <c r="G15077" s="2">
        <f t="shared" si="235"/>
        <v>0</v>
      </c>
      <c r="H15077" t="s">
        <v>5</v>
      </c>
    </row>
    <row r="15078" spans="2:8" x14ac:dyDescent="0.2">
      <c r="B15078" s="3">
        <v>45876</v>
      </c>
      <c r="C15078" s="3"/>
      <c r="D15078" s="6"/>
      <c r="E15078" s="2"/>
      <c r="F15078" s="2"/>
      <c r="G15078" s="2">
        <f t="shared" si="235"/>
        <v>0</v>
      </c>
      <c r="H15078" s="1"/>
    </row>
    <row r="15079" spans="2:8" x14ac:dyDescent="0.2">
      <c r="B15079" s="3">
        <v>45876</v>
      </c>
      <c r="C15079" s="3"/>
      <c r="D15079" s="2"/>
      <c r="E15079" s="2"/>
      <c r="F15079" s="2"/>
      <c r="G15079" s="2">
        <f t="shared" si="235"/>
        <v>0</v>
      </c>
      <c r="H15079" t="s">
        <v>0</v>
      </c>
    </row>
    <row r="15080" spans="2:8" x14ac:dyDescent="0.2">
      <c r="B15080" s="3">
        <v>45877</v>
      </c>
      <c r="C15080" s="2"/>
      <c r="D15080" s="2"/>
      <c r="E15080" s="2"/>
      <c r="F15080" s="2"/>
      <c r="G15080" s="2">
        <f t="shared" si="235"/>
        <v>0</v>
      </c>
      <c r="H15080" t="s">
        <v>14</v>
      </c>
    </row>
    <row r="15081" spans="2:8" x14ac:dyDescent="0.2">
      <c r="B15081" s="3">
        <v>45877</v>
      </c>
      <c r="C15081" s="2"/>
      <c r="D15081" s="2"/>
      <c r="E15081" s="2"/>
      <c r="F15081" s="2"/>
      <c r="G15081" s="2">
        <f t="shared" si="235"/>
        <v>0</v>
      </c>
      <c r="H15081" t="s">
        <v>13</v>
      </c>
    </row>
    <row r="15082" spans="2:8" x14ac:dyDescent="0.2">
      <c r="B15082" s="3">
        <v>45877</v>
      </c>
      <c r="C15082" s="3"/>
      <c r="D15082" s="6"/>
      <c r="E15082" s="2"/>
      <c r="F15082" s="2"/>
      <c r="G15082" s="2">
        <f t="shared" si="235"/>
        <v>0</v>
      </c>
      <c r="H15082" t="s">
        <v>11</v>
      </c>
    </row>
    <row r="15083" spans="2:8" x14ac:dyDescent="0.2">
      <c r="B15083" s="3">
        <v>45877</v>
      </c>
      <c r="C15083" s="3"/>
      <c r="D15083" s="6"/>
      <c r="E15083" s="2"/>
      <c r="F15083" s="2"/>
      <c r="G15083" s="2">
        <f t="shared" si="235"/>
        <v>0</v>
      </c>
      <c r="H15083" t="s">
        <v>10</v>
      </c>
    </row>
    <row r="15084" spans="2:8" x14ac:dyDescent="0.2">
      <c r="B15084" s="3">
        <v>45877</v>
      </c>
      <c r="C15084" s="3"/>
      <c r="D15084" s="6"/>
      <c r="E15084" s="2"/>
      <c r="F15084" s="2"/>
      <c r="G15084" s="2">
        <f t="shared" si="235"/>
        <v>0</v>
      </c>
      <c r="H15084" t="s">
        <v>9</v>
      </c>
    </row>
    <row r="15085" spans="2:8" x14ac:dyDescent="0.2">
      <c r="B15085" s="3">
        <v>45877</v>
      </c>
      <c r="C15085" s="2"/>
      <c r="D15085" s="6"/>
      <c r="E15085" s="2"/>
      <c r="F15085" s="2"/>
      <c r="G15085" s="2">
        <f t="shared" si="235"/>
        <v>0</v>
      </c>
      <c r="H15085" t="s">
        <v>8</v>
      </c>
    </row>
    <row r="15086" spans="2:8" x14ac:dyDescent="0.2">
      <c r="B15086" s="3">
        <v>45877</v>
      </c>
      <c r="C15086" s="3"/>
      <c r="D15086" s="6"/>
      <c r="E15086" s="2"/>
      <c r="F15086" s="2"/>
      <c r="G15086" s="2">
        <f t="shared" si="235"/>
        <v>0</v>
      </c>
      <c r="H15086" t="s">
        <v>7</v>
      </c>
    </row>
    <row r="15087" spans="2:8" x14ac:dyDescent="0.2">
      <c r="B15087" s="3">
        <v>45877</v>
      </c>
      <c r="C15087" s="3"/>
      <c r="D15087" s="6"/>
      <c r="E15087" s="2"/>
      <c r="F15087" s="2"/>
      <c r="G15087" s="2">
        <f t="shared" si="235"/>
        <v>0</v>
      </c>
      <c r="H15087" t="s">
        <v>6</v>
      </c>
    </row>
    <row r="15088" spans="2:8" x14ac:dyDescent="0.2">
      <c r="B15088" s="3">
        <v>45877</v>
      </c>
      <c r="C15088" s="3"/>
      <c r="D15088" s="6"/>
      <c r="E15088" s="2"/>
      <c r="F15088" s="2"/>
      <c r="G15088" s="2">
        <f t="shared" si="235"/>
        <v>0</v>
      </c>
      <c r="H15088" t="s">
        <v>5</v>
      </c>
    </row>
    <row r="15089" spans="2:8" x14ac:dyDescent="0.2">
      <c r="B15089" s="3">
        <v>45877</v>
      </c>
      <c r="C15089" s="3"/>
      <c r="D15089" s="6"/>
      <c r="E15089" s="2"/>
      <c r="F15089" s="2"/>
      <c r="G15089" s="2">
        <f t="shared" si="235"/>
        <v>0</v>
      </c>
      <c r="H15089" s="1"/>
    </row>
    <row r="15090" spans="2:8" x14ac:dyDescent="0.2">
      <c r="B15090" s="3">
        <v>45877</v>
      </c>
      <c r="C15090" s="3"/>
      <c r="D15090" s="2"/>
      <c r="E15090" s="2"/>
      <c r="F15090" s="2"/>
      <c r="G15090" s="2">
        <f t="shared" si="235"/>
        <v>0</v>
      </c>
      <c r="H15090" t="s">
        <v>0</v>
      </c>
    </row>
    <row r="15091" spans="2:8" x14ac:dyDescent="0.2">
      <c r="B15091" s="3">
        <v>45878</v>
      </c>
      <c r="C15091" s="2"/>
      <c r="D15091" s="2"/>
      <c r="E15091" s="2"/>
      <c r="F15091" s="2"/>
      <c r="G15091" s="2">
        <f t="shared" si="235"/>
        <v>0</v>
      </c>
      <c r="H15091" t="s">
        <v>14</v>
      </c>
    </row>
    <row r="15092" spans="2:8" x14ac:dyDescent="0.2">
      <c r="B15092" s="3">
        <v>45878</v>
      </c>
      <c r="C15092" s="2"/>
      <c r="D15092" s="2"/>
      <c r="E15092" s="2"/>
      <c r="F15092" s="2"/>
      <c r="G15092" s="2">
        <f t="shared" si="235"/>
        <v>0</v>
      </c>
      <c r="H15092" t="s">
        <v>13</v>
      </c>
    </row>
    <row r="15093" spans="2:8" x14ac:dyDescent="0.2">
      <c r="B15093" s="3">
        <v>45878</v>
      </c>
      <c r="C15093" s="3"/>
      <c r="D15093" s="6"/>
      <c r="E15093" s="2"/>
      <c r="F15093" s="2"/>
      <c r="G15093" s="2">
        <f t="shared" si="235"/>
        <v>0</v>
      </c>
      <c r="H15093" t="s">
        <v>11</v>
      </c>
    </row>
    <row r="15094" spans="2:8" x14ac:dyDescent="0.2">
      <c r="B15094" s="3">
        <v>45878</v>
      </c>
      <c r="C15094" s="3"/>
      <c r="D15094" s="6"/>
      <c r="E15094" s="2"/>
      <c r="F15094" s="2"/>
      <c r="G15094" s="2">
        <f t="shared" si="235"/>
        <v>0</v>
      </c>
      <c r="H15094" t="s">
        <v>10</v>
      </c>
    </row>
    <row r="15095" spans="2:8" x14ac:dyDescent="0.2">
      <c r="B15095" s="3">
        <v>45878</v>
      </c>
      <c r="C15095" s="3"/>
      <c r="D15095" s="6"/>
      <c r="E15095" s="2"/>
      <c r="F15095" s="2"/>
      <c r="G15095" s="2">
        <f t="shared" si="235"/>
        <v>0</v>
      </c>
      <c r="H15095" t="s">
        <v>9</v>
      </c>
    </row>
    <row r="15096" spans="2:8" x14ac:dyDescent="0.2">
      <c r="B15096" s="3">
        <v>45878</v>
      </c>
      <c r="C15096" s="2"/>
      <c r="D15096" s="6"/>
      <c r="E15096" s="2"/>
      <c r="F15096" s="2"/>
      <c r="G15096" s="2">
        <f t="shared" si="235"/>
        <v>0</v>
      </c>
      <c r="H15096" t="s">
        <v>8</v>
      </c>
    </row>
    <row r="15097" spans="2:8" x14ac:dyDescent="0.2">
      <c r="B15097" s="3">
        <v>45878</v>
      </c>
      <c r="C15097" s="3"/>
      <c r="D15097" s="6"/>
      <c r="E15097" s="2"/>
      <c r="F15097" s="2"/>
      <c r="G15097" s="2">
        <f t="shared" si="235"/>
        <v>0</v>
      </c>
      <c r="H15097" t="s">
        <v>7</v>
      </c>
    </row>
    <row r="15098" spans="2:8" x14ac:dyDescent="0.2">
      <c r="B15098" s="3">
        <v>45878</v>
      </c>
      <c r="C15098" s="3"/>
      <c r="D15098" s="6"/>
      <c r="E15098" s="2"/>
      <c r="F15098" s="2"/>
      <c r="G15098" s="2">
        <f t="shared" si="235"/>
        <v>0</v>
      </c>
      <c r="H15098" t="s">
        <v>6</v>
      </c>
    </row>
    <row r="15099" spans="2:8" x14ac:dyDescent="0.2">
      <c r="B15099" s="3">
        <v>45878</v>
      </c>
      <c r="C15099" s="3"/>
      <c r="D15099" s="6"/>
      <c r="E15099" s="2"/>
      <c r="F15099" s="2">
        <v>6195</v>
      </c>
      <c r="G15099" s="2">
        <f t="shared" si="235"/>
        <v>-6195</v>
      </c>
      <c r="H15099" t="s">
        <v>5</v>
      </c>
    </row>
    <row r="15100" spans="2:8" x14ac:dyDescent="0.2">
      <c r="B15100" s="3">
        <v>45878</v>
      </c>
      <c r="C15100" s="3"/>
      <c r="D15100" s="6"/>
      <c r="E15100" s="2"/>
      <c r="F15100" s="2"/>
      <c r="G15100" s="2">
        <f t="shared" si="235"/>
        <v>0</v>
      </c>
      <c r="H15100" s="1"/>
    </row>
    <row r="15101" spans="2:8" x14ac:dyDescent="0.2">
      <c r="B15101" s="3">
        <v>45878</v>
      </c>
      <c r="C15101" s="3"/>
      <c r="D15101" s="2"/>
      <c r="E15101" s="2"/>
      <c r="F15101" s="2"/>
      <c r="G15101" s="2">
        <f t="shared" si="235"/>
        <v>0</v>
      </c>
      <c r="H15101" t="s">
        <v>0</v>
      </c>
    </row>
    <row r="15102" spans="2:8" x14ac:dyDescent="0.2">
      <c r="B15102" s="3">
        <v>45879</v>
      </c>
      <c r="C15102" s="2"/>
      <c r="D15102" s="2"/>
      <c r="E15102" s="2"/>
      <c r="F15102" s="2"/>
      <c r="G15102" s="2">
        <f t="shared" si="235"/>
        <v>0</v>
      </c>
      <c r="H15102" t="s">
        <v>14</v>
      </c>
    </row>
    <row r="15103" spans="2:8" x14ac:dyDescent="0.2">
      <c r="B15103" s="3">
        <v>45879</v>
      </c>
      <c r="C15103" s="2"/>
      <c r="D15103" s="2"/>
      <c r="E15103" s="2"/>
      <c r="F15103" s="2"/>
      <c r="G15103" s="2">
        <f t="shared" si="235"/>
        <v>0</v>
      </c>
      <c r="H15103" t="s">
        <v>13</v>
      </c>
    </row>
    <row r="15104" spans="2:8" x14ac:dyDescent="0.2">
      <c r="B15104" s="3">
        <v>45879</v>
      </c>
      <c r="C15104" s="3"/>
      <c r="D15104" s="6"/>
      <c r="E15104" s="2"/>
      <c r="F15104" s="2"/>
      <c r="G15104" s="2">
        <f t="shared" si="235"/>
        <v>0</v>
      </c>
      <c r="H15104" t="s">
        <v>11</v>
      </c>
    </row>
    <row r="15105" spans="2:8" x14ac:dyDescent="0.2">
      <c r="B15105" s="3">
        <v>45879</v>
      </c>
      <c r="C15105" s="3"/>
      <c r="D15105" s="6"/>
      <c r="E15105" s="2"/>
      <c r="F15105" s="2"/>
      <c r="G15105" s="2">
        <f t="shared" si="235"/>
        <v>0</v>
      </c>
      <c r="H15105" t="s">
        <v>10</v>
      </c>
    </row>
    <row r="15106" spans="2:8" x14ac:dyDescent="0.2">
      <c r="B15106" s="3">
        <v>45879</v>
      </c>
      <c r="C15106" s="3"/>
      <c r="D15106" s="6"/>
      <c r="E15106" s="2"/>
      <c r="F15106" s="2"/>
      <c r="G15106" s="2">
        <f t="shared" si="235"/>
        <v>0</v>
      </c>
      <c r="H15106" t="s">
        <v>9</v>
      </c>
    </row>
    <row r="15107" spans="2:8" x14ac:dyDescent="0.2">
      <c r="B15107" s="3">
        <v>45879</v>
      </c>
      <c r="C15107" s="2"/>
      <c r="D15107" s="6"/>
      <c r="E15107" s="2"/>
      <c r="F15107" s="2"/>
      <c r="G15107" s="2">
        <f t="shared" ref="G15107:G15170" si="236">E15107-F15107</f>
        <v>0</v>
      </c>
      <c r="H15107" t="s">
        <v>8</v>
      </c>
    </row>
    <row r="15108" spans="2:8" x14ac:dyDescent="0.2">
      <c r="B15108" s="3">
        <v>45879</v>
      </c>
      <c r="C15108" s="3"/>
      <c r="D15108" s="6"/>
      <c r="E15108" s="2"/>
      <c r="F15108" s="2"/>
      <c r="G15108" s="2">
        <f t="shared" si="236"/>
        <v>0</v>
      </c>
      <c r="H15108" t="s">
        <v>7</v>
      </c>
    </row>
    <row r="15109" spans="2:8" x14ac:dyDescent="0.2">
      <c r="B15109" s="3">
        <v>45879</v>
      </c>
      <c r="C15109" s="3"/>
      <c r="D15109" s="6"/>
      <c r="E15109" s="2"/>
      <c r="F15109" s="2">
        <v>10000</v>
      </c>
      <c r="G15109" s="2">
        <f t="shared" si="236"/>
        <v>-10000</v>
      </c>
      <c r="H15109" t="s">
        <v>6</v>
      </c>
    </row>
    <row r="15110" spans="2:8" x14ac:dyDescent="0.2">
      <c r="B15110" s="3">
        <v>45879</v>
      </c>
      <c r="C15110" s="3"/>
      <c r="D15110" s="6"/>
      <c r="E15110" s="2"/>
      <c r="F15110" s="2"/>
      <c r="G15110" s="2">
        <f t="shared" si="236"/>
        <v>0</v>
      </c>
      <c r="H15110" t="s">
        <v>5</v>
      </c>
    </row>
    <row r="15111" spans="2:8" x14ac:dyDescent="0.2">
      <c r="B15111" s="3">
        <v>45879</v>
      </c>
      <c r="C15111" s="3"/>
      <c r="D15111" s="6"/>
      <c r="E15111" s="2"/>
      <c r="F15111" s="2"/>
      <c r="G15111" s="2">
        <f t="shared" si="236"/>
        <v>0</v>
      </c>
      <c r="H15111" s="1"/>
    </row>
    <row r="15112" spans="2:8" x14ac:dyDescent="0.2">
      <c r="B15112" s="3">
        <v>45879</v>
      </c>
      <c r="C15112" s="3"/>
      <c r="D15112" s="2"/>
      <c r="E15112" s="2"/>
      <c r="F15112" s="2"/>
      <c r="G15112" s="2">
        <f t="shared" si="236"/>
        <v>0</v>
      </c>
      <c r="H15112" t="s">
        <v>0</v>
      </c>
    </row>
    <row r="15113" spans="2:8" x14ac:dyDescent="0.2">
      <c r="B15113" s="3">
        <v>45880</v>
      </c>
      <c r="C15113" s="2"/>
      <c r="D15113" s="2"/>
      <c r="E15113" s="2"/>
      <c r="F15113" s="2"/>
      <c r="G15113" s="2">
        <f t="shared" si="236"/>
        <v>0</v>
      </c>
      <c r="H15113" t="s">
        <v>14</v>
      </c>
    </row>
    <row r="15114" spans="2:8" x14ac:dyDescent="0.2">
      <c r="B15114" s="3">
        <v>45880</v>
      </c>
      <c r="C15114" s="2"/>
      <c r="D15114" s="2"/>
      <c r="E15114" s="2"/>
      <c r="F15114" s="2"/>
      <c r="G15114" s="2">
        <f t="shared" si="236"/>
        <v>0</v>
      </c>
      <c r="H15114" t="s">
        <v>13</v>
      </c>
    </row>
    <row r="15115" spans="2:8" x14ac:dyDescent="0.2">
      <c r="B15115" s="3">
        <v>45880</v>
      </c>
      <c r="C15115" s="3"/>
      <c r="D15115" s="6"/>
      <c r="E15115" s="2"/>
      <c r="F15115" s="2"/>
      <c r="G15115" s="2">
        <f t="shared" si="236"/>
        <v>0</v>
      </c>
      <c r="H15115" t="s">
        <v>11</v>
      </c>
    </row>
    <row r="15116" spans="2:8" x14ac:dyDescent="0.2">
      <c r="B15116" s="3">
        <v>45880</v>
      </c>
      <c r="C15116" s="3"/>
      <c r="D15116" s="6"/>
      <c r="E15116" s="2"/>
      <c r="F15116" s="2"/>
      <c r="G15116" s="2">
        <f t="shared" si="236"/>
        <v>0</v>
      </c>
      <c r="H15116" t="s">
        <v>10</v>
      </c>
    </row>
    <row r="15117" spans="2:8" x14ac:dyDescent="0.2">
      <c r="B15117" s="3">
        <v>45880</v>
      </c>
      <c r="C15117" s="3"/>
      <c r="D15117" s="6"/>
      <c r="E15117" s="2"/>
      <c r="F15117" s="2"/>
      <c r="G15117" s="2">
        <f t="shared" si="236"/>
        <v>0</v>
      </c>
      <c r="H15117" t="s">
        <v>9</v>
      </c>
    </row>
    <row r="15118" spans="2:8" x14ac:dyDescent="0.2">
      <c r="B15118" s="3">
        <v>45880</v>
      </c>
      <c r="C15118" s="2"/>
      <c r="D15118" s="6"/>
      <c r="E15118" s="2"/>
      <c r="F15118" s="2"/>
      <c r="G15118" s="2">
        <f t="shared" si="236"/>
        <v>0</v>
      </c>
      <c r="H15118" t="s">
        <v>8</v>
      </c>
    </row>
    <row r="15119" spans="2:8" x14ac:dyDescent="0.2">
      <c r="B15119" s="3">
        <v>45880</v>
      </c>
      <c r="C15119" s="3"/>
      <c r="D15119" s="6"/>
      <c r="E15119" s="2"/>
      <c r="F15119" s="2"/>
      <c r="G15119" s="2">
        <f t="shared" si="236"/>
        <v>0</v>
      </c>
      <c r="H15119" t="s">
        <v>7</v>
      </c>
    </row>
    <row r="15120" spans="2:8" x14ac:dyDescent="0.2">
      <c r="B15120" s="3">
        <v>45880</v>
      </c>
      <c r="C15120" s="3"/>
      <c r="D15120" s="6"/>
      <c r="E15120" s="2"/>
      <c r="F15120" s="2"/>
      <c r="G15120" s="2">
        <f t="shared" si="236"/>
        <v>0</v>
      </c>
      <c r="H15120" t="s">
        <v>6</v>
      </c>
    </row>
    <row r="15121" spans="2:8" x14ac:dyDescent="0.2">
      <c r="B15121" s="3">
        <v>45880</v>
      </c>
      <c r="C15121" s="3"/>
      <c r="D15121" s="6"/>
      <c r="E15121" s="2"/>
      <c r="F15121" s="2"/>
      <c r="G15121" s="2">
        <f t="shared" si="236"/>
        <v>0</v>
      </c>
      <c r="H15121" t="s">
        <v>5</v>
      </c>
    </row>
    <row r="15122" spans="2:8" x14ac:dyDescent="0.2">
      <c r="B15122" s="3">
        <v>45880</v>
      </c>
      <c r="C15122" s="3"/>
      <c r="D15122" s="6"/>
      <c r="E15122" s="2"/>
      <c r="F15122" s="2"/>
      <c r="G15122" s="2">
        <f t="shared" si="236"/>
        <v>0</v>
      </c>
      <c r="H15122" s="1"/>
    </row>
    <row r="15123" spans="2:8" x14ac:dyDescent="0.2">
      <c r="B15123" s="3">
        <v>45880</v>
      </c>
      <c r="C15123" s="3"/>
      <c r="D15123" s="2"/>
      <c r="E15123" s="2"/>
      <c r="F15123" s="2"/>
      <c r="G15123" s="2">
        <f t="shared" si="236"/>
        <v>0</v>
      </c>
      <c r="H15123" t="s">
        <v>0</v>
      </c>
    </row>
    <row r="15124" spans="2:8" x14ac:dyDescent="0.2">
      <c r="B15124" s="3">
        <v>45881</v>
      </c>
      <c r="C15124" s="2"/>
      <c r="D15124" s="2"/>
      <c r="E15124" s="2"/>
      <c r="F15124" s="2"/>
      <c r="G15124" s="2">
        <f t="shared" si="236"/>
        <v>0</v>
      </c>
      <c r="H15124" t="s">
        <v>14</v>
      </c>
    </row>
    <row r="15125" spans="2:8" x14ac:dyDescent="0.2">
      <c r="B15125" s="3">
        <v>45881</v>
      </c>
      <c r="C15125" s="2"/>
      <c r="D15125" s="2"/>
      <c r="E15125" s="2"/>
      <c r="F15125" s="2"/>
      <c r="G15125" s="2">
        <f t="shared" si="236"/>
        <v>0</v>
      </c>
      <c r="H15125" t="s">
        <v>13</v>
      </c>
    </row>
    <row r="15126" spans="2:8" x14ac:dyDescent="0.2">
      <c r="B15126" s="3">
        <v>45881</v>
      </c>
      <c r="C15126" s="3"/>
      <c r="D15126" s="6"/>
      <c r="E15126" s="2"/>
      <c r="F15126" s="2"/>
      <c r="G15126" s="2">
        <f t="shared" si="236"/>
        <v>0</v>
      </c>
      <c r="H15126" t="s">
        <v>11</v>
      </c>
    </row>
    <row r="15127" spans="2:8" x14ac:dyDescent="0.2">
      <c r="B15127" s="3">
        <v>45881</v>
      </c>
      <c r="C15127" s="3"/>
      <c r="D15127" s="6"/>
      <c r="E15127" s="2"/>
      <c r="F15127" s="2"/>
      <c r="G15127" s="2">
        <f t="shared" si="236"/>
        <v>0</v>
      </c>
      <c r="H15127" t="s">
        <v>10</v>
      </c>
    </row>
    <row r="15128" spans="2:8" x14ac:dyDescent="0.2">
      <c r="B15128" s="3">
        <v>45881</v>
      </c>
      <c r="C15128" s="3"/>
      <c r="D15128" s="6"/>
      <c r="E15128" s="2"/>
      <c r="F15128" s="2"/>
      <c r="G15128" s="2">
        <f t="shared" si="236"/>
        <v>0</v>
      </c>
      <c r="H15128" t="s">
        <v>9</v>
      </c>
    </row>
    <row r="15129" spans="2:8" x14ac:dyDescent="0.2">
      <c r="B15129" s="3">
        <v>45881</v>
      </c>
      <c r="C15129" s="2">
        <v>106</v>
      </c>
      <c r="D15129" s="6">
        <v>43170</v>
      </c>
      <c r="E15129" s="2">
        <v>47950</v>
      </c>
      <c r="F15129" s="2">
        <v>30000</v>
      </c>
      <c r="G15129" s="2">
        <f t="shared" si="236"/>
        <v>17950</v>
      </c>
      <c r="H15129" t="s">
        <v>8</v>
      </c>
    </row>
    <row r="15130" spans="2:8" x14ac:dyDescent="0.2">
      <c r="B15130" s="3">
        <v>45881</v>
      </c>
      <c r="C15130" s="3"/>
      <c r="D15130" s="6"/>
      <c r="E15130" s="2"/>
      <c r="F15130" s="2"/>
      <c r="G15130" s="2">
        <f t="shared" si="236"/>
        <v>0</v>
      </c>
      <c r="H15130" t="s">
        <v>7</v>
      </c>
    </row>
    <row r="15131" spans="2:8" x14ac:dyDescent="0.2">
      <c r="B15131" s="3">
        <v>45881</v>
      </c>
      <c r="C15131" s="3"/>
      <c r="D15131" s="6"/>
      <c r="E15131" s="2"/>
      <c r="F15131" s="2"/>
      <c r="G15131" s="2">
        <f t="shared" si="236"/>
        <v>0</v>
      </c>
      <c r="H15131" t="s">
        <v>6</v>
      </c>
    </row>
    <row r="15132" spans="2:8" x14ac:dyDescent="0.2">
      <c r="B15132" s="3">
        <v>45881</v>
      </c>
      <c r="C15132" s="3"/>
      <c r="D15132" s="6"/>
      <c r="E15132" s="2"/>
      <c r="F15132" s="2"/>
      <c r="G15132" s="2">
        <f t="shared" si="236"/>
        <v>0</v>
      </c>
      <c r="H15132" t="s">
        <v>5</v>
      </c>
    </row>
    <row r="15133" spans="2:8" x14ac:dyDescent="0.2">
      <c r="B15133" s="3">
        <v>45881</v>
      </c>
      <c r="C15133" s="3"/>
      <c r="D15133" s="6"/>
      <c r="E15133" s="2"/>
      <c r="F15133" s="2"/>
      <c r="G15133" s="2">
        <f t="shared" si="236"/>
        <v>0</v>
      </c>
      <c r="H15133" s="1"/>
    </row>
    <row r="15134" spans="2:8" x14ac:dyDescent="0.2">
      <c r="B15134" s="3">
        <v>45881</v>
      </c>
      <c r="C15134" s="3"/>
      <c r="D15134" s="2"/>
      <c r="E15134" s="2"/>
      <c r="F15134" s="2"/>
      <c r="G15134" s="2">
        <f t="shared" si="236"/>
        <v>0</v>
      </c>
      <c r="H15134" t="s">
        <v>0</v>
      </c>
    </row>
    <row r="15135" spans="2:8" x14ac:dyDescent="0.2">
      <c r="B15135" s="3">
        <v>45882</v>
      </c>
      <c r="C15135" s="2"/>
      <c r="D15135" s="2"/>
      <c r="E15135" s="2"/>
      <c r="F15135" s="2"/>
      <c r="G15135" s="2">
        <f t="shared" si="236"/>
        <v>0</v>
      </c>
      <c r="H15135" t="s">
        <v>14</v>
      </c>
    </row>
    <row r="15136" spans="2:8" x14ac:dyDescent="0.2">
      <c r="B15136" s="3">
        <v>45882</v>
      </c>
      <c r="C15136" s="2"/>
      <c r="D15136" s="2"/>
      <c r="E15136" s="2"/>
      <c r="F15136" s="2"/>
      <c r="G15136" s="2">
        <f t="shared" si="236"/>
        <v>0</v>
      </c>
      <c r="H15136" t="s">
        <v>13</v>
      </c>
    </row>
    <row r="15137" spans="2:8" x14ac:dyDescent="0.2">
      <c r="B15137" s="3">
        <v>45882</v>
      </c>
      <c r="C15137" s="3"/>
      <c r="D15137" s="6"/>
      <c r="E15137" s="2"/>
      <c r="F15137" s="2"/>
      <c r="G15137" s="2">
        <f t="shared" si="236"/>
        <v>0</v>
      </c>
      <c r="H15137" t="s">
        <v>11</v>
      </c>
    </row>
    <row r="15138" spans="2:8" x14ac:dyDescent="0.2">
      <c r="B15138" s="3">
        <v>45882</v>
      </c>
      <c r="C15138" s="3"/>
      <c r="D15138" s="6"/>
      <c r="E15138" s="2"/>
      <c r="F15138" s="2"/>
      <c r="G15138" s="2">
        <f t="shared" si="236"/>
        <v>0</v>
      </c>
      <c r="H15138" t="s">
        <v>10</v>
      </c>
    </row>
    <row r="15139" spans="2:8" x14ac:dyDescent="0.2">
      <c r="B15139" s="3">
        <v>45882</v>
      </c>
      <c r="C15139" s="3"/>
      <c r="D15139" s="6"/>
      <c r="E15139" s="2"/>
      <c r="F15139" s="2"/>
      <c r="G15139" s="2">
        <f t="shared" si="236"/>
        <v>0</v>
      </c>
      <c r="H15139" t="s">
        <v>9</v>
      </c>
    </row>
    <row r="15140" spans="2:8" x14ac:dyDescent="0.2">
      <c r="B15140" s="3">
        <v>45882</v>
      </c>
      <c r="C15140" s="2"/>
      <c r="D15140" s="6"/>
      <c r="E15140" s="2"/>
      <c r="F15140" s="2"/>
      <c r="G15140" s="2">
        <f t="shared" si="236"/>
        <v>0</v>
      </c>
      <c r="H15140" t="s">
        <v>8</v>
      </c>
    </row>
    <row r="15141" spans="2:8" x14ac:dyDescent="0.2">
      <c r="B15141" s="3">
        <v>45882</v>
      </c>
      <c r="C15141" s="3"/>
      <c r="D15141" s="6"/>
      <c r="E15141" s="2"/>
      <c r="F15141" s="2"/>
      <c r="G15141" s="2">
        <f t="shared" si="236"/>
        <v>0</v>
      </c>
      <c r="H15141" t="s">
        <v>7</v>
      </c>
    </row>
    <row r="15142" spans="2:8" x14ac:dyDescent="0.2">
      <c r="B15142" s="3">
        <v>45882</v>
      </c>
      <c r="C15142" s="3"/>
      <c r="D15142" s="6"/>
      <c r="E15142" s="2"/>
      <c r="F15142" s="2"/>
      <c r="G15142" s="2">
        <f t="shared" si="236"/>
        <v>0</v>
      </c>
      <c r="H15142" t="s">
        <v>6</v>
      </c>
    </row>
    <row r="15143" spans="2:8" x14ac:dyDescent="0.2">
      <c r="B15143" s="3">
        <v>45882</v>
      </c>
      <c r="C15143" s="3"/>
      <c r="D15143" s="6"/>
      <c r="E15143" s="2"/>
      <c r="F15143" s="2"/>
      <c r="G15143" s="2">
        <f t="shared" si="236"/>
        <v>0</v>
      </c>
      <c r="H15143" t="s">
        <v>5</v>
      </c>
    </row>
    <row r="15144" spans="2:8" x14ac:dyDescent="0.2">
      <c r="B15144" s="3">
        <v>45882</v>
      </c>
      <c r="C15144" s="3"/>
      <c r="D15144" s="6"/>
      <c r="E15144" s="2"/>
      <c r="F15144" s="2"/>
      <c r="G15144" s="2">
        <f t="shared" si="236"/>
        <v>0</v>
      </c>
      <c r="H15144" s="1"/>
    </row>
    <row r="15145" spans="2:8" x14ac:dyDescent="0.2">
      <c r="B15145" s="3">
        <v>45882</v>
      </c>
      <c r="C15145" s="3"/>
      <c r="D15145" s="2"/>
      <c r="E15145" s="2"/>
      <c r="F15145" s="2"/>
      <c r="G15145" s="2">
        <f t="shared" si="236"/>
        <v>0</v>
      </c>
      <c r="H15145" t="s">
        <v>0</v>
      </c>
    </row>
    <row r="15146" spans="2:8" x14ac:dyDescent="0.2">
      <c r="B15146" s="3">
        <v>45883</v>
      </c>
      <c r="C15146" s="2" t="s">
        <v>19</v>
      </c>
      <c r="D15146" s="2">
        <v>13975.825000000001</v>
      </c>
      <c r="E15146" s="2">
        <v>16216.5</v>
      </c>
      <c r="F15146" s="2"/>
      <c r="G15146" s="2">
        <f t="shared" si="236"/>
        <v>16216.5</v>
      </c>
      <c r="H15146" t="s">
        <v>14</v>
      </c>
    </row>
    <row r="15147" spans="2:8" x14ac:dyDescent="0.2">
      <c r="B15147" s="3">
        <v>45883</v>
      </c>
      <c r="C15147" s="2"/>
      <c r="D15147" s="2"/>
      <c r="E15147" s="2"/>
      <c r="F15147" s="2"/>
      <c r="G15147" s="2">
        <f t="shared" si="236"/>
        <v>0</v>
      </c>
      <c r="H15147" t="s">
        <v>13</v>
      </c>
    </row>
    <row r="15148" spans="2:8" x14ac:dyDescent="0.2">
      <c r="B15148" s="3">
        <v>45883</v>
      </c>
      <c r="C15148" s="3"/>
      <c r="D15148" s="6"/>
      <c r="E15148" s="2"/>
      <c r="F15148" s="2"/>
      <c r="G15148" s="2">
        <f t="shared" si="236"/>
        <v>0</v>
      </c>
      <c r="H15148" t="s">
        <v>11</v>
      </c>
    </row>
    <row r="15149" spans="2:8" x14ac:dyDescent="0.2">
      <c r="B15149" s="3">
        <v>45883</v>
      </c>
      <c r="C15149" s="3"/>
      <c r="D15149" s="6"/>
      <c r="E15149" s="2"/>
      <c r="F15149" s="2"/>
      <c r="G15149" s="2">
        <f t="shared" si="236"/>
        <v>0</v>
      </c>
      <c r="H15149" t="s">
        <v>10</v>
      </c>
    </row>
    <row r="15150" spans="2:8" x14ac:dyDescent="0.2">
      <c r="B15150" s="3">
        <v>45883</v>
      </c>
      <c r="C15150" s="3"/>
      <c r="D15150" s="6"/>
      <c r="E15150" s="2"/>
      <c r="F15150" s="2"/>
      <c r="G15150" s="2">
        <f t="shared" si="236"/>
        <v>0</v>
      </c>
      <c r="H15150" t="s">
        <v>9</v>
      </c>
    </row>
    <row r="15151" spans="2:8" x14ac:dyDescent="0.2">
      <c r="B15151" s="3">
        <v>45883</v>
      </c>
      <c r="C15151" s="2"/>
      <c r="D15151" s="6"/>
      <c r="E15151" s="2"/>
      <c r="F15151" s="2"/>
      <c r="G15151" s="2">
        <f t="shared" si="236"/>
        <v>0</v>
      </c>
      <c r="H15151" t="s">
        <v>8</v>
      </c>
    </row>
    <row r="15152" spans="2:8" x14ac:dyDescent="0.2">
      <c r="B15152" s="3">
        <v>45883</v>
      </c>
      <c r="C15152" s="3"/>
      <c r="D15152" s="6"/>
      <c r="E15152" s="2"/>
      <c r="F15152" s="2"/>
      <c r="G15152" s="2">
        <f t="shared" si="236"/>
        <v>0</v>
      </c>
      <c r="H15152" t="s">
        <v>7</v>
      </c>
    </row>
    <row r="15153" spans="2:8" x14ac:dyDescent="0.2">
      <c r="B15153" s="3">
        <v>45883</v>
      </c>
      <c r="C15153" s="3"/>
      <c r="D15153" s="6"/>
      <c r="E15153" s="2"/>
      <c r="F15153" s="2"/>
      <c r="G15153" s="2">
        <f t="shared" si="236"/>
        <v>0</v>
      </c>
      <c r="H15153" t="s">
        <v>6</v>
      </c>
    </row>
    <row r="15154" spans="2:8" x14ac:dyDescent="0.2">
      <c r="B15154" s="3">
        <v>45883</v>
      </c>
      <c r="C15154" s="3"/>
      <c r="D15154" s="6"/>
      <c r="E15154" s="2"/>
      <c r="F15154" s="2"/>
      <c r="G15154" s="2">
        <f t="shared" si="236"/>
        <v>0</v>
      </c>
      <c r="H15154" t="s">
        <v>5</v>
      </c>
    </row>
    <row r="15155" spans="2:8" x14ac:dyDescent="0.2">
      <c r="B15155" s="3">
        <v>45883</v>
      </c>
      <c r="C15155" s="3"/>
      <c r="D15155" s="6"/>
      <c r="E15155" s="2"/>
      <c r="F15155" s="2"/>
      <c r="G15155" s="2">
        <f t="shared" si="236"/>
        <v>0</v>
      </c>
      <c r="H15155" s="1"/>
    </row>
    <row r="15156" spans="2:8" x14ac:dyDescent="0.2">
      <c r="B15156" s="3">
        <v>45883</v>
      </c>
      <c r="C15156" s="3"/>
      <c r="D15156" s="2"/>
      <c r="E15156" s="2"/>
      <c r="F15156" s="2"/>
      <c r="G15156" s="2">
        <f t="shared" si="236"/>
        <v>0</v>
      </c>
      <c r="H15156" t="s">
        <v>0</v>
      </c>
    </row>
    <row r="15157" spans="2:8" x14ac:dyDescent="0.2">
      <c r="B15157" s="3">
        <v>45884</v>
      </c>
      <c r="C15157" s="2"/>
      <c r="D15157" s="2"/>
      <c r="E15157" s="2"/>
      <c r="F15157" s="2"/>
      <c r="G15157" s="2">
        <f t="shared" si="236"/>
        <v>0</v>
      </c>
      <c r="H15157" t="s">
        <v>14</v>
      </c>
    </row>
    <row r="15158" spans="2:8" x14ac:dyDescent="0.2">
      <c r="B15158" s="3">
        <v>45884</v>
      </c>
      <c r="C15158" s="2"/>
      <c r="D15158" s="2"/>
      <c r="E15158" s="2"/>
      <c r="F15158" s="2"/>
      <c r="G15158" s="2">
        <f t="shared" si="236"/>
        <v>0</v>
      </c>
      <c r="H15158" t="s">
        <v>13</v>
      </c>
    </row>
    <row r="15159" spans="2:8" x14ac:dyDescent="0.2">
      <c r="B15159" s="3">
        <v>45884</v>
      </c>
      <c r="C15159" s="3"/>
      <c r="D15159" s="6"/>
      <c r="E15159" s="2"/>
      <c r="F15159" s="2"/>
      <c r="G15159" s="2">
        <f t="shared" si="236"/>
        <v>0</v>
      </c>
      <c r="H15159" t="s">
        <v>11</v>
      </c>
    </row>
    <row r="15160" spans="2:8" x14ac:dyDescent="0.2">
      <c r="B15160" s="3">
        <v>45884</v>
      </c>
      <c r="C15160" s="3"/>
      <c r="D15160" s="6"/>
      <c r="E15160" s="2"/>
      <c r="F15160" s="2"/>
      <c r="G15160" s="2">
        <f t="shared" si="236"/>
        <v>0</v>
      </c>
      <c r="H15160" t="s">
        <v>10</v>
      </c>
    </row>
    <row r="15161" spans="2:8" x14ac:dyDescent="0.2">
      <c r="B15161" s="3">
        <v>45884</v>
      </c>
      <c r="C15161" s="3"/>
      <c r="D15161" s="6"/>
      <c r="E15161" s="2"/>
      <c r="F15161" s="2"/>
      <c r="G15161" s="2">
        <f t="shared" si="236"/>
        <v>0</v>
      </c>
      <c r="H15161" t="s">
        <v>9</v>
      </c>
    </row>
    <row r="15162" spans="2:8" x14ac:dyDescent="0.2">
      <c r="B15162" s="3">
        <v>45884</v>
      </c>
      <c r="C15162" s="2"/>
      <c r="D15162" s="6"/>
      <c r="E15162" s="2"/>
      <c r="F15162" s="2"/>
      <c r="G15162" s="2">
        <f t="shared" si="236"/>
        <v>0</v>
      </c>
      <c r="H15162" t="s">
        <v>8</v>
      </c>
    </row>
    <row r="15163" spans="2:8" x14ac:dyDescent="0.2">
      <c r="B15163" s="3">
        <v>45884</v>
      </c>
      <c r="C15163" s="3"/>
      <c r="D15163" s="6"/>
      <c r="E15163" s="2"/>
      <c r="F15163" s="2"/>
      <c r="G15163" s="2">
        <f t="shared" si="236"/>
        <v>0</v>
      </c>
      <c r="H15163" t="s">
        <v>7</v>
      </c>
    </row>
    <row r="15164" spans="2:8" x14ac:dyDescent="0.2">
      <c r="B15164" s="3">
        <v>45884</v>
      </c>
      <c r="C15164" s="3"/>
      <c r="D15164" s="6"/>
      <c r="E15164" s="2"/>
      <c r="F15164" s="2"/>
      <c r="G15164" s="2">
        <f t="shared" si="236"/>
        <v>0</v>
      </c>
      <c r="H15164" t="s">
        <v>6</v>
      </c>
    </row>
    <row r="15165" spans="2:8" x14ac:dyDescent="0.2">
      <c r="B15165" s="3">
        <v>45884</v>
      </c>
      <c r="C15165" s="2">
        <v>113</v>
      </c>
      <c r="D15165" s="8">
        <v>3000</v>
      </c>
      <c r="E15165" s="2">
        <v>3050</v>
      </c>
      <c r="F15165" s="2"/>
      <c r="G15165" s="2">
        <f t="shared" si="236"/>
        <v>3050</v>
      </c>
      <c r="H15165" t="s">
        <v>5</v>
      </c>
    </row>
    <row r="15166" spans="2:8" x14ac:dyDescent="0.2">
      <c r="B15166" s="3">
        <v>45884</v>
      </c>
      <c r="C15166" s="3"/>
      <c r="D15166" s="6"/>
      <c r="E15166" s="2"/>
      <c r="F15166" s="2"/>
      <c r="G15166" s="2">
        <f t="shared" si="236"/>
        <v>0</v>
      </c>
      <c r="H15166" s="1"/>
    </row>
    <row r="15167" spans="2:8" x14ac:dyDescent="0.2">
      <c r="B15167" s="3">
        <v>45884</v>
      </c>
      <c r="C15167" s="3"/>
      <c r="D15167" s="2"/>
      <c r="E15167" s="2"/>
      <c r="F15167" s="2"/>
      <c r="G15167" s="2">
        <f t="shared" si="236"/>
        <v>0</v>
      </c>
      <c r="H15167" t="s">
        <v>0</v>
      </c>
    </row>
    <row r="15168" spans="2:8" x14ac:dyDescent="0.2">
      <c r="B15168" s="3">
        <v>45885</v>
      </c>
      <c r="C15168" s="2"/>
      <c r="D15168" s="2"/>
      <c r="E15168" s="2"/>
      <c r="F15168" s="2"/>
      <c r="G15168" s="2">
        <f t="shared" si="236"/>
        <v>0</v>
      </c>
      <c r="H15168" t="s">
        <v>14</v>
      </c>
    </row>
    <row r="15169" spans="2:8" x14ac:dyDescent="0.2">
      <c r="B15169" s="3">
        <v>45885</v>
      </c>
      <c r="C15169" s="2"/>
      <c r="D15169" s="2"/>
      <c r="E15169" s="2"/>
      <c r="F15169" s="2"/>
      <c r="G15169" s="2">
        <f t="shared" si="236"/>
        <v>0</v>
      </c>
      <c r="H15169" t="s">
        <v>13</v>
      </c>
    </row>
    <row r="15170" spans="2:8" x14ac:dyDescent="0.2">
      <c r="B15170" s="3">
        <v>45885</v>
      </c>
      <c r="C15170" s="3"/>
      <c r="D15170" s="6"/>
      <c r="E15170" s="2"/>
      <c r="F15170" s="2"/>
      <c r="G15170" s="2">
        <f t="shared" si="236"/>
        <v>0</v>
      </c>
      <c r="H15170" t="s">
        <v>11</v>
      </c>
    </row>
    <row r="15171" spans="2:8" x14ac:dyDescent="0.2">
      <c r="B15171" s="3">
        <v>45885</v>
      </c>
      <c r="C15171" s="3"/>
      <c r="D15171" s="6"/>
      <c r="E15171" s="2"/>
      <c r="F15171" s="2"/>
      <c r="G15171" s="2">
        <f t="shared" ref="G15171:G15234" si="237">E15171-F15171</f>
        <v>0</v>
      </c>
      <c r="H15171" t="s">
        <v>10</v>
      </c>
    </row>
    <row r="15172" spans="2:8" x14ac:dyDescent="0.2">
      <c r="B15172" s="3">
        <v>45885</v>
      </c>
      <c r="C15172" s="3"/>
      <c r="D15172" s="6"/>
      <c r="E15172" s="2"/>
      <c r="F15172" s="2"/>
      <c r="G15172" s="2">
        <f t="shared" si="237"/>
        <v>0</v>
      </c>
      <c r="H15172" t="s">
        <v>9</v>
      </c>
    </row>
    <row r="15173" spans="2:8" x14ac:dyDescent="0.2">
      <c r="B15173" s="3">
        <v>45885</v>
      </c>
      <c r="C15173" s="2"/>
      <c r="D15173" s="6"/>
      <c r="E15173" s="2"/>
      <c r="F15173" s="2"/>
      <c r="G15173" s="2">
        <f t="shared" si="237"/>
        <v>0</v>
      </c>
      <c r="H15173" t="s">
        <v>8</v>
      </c>
    </row>
    <row r="15174" spans="2:8" x14ac:dyDescent="0.2">
      <c r="B15174" s="3">
        <v>45885</v>
      </c>
      <c r="C15174" s="3"/>
      <c r="D15174" s="6"/>
      <c r="E15174" s="2"/>
      <c r="F15174" s="2"/>
      <c r="G15174" s="2">
        <f t="shared" si="237"/>
        <v>0</v>
      </c>
      <c r="H15174" t="s">
        <v>7</v>
      </c>
    </row>
    <row r="15175" spans="2:8" x14ac:dyDescent="0.2">
      <c r="B15175" s="3">
        <v>45885</v>
      </c>
      <c r="C15175" s="3"/>
      <c r="D15175" s="6"/>
      <c r="E15175" s="2"/>
      <c r="F15175" s="2"/>
      <c r="G15175" s="2">
        <f t="shared" si="237"/>
        <v>0</v>
      </c>
      <c r="H15175" t="s">
        <v>6</v>
      </c>
    </row>
    <row r="15176" spans="2:8" x14ac:dyDescent="0.2">
      <c r="B15176" s="3">
        <v>45885</v>
      </c>
      <c r="C15176" s="3"/>
      <c r="D15176" s="6"/>
      <c r="E15176" s="2"/>
      <c r="F15176" s="2"/>
      <c r="G15176" s="2">
        <f t="shared" si="237"/>
        <v>0</v>
      </c>
      <c r="H15176" t="s">
        <v>5</v>
      </c>
    </row>
    <row r="15177" spans="2:8" x14ac:dyDescent="0.2">
      <c r="B15177" s="3">
        <v>45885</v>
      </c>
      <c r="C15177" s="3"/>
      <c r="D15177" s="6"/>
      <c r="E15177" s="2"/>
      <c r="F15177" s="2"/>
      <c r="G15177" s="2">
        <f t="shared" si="237"/>
        <v>0</v>
      </c>
      <c r="H15177" s="1"/>
    </row>
    <row r="15178" spans="2:8" x14ac:dyDescent="0.2">
      <c r="B15178" s="3">
        <v>45885</v>
      </c>
      <c r="C15178" s="3"/>
      <c r="D15178" s="2"/>
      <c r="E15178" s="2"/>
      <c r="F15178" s="2"/>
      <c r="G15178" s="2">
        <f t="shared" si="237"/>
        <v>0</v>
      </c>
      <c r="H15178" t="s">
        <v>0</v>
      </c>
    </row>
    <row r="15179" spans="2:8" x14ac:dyDescent="0.2">
      <c r="B15179" s="3">
        <v>45886</v>
      </c>
      <c r="C15179" s="2"/>
      <c r="D15179" s="2"/>
      <c r="E15179" s="2"/>
      <c r="F15179" s="2"/>
      <c r="G15179" s="2">
        <f t="shared" si="237"/>
        <v>0</v>
      </c>
      <c r="H15179" t="s">
        <v>14</v>
      </c>
    </row>
    <row r="15180" spans="2:8" x14ac:dyDescent="0.2">
      <c r="B15180" s="3">
        <v>45886</v>
      </c>
      <c r="C15180" s="2"/>
      <c r="D15180" s="2"/>
      <c r="E15180" s="2"/>
      <c r="F15180" s="2"/>
      <c r="G15180" s="2">
        <f t="shared" si="237"/>
        <v>0</v>
      </c>
      <c r="H15180" t="s">
        <v>13</v>
      </c>
    </row>
    <row r="15181" spans="2:8" x14ac:dyDescent="0.2">
      <c r="B15181" s="3">
        <v>45886</v>
      </c>
      <c r="C15181" s="3"/>
      <c r="D15181" s="6"/>
      <c r="E15181" s="2"/>
      <c r="F15181" s="2"/>
      <c r="G15181" s="2">
        <f t="shared" si="237"/>
        <v>0</v>
      </c>
      <c r="H15181" t="s">
        <v>11</v>
      </c>
    </row>
    <row r="15182" spans="2:8" x14ac:dyDescent="0.2">
      <c r="B15182" s="3">
        <v>45886</v>
      </c>
      <c r="C15182" s="3"/>
      <c r="D15182" s="6"/>
      <c r="E15182" s="2"/>
      <c r="F15182" s="2"/>
      <c r="G15182" s="2">
        <f t="shared" si="237"/>
        <v>0</v>
      </c>
      <c r="H15182" t="s">
        <v>10</v>
      </c>
    </row>
    <row r="15183" spans="2:8" x14ac:dyDescent="0.2">
      <c r="B15183" s="3">
        <v>45886</v>
      </c>
      <c r="C15183" s="3"/>
      <c r="D15183" s="6"/>
      <c r="E15183" s="2"/>
      <c r="F15183" s="2"/>
      <c r="G15183" s="2">
        <f t="shared" si="237"/>
        <v>0</v>
      </c>
      <c r="H15183" t="s">
        <v>9</v>
      </c>
    </row>
    <row r="15184" spans="2:8" x14ac:dyDescent="0.2">
      <c r="B15184" s="3">
        <v>45886</v>
      </c>
      <c r="C15184" s="2">
        <v>107</v>
      </c>
      <c r="D15184" s="6">
        <v>37550</v>
      </c>
      <c r="E15184" s="2">
        <v>40000</v>
      </c>
      <c r="F15184" s="2"/>
      <c r="G15184" s="2">
        <f t="shared" si="237"/>
        <v>40000</v>
      </c>
      <c r="H15184" t="s">
        <v>8</v>
      </c>
    </row>
    <row r="15185" spans="2:8" x14ac:dyDescent="0.2">
      <c r="B15185" s="3">
        <v>45886</v>
      </c>
      <c r="C15185" s="3"/>
      <c r="D15185" s="6"/>
      <c r="E15185" s="2"/>
      <c r="F15185" s="2"/>
      <c r="G15185" s="2">
        <f t="shared" si="237"/>
        <v>0</v>
      </c>
      <c r="H15185" t="s">
        <v>7</v>
      </c>
    </row>
    <row r="15186" spans="2:8" x14ac:dyDescent="0.2">
      <c r="B15186" s="3">
        <v>45886</v>
      </c>
      <c r="C15186" s="3"/>
      <c r="D15186" s="6"/>
      <c r="E15186" s="2"/>
      <c r="F15186" s="2"/>
      <c r="G15186" s="2">
        <f t="shared" si="237"/>
        <v>0</v>
      </c>
      <c r="H15186" t="s">
        <v>6</v>
      </c>
    </row>
    <row r="15187" spans="2:8" x14ac:dyDescent="0.2">
      <c r="B15187" s="3">
        <v>45886</v>
      </c>
      <c r="C15187" s="3"/>
      <c r="D15187" s="6"/>
      <c r="E15187" s="2"/>
      <c r="F15187" s="2"/>
      <c r="G15187" s="2">
        <f t="shared" si="237"/>
        <v>0</v>
      </c>
      <c r="H15187" t="s">
        <v>5</v>
      </c>
    </row>
    <row r="15188" spans="2:8" x14ac:dyDescent="0.2">
      <c r="B15188" s="3">
        <v>45886</v>
      </c>
      <c r="C15188" s="3"/>
      <c r="D15188" s="6"/>
      <c r="E15188" s="2"/>
      <c r="F15188" s="2"/>
      <c r="G15188" s="2">
        <f t="shared" si="237"/>
        <v>0</v>
      </c>
      <c r="H15188" s="1"/>
    </row>
    <row r="15189" spans="2:8" x14ac:dyDescent="0.2">
      <c r="B15189" s="3">
        <v>45886</v>
      </c>
      <c r="C15189" s="3"/>
      <c r="D15189" s="2"/>
      <c r="E15189" s="2"/>
      <c r="F15189" s="2">
        <v>201890</v>
      </c>
      <c r="G15189" s="2">
        <f t="shared" si="237"/>
        <v>-201890</v>
      </c>
      <c r="H15189" t="s">
        <v>0</v>
      </c>
    </row>
    <row r="15190" spans="2:8" x14ac:dyDescent="0.2">
      <c r="B15190" s="3">
        <v>45887</v>
      </c>
      <c r="C15190" s="2"/>
      <c r="D15190" s="2"/>
      <c r="E15190" s="2"/>
      <c r="F15190" s="2">
        <v>10000</v>
      </c>
      <c r="G15190" s="2">
        <f t="shared" si="237"/>
        <v>-10000</v>
      </c>
      <c r="H15190" t="s">
        <v>14</v>
      </c>
    </row>
    <row r="15191" spans="2:8" x14ac:dyDescent="0.2">
      <c r="B15191" s="3">
        <v>45887</v>
      </c>
      <c r="C15191" s="2"/>
      <c r="D15191" s="2"/>
      <c r="E15191" s="2"/>
      <c r="F15191" s="2"/>
      <c r="G15191" s="2">
        <f t="shared" si="237"/>
        <v>0</v>
      </c>
      <c r="H15191" t="s">
        <v>13</v>
      </c>
    </row>
    <row r="15192" spans="2:8" x14ac:dyDescent="0.2">
      <c r="B15192" s="3">
        <v>45887</v>
      </c>
      <c r="C15192" s="3"/>
      <c r="D15192" s="6"/>
      <c r="E15192" s="2"/>
      <c r="F15192" s="2"/>
      <c r="G15192" s="2">
        <f t="shared" si="237"/>
        <v>0</v>
      </c>
      <c r="H15192" t="s">
        <v>11</v>
      </c>
    </row>
    <row r="15193" spans="2:8" x14ac:dyDescent="0.2">
      <c r="B15193" s="3">
        <v>45887</v>
      </c>
      <c r="C15193" s="3"/>
      <c r="D15193" s="6"/>
      <c r="E15193" s="2"/>
      <c r="F15193" s="2"/>
      <c r="G15193" s="2">
        <f t="shared" si="237"/>
        <v>0</v>
      </c>
      <c r="H15193" t="s">
        <v>10</v>
      </c>
    </row>
    <row r="15194" spans="2:8" x14ac:dyDescent="0.2">
      <c r="B15194" s="3">
        <v>45887</v>
      </c>
      <c r="C15194" s="3"/>
      <c r="D15194" s="6"/>
      <c r="E15194" s="2"/>
      <c r="F15194" s="2"/>
      <c r="G15194" s="2">
        <f t="shared" si="237"/>
        <v>0</v>
      </c>
      <c r="H15194" t="s">
        <v>9</v>
      </c>
    </row>
    <row r="15195" spans="2:8" x14ac:dyDescent="0.2">
      <c r="B15195" s="3">
        <v>45887</v>
      </c>
      <c r="C15195" s="2"/>
      <c r="D15195" s="6"/>
      <c r="E15195" s="2"/>
      <c r="F15195" s="2"/>
      <c r="G15195" s="2">
        <f t="shared" si="237"/>
        <v>0</v>
      </c>
      <c r="H15195" t="s">
        <v>8</v>
      </c>
    </row>
    <row r="15196" spans="2:8" x14ac:dyDescent="0.2">
      <c r="B15196" s="3">
        <v>45887</v>
      </c>
      <c r="C15196" s="3"/>
      <c r="D15196" s="6"/>
      <c r="E15196" s="2"/>
      <c r="F15196" s="2"/>
      <c r="G15196" s="2">
        <f t="shared" si="237"/>
        <v>0</v>
      </c>
      <c r="H15196" t="s">
        <v>7</v>
      </c>
    </row>
    <row r="15197" spans="2:8" x14ac:dyDescent="0.2">
      <c r="B15197" s="3">
        <v>45887</v>
      </c>
      <c r="C15197" s="3"/>
      <c r="D15197" s="6"/>
      <c r="E15197" s="2"/>
      <c r="F15197" s="2"/>
      <c r="G15197" s="2">
        <f t="shared" si="237"/>
        <v>0</v>
      </c>
      <c r="H15197" t="s">
        <v>6</v>
      </c>
    </row>
    <row r="15198" spans="2:8" x14ac:dyDescent="0.2">
      <c r="B15198" s="3">
        <v>45887</v>
      </c>
      <c r="C15198" s="3"/>
      <c r="D15198" s="6"/>
      <c r="E15198" s="2"/>
      <c r="F15198" s="2"/>
      <c r="G15198" s="2">
        <f t="shared" si="237"/>
        <v>0</v>
      </c>
      <c r="H15198" t="s">
        <v>5</v>
      </c>
    </row>
    <row r="15199" spans="2:8" x14ac:dyDescent="0.2">
      <c r="B15199" s="3">
        <v>45887</v>
      </c>
      <c r="C15199" s="3"/>
      <c r="D15199" s="6"/>
      <c r="E15199" s="2"/>
      <c r="F15199" s="2"/>
      <c r="G15199" s="2">
        <f t="shared" si="237"/>
        <v>0</v>
      </c>
      <c r="H15199" s="1"/>
    </row>
    <row r="15200" spans="2:8" x14ac:dyDescent="0.2">
      <c r="B15200" s="3">
        <v>45887</v>
      </c>
      <c r="C15200" s="3"/>
      <c r="D15200" s="2"/>
      <c r="E15200" s="2"/>
      <c r="F15200" s="2"/>
      <c r="G15200" s="2">
        <f t="shared" si="237"/>
        <v>0</v>
      </c>
      <c r="H15200" t="s">
        <v>0</v>
      </c>
    </row>
    <row r="15201" spans="2:8" x14ac:dyDescent="0.2">
      <c r="B15201" s="3">
        <v>45888</v>
      </c>
      <c r="C15201" s="2"/>
      <c r="D15201" s="2"/>
      <c r="E15201" s="2"/>
      <c r="F15201" s="2"/>
      <c r="G15201" s="2">
        <f t="shared" si="237"/>
        <v>0</v>
      </c>
      <c r="H15201" t="s">
        <v>14</v>
      </c>
    </row>
    <row r="15202" spans="2:8" x14ac:dyDescent="0.2">
      <c r="B15202" s="3">
        <v>45888</v>
      </c>
      <c r="C15202" s="2"/>
      <c r="D15202" s="2"/>
      <c r="E15202" s="2"/>
      <c r="F15202" s="2"/>
      <c r="G15202" s="2">
        <f t="shared" si="237"/>
        <v>0</v>
      </c>
      <c r="H15202" t="s">
        <v>13</v>
      </c>
    </row>
    <row r="15203" spans="2:8" x14ac:dyDescent="0.2">
      <c r="B15203" s="3">
        <v>45888</v>
      </c>
      <c r="C15203" s="3"/>
      <c r="D15203" s="6"/>
      <c r="E15203" s="2"/>
      <c r="F15203" s="2"/>
      <c r="G15203" s="2">
        <f t="shared" si="237"/>
        <v>0</v>
      </c>
      <c r="H15203" t="s">
        <v>11</v>
      </c>
    </row>
    <row r="15204" spans="2:8" x14ac:dyDescent="0.2">
      <c r="B15204" s="3">
        <v>45888</v>
      </c>
      <c r="C15204" s="3"/>
      <c r="D15204" s="6"/>
      <c r="E15204" s="2"/>
      <c r="F15204" s="2"/>
      <c r="G15204" s="2">
        <f t="shared" si="237"/>
        <v>0</v>
      </c>
      <c r="H15204" t="s">
        <v>10</v>
      </c>
    </row>
    <row r="15205" spans="2:8" x14ac:dyDescent="0.2">
      <c r="B15205" s="3">
        <v>45888</v>
      </c>
      <c r="C15205" s="3"/>
      <c r="D15205" s="6"/>
      <c r="E15205" s="2"/>
      <c r="F15205" s="2"/>
      <c r="G15205" s="2">
        <f t="shared" si="237"/>
        <v>0</v>
      </c>
      <c r="H15205" t="s">
        <v>9</v>
      </c>
    </row>
    <row r="15206" spans="2:8" x14ac:dyDescent="0.2">
      <c r="B15206" s="3">
        <v>45888</v>
      </c>
      <c r="C15206" s="2"/>
      <c r="D15206" s="6"/>
      <c r="E15206" s="2"/>
      <c r="F15206" s="2"/>
      <c r="G15206" s="2">
        <f t="shared" si="237"/>
        <v>0</v>
      </c>
      <c r="H15206" t="s">
        <v>8</v>
      </c>
    </row>
    <row r="15207" spans="2:8" x14ac:dyDescent="0.2">
      <c r="B15207" s="3">
        <v>45888</v>
      </c>
      <c r="C15207" s="3"/>
      <c r="D15207" s="6"/>
      <c r="E15207" s="2"/>
      <c r="F15207" s="2"/>
      <c r="G15207" s="2">
        <f t="shared" si="237"/>
        <v>0</v>
      </c>
      <c r="H15207" t="s">
        <v>7</v>
      </c>
    </row>
    <row r="15208" spans="2:8" x14ac:dyDescent="0.2">
      <c r="B15208" s="3">
        <v>45888</v>
      </c>
      <c r="C15208" s="3"/>
      <c r="D15208" s="6"/>
      <c r="E15208" s="2"/>
      <c r="F15208" s="2"/>
      <c r="G15208" s="2">
        <f t="shared" si="237"/>
        <v>0</v>
      </c>
      <c r="H15208" t="s">
        <v>6</v>
      </c>
    </row>
    <row r="15209" spans="2:8" x14ac:dyDescent="0.2">
      <c r="B15209" s="3">
        <v>45888</v>
      </c>
      <c r="C15209" s="3"/>
      <c r="D15209" s="6"/>
      <c r="E15209" s="2"/>
      <c r="F15209" s="2"/>
      <c r="G15209" s="2">
        <f t="shared" si="237"/>
        <v>0</v>
      </c>
      <c r="H15209" t="s">
        <v>5</v>
      </c>
    </row>
    <row r="15210" spans="2:8" x14ac:dyDescent="0.2">
      <c r="B15210" s="3">
        <v>45888</v>
      </c>
      <c r="C15210" s="3"/>
      <c r="D15210" s="6"/>
      <c r="E15210" s="2"/>
      <c r="F15210" s="2"/>
      <c r="G15210" s="2">
        <f t="shared" si="237"/>
        <v>0</v>
      </c>
      <c r="H15210" s="1"/>
    </row>
    <row r="15211" spans="2:8" x14ac:dyDescent="0.2">
      <c r="B15211" s="3">
        <v>45888</v>
      </c>
      <c r="C15211" s="3"/>
      <c r="D15211" s="2"/>
      <c r="E15211" s="2"/>
      <c r="F15211" s="2"/>
      <c r="G15211" s="2">
        <f t="shared" si="237"/>
        <v>0</v>
      </c>
      <c r="H15211" t="s">
        <v>0</v>
      </c>
    </row>
    <row r="15212" spans="2:8" x14ac:dyDescent="0.2">
      <c r="B15212" s="3">
        <v>45889</v>
      </c>
      <c r="C15212" s="2"/>
      <c r="D15212" s="2"/>
      <c r="E15212" s="2"/>
      <c r="F15212" s="2"/>
      <c r="G15212" s="2">
        <f t="shared" si="237"/>
        <v>0</v>
      </c>
      <c r="H15212" t="s">
        <v>14</v>
      </c>
    </row>
    <row r="15213" spans="2:8" x14ac:dyDescent="0.2">
      <c r="B15213" s="3">
        <v>45889</v>
      </c>
      <c r="C15213" s="2"/>
      <c r="D15213" s="2"/>
      <c r="E15213" s="2"/>
      <c r="F15213" s="2"/>
      <c r="G15213" s="2">
        <f t="shared" si="237"/>
        <v>0</v>
      </c>
      <c r="H15213" t="s">
        <v>13</v>
      </c>
    </row>
    <row r="15214" spans="2:8" x14ac:dyDescent="0.2">
      <c r="B15214" s="3">
        <v>45889</v>
      </c>
      <c r="C15214" s="3"/>
      <c r="D15214" s="6"/>
      <c r="E15214" s="2"/>
      <c r="F15214" s="2"/>
      <c r="G15214" s="2">
        <f t="shared" si="237"/>
        <v>0</v>
      </c>
      <c r="H15214" t="s">
        <v>11</v>
      </c>
    </row>
    <row r="15215" spans="2:8" x14ac:dyDescent="0.2">
      <c r="B15215" s="3">
        <v>45889</v>
      </c>
      <c r="C15215" s="3"/>
      <c r="D15215" s="6"/>
      <c r="E15215" s="2"/>
      <c r="F15215" s="2"/>
      <c r="G15215" s="2">
        <f t="shared" si="237"/>
        <v>0</v>
      </c>
      <c r="H15215" t="s">
        <v>10</v>
      </c>
    </row>
    <row r="15216" spans="2:8" x14ac:dyDescent="0.2">
      <c r="B15216" s="3">
        <v>45889</v>
      </c>
      <c r="C15216" s="3"/>
      <c r="D15216" s="6"/>
      <c r="E15216" s="2"/>
      <c r="F15216" s="2"/>
      <c r="G15216" s="2">
        <f t="shared" si="237"/>
        <v>0</v>
      </c>
      <c r="H15216" t="s">
        <v>9</v>
      </c>
    </row>
    <row r="15217" spans="2:8" x14ac:dyDescent="0.2">
      <c r="B15217" s="3">
        <v>45889</v>
      </c>
      <c r="C15217" s="2"/>
      <c r="D15217" s="6"/>
      <c r="E15217" s="2"/>
      <c r="F15217" s="2">
        <v>30000</v>
      </c>
      <c r="G15217" s="2">
        <f t="shared" si="237"/>
        <v>-30000</v>
      </c>
      <c r="H15217" t="s">
        <v>8</v>
      </c>
    </row>
    <row r="15218" spans="2:8" x14ac:dyDescent="0.2">
      <c r="B15218" s="3">
        <v>45889</v>
      </c>
      <c r="C15218" s="3"/>
      <c r="D15218" s="6"/>
      <c r="E15218" s="2"/>
      <c r="F15218" s="2"/>
      <c r="G15218" s="2">
        <f t="shared" si="237"/>
        <v>0</v>
      </c>
      <c r="H15218" t="s">
        <v>7</v>
      </c>
    </row>
    <row r="15219" spans="2:8" x14ac:dyDescent="0.2">
      <c r="B15219" s="3">
        <v>45889</v>
      </c>
      <c r="C15219" s="3"/>
      <c r="D15219" s="6"/>
      <c r="E15219" s="2"/>
      <c r="F15219" s="2">
        <v>9940</v>
      </c>
      <c r="G15219" s="2">
        <f t="shared" si="237"/>
        <v>-9940</v>
      </c>
      <c r="H15219" t="s">
        <v>6</v>
      </c>
    </row>
    <row r="15220" spans="2:8" x14ac:dyDescent="0.2">
      <c r="B15220" s="3">
        <v>45889</v>
      </c>
      <c r="C15220" s="3"/>
      <c r="D15220" s="6"/>
      <c r="E15220" s="2"/>
      <c r="F15220" s="2"/>
      <c r="G15220" s="2">
        <f t="shared" si="237"/>
        <v>0</v>
      </c>
      <c r="H15220" t="s">
        <v>5</v>
      </c>
    </row>
    <row r="15221" spans="2:8" x14ac:dyDescent="0.2">
      <c r="B15221" s="3">
        <v>45889</v>
      </c>
      <c r="C15221" s="2">
        <v>108</v>
      </c>
      <c r="D15221" s="6">
        <v>3675</v>
      </c>
      <c r="E15221" s="2">
        <v>3875</v>
      </c>
      <c r="F15221" s="2">
        <v>3875</v>
      </c>
      <c r="G15221" s="2">
        <f t="shared" si="237"/>
        <v>0</v>
      </c>
      <c r="H15221" s="1" t="s">
        <v>2</v>
      </c>
    </row>
    <row r="15222" spans="2:8" x14ac:dyDescent="0.2">
      <c r="B15222" s="3">
        <v>45889</v>
      </c>
      <c r="C15222" s="3"/>
      <c r="D15222" s="2"/>
      <c r="E15222" s="2"/>
      <c r="F15222" s="2"/>
      <c r="G15222" s="2">
        <f t="shared" si="237"/>
        <v>0</v>
      </c>
      <c r="H15222" t="s">
        <v>0</v>
      </c>
    </row>
    <row r="15223" spans="2:8" x14ac:dyDescent="0.2">
      <c r="B15223" s="3">
        <v>45890</v>
      </c>
      <c r="C15223" s="2"/>
      <c r="D15223" s="2"/>
      <c r="E15223" s="2"/>
      <c r="F15223" s="2"/>
      <c r="G15223" s="2">
        <f t="shared" si="237"/>
        <v>0</v>
      </c>
      <c r="H15223" t="s">
        <v>14</v>
      </c>
    </row>
    <row r="15224" spans="2:8" x14ac:dyDescent="0.2">
      <c r="B15224" s="3">
        <v>45890</v>
      </c>
      <c r="C15224" s="2"/>
      <c r="D15224" s="2"/>
      <c r="E15224" s="2"/>
      <c r="F15224" s="2"/>
      <c r="G15224" s="2">
        <f t="shared" si="237"/>
        <v>0</v>
      </c>
      <c r="H15224" t="s">
        <v>13</v>
      </c>
    </row>
    <row r="15225" spans="2:8" x14ac:dyDescent="0.2">
      <c r="B15225" s="3">
        <v>45890</v>
      </c>
      <c r="C15225" s="3"/>
      <c r="D15225" s="6"/>
      <c r="E15225" s="2"/>
      <c r="F15225" s="2"/>
      <c r="G15225" s="2">
        <f t="shared" si="237"/>
        <v>0</v>
      </c>
      <c r="H15225" t="s">
        <v>11</v>
      </c>
    </row>
    <row r="15226" spans="2:8" x14ac:dyDescent="0.2">
      <c r="B15226" s="3">
        <v>45890</v>
      </c>
      <c r="C15226" s="3"/>
      <c r="D15226" s="6"/>
      <c r="E15226" s="2"/>
      <c r="F15226" s="2"/>
      <c r="G15226" s="2">
        <f t="shared" si="237"/>
        <v>0</v>
      </c>
      <c r="H15226" t="s">
        <v>10</v>
      </c>
    </row>
    <row r="15227" spans="2:8" x14ac:dyDescent="0.2">
      <c r="B15227" s="3">
        <v>45890</v>
      </c>
      <c r="C15227" s="3"/>
      <c r="D15227" s="6"/>
      <c r="E15227" s="2"/>
      <c r="F15227" s="2"/>
      <c r="G15227" s="2">
        <f t="shared" si="237"/>
        <v>0</v>
      </c>
      <c r="H15227" t="s">
        <v>9</v>
      </c>
    </row>
    <row r="15228" spans="2:8" x14ac:dyDescent="0.2">
      <c r="B15228" s="3">
        <v>45890</v>
      </c>
      <c r="C15228" s="2"/>
      <c r="D15228" s="6"/>
      <c r="E15228" s="2"/>
      <c r="F15228" s="2"/>
      <c r="G15228" s="2">
        <f t="shared" si="237"/>
        <v>0</v>
      </c>
      <c r="H15228" t="s">
        <v>8</v>
      </c>
    </row>
    <row r="15229" spans="2:8" x14ac:dyDescent="0.2">
      <c r="B15229" s="3">
        <v>45890</v>
      </c>
      <c r="C15229" s="3"/>
      <c r="D15229" s="6"/>
      <c r="E15229" s="2"/>
      <c r="F15229" s="2"/>
      <c r="G15229" s="2">
        <f t="shared" si="237"/>
        <v>0</v>
      </c>
      <c r="H15229" t="s">
        <v>7</v>
      </c>
    </row>
    <row r="15230" spans="2:8" x14ac:dyDescent="0.2">
      <c r="B15230" s="3">
        <v>45890</v>
      </c>
      <c r="C15230" s="3"/>
      <c r="D15230" s="6"/>
      <c r="E15230" s="2"/>
      <c r="F15230" s="2"/>
      <c r="G15230" s="2">
        <f t="shared" si="237"/>
        <v>0</v>
      </c>
      <c r="H15230" t="s">
        <v>6</v>
      </c>
    </row>
    <row r="15231" spans="2:8" x14ac:dyDescent="0.2">
      <c r="B15231" s="3">
        <v>45890</v>
      </c>
      <c r="C15231" s="3"/>
      <c r="D15231" s="6"/>
      <c r="E15231" s="2"/>
      <c r="F15231" s="2"/>
      <c r="G15231" s="2">
        <f t="shared" si="237"/>
        <v>0</v>
      </c>
      <c r="H15231" t="s">
        <v>5</v>
      </c>
    </row>
    <row r="15232" spans="2:8" x14ac:dyDescent="0.2">
      <c r="B15232" s="3">
        <v>45890</v>
      </c>
      <c r="C15232" s="3"/>
      <c r="D15232" s="6"/>
      <c r="E15232" s="2"/>
      <c r="F15232" s="2">
        <v>12750</v>
      </c>
      <c r="G15232" s="2">
        <f t="shared" si="237"/>
        <v>-12750</v>
      </c>
      <c r="H15232" s="1" t="s">
        <v>1</v>
      </c>
    </row>
    <row r="15233" spans="2:8" x14ac:dyDescent="0.2">
      <c r="B15233" s="3">
        <v>45890</v>
      </c>
      <c r="C15233" s="3"/>
      <c r="D15233" s="2"/>
      <c r="E15233" s="2"/>
      <c r="F15233" s="2"/>
      <c r="G15233" s="2">
        <f t="shared" si="237"/>
        <v>0</v>
      </c>
      <c r="H15233" t="s">
        <v>0</v>
      </c>
    </row>
    <row r="15234" spans="2:8" x14ac:dyDescent="0.2">
      <c r="B15234" s="3">
        <v>45891</v>
      </c>
      <c r="C15234" s="2"/>
      <c r="D15234" s="2"/>
      <c r="E15234" s="2"/>
      <c r="F15234" s="2"/>
      <c r="G15234" s="2">
        <f t="shared" si="237"/>
        <v>0</v>
      </c>
      <c r="H15234" t="s">
        <v>14</v>
      </c>
    </row>
    <row r="15235" spans="2:8" x14ac:dyDescent="0.2">
      <c r="B15235" s="3">
        <v>45891</v>
      </c>
      <c r="C15235" s="2"/>
      <c r="D15235" s="2"/>
      <c r="E15235" s="2"/>
      <c r="F15235" s="2"/>
      <c r="G15235" s="2">
        <f t="shared" ref="G15235:G15298" si="238">E15235-F15235</f>
        <v>0</v>
      </c>
      <c r="H15235" t="s">
        <v>13</v>
      </c>
    </row>
    <row r="15236" spans="2:8" x14ac:dyDescent="0.2">
      <c r="B15236" s="3">
        <v>45891</v>
      </c>
      <c r="C15236" s="3"/>
      <c r="D15236" s="6"/>
      <c r="E15236" s="2"/>
      <c r="F15236" s="2"/>
      <c r="G15236" s="2">
        <f t="shared" si="238"/>
        <v>0</v>
      </c>
      <c r="H15236" t="s">
        <v>11</v>
      </c>
    </row>
    <row r="15237" spans="2:8" x14ac:dyDescent="0.2">
      <c r="B15237" s="3">
        <v>45891</v>
      </c>
      <c r="C15237" s="3"/>
      <c r="D15237" s="6"/>
      <c r="E15237" s="2"/>
      <c r="F15237" s="2"/>
      <c r="G15237" s="2">
        <f t="shared" si="238"/>
        <v>0</v>
      </c>
      <c r="H15237" t="s">
        <v>10</v>
      </c>
    </row>
    <row r="15238" spans="2:8" x14ac:dyDescent="0.2">
      <c r="B15238" s="3">
        <v>45891</v>
      </c>
      <c r="C15238" s="3"/>
      <c r="D15238" s="6"/>
      <c r="E15238" s="2"/>
      <c r="F15238" s="2"/>
      <c r="G15238" s="2">
        <f t="shared" si="238"/>
        <v>0</v>
      </c>
      <c r="H15238" t="s">
        <v>9</v>
      </c>
    </row>
    <row r="15239" spans="2:8" x14ac:dyDescent="0.2">
      <c r="B15239" s="3">
        <v>45891</v>
      </c>
      <c r="C15239" s="2"/>
      <c r="D15239" s="6"/>
      <c r="E15239" s="2"/>
      <c r="F15239" s="2"/>
      <c r="G15239" s="2">
        <f t="shared" si="238"/>
        <v>0</v>
      </c>
      <c r="H15239" t="s">
        <v>8</v>
      </c>
    </row>
    <row r="15240" spans="2:8" x14ac:dyDescent="0.2">
      <c r="B15240" s="3">
        <v>45891</v>
      </c>
      <c r="C15240" s="3"/>
      <c r="D15240" s="6"/>
      <c r="E15240" s="2"/>
      <c r="F15240" s="2"/>
      <c r="G15240" s="2">
        <f t="shared" si="238"/>
        <v>0</v>
      </c>
      <c r="H15240" t="s">
        <v>7</v>
      </c>
    </row>
    <row r="15241" spans="2:8" x14ac:dyDescent="0.2">
      <c r="B15241" s="3">
        <v>45891</v>
      </c>
      <c r="C15241" s="3"/>
      <c r="D15241" s="6"/>
      <c r="E15241" s="2"/>
      <c r="F15241" s="2"/>
      <c r="G15241" s="2">
        <f t="shared" si="238"/>
        <v>0</v>
      </c>
      <c r="H15241" t="s">
        <v>6</v>
      </c>
    </row>
    <row r="15242" spans="2:8" x14ac:dyDescent="0.2">
      <c r="B15242" s="3">
        <v>45891</v>
      </c>
      <c r="C15242" s="3"/>
      <c r="D15242" s="6"/>
      <c r="E15242" s="2"/>
      <c r="F15242" s="2"/>
      <c r="G15242" s="2">
        <f t="shared" si="238"/>
        <v>0</v>
      </c>
      <c r="H15242" t="s">
        <v>5</v>
      </c>
    </row>
    <row r="15243" spans="2:8" x14ac:dyDescent="0.2">
      <c r="B15243" s="3">
        <v>45891</v>
      </c>
      <c r="C15243" s="3"/>
      <c r="D15243" s="6"/>
      <c r="E15243" s="2"/>
      <c r="F15243" s="2"/>
      <c r="G15243" s="2">
        <f t="shared" si="238"/>
        <v>0</v>
      </c>
      <c r="H15243" s="1"/>
    </row>
    <row r="15244" spans="2:8" x14ac:dyDescent="0.2">
      <c r="B15244" s="3">
        <v>45891</v>
      </c>
      <c r="C15244" s="3"/>
      <c r="D15244" s="2"/>
      <c r="E15244" s="2"/>
      <c r="F15244" s="2"/>
      <c r="G15244" s="2">
        <f t="shared" si="238"/>
        <v>0</v>
      </c>
      <c r="H15244" t="s">
        <v>0</v>
      </c>
    </row>
    <row r="15245" spans="2:8" x14ac:dyDescent="0.2">
      <c r="B15245" s="3">
        <v>45892</v>
      </c>
      <c r="C15245" s="2" t="s">
        <v>18</v>
      </c>
      <c r="D15245" s="2">
        <v>4231.1099999999997</v>
      </c>
      <c r="E15245" s="2">
        <v>4822.2</v>
      </c>
      <c r="F15245" s="2"/>
      <c r="G15245" s="2">
        <f t="shared" si="238"/>
        <v>4822.2</v>
      </c>
      <c r="H15245" t="s">
        <v>14</v>
      </c>
    </row>
    <row r="15246" spans="2:8" x14ac:dyDescent="0.2">
      <c r="B15246" s="3">
        <v>45892</v>
      </c>
      <c r="C15246" s="2"/>
      <c r="D15246" s="2"/>
      <c r="E15246" s="2"/>
      <c r="F15246" s="2"/>
      <c r="G15246" s="2">
        <f t="shared" si="238"/>
        <v>0</v>
      </c>
      <c r="H15246" t="s">
        <v>13</v>
      </c>
    </row>
    <row r="15247" spans="2:8" x14ac:dyDescent="0.2">
      <c r="B15247" s="3">
        <v>45892</v>
      </c>
      <c r="C15247" s="3"/>
      <c r="D15247" s="6"/>
      <c r="E15247" s="2"/>
      <c r="F15247" s="2"/>
      <c r="G15247" s="2">
        <f t="shared" si="238"/>
        <v>0</v>
      </c>
      <c r="H15247" t="s">
        <v>11</v>
      </c>
    </row>
    <row r="15248" spans="2:8" x14ac:dyDescent="0.2">
      <c r="B15248" s="3">
        <v>45892</v>
      </c>
      <c r="C15248" s="3"/>
      <c r="D15248" s="6"/>
      <c r="E15248" s="2"/>
      <c r="F15248" s="2"/>
      <c r="G15248" s="2">
        <f t="shared" si="238"/>
        <v>0</v>
      </c>
      <c r="H15248" t="s">
        <v>10</v>
      </c>
    </row>
    <row r="15249" spans="2:8" x14ac:dyDescent="0.2">
      <c r="B15249" s="3">
        <v>45892</v>
      </c>
      <c r="C15249" s="3"/>
      <c r="D15249" s="6"/>
      <c r="E15249" s="2"/>
      <c r="F15249" s="2"/>
      <c r="G15249" s="2">
        <f t="shared" si="238"/>
        <v>0</v>
      </c>
      <c r="H15249" t="s">
        <v>9</v>
      </c>
    </row>
    <row r="15250" spans="2:8" x14ac:dyDescent="0.2">
      <c r="B15250" s="3">
        <v>45892</v>
      </c>
      <c r="C15250" s="2">
        <v>109</v>
      </c>
      <c r="D15250" s="6">
        <v>60800</v>
      </c>
      <c r="E15250" s="2">
        <v>69050</v>
      </c>
      <c r="F15250" s="2"/>
      <c r="G15250" s="2">
        <f t="shared" si="238"/>
        <v>69050</v>
      </c>
      <c r="H15250" t="s">
        <v>8</v>
      </c>
    </row>
    <row r="15251" spans="2:8" x14ac:dyDescent="0.2">
      <c r="B15251" s="3">
        <v>45892</v>
      </c>
      <c r="C15251" s="3"/>
      <c r="D15251" s="6"/>
      <c r="E15251" s="2"/>
      <c r="F15251" s="2"/>
      <c r="G15251" s="2">
        <f t="shared" si="238"/>
        <v>0</v>
      </c>
      <c r="H15251" t="s">
        <v>7</v>
      </c>
    </row>
    <row r="15252" spans="2:8" x14ac:dyDescent="0.2">
      <c r="B15252" s="3">
        <v>45892</v>
      </c>
      <c r="C15252" s="3"/>
      <c r="D15252" s="6"/>
      <c r="E15252" s="2"/>
      <c r="F15252" s="2"/>
      <c r="G15252" s="2">
        <f t="shared" si="238"/>
        <v>0</v>
      </c>
      <c r="H15252" t="s">
        <v>6</v>
      </c>
    </row>
    <row r="15253" spans="2:8" x14ac:dyDescent="0.2">
      <c r="B15253" s="3">
        <v>45892</v>
      </c>
      <c r="C15253" s="3"/>
      <c r="D15253" s="6"/>
      <c r="E15253" s="2"/>
      <c r="F15253" s="2"/>
      <c r="G15253" s="2">
        <f t="shared" si="238"/>
        <v>0</v>
      </c>
      <c r="H15253" t="s">
        <v>5</v>
      </c>
    </row>
    <row r="15254" spans="2:8" x14ac:dyDescent="0.2">
      <c r="B15254" s="3">
        <v>45892</v>
      </c>
      <c r="C15254" s="3"/>
      <c r="D15254" s="6"/>
      <c r="E15254" s="2"/>
      <c r="F15254" s="2"/>
      <c r="G15254" s="2">
        <f t="shared" si="238"/>
        <v>0</v>
      </c>
      <c r="H15254" s="1"/>
    </row>
    <row r="15255" spans="2:8" x14ac:dyDescent="0.2">
      <c r="B15255" s="3">
        <v>45892</v>
      </c>
      <c r="C15255" s="3"/>
      <c r="D15255" s="2">
        <v>186457.18000000002</v>
      </c>
      <c r="E15255" s="2">
        <v>192329.71</v>
      </c>
      <c r="F15255" s="2"/>
      <c r="G15255" s="2">
        <f t="shared" si="238"/>
        <v>192329.71</v>
      </c>
      <c r="H15255" t="s">
        <v>0</v>
      </c>
    </row>
    <row r="15256" spans="2:8" x14ac:dyDescent="0.2">
      <c r="B15256" s="3">
        <v>45893</v>
      </c>
      <c r="C15256" s="2"/>
      <c r="D15256" s="2"/>
      <c r="E15256" s="2"/>
      <c r="F15256" s="2"/>
      <c r="G15256" s="2">
        <f t="shared" si="238"/>
        <v>0</v>
      </c>
      <c r="H15256" t="s">
        <v>14</v>
      </c>
    </row>
    <row r="15257" spans="2:8" x14ac:dyDescent="0.2">
      <c r="B15257" s="3">
        <v>45893</v>
      </c>
      <c r="C15257" s="2"/>
      <c r="D15257" s="2"/>
      <c r="E15257" s="2"/>
      <c r="F15257" s="2"/>
      <c r="G15257" s="2">
        <f t="shared" si="238"/>
        <v>0</v>
      </c>
      <c r="H15257" t="s">
        <v>13</v>
      </c>
    </row>
    <row r="15258" spans="2:8" x14ac:dyDescent="0.2">
      <c r="B15258" s="3">
        <v>45893</v>
      </c>
      <c r="C15258" s="3"/>
      <c r="D15258" s="6"/>
      <c r="E15258" s="2"/>
      <c r="F15258" s="2"/>
      <c r="G15258" s="2">
        <f t="shared" si="238"/>
        <v>0</v>
      </c>
      <c r="H15258" t="s">
        <v>11</v>
      </c>
    </row>
    <row r="15259" spans="2:8" x14ac:dyDescent="0.2">
      <c r="B15259" s="3">
        <v>45893</v>
      </c>
      <c r="C15259" s="3"/>
      <c r="D15259" s="6"/>
      <c r="E15259" s="2"/>
      <c r="F15259" s="2"/>
      <c r="G15259" s="2">
        <f t="shared" si="238"/>
        <v>0</v>
      </c>
      <c r="H15259" t="s">
        <v>10</v>
      </c>
    </row>
    <row r="15260" spans="2:8" x14ac:dyDescent="0.2">
      <c r="B15260" s="3">
        <v>45893</v>
      </c>
      <c r="C15260" s="3"/>
      <c r="D15260" s="6"/>
      <c r="E15260" s="2"/>
      <c r="F15260" s="2"/>
      <c r="G15260" s="2">
        <f t="shared" si="238"/>
        <v>0</v>
      </c>
      <c r="H15260" t="s">
        <v>9</v>
      </c>
    </row>
    <row r="15261" spans="2:8" x14ac:dyDescent="0.2">
      <c r="B15261" s="3">
        <v>45893</v>
      </c>
      <c r="C15261" s="2"/>
      <c r="D15261" s="6"/>
      <c r="E15261" s="2"/>
      <c r="F15261" s="2"/>
      <c r="G15261" s="2">
        <f t="shared" si="238"/>
        <v>0</v>
      </c>
      <c r="H15261" t="s">
        <v>8</v>
      </c>
    </row>
    <row r="15262" spans="2:8" x14ac:dyDescent="0.2">
      <c r="B15262" s="3">
        <v>45893</v>
      </c>
      <c r="C15262" s="3"/>
      <c r="D15262" s="6"/>
      <c r="E15262" s="2"/>
      <c r="F15262" s="2"/>
      <c r="G15262" s="2">
        <f t="shared" si="238"/>
        <v>0</v>
      </c>
      <c r="H15262" t="s">
        <v>7</v>
      </c>
    </row>
    <row r="15263" spans="2:8" x14ac:dyDescent="0.2">
      <c r="B15263" s="3">
        <v>45893</v>
      </c>
      <c r="C15263" s="3"/>
      <c r="D15263" s="6"/>
      <c r="E15263" s="2"/>
      <c r="F15263" s="2"/>
      <c r="G15263" s="2">
        <f t="shared" si="238"/>
        <v>0</v>
      </c>
      <c r="H15263" t="s">
        <v>6</v>
      </c>
    </row>
    <row r="15264" spans="2:8" x14ac:dyDescent="0.2">
      <c r="B15264" s="3">
        <v>45893</v>
      </c>
      <c r="C15264" s="3"/>
      <c r="D15264" s="6"/>
      <c r="E15264" s="2"/>
      <c r="F15264" s="2"/>
      <c r="G15264" s="2">
        <f t="shared" si="238"/>
        <v>0</v>
      </c>
      <c r="H15264" t="s">
        <v>5</v>
      </c>
    </row>
    <row r="15265" spans="2:8" x14ac:dyDescent="0.2">
      <c r="B15265" s="3">
        <v>45893</v>
      </c>
      <c r="C15265" s="3"/>
      <c r="D15265" s="6"/>
      <c r="E15265" s="2"/>
      <c r="F15265" s="2"/>
      <c r="G15265" s="2">
        <f t="shared" si="238"/>
        <v>0</v>
      </c>
      <c r="H15265" s="1"/>
    </row>
    <row r="15266" spans="2:8" x14ac:dyDescent="0.2">
      <c r="B15266" s="3">
        <v>45893</v>
      </c>
      <c r="C15266" s="3"/>
      <c r="D15266" s="2">
        <v>78208.300000000017</v>
      </c>
      <c r="E15266" s="2">
        <v>81261.42</v>
      </c>
      <c r="F15266" s="2"/>
      <c r="G15266" s="2">
        <f t="shared" si="238"/>
        <v>81261.42</v>
      </c>
      <c r="H15266" t="s">
        <v>0</v>
      </c>
    </row>
    <row r="15267" spans="2:8" x14ac:dyDescent="0.2">
      <c r="B15267" s="3">
        <v>45894</v>
      </c>
      <c r="C15267" s="2"/>
      <c r="D15267" s="2"/>
      <c r="E15267" s="2"/>
      <c r="F15267" s="2">
        <v>30240</v>
      </c>
      <c r="G15267" s="2">
        <f t="shared" si="238"/>
        <v>-30240</v>
      </c>
      <c r="H15267" t="s">
        <v>14</v>
      </c>
    </row>
    <row r="15268" spans="2:8" x14ac:dyDescent="0.2">
      <c r="B15268" s="3">
        <v>45894</v>
      </c>
      <c r="C15268" s="2"/>
      <c r="D15268" s="2"/>
      <c r="E15268" s="2"/>
      <c r="F15268" s="2"/>
      <c r="G15268" s="2">
        <f t="shared" si="238"/>
        <v>0</v>
      </c>
      <c r="H15268" t="s">
        <v>13</v>
      </c>
    </row>
    <row r="15269" spans="2:8" x14ac:dyDescent="0.2">
      <c r="B15269" s="3">
        <v>45894</v>
      </c>
      <c r="C15269" s="3"/>
      <c r="D15269" s="6"/>
      <c r="E15269" s="2"/>
      <c r="F15269" s="2"/>
      <c r="G15269" s="2">
        <f t="shared" si="238"/>
        <v>0</v>
      </c>
      <c r="H15269" t="s">
        <v>11</v>
      </c>
    </row>
    <row r="15270" spans="2:8" x14ac:dyDescent="0.2">
      <c r="B15270" s="3">
        <v>45894</v>
      </c>
      <c r="C15270" s="3"/>
      <c r="D15270" s="6"/>
      <c r="E15270" s="2"/>
      <c r="F15270" s="2"/>
      <c r="G15270" s="2">
        <f t="shared" si="238"/>
        <v>0</v>
      </c>
      <c r="H15270" t="s">
        <v>10</v>
      </c>
    </row>
    <row r="15271" spans="2:8" x14ac:dyDescent="0.2">
      <c r="B15271" s="3">
        <v>45894</v>
      </c>
      <c r="C15271" s="3"/>
      <c r="D15271" s="6"/>
      <c r="E15271" s="2"/>
      <c r="F15271" s="2"/>
      <c r="G15271" s="2">
        <f t="shared" si="238"/>
        <v>0</v>
      </c>
      <c r="H15271" t="s">
        <v>9</v>
      </c>
    </row>
    <row r="15272" spans="2:8" x14ac:dyDescent="0.2">
      <c r="B15272" s="3">
        <v>45894</v>
      </c>
      <c r="C15272" s="3"/>
      <c r="D15272" s="6"/>
      <c r="E15272" s="2"/>
      <c r="F15272" s="2"/>
      <c r="G15272" s="2">
        <f t="shared" si="238"/>
        <v>0</v>
      </c>
      <c r="H15272" t="s">
        <v>8</v>
      </c>
    </row>
    <row r="15273" spans="2:8" x14ac:dyDescent="0.2">
      <c r="B15273" s="3">
        <v>45894</v>
      </c>
      <c r="C15273" s="3"/>
      <c r="D15273" s="6"/>
      <c r="E15273" s="2"/>
      <c r="F15273" s="2"/>
      <c r="G15273" s="2">
        <f t="shared" si="238"/>
        <v>0</v>
      </c>
      <c r="H15273" t="s">
        <v>7</v>
      </c>
    </row>
    <row r="15274" spans="2:8" x14ac:dyDescent="0.2">
      <c r="B15274" s="3">
        <v>45894</v>
      </c>
      <c r="C15274" s="3"/>
      <c r="D15274" s="6"/>
      <c r="E15274" s="2"/>
      <c r="F15274" s="2"/>
      <c r="G15274" s="2">
        <f t="shared" si="238"/>
        <v>0</v>
      </c>
      <c r="H15274" t="s">
        <v>6</v>
      </c>
    </row>
    <row r="15275" spans="2:8" x14ac:dyDescent="0.2">
      <c r="B15275" s="3">
        <v>45894</v>
      </c>
      <c r="C15275" s="3"/>
      <c r="D15275" s="6"/>
      <c r="E15275" s="2"/>
      <c r="F15275" s="2"/>
      <c r="G15275" s="2">
        <f t="shared" si="238"/>
        <v>0</v>
      </c>
      <c r="H15275" t="s">
        <v>5</v>
      </c>
    </row>
    <row r="15276" spans="2:8" x14ac:dyDescent="0.2">
      <c r="B15276" s="3">
        <v>45894</v>
      </c>
      <c r="C15276" s="3"/>
      <c r="D15276" s="6"/>
      <c r="E15276" s="2"/>
      <c r="F15276" s="2"/>
      <c r="G15276" s="2">
        <f t="shared" si="238"/>
        <v>0</v>
      </c>
      <c r="H15276" s="1"/>
    </row>
    <row r="15277" spans="2:8" x14ac:dyDescent="0.2">
      <c r="B15277" s="3">
        <v>45894</v>
      </c>
      <c r="C15277" s="3"/>
      <c r="D15277" s="2"/>
      <c r="E15277" s="2"/>
      <c r="F15277" s="2"/>
      <c r="G15277" s="2">
        <f t="shared" si="238"/>
        <v>0</v>
      </c>
      <c r="H15277" t="s">
        <v>0</v>
      </c>
    </row>
    <row r="15278" spans="2:8" x14ac:dyDescent="0.2">
      <c r="B15278" s="3">
        <v>45895</v>
      </c>
      <c r="C15278" s="2"/>
      <c r="D15278" s="2"/>
      <c r="E15278" s="2"/>
      <c r="F15278" s="2"/>
      <c r="G15278" s="2">
        <f t="shared" si="238"/>
        <v>0</v>
      </c>
      <c r="H15278" t="s">
        <v>14</v>
      </c>
    </row>
    <row r="15279" spans="2:8" x14ac:dyDescent="0.2">
      <c r="B15279" s="3">
        <v>45895</v>
      </c>
      <c r="C15279" s="2"/>
      <c r="D15279" s="2"/>
      <c r="E15279" s="2"/>
      <c r="F15279" s="2"/>
      <c r="G15279" s="2">
        <f t="shared" si="238"/>
        <v>0</v>
      </c>
      <c r="H15279" t="s">
        <v>13</v>
      </c>
    </row>
    <row r="15280" spans="2:8" x14ac:dyDescent="0.2">
      <c r="B15280" s="3">
        <v>45895</v>
      </c>
      <c r="C15280" s="3"/>
      <c r="D15280" s="6"/>
      <c r="E15280" s="2"/>
      <c r="F15280" s="2"/>
      <c r="G15280" s="2">
        <f t="shared" si="238"/>
        <v>0</v>
      </c>
      <c r="H15280" t="s">
        <v>11</v>
      </c>
    </row>
    <row r="15281" spans="2:8" x14ac:dyDescent="0.2">
      <c r="B15281" s="3">
        <v>45895</v>
      </c>
      <c r="C15281" s="3"/>
      <c r="D15281" s="6"/>
      <c r="E15281" s="2"/>
      <c r="F15281" s="2">
        <v>7380</v>
      </c>
      <c r="G15281" s="2">
        <f t="shared" si="238"/>
        <v>-7380</v>
      </c>
      <c r="H15281" t="s">
        <v>10</v>
      </c>
    </row>
    <row r="15282" spans="2:8" x14ac:dyDescent="0.2">
      <c r="B15282" s="3">
        <v>45895</v>
      </c>
      <c r="C15282" s="3"/>
      <c r="D15282" s="6"/>
      <c r="E15282" s="2"/>
      <c r="F15282" s="2"/>
      <c r="G15282" s="2">
        <f t="shared" si="238"/>
        <v>0</v>
      </c>
      <c r="H15282" t="s">
        <v>9</v>
      </c>
    </row>
    <row r="15283" spans="2:8" x14ac:dyDescent="0.2">
      <c r="B15283" s="3">
        <v>45895</v>
      </c>
      <c r="C15283" s="3"/>
      <c r="D15283" s="6"/>
      <c r="E15283" s="2"/>
      <c r="F15283" s="2"/>
      <c r="G15283" s="2">
        <f t="shared" si="238"/>
        <v>0</v>
      </c>
      <c r="H15283" t="s">
        <v>8</v>
      </c>
    </row>
    <row r="15284" spans="2:8" x14ac:dyDescent="0.2">
      <c r="B15284" s="3">
        <v>45895</v>
      </c>
      <c r="C15284" s="3"/>
      <c r="D15284" s="6"/>
      <c r="E15284" s="2"/>
      <c r="F15284" s="2"/>
      <c r="G15284" s="2">
        <f t="shared" si="238"/>
        <v>0</v>
      </c>
      <c r="H15284" t="s">
        <v>7</v>
      </c>
    </row>
    <row r="15285" spans="2:8" x14ac:dyDescent="0.2">
      <c r="B15285" s="3">
        <v>45895</v>
      </c>
      <c r="C15285" s="3"/>
      <c r="D15285" s="6"/>
      <c r="E15285" s="2"/>
      <c r="F15285" s="2"/>
      <c r="G15285" s="2">
        <f t="shared" si="238"/>
        <v>0</v>
      </c>
      <c r="H15285" t="s">
        <v>6</v>
      </c>
    </row>
    <row r="15286" spans="2:8" x14ac:dyDescent="0.2">
      <c r="B15286" s="3">
        <v>45895</v>
      </c>
      <c r="C15286" s="3"/>
      <c r="D15286" s="6"/>
      <c r="E15286" s="2"/>
      <c r="F15286" s="2"/>
      <c r="G15286" s="2">
        <f t="shared" si="238"/>
        <v>0</v>
      </c>
      <c r="H15286" t="s">
        <v>5</v>
      </c>
    </row>
    <row r="15287" spans="2:8" x14ac:dyDescent="0.2">
      <c r="B15287" s="3">
        <v>45895</v>
      </c>
      <c r="C15287" s="3"/>
      <c r="D15287" s="6"/>
      <c r="E15287" s="2"/>
      <c r="F15287" s="2"/>
      <c r="G15287" s="2">
        <f t="shared" si="238"/>
        <v>0</v>
      </c>
      <c r="H15287" s="1"/>
    </row>
    <row r="15288" spans="2:8" x14ac:dyDescent="0.2">
      <c r="B15288" s="3">
        <v>45895</v>
      </c>
      <c r="C15288" s="3"/>
      <c r="D15288" s="2"/>
      <c r="E15288" s="2"/>
      <c r="F15288" s="2"/>
      <c r="G15288" s="2">
        <f t="shared" si="238"/>
        <v>0</v>
      </c>
      <c r="H15288" t="s">
        <v>0</v>
      </c>
    </row>
    <row r="15289" spans="2:8" x14ac:dyDescent="0.2">
      <c r="B15289" s="3">
        <v>45896</v>
      </c>
      <c r="C15289" s="2"/>
      <c r="D15289" s="2"/>
      <c r="E15289" s="2"/>
      <c r="F15289" s="2"/>
      <c r="G15289" s="2">
        <f t="shared" si="238"/>
        <v>0</v>
      </c>
      <c r="H15289" t="s">
        <v>14</v>
      </c>
    </row>
    <row r="15290" spans="2:8" x14ac:dyDescent="0.2">
      <c r="B15290" s="3">
        <v>45896</v>
      </c>
      <c r="C15290" s="2"/>
      <c r="D15290" s="2"/>
      <c r="E15290" s="2"/>
      <c r="F15290" s="2"/>
      <c r="G15290" s="2">
        <f t="shared" si="238"/>
        <v>0</v>
      </c>
      <c r="H15290" t="s">
        <v>13</v>
      </c>
    </row>
    <row r="15291" spans="2:8" x14ac:dyDescent="0.2">
      <c r="B15291" s="3">
        <v>45896</v>
      </c>
      <c r="C15291" s="3"/>
      <c r="D15291" s="6"/>
      <c r="E15291" s="2"/>
      <c r="F15291" s="2"/>
      <c r="G15291" s="2">
        <f t="shared" si="238"/>
        <v>0</v>
      </c>
      <c r="H15291" t="s">
        <v>11</v>
      </c>
    </row>
    <row r="15292" spans="2:8" x14ac:dyDescent="0.2">
      <c r="B15292" s="3">
        <v>45896</v>
      </c>
      <c r="C15292" s="2">
        <v>110</v>
      </c>
      <c r="D15292" s="6">
        <v>8800</v>
      </c>
      <c r="E15292" s="2">
        <v>9675</v>
      </c>
      <c r="F15292" s="2"/>
      <c r="G15292" s="2">
        <f t="shared" si="238"/>
        <v>9675</v>
      </c>
      <c r="H15292" t="s">
        <v>10</v>
      </c>
    </row>
    <row r="15293" spans="2:8" x14ac:dyDescent="0.2">
      <c r="B15293" s="3">
        <v>45896</v>
      </c>
      <c r="C15293" s="3"/>
      <c r="D15293" s="6"/>
      <c r="E15293" s="2"/>
      <c r="F15293" s="2"/>
      <c r="G15293" s="2">
        <f t="shared" si="238"/>
        <v>0</v>
      </c>
      <c r="H15293" t="s">
        <v>9</v>
      </c>
    </row>
    <row r="15294" spans="2:8" x14ac:dyDescent="0.2">
      <c r="B15294" s="3">
        <v>45896</v>
      </c>
      <c r="C15294" s="3"/>
      <c r="D15294" s="6"/>
      <c r="E15294" s="2"/>
      <c r="F15294" s="2"/>
      <c r="G15294" s="2">
        <f t="shared" si="238"/>
        <v>0</v>
      </c>
      <c r="H15294" t="s">
        <v>8</v>
      </c>
    </row>
    <row r="15295" spans="2:8" x14ac:dyDescent="0.2">
      <c r="B15295" s="3">
        <v>45896</v>
      </c>
      <c r="C15295" s="3"/>
      <c r="D15295" s="6"/>
      <c r="E15295" s="2"/>
      <c r="F15295" s="2"/>
      <c r="G15295" s="2">
        <f t="shared" si="238"/>
        <v>0</v>
      </c>
      <c r="H15295" t="s">
        <v>7</v>
      </c>
    </row>
    <row r="15296" spans="2:8" x14ac:dyDescent="0.2">
      <c r="B15296" s="3">
        <v>45896</v>
      </c>
      <c r="C15296" s="3"/>
      <c r="D15296" s="6"/>
      <c r="E15296" s="2"/>
      <c r="F15296" s="2"/>
      <c r="G15296" s="2">
        <f t="shared" si="238"/>
        <v>0</v>
      </c>
      <c r="H15296" t="s">
        <v>6</v>
      </c>
    </row>
    <row r="15297" spans="2:8" x14ac:dyDescent="0.2">
      <c r="B15297" s="3">
        <v>45896</v>
      </c>
      <c r="C15297" s="3"/>
      <c r="D15297" s="6"/>
      <c r="E15297" s="2"/>
      <c r="F15297" s="2"/>
      <c r="G15297" s="2">
        <f t="shared" si="238"/>
        <v>0</v>
      </c>
      <c r="H15297" t="s">
        <v>5</v>
      </c>
    </row>
    <row r="15298" spans="2:8" x14ac:dyDescent="0.2">
      <c r="B15298" s="3">
        <v>45896</v>
      </c>
      <c r="C15298" s="3"/>
      <c r="D15298" s="6"/>
      <c r="E15298" s="2"/>
      <c r="F15298" s="2"/>
      <c r="G15298" s="2">
        <f t="shared" si="238"/>
        <v>0</v>
      </c>
      <c r="H15298" s="1"/>
    </row>
    <row r="15299" spans="2:8" x14ac:dyDescent="0.2">
      <c r="B15299" s="3">
        <v>45896</v>
      </c>
      <c r="C15299" s="3"/>
      <c r="D15299" s="2"/>
      <c r="E15299" s="2"/>
      <c r="F15299" s="2"/>
      <c r="G15299" s="2">
        <f t="shared" ref="G15299:G15362" si="239">E15299-F15299</f>
        <v>0</v>
      </c>
      <c r="H15299" t="s">
        <v>0</v>
      </c>
    </row>
    <row r="15300" spans="2:8" x14ac:dyDescent="0.2">
      <c r="B15300" s="3">
        <v>45897</v>
      </c>
      <c r="C15300" s="2"/>
      <c r="D15300" s="2"/>
      <c r="E15300" s="2"/>
      <c r="F15300" s="2"/>
      <c r="G15300" s="2">
        <f t="shared" si="239"/>
        <v>0</v>
      </c>
      <c r="H15300" t="s">
        <v>14</v>
      </c>
    </row>
    <row r="15301" spans="2:8" x14ac:dyDescent="0.2">
      <c r="B15301" s="3">
        <v>45897</v>
      </c>
      <c r="C15301" s="2"/>
      <c r="D15301" s="2"/>
      <c r="E15301" s="2"/>
      <c r="F15301" s="2"/>
      <c r="G15301" s="2">
        <f t="shared" si="239"/>
        <v>0</v>
      </c>
      <c r="H15301" t="s">
        <v>13</v>
      </c>
    </row>
    <row r="15302" spans="2:8" x14ac:dyDescent="0.2">
      <c r="B15302" s="3">
        <v>45897</v>
      </c>
      <c r="C15302" s="3"/>
      <c r="D15302" s="6"/>
      <c r="E15302" s="2"/>
      <c r="F15302" s="2"/>
      <c r="G15302" s="2">
        <f t="shared" si="239"/>
        <v>0</v>
      </c>
      <c r="H15302" t="s">
        <v>11</v>
      </c>
    </row>
    <row r="15303" spans="2:8" x14ac:dyDescent="0.2">
      <c r="B15303" s="3">
        <v>45897</v>
      </c>
      <c r="C15303" s="3"/>
      <c r="D15303" s="6"/>
      <c r="E15303" s="2"/>
      <c r="F15303" s="2"/>
      <c r="G15303" s="2">
        <f t="shared" si="239"/>
        <v>0</v>
      </c>
      <c r="H15303" t="s">
        <v>10</v>
      </c>
    </row>
    <row r="15304" spans="2:8" x14ac:dyDescent="0.2">
      <c r="B15304" s="3">
        <v>45897</v>
      </c>
      <c r="C15304" s="3"/>
      <c r="D15304" s="6"/>
      <c r="E15304" s="2"/>
      <c r="F15304" s="2"/>
      <c r="G15304" s="2">
        <f t="shared" si="239"/>
        <v>0</v>
      </c>
      <c r="H15304" t="s">
        <v>9</v>
      </c>
    </row>
    <row r="15305" spans="2:8" x14ac:dyDescent="0.2">
      <c r="B15305" s="3">
        <v>45897</v>
      </c>
      <c r="C15305" s="2">
        <v>111</v>
      </c>
      <c r="D15305" s="6">
        <v>12015</v>
      </c>
      <c r="E15305" s="2">
        <v>13480</v>
      </c>
      <c r="F15305" s="2">
        <v>30000</v>
      </c>
      <c r="G15305" s="2">
        <f t="shared" si="239"/>
        <v>-16520</v>
      </c>
      <c r="H15305" t="s">
        <v>8</v>
      </c>
    </row>
    <row r="15306" spans="2:8" x14ac:dyDescent="0.2">
      <c r="B15306" s="3">
        <v>45897</v>
      </c>
      <c r="C15306" s="3"/>
      <c r="D15306" s="6"/>
      <c r="E15306" s="2"/>
      <c r="F15306" s="2"/>
      <c r="G15306" s="2">
        <f t="shared" si="239"/>
        <v>0</v>
      </c>
      <c r="H15306" t="s">
        <v>7</v>
      </c>
    </row>
    <row r="15307" spans="2:8" x14ac:dyDescent="0.2">
      <c r="B15307" s="3">
        <v>45897</v>
      </c>
      <c r="C15307" s="3"/>
      <c r="D15307" s="6"/>
      <c r="E15307" s="2"/>
      <c r="F15307" s="2"/>
      <c r="G15307" s="2">
        <f t="shared" si="239"/>
        <v>0</v>
      </c>
      <c r="H15307" t="s">
        <v>6</v>
      </c>
    </row>
    <row r="15308" spans="2:8" x14ac:dyDescent="0.2">
      <c r="B15308" s="3">
        <v>45897</v>
      </c>
      <c r="C15308" s="3"/>
      <c r="D15308" s="6"/>
      <c r="E15308" s="2"/>
      <c r="F15308" s="2">
        <v>3050</v>
      </c>
      <c r="G15308" s="2">
        <f t="shared" si="239"/>
        <v>-3050</v>
      </c>
      <c r="H15308" t="s">
        <v>5</v>
      </c>
    </row>
    <row r="15309" spans="2:8" x14ac:dyDescent="0.2">
      <c r="B15309" s="3">
        <v>45897</v>
      </c>
      <c r="C15309" s="3"/>
      <c r="D15309" s="6"/>
      <c r="E15309" s="2"/>
      <c r="F15309" s="2"/>
      <c r="G15309" s="2">
        <f t="shared" si="239"/>
        <v>0</v>
      </c>
      <c r="H15309" s="1"/>
    </row>
    <row r="15310" spans="2:8" x14ac:dyDescent="0.2">
      <c r="B15310" s="3">
        <v>45897</v>
      </c>
      <c r="C15310" s="3"/>
      <c r="D15310" s="2"/>
      <c r="E15310" s="2"/>
      <c r="F15310" s="2">
        <v>250000</v>
      </c>
      <c r="G15310" s="2">
        <f t="shared" si="239"/>
        <v>-250000</v>
      </c>
      <c r="H15310" t="s">
        <v>0</v>
      </c>
    </row>
    <row r="15311" spans="2:8" x14ac:dyDescent="0.2">
      <c r="B15311" s="3">
        <v>45898</v>
      </c>
      <c r="C15311" s="2"/>
      <c r="D15311" s="2"/>
      <c r="E15311" s="2"/>
      <c r="F15311" s="2"/>
      <c r="G15311" s="2">
        <f t="shared" si="239"/>
        <v>0</v>
      </c>
      <c r="H15311" t="s">
        <v>14</v>
      </c>
    </row>
    <row r="15312" spans="2:8" x14ac:dyDescent="0.2">
      <c r="B15312" s="3">
        <v>45898</v>
      </c>
      <c r="C15312" s="2"/>
      <c r="D15312" s="2"/>
      <c r="E15312" s="2"/>
      <c r="F15312" s="2"/>
      <c r="G15312" s="2">
        <f t="shared" si="239"/>
        <v>0</v>
      </c>
      <c r="H15312" t="s">
        <v>13</v>
      </c>
    </row>
    <row r="15313" spans="2:8" x14ac:dyDescent="0.2">
      <c r="B15313" s="3">
        <v>45898</v>
      </c>
      <c r="C15313" s="3"/>
      <c r="D15313" s="6"/>
      <c r="E15313" s="2"/>
      <c r="F15313" s="2"/>
      <c r="G15313" s="2">
        <f t="shared" si="239"/>
        <v>0</v>
      </c>
      <c r="H15313" t="s">
        <v>11</v>
      </c>
    </row>
    <row r="15314" spans="2:8" x14ac:dyDescent="0.2">
      <c r="B15314" s="3">
        <v>45898</v>
      </c>
      <c r="C15314" s="3"/>
      <c r="D15314" s="6"/>
      <c r="E15314" s="2"/>
      <c r="F15314" s="2"/>
      <c r="G15314" s="2">
        <f t="shared" si="239"/>
        <v>0</v>
      </c>
      <c r="H15314" t="s">
        <v>10</v>
      </c>
    </row>
    <row r="15315" spans="2:8" x14ac:dyDescent="0.2">
      <c r="B15315" s="3">
        <v>45898</v>
      </c>
      <c r="C15315" s="3"/>
      <c r="D15315" s="6"/>
      <c r="E15315" s="2"/>
      <c r="F15315" s="2"/>
      <c r="G15315" s="2">
        <f t="shared" si="239"/>
        <v>0</v>
      </c>
      <c r="H15315" t="s">
        <v>9</v>
      </c>
    </row>
    <row r="15316" spans="2:8" x14ac:dyDescent="0.2">
      <c r="B15316" s="3">
        <v>45898</v>
      </c>
      <c r="C15316" s="3"/>
      <c r="D15316" s="6"/>
      <c r="E15316" s="2"/>
      <c r="F15316" s="2"/>
      <c r="G15316" s="2">
        <f t="shared" si="239"/>
        <v>0</v>
      </c>
      <c r="H15316" t="s">
        <v>8</v>
      </c>
    </row>
    <row r="15317" spans="2:8" x14ac:dyDescent="0.2">
      <c r="B15317" s="3">
        <v>45898</v>
      </c>
      <c r="C15317" s="3"/>
      <c r="D15317" s="6"/>
      <c r="E15317" s="2"/>
      <c r="F15317" s="2"/>
      <c r="G15317" s="2">
        <f t="shared" si="239"/>
        <v>0</v>
      </c>
      <c r="H15317" t="s">
        <v>7</v>
      </c>
    </row>
    <row r="15318" spans="2:8" x14ac:dyDescent="0.2">
      <c r="B15318" s="3">
        <v>45898</v>
      </c>
      <c r="C15318" s="3"/>
      <c r="D15318" s="6"/>
      <c r="E15318" s="2"/>
      <c r="F15318" s="2"/>
      <c r="G15318" s="2">
        <f t="shared" si="239"/>
        <v>0</v>
      </c>
      <c r="H15318" t="s">
        <v>6</v>
      </c>
    </row>
    <row r="15319" spans="2:8" x14ac:dyDescent="0.2">
      <c r="B15319" s="3">
        <v>45898</v>
      </c>
      <c r="C15319" s="3"/>
      <c r="D15319" s="6"/>
      <c r="E15319" s="2"/>
      <c r="F15319" s="2"/>
      <c r="G15319" s="2">
        <f t="shared" si="239"/>
        <v>0</v>
      </c>
      <c r="H15319" t="s">
        <v>5</v>
      </c>
    </row>
    <row r="15320" spans="2:8" x14ac:dyDescent="0.2">
      <c r="B15320" s="3">
        <v>45898</v>
      </c>
      <c r="C15320" s="3"/>
      <c r="D15320" s="6"/>
      <c r="E15320" s="2"/>
      <c r="F15320" s="2"/>
      <c r="G15320" s="2">
        <f t="shared" si="239"/>
        <v>0</v>
      </c>
      <c r="H15320" s="1"/>
    </row>
    <row r="15321" spans="2:8" x14ac:dyDescent="0.2">
      <c r="B15321" s="3">
        <v>45898</v>
      </c>
      <c r="C15321" s="3"/>
      <c r="D15321" s="2"/>
      <c r="E15321" s="2"/>
      <c r="F15321" s="2"/>
      <c r="G15321" s="2">
        <f t="shared" si="239"/>
        <v>0</v>
      </c>
      <c r="H15321" t="s">
        <v>0</v>
      </c>
    </row>
    <row r="15322" spans="2:8" x14ac:dyDescent="0.2">
      <c r="B15322" s="3">
        <v>45899</v>
      </c>
      <c r="C15322" s="2"/>
      <c r="D15322" s="2"/>
      <c r="E15322" s="2"/>
      <c r="F15322" s="2"/>
      <c r="G15322" s="2">
        <f t="shared" si="239"/>
        <v>0</v>
      </c>
      <c r="H15322" t="s">
        <v>14</v>
      </c>
    </row>
    <row r="15323" spans="2:8" x14ac:dyDescent="0.2">
      <c r="B15323" s="3">
        <v>45899</v>
      </c>
      <c r="C15323" s="2"/>
      <c r="D15323" s="2"/>
      <c r="E15323" s="2"/>
      <c r="F15323" s="2"/>
      <c r="G15323" s="2">
        <f t="shared" si="239"/>
        <v>0</v>
      </c>
      <c r="H15323" t="s">
        <v>13</v>
      </c>
    </row>
    <row r="15324" spans="2:8" x14ac:dyDescent="0.2">
      <c r="B15324" s="3">
        <v>45899</v>
      </c>
      <c r="C15324" s="3"/>
      <c r="D15324" s="6"/>
      <c r="E15324" s="2"/>
      <c r="F15324" s="2"/>
      <c r="G15324" s="2">
        <f t="shared" si="239"/>
        <v>0</v>
      </c>
      <c r="H15324" t="s">
        <v>11</v>
      </c>
    </row>
    <row r="15325" spans="2:8" x14ac:dyDescent="0.2">
      <c r="B15325" s="3">
        <v>45899</v>
      </c>
      <c r="C15325" s="3"/>
      <c r="D15325" s="6"/>
      <c r="E15325" s="2"/>
      <c r="F15325" s="2"/>
      <c r="G15325" s="2">
        <f t="shared" si="239"/>
        <v>0</v>
      </c>
      <c r="H15325" t="s">
        <v>10</v>
      </c>
    </row>
    <row r="15326" spans="2:8" x14ac:dyDescent="0.2">
      <c r="B15326" s="3">
        <v>45899</v>
      </c>
      <c r="C15326" s="3"/>
      <c r="D15326" s="6"/>
      <c r="E15326" s="2"/>
      <c r="F15326" s="2"/>
      <c r="G15326" s="2">
        <f t="shared" si="239"/>
        <v>0</v>
      </c>
      <c r="H15326" t="s">
        <v>9</v>
      </c>
    </row>
    <row r="15327" spans="2:8" x14ac:dyDescent="0.2">
      <c r="B15327" s="3">
        <v>45899</v>
      </c>
      <c r="C15327" s="3"/>
      <c r="D15327" s="6"/>
      <c r="E15327" s="2"/>
      <c r="F15327" s="2"/>
      <c r="G15327" s="2">
        <f t="shared" si="239"/>
        <v>0</v>
      </c>
      <c r="H15327" t="s">
        <v>8</v>
      </c>
    </row>
    <row r="15328" spans="2:8" x14ac:dyDescent="0.2">
      <c r="B15328" s="3">
        <v>45899</v>
      </c>
      <c r="C15328" s="3"/>
      <c r="D15328" s="6"/>
      <c r="E15328" s="2"/>
      <c r="F15328" s="2"/>
      <c r="G15328" s="2">
        <f t="shared" si="239"/>
        <v>0</v>
      </c>
      <c r="H15328" t="s">
        <v>7</v>
      </c>
    </row>
    <row r="15329" spans="2:8" x14ac:dyDescent="0.2">
      <c r="B15329" s="3">
        <v>45899</v>
      </c>
      <c r="C15329" s="3"/>
      <c r="D15329" s="6"/>
      <c r="E15329" s="2"/>
      <c r="F15329" s="2"/>
      <c r="G15329" s="2">
        <f t="shared" si="239"/>
        <v>0</v>
      </c>
      <c r="H15329" t="s">
        <v>6</v>
      </c>
    </row>
    <row r="15330" spans="2:8" x14ac:dyDescent="0.2">
      <c r="B15330" s="3">
        <v>45899</v>
      </c>
      <c r="C15330" s="3"/>
      <c r="D15330" s="6"/>
      <c r="E15330" s="2"/>
      <c r="F15330" s="2"/>
      <c r="G15330" s="2">
        <f t="shared" si="239"/>
        <v>0</v>
      </c>
      <c r="H15330" t="s">
        <v>5</v>
      </c>
    </row>
    <row r="15331" spans="2:8" x14ac:dyDescent="0.2">
      <c r="B15331" s="3">
        <v>45899</v>
      </c>
      <c r="C15331" s="40">
        <v>112</v>
      </c>
      <c r="D15331" s="6">
        <v>905</v>
      </c>
      <c r="E15331" s="2">
        <v>1012.5</v>
      </c>
      <c r="F15331" s="2">
        <v>4860</v>
      </c>
      <c r="G15331" s="2">
        <f t="shared" si="239"/>
        <v>-3847.5</v>
      </c>
      <c r="H15331" s="1" t="s">
        <v>77</v>
      </c>
    </row>
    <row r="15332" spans="2:8" x14ac:dyDescent="0.2">
      <c r="B15332" s="3">
        <v>45899</v>
      </c>
      <c r="C15332" s="3"/>
      <c r="D15332" s="2">
        <v>91908.27</v>
      </c>
      <c r="E15332" s="2">
        <v>94786.489999999991</v>
      </c>
      <c r="F15332" s="2"/>
      <c r="G15332" s="2">
        <f t="shared" si="239"/>
        <v>94786.489999999991</v>
      </c>
      <c r="H15332" t="s">
        <v>0</v>
      </c>
    </row>
    <row r="15333" spans="2:8" x14ac:dyDescent="0.2">
      <c r="B15333" s="3">
        <v>45900</v>
      </c>
      <c r="C15333" s="2" t="s">
        <v>17</v>
      </c>
      <c r="D15333" s="2">
        <v>26910.04</v>
      </c>
      <c r="E15333" s="2">
        <v>31600.799999999999</v>
      </c>
      <c r="F15333" s="2"/>
      <c r="G15333" s="2">
        <f t="shared" si="239"/>
        <v>31600.799999999999</v>
      </c>
      <c r="H15333" t="s">
        <v>14</v>
      </c>
    </row>
    <row r="15334" spans="2:8" x14ac:dyDescent="0.2">
      <c r="B15334" s="3">
        <v>45900</v>
      </c>
      <c r="C15334" s="2"/>
      <c r="D15334" s="2"/>
      <c r="E15334" s="2"/>
      <c r="F15334" s="2"/>
      <c r="G15334" s="2">
        <f t="shared" si="239"/>
        <v>0</v>
      </c>
      <c r="H15334" t="s">
        <v>13</v>
      </c>
    </row>
    <row r="15335" spans="2:8" x14ac:dyDescent="0.2">
      <c r="B15335" s="3">
        <v>45900</v>
      </c>
      <c r="C15335" s="3"/>
      <c r="D15335" s="6"/>
      <c r="E15335" s="2"/>
      <c r="F15335" s="2"/>
      <c r="G15335" s="2">
        <f t="shared" si="239"/>
        <v>0</v>
      </c>
      <c r="H15335" t="s">
        <v>11</v>
      </c>
    </row>
    <row r="15336" spans="2:8" x14ac:dyDescent="0.2">
      <c r="B15336" s="3">
        <v>45900</v>
      </c>
      <c r="C15336" s="3"/>
      <c r="D15336" s="6"/>
      <c r="E15336" s="2"/>
      <c r="F15336" s="2"/>
      <c r="G15336" s="2">
        <f t="shared" si="239"/>
        <v>0</v>
      </c>
      <c r="H15336" t="s">
        <v>10</v>
      </c>
    </row>
    <row r="15337" spans="2:8" x14ac:dyDescent="0.2">
      <c r="B15337" s="3">
        <v>45900</v>
      </c>
      <c r="C15337" s="3"/>
      <c r="D15337" s="6"/>
      <c r="E15337" s="2"/>
      <c r="F15337" s="2"/>
      <c r="G15337" s="2">
        <f t="shared" si="239"/>
        <v>0</v>
      </c>
      <c r="H15337" t="s">
        <v>9</v>
      </c>
    </row>
    <row r="15338" spans="2:8" x14ac:dyDescent="0.2">
      <c r="B15338" s="3">
        <v>45900</v>
      </c>
      <c r="C15338" s="3"/>
      <c r="D15338" s="6"/>
      <c r="E15338" s="2"/>
      <c r="F15338" s="2"/>
      <c r="G15338" s="2">
        <f t="shared" si="239"/>
        <v>0</v>
      </c>
      <c r="H15338" t="s">
        <v>8</v>
      </c>
    </row>
    <row r="15339" spans="2:8" x14ac:dyDescent="0.2">
      <c r="B15339" s="3">
        <v>45900</v>
      </c>
      <c r="C15339" s="3"/>
      <c r="D15339" s="6"/>
      <c r="E15339" s="2"/>
      <c r="F15339" s="2"/>
      <c r="G15339" s="2">
        <f t="shared" si="239"/>
        <v>0</v>
      </c>
      <c r="H15339" t="s">
        <v>7</v>
      </c>
    </row>
    <row r="15340" spans="2:8" x14ac:dyDescent="0.2">
      <c r="B15340" s="3">
        <v>45900</v>
      </c>
      <c r="C15340" s="3"/>
      <c r="D15340" s="6"/>
      <c r="E15340" s="2"/>
      <c r="F15340" s="2"/>
      <c r="G15340" s="2">
        <f t="shared" si="239"/>
        <v>0</v>
      </c>
      <c r="H15340" t="s">
        <v>6</v>
      </c>
    </row>
    <row r="15341" spans="2:8" x14ac:dyDescent="0.2">
      <c r="B15341" s="3">
        <v>45900</v>
      </c>
      <c r="C15341" s="3"/>
      <c r="D15341" s="6"/>
      <c r="E15341" s="2"/>
      <c r="F15341" s="2"/>
      <c r="G15341" s="2">
        <f t="shared" si="239"/>
        <v>0</v>
      </c>
      <c r="H15341" t="s">
        <v>5</v>
      </c>
    </row>
    <row r="15342" spans="2:8" x14ac:dyDescent="0.2">
      <c r="B15342" s="3">
        <v>45900</v>
      </c>
      <c r="C15342" s="3"/>
      <c r="D15342" s="6"/>
      <c r="E15342" s="2"/>
      <c r="F15342" s="2"/>
      <c r="G15342" s="2">
        <f t="shared" si="239"/>
        <v>0</v>
      </c>
      <c r="H15342" s="1"/>
    </row>
    <row r="15343" spans="2:8" x14ac:dyDescent="0.2">
      <c r="B15343" s="3">
        <v>45900</v>
      </c>
      <c r="C15343" s="3"/>
      <c r="D15343" s="2">
        <v>144033.22</v>
      </c>
      <c r="E15343" s="2">
        <v>149484.28</v>
      </c>
      <c r="F15343" s="2"/>
      <c r="G15343" s="2">
        <f t="shared" si="239"/>
        <v>149484.28</v>
      </c>
      <c r="H15343" t="s">
        <v>0</v>
      </c>
    </row>
    <row r="15344" spans="2:8" x14ac:dyDescent="0.2">
      <c r="B15344" s="3">
        <v>45901</v>
      </c>
      <c r="C15344" s="2"/>
      <c r="D15344" s="2"/>
      <c r="E15344" s="2"/>
      <c r="F15344" s="2"/>
      <c r="G15344" s="2">
        <f t="shared" si="239"/>
        <v>0</v>
      </c>
      <c r="H15344" t="s">
        <v>14</v>
      </c>
    </row>
    <row r="15345" spans="2:8" x14ac:dyDescent="0.2">
      <c r="B15345" s="3">
        <v>45901</v>
      </c>
      <c r="C15345" s="2"/>
      <c r="D15345" s="2"/>
      <c r="E15345" s="2"/>
      <c r="F15345" s="2"/>
      <c r="G15345" s="2">
        <f t="shared" si="239"/>
        <v>0</v>
      </c>
      <c r="H15345" t="s">
        <v>13</v>
      </c>
    </row>
    <row r="15346" spans="2:8" x14ac:dyDescent="0.2">
      <c r="B15346" s="3">
        <v>45901</v>
      </c>
      <c r="C15346" s="3"/>
      <c r="D15346" s="6"/>
      <c r="E15346" s="2"/>
      <c r="F15346" s="2"/>
      <c r="G15346" s="2">
        <f t="shared" si="239"/>
        <v>0</v>
      </c>
      <c r="H15346" t="s">
        <v>11</v>
      </c>
    </row>
    <row r="15347" spans="2:8" x14ac:dyDescent="0.2">
      <c r="B15347" s="3">
        <v>45901</v>
      </c>
      <c r="C15347" s="3"/>
      <c r="D15347" s="6"/>
      <c r="E15347" s="2"/>
      <c r="F15347" s="2"/>
      <c r="G15347" s="2">
        <f t="shared" si="239"/>
        <v>0</v>
      </c>
      <c r="H15347" t="s">
        <v>10</v>
      </c>
    </row>
    <row r="15348" spans="2:8" x14ac:dyDescent="0.2">
      <c r="B15348" s="3">
        <v>45901</v>
      </c>
      <c r="C15348" s="3"/>
      <c r="D15348" s="6"/>
      <c r="E15348" s="2"/>
      <c r="F15348" s="2"/>
      <c r="G15348" s="2">
        <f t="shared" si="239"/>
        <v>0</v>
      </c>
      <c r="H15348" t="s">
        <v>9</v>
      </c>
    </row>
    <row r="15349" spans="2:8" x14ac:dyDescent="0.2">
      <c r="B15349" s="3">
        <v>45901</v>
      </c>
      <c r="C15349" s="3"/>
      <c r="D15349" s="6"/>
      <c r="E15349" s="2"/>
      <c r="F15349" s="2"/>
      <c r="G15349" s="2">
        <f t="shared" si="239"/>
        <v>0</v>
      </c>
      <c r="H15349" t="s">
        <v>8</v>
      </c>
    </row>
    <row r="15350" spans="2:8" x14ac:dyDescent="0.2">
      <c r="B15350" s="3">
        <v>45901</v>
      </c>
      <c r="C15350" s="3"/>
      <c r="D15350" s="6"/>
      <c r="E15350" s="2"/>
      <c r="F15350" s="2"/>
      <c r="G15350" s="2">
        <f t="shared" si="239"/>
        <v>0</v>
      </c>
      <c r="H15350" t="s">
        <v>7</v>
      </c>
    </row>
    <row r="15351" spans="2:8" x14ac:dyDescent="0.2">
      <c r="B15351" s="3">
        <v>45901</v>
      </c>
      <c r="C15351" s="3"/>
      <c r="D15351" s="6"/>
      <c r="E15351" s="2"/>
      <c r="F15351" s="2"/>
      <c r="G15351" s="2">
        <f t="shared" si="239"/>
        <v>0</v>
      </c>
      <c r="H15351" t="s">
        <v>6</v>
      </c>
    </row>
    <row r="15352" spans="2:8" x14ac:dyDescent="0.2">
      <c r="B15352" s="3">
        <v>45901</v>
      </c>
      <c r="C15352" s="3"/>
      <c r="D15352" s="6"/>
      <c r="E15352" s="2"/>
      <c r="F15352" s="2"/>
      <c r="G15352" s="2">
        <f t="shared" si="239"/>
        <v>0</v>
      </c>
      <c r="H15352" t="s">
        <v>5</v>
      </c>
    </row>
    <row r="15353" spans="2:8" x14ac:dyDescent="0.2">
      <c r="B15353" s="3">
        <v>45901</v>
      </c>
      <c r="C15353" s="3"/>
      <c r="D15353" s="6"/>
      <c r="E15353" s="2"/>
      <c r="F15353" s="2"/>
      <c r="G15353" s="2">
        <f t="shared" si="239"/>
        <v>0</v>
      </c>
      <c r="H15353" s="1"/>
    </row>
    <row r="15354" spans="2:8" x14ac:dyDescent="0.2">
      <c r="B15354" s="3">
        <v>45901</v>
      </c>
      <c r="C15354" s="3"/>
      <c r="D15354" s="2"/>
      <c r="E15354" s="2"/>
      <c r="F15354" s="2"/>
      <c r="G15354" s="2">
        <f t="shared" si="239"/>
        <v>0</v>
      </c>
      <c r="H15354" t="s">
        <v>0</v>
      </c>
    </row>
    <row r="15355" spans="2:8" x14ac:dyDescent="0.2">
      <c r="B15355" s="3">
        <v>45902</v>
      </c>
      <c r="C15355" s="2"/>
      <c r="D15355" s="2"/>
      <c r="E15355" s="2"/>
      <c r="F15355" s="2"/>
      <c r="G15355" s="2">
        <f t="shared" si="239"/>
        <v>0</v>
      </c>
      <c r="H15355" t="s">
        <v>14</v>
      </c>
    </row>
    <row r="15356" spans="2:8" x14ac:dyDescent="0.2">
      <c r="B15356" s="3">
        <v>45902</v>
      </c>
      <c r="C15356" s="2"/>
      <c r="D15356" s="2"/>
      <c r="E15356" s="2"/>
      <c r="F15356" s="2"/>
      <c r="G15356" s="2">
        <f t="shared" si="239"/>
        <v>0</v>
      </c>
      <c r="H15356" t="s">
        <v>13</v>
      </c>
    </row>
    <row r="15357" spans="2:8" x14ac:dyDescent="0.2">
      <c r="B15357" s="3">
        <v>45902</v>
      </c>
      <c r="C15357" s="3"/>
      <c r="D15357" s="6"/>
      <c r="E15357" s="2"/>
      <c r="F15357" s="2"/>
      <c r="G15357" s="2">
        <f t="shared" si="239"/>
        <v>0</v>
      </c>
      <c r="H15357" t="s">
        <v>11</v>
      </c>
    </row>
    <row r="15358" spans="2:8" x14ac:dyDescent="0.2">
      <c r="B15358" s="3">
        <v>45902</v>
      </c>
      <c r="C15358" s="3"/>
      <c r="D15358" s="6"/>
      <c r="E15358" s="2"/>
      <c r="F15358" s="2"/>
      <c r="G15358" s="2">
        <f t="shared" si="239"/>
        <v>0</v>
      </c>
      <c r="H15358" t="s">
        <v>10</v>
      </c>
    </row>
    <row r="15359" spans="2:8" x14ac:dyDescent="0.2">
      <c r="B15359" s="3">
        <v>45902</v>
      </c>
      <c r="C15359" s="3"/>
      <c r="D15359" s="6"/>
      <c r="E15359" s="2"/>
      <c r="F15359" s="2"/>
      <c r="G15359" s="2">
        <f t="shared" si="239"/>
        <v>0</v>
      </c>
      <c r="H15359" t="s">
        <v>9</v>
      </c>
    </row>
    <row r="15360" spans="2:8" x14ac:dyDescent="0.2">
      <c r="B15360" s="3">
        <v>45902</v>
      </c>
      <c r="C15360" s="3"/>
      <c r="D15360" s="6"/>
      <c r="E15360" s="2"/>
      <c r="F15360" s="2"/>
      <c r="G15360" s="2">
        <f t="shared" si="239"/>
        <v>0</v>
      </c>
      <c r="H15360" t="s">
        <v>8</v>
      </c>
    </row>
    <row r="15361" spans="2:8" x14ac:dyDescent="0.2">
      <c r="B15361" s="3">
        <v>45902</v>
      </c>
      <c r="C15361" s="3"/>
      <c r="D15361" s="6"/>
      <c r="E15361" s="2"/>
      <c r="F15361" s="2"/>
      <c r="G15361" s="2">
        <f t="shared" si="239"/>
        <v>0</v>
      </c>
      <c r="H15361" t="s">
        <v>7</v>
      </c>
    </row>
    <row r="15362" spans="2:8" x14ac:dyDescent="0.2">
      <c r="B15362" s="3">
        <v>45902</v>
      </c>
      <c r="C15362" s="3"/>
      <c r="D15362" s="6"/>
      <c r="E15362" s="2"/>
      <c r="F15362" s="2"/>
      <c r="G15362" s="2">
        <f t="shared" si="239"/>
        <v>0</v>
      </c>
      <c r="H15362" t="s">
        <v>6</v>
      </c>
    </row>
    <row r="15363" spans="2:8" x14ac:dyDescent="0.2">
      <c r="B15363" s="3">
        <v>45902</v>
      </c>
      <c r="C15363" s="3"/>
      <c r="D15363" s="6"/>
      <c r="E15363" s="2"/>
      <c r="F15363" s="2"/>
      <c r="G15363" s="2">
        <f t="shared" ref="G15363:G15426" si="240">E15363-F15363</f>
        <v>0</v>
      </c>
      <c r="H15363" t="s">
        <v>5</v>
      </c>
    </row>
    <row r="15364" spans="2:8" x14ac:dyDescent="0.2">
      <c r="B15364" s="3">
        <v>45902</v>
      </c>
      <c r="C15364" s="3"/>
      <c r="D15364" s="6"/>
      <c r="E15364" s="2"/>
      <c r="F15364" s="2"/>
      <c r="G15364" s="2">
        <f t="shared" si="240"/>
        <v>0</v>
      </c>
      <c r="H15364" s="1"/>
    </row>
    <row r="15365" spans="2:8" x14ac:dyDescent="0.2">
      <c r="B15365" s="3">
        <v>45902</v>
      </c>
      <c r="C15365" s="3"/>
      <c r="D15365" s="2"/>
      <c r="E15365" s="2"/>
      <c r="F15365" s="2"/>
      <c r="G15365" s="2">
        <f t="shared" si="240"/>
        <v>0</v>
      </c>
      <c r="H15365" t="s">
        <v>0</v>
      </c>
    </row>
    <row r="15366" spans="2:8" x14ac:dyDescent="0.2">
      <c r="B15366" s="3">
        <v>45903</v>
      </c>
      <c r="C15366" s="2"/>
      <c r="D15366" s="2"/>
      <c r="E15366" s="2"/>
      <c r="F15366" s="2"/>
      <c r="G15366" s="2">
        <f t="shared" si="240"/>
        <v>0</v>
      </c>
      <c r="H15366" t="s">
        <v>14</v>
      </c>
    </row>
    <row r="15367" spans="2:8" x14ac:dyDescent="0.2">
      <c r="B15367" s="3">
        <v>45903</v>
      </c>
      <c r="C15367" s="2"/>
      <c r="D15367" s="2"/>
      <c r="E15367" s="2"/>
      <c r="F15367" s="2"/>
      <c r="G15367" s="2">
        <f t="shared" si="240"/>
        <v>0</v>
      </c>
      <c r="H15367" t="s">
        <v>13</v>
      </c>
    </row>
    <row r="15368" spans="2:8" x14ac:dyDescent="0.2">
      <c r="B15368" s="3">
        <v>45903</v>
      </c>
      <c r="C15368" s="3"/>
      <c r="D15368" s="6"/>
      <c r="E15368" s="2"/>
      <c r="F15368" s="2"/>
      <c r="G15368" s="2">
        <f t="shared" si="240"/>
        <v>0</v>
      </c>
      <c r="H15368" t="s">
        <v>11</v>
      </c>
    </row>
    <row r="15369" spans="2:8" x14ac:dyDescent="0.2">
      <c r="B15369" s="3">
        <v>45903</v>
      </c>
      <c r="C15369" s="3"/>
      <c r="D15369" s="6"/>
      <c r="E15369" s="2"/>
      <c r="F15369" s="2"/>
      <c r="G15369" s="2">
        <f t="shared" si="240"/>
        <v>0</v>
      </c>
      <c r="H15369" t="s">
        <v>10</v>
      </c>
    </row>
    <row r="15370" spans="2:8" x14ac:dyDescent="0.2">
      <c r="B15370" s="3">
        <v>45903</v>
      </c>
      <c r="C15370" s="3"/>
      <c r="D15370" s="6"/>
      <c r="E15370" s="2"/>
      <c r="F15370" s="2"/>
      <c r="G15370" s="2">
        <f t="shared" si="240"/>
        <v>0</v>
      </c>
      <c r="H15370" t="s">
        <v>9</v>
      </c>
    </row>
    <row r="15371" spans="2:8" x14ac:dyDescent="0.2">
      <c r="B15371" s="3">
        <v>45903</v>
      </c>
      <c r="C15371" s="3"/>
      <c r="D15371" s="6"/>
      <c r="E15371" s="2"/>
      <c r="F15371" s="2"/>
      <c r="G15371" s="2">
        <f t="shared" si="240"/>
        <v>0</v>
      </c>
      <c r="H15371" t="s">
        <v>8</v>
      </c>
    </row>
    <row r="15372" spans="2:8" x14ac:dyDescent="0.2">
      <c r="B15372" s="3">
        <v>45903</v>
      </c>
      <c r="C15372" s="3"/>
      <c r="D15372" s="6"/>
      <c r="E15372" s="2"/>
      <c r="F15372" s="2"/>
      <c r="G15372" s="2">
        <f t="shared" si="240"/>
        <v>0</v>
      </c>
      <c r="H15372" t="s">
        <v>7</v>
      </c>
    </row>
    <row r="15373" spans="2:8" x14ac:dyDescent="0.2">
      <c r="B15373" s="3">
        <v>45903</v>
      </c>
      <c r="C15373" s="3"/>
      <c r="D15373" s="6"/>
      <c r="E15373" s="2"/>
      <c r="F15373" s="2"/>
      <c r="G15373" s="2">
        <f t="shared" si="240"/>
        <v>0</v>
      </c>
      <c r="H15373" t="s">
        <v>6</v>
      </c>
    </row>
    <row r="15374" spans="2:8" x14ac:dyDescent="0.2">
      <c r="B15374" s="3">
        <v>45903</v>
      </c>
      <c r="C15374" s="3"/>
      <c r="D15374" s="6"/>
      <c r="E15374" s="2"/>
      <c r="F15374" s="2"/>
      <c r="G15374" s="2">
        <f t="shared" si="240"/>
        <v>0</v>
      </c>
      <c r="H15374" t="s">
        <v>5</v>
      </c>
    </row>
    <row r="15375" spans="2:8" x14ac:dyDescent="0.2">
      <c r="B15375" s="3">
        <v>45903</v>
      </c>
      <c r="C15375" s="3"/>
      <c r="D15375" s="6"/>
      <c r="E15375" s="2"/>
      <c r="F15375" s="2"/>
      <c r="G15375" s="2">
        <f t="shared" si="240"/>
        <v>0</v>
      </c>
      <c r="H15375" s="1"/>
    </row>
    <row r="15376" spans="2:8" x14ac:dyDescent="0.2">
      <c r="B15376" s="3">
        <v>45903</v>
      </c>
      <c r="C15376" s="3"/>
      <c r="D15376" s="2"/>
      <c r="E15376" s="2"/>
      <c r="F15376" s="2"/>
      <c r="G15376" s="2">
        <f t="shared" si="240"/>
        <v>0</v>
      </c>
      <c r="H15376" t="s">
        <v>0</v>
      </c>
    </row>
    <row r="15377" spans="2:8" x14ac:dyDescent="0.2">
      <c r="B15377" s="3">
        <v>45904</v>
      </c>
      <c r="C15377" s="2"/>
      <c r="D15377" s="2"/>
      <c r="E15377" s="2"/>
      <c r="F15377" s="2"/>
      <c r="G15377" s="2">
        <f t="shared" si="240"/>
        <v>0</v>
      </c>
      <c r="H15377" t="s">
        <v>14</v>
      </c>
    </row>
    <row r="15378" spans="2:8" x14ac:dyDescent="0.2">
      <c r="B15378" s="3">
        <v>45904</v>
      </c>
      <c r="C15378" s="2"/>
      <c r="D15378" s="2"/>
      <c r="E15378" s="2"/>
      <c r="F15378" s="2"/>
      <c r="G15378" s="2">
        <f t="shared" si="240"/>
        <v>0</v>
      </c>
      <c r="H15378" t="s">
        <v>13</v>
      </c>
    </row>
    <row r="15379" spans="2:8" x14ac:dyDescent="0.2">
      <c r="B15379" s="3">
        <v>45904</v>
      </c>
      <c r="C15379" s="3"/>
      <c r="D15379" s="6"/>
      <c r="E15379" s="2"/>
      <c r="F15379" s="2"/>
      <c r="G15379" s="2">
        <f t="shared" si="240"/>
        <v>0</v>
      </c>
      <c r="H15379" t="s">
        <v>11</v>
      </c>
    </row>
    <row r="15380" spans="2:8" x14ac:dyDescent="0.2">
      <c r="B15380" s="3">
        <v>45904</v>
      </c>
      <c r="C15380" s="3"/>
      <c r="D15380" s="6"/>
      <c r="E15380" s="2"/>
      <c r="F15380" s="2"/>
      <c r="G15380" s="2">
        <f t="shared" si="240"/>
        <v>0</v>
      </c>
      <c r="H15380" t="s">
        <v>10</v>
      </c>
    </row>
    <row r="15381" spans="2:8" x14ac:dyDescent="0.2">
      <c r="B15381" s="3">
        <v>45904</v>
      </c>
      <c r="C15381" s="3"/>
      <c r="D15381" s="6"/>
      <c r="E15381" s="2"/>
      <c r="F15381" s="2"/>
      <c r="G15381" s="2">
        <f t="shared" si="240"/>
        <v>0</v>
      </c>
      <c r="H15381" t="s">
        <v>9</v>
      </c>
    </row>
    <row r="15382" spans="2:8" x14ac:dyDescent="0.2">
      <c r="B15382" s="3">
        <v>45904</v>
      </c>
      <c r="C15382" s="3"/>
      <c r="D15382" s="6"/>
      <c r="E15382" s="2"/>
      <c r="F15382" s="2"/>
      <c r="G15382" s="2">
        <f t="shared" si="240"/>
        <v>0</v>
      </c>
      <c r="H15382" t="s">
        <v>8</v>
      </c>
    </row>
    <row r="15383" spans="2:8" x14ac:dyDescent="0.2">
      <c r="B15383" s="3">
        <v>45904</v>
      </c>
      <c r="C15383" s="3"/>
      <c r="D15383" s="6"/>
      <c r="E15383" s="2"/>
      <c r="F15383" s="2"/>
      <c r="G15383" s="2">
        <f t="shared" si="240"/>
        <v>0</v>
      </c>
      <c r="H15383" t="s">
        <v>7</v>
      </c>
    </row>
    <row r="15384" spans="2:8" x14ac:dyDescent="0.2">
      <c r="B15384" s="3">
        <v>45904</v>
      </c>
      <c r="C15384" s="3"/>
      <c r="D15384" s="6"/>
      <c r="E15384" s="2"/>
      <c r="F15384" s="2"/>
      <c r="G15384" s="2">
        <f t="shared" si="240"/>
        <v>0</v>
      </c>
      <c r="H15384" t="s">
        <v>6</v>
      </c>
    </row>
    <row r="15385" spans="2:8" x14ac:dyDescent="0.2">
      <c r="B15385" s="3">
        <v>45904</v>
      </c>
      <c r="C15385" s="3"/>
      <c r="D15385" s="6"/>
      <c r="E15385" s="2"/>
      <c r="F15385" s="2"/>
      <c r="G15385" s="2">
        <f t="shared" si="240"/>
        <v>0</v>
      </c>
      <c r="H15385" t="s">
        <v>5</v>
      </c>
    </row>
    <row r="15386" spans="2:8" x14ac:dyDescent="0.2">
      <c r="B15386" s="3">
        <v>45904</v>
      </c>
      <c r="C15386" s="3"/>
      <c r="D15386" s="6"/>
      <c r="E15386" s="2"/>
      <c r="F15386" s="2"/>
      <c r="G15386" s="2">
        <f t="shared" si="240"/>
        <v>0</v>
      </c>
      <c r="H15386" s="1"/>
    </row>
    <row r="15387" spans="2:8" x14ac:dyDescent="0.2">
      <c r="B15387" s="3">
        <v>45904</v>
      </c>
      <c r="C15387" s="3"/>
      <c r="D15387" s="2"/>
      <c r="E15387" s="2"/>
      <c r="F15387" s="2"/>
      <c r="G15387" s="2">
        <f t="shared" si="240"/>
        <v>0</v>
      </c>
      <c r="H15387" t="s">
        <v>0</v>
      </c>
    </row>
    <row r="15388" spans="2:8" x14ac:dyDescent="0.2">
      <c r="B15388" s="3">
        <v>45905</v>
      </c>
      <c r="C15388" s="2"/>
      <c r="D15388" s="2"/>
      <c r="E15388" s="2"/>
      <c r="F15388" s="2"/>
      <c r="G15388" s="2">
        <f t="shared" si="240"/>
        <v>0</v>
      </c>
      <c r="H15388" t="s">
        <v>14</v>
      </c>
    </row>
    <row r="15389" spans="2:8" x14ac:dyDescent="0.2">
      <c r="B15389" s="3">
        <v>45905</v>
      </c>
      <c r="C15389" s="2"/>
      <c r="D15389" s="2"/>
      <c r="E15389" s="2"/>
      <c r="F15389" s="2"/>
      <c r="G15389" s="2">
        <f t="shared" si="240"/>
        <v>0</v>
      </c>
      <c r="H15389" t="s">
        <v>13</v>
      </c>
    </row>
    <row r="15390" spans="2:8" x14ac:dyDescent="0.2">
      <c r="B15390" s="3">
        <v>45905</v>
      </c>
      <c r="C15390" s="3"/>
      <c r="D15390" s="6"/>
      <c r="E15390" s="2"/>
      <c r="F15390" s="2"/>
      <c r="G15390" s="2">
        <f t="shared" si="240"/>
        <v>0</v>
      </c>
      <c r="H15390" t="s">
        <v>11</v>
      </c>
    </row>
    <row r="15391" spans="2:8" x14ac:dyDescent="0.2">
      <c r="B15391" s="3">
        <v>45905</v>
      </c>
      <c r="C15391" s="3"/>
      <c r="D15391" s="6"/>
      <c r="E15391" s="2"/>
      <c r="F15391" s="2"/>
      <c r="G15391" s="2">
        <f t="shared" si="240"/>
        <v>0</v>
      </c>
      <c r="H15391" t="s">
        <v>10</v>
      </c>
    </row>
    <row r="15392" spans="2:8" x14ac:dyDescent="0.2">
      <c r="B15392" s="3">
        <v>45905</v>
      </c>
      <c r="C15392" s="3"/>
      <c r="D15392" s="6"/>
      <c r="E15392" s="2"/>
      <c r="F15392" s="2"/>
      <c r="G15392" s="2">
        <f t="shared" si="240"/>
        <v>0</v>
      </c>
      <c r="H15392" t="s">
        <v>9</v>
      </c>
    </row>
    <row r="15393" spans="2:8" x14ac:dyDescent="0.2">
      <c r="B15393" s="3">
        <v>45905</v>
      </c>
      <c r="C15393" s="3"/>
      <c r="D15393" s="6"/>
      <c r="E15393" s="2"/>
      <c r="F15393" s="2"/>
      <c r="G15393" s="2">
        <f t="shared" si="240"/>
        <v>0</v>
      </c>
      <c r="H15393" t="s">
        <v>8</v>
      </c>
    </row>
    <row r="15394" spans="2:8" x14ac:dyDescent="0.2">
      <c r="B15394" s="3">
        <v>45905</v>
      </c>
      <c r="C15394" s="3"/>
      <c r="D15394" s="6"/>
      <c r="E15394" s="2"/>
      <c r="F15394" s="2"/>
      <c r="G15394" s="2">
        <f t="shared" si="240"/>
        <v>0</v>
      </c>
      <c r="H15394" t="s">
        <v>7</v>
      </c>
    </row>
    <row r="15395" spans="2:8" x14ac:dyDescent="0.2">
      <c r="B15395" s="3">
        <v>45905</v>
      </c>
      <c r="C15395" s="3"/>
      <c r="D15395" s="6"/>
      <c r="E15395" s="2"/>
      <c r="F15395" s="2"/>
      <c r="G15395" s="2">
        <f t="shared" si="240"/>
        <v>0</v>
      </c>
      <c r="H15395" t="s">
        <v>6</v>
      </c>
    </row>
    <row r="15396" spans="2:8" x14ac:dyDescent="0.2">
      <c r="B15396" s="3">
        <v>45905</v>
      </c>
      <c r="C15396" s="3"/>
      <c r="D15396" s="6"/>
      <c r="E15396" s="2"/>
      <c r="F15396" s="2"/>
      <c r="G15396" s="2">
        <f t="shared" si="240"/>
        <v>0</v>
      </c>
      <c r="H15396" t="s">
        <v>5</v>
      </c>
    </row>
    <row r="15397" spans="2:8" x14ac:dyDescent="0.2">
      <c r="B15397" s="3">
        <v>45905</v>
      </c>
      <c r="C15397" s="3"/>
      <c r="D15397" s="6"/>
      <c r="E15397" s="2"/>
      <c r="F15397" s="2"/>
      <c r="G15397" s="2">
        <f t="shared" si="240"/>
        <v>0</v>
      </c>
      <c r="H15397" s="1"/>
    </row>
    <row r="15398" spans="2:8" x14ac:dyDescent="0.2">
      <c r="B15398" s="3">
        <v>45905</v>
      </c>
      <c r="C15398" s="3"/>
      <c r="D15398" s="2"/>
      <c r="E15398" s="2"/>
      <c r="F15398" s="2"/>
      <c r="G15398" s="2">
        <f t="shared" si="240"/>
        <v>0</v>
      </c>
      <c r="H15398" t="s">
        <v>0</v>
      </c>
    </row>
    <row r="15399" spans="2:8" x14ac:dyDescent="0.2">
      <c r="B15399" s="3">
        <v>45906</v>
      </c>
      <c r="C15399" s="2" t="s">
        <v>16</v>
      </c>
      <c r="D15399" s="2">
        <v>9764.2999999999993</v>
      </c>
      <c r="E15399" s="2">
        <v>11286</v>
      </c>
      <c r="F15399" s="2">
        <v>21920</v>
      </c>
      <c r="G15399" s="2">
        <f t="shared" si="240"/>
        <v>-10634</v>
      </c>
      <c r="H15399" t="s">
        <v>14</v>
      </c>
    </row>
    <row r="15400" spans="2:8" x14ac:dyDescent="0.2">
      <c r="B15400" s="3">
        <v>45906</v>
      </c>
      <c r="C15400" s="2"/>
      <c r="D15400" s="2"/>
      <c r="E15400" s="2"/>
      <c r="F15400" s="2"/>
      <c r="G15400" s="2">
        <f t="shared" si="240"/>
        <v>0</v>
      </c>
      <c r="H15400" t="s">
        <v>13</v>
      </c>
    </row>
    <row r="15401" spans="2:8" x14ac:dyDescent="0.2">
      <c r="B15401" s="3">
        <v>45906</v>
      </c>
      <c r="C15401" s="3"/>
      <c r="D15401" s="6"/>
      <c r="E15401" s="2"/>
      <c r="F15401" s="2"/>
      <c r="G15401" s="2">
        <f t="shared" si="240"/>
        <v>0</v>
      </c>
      <c r="H15401" t="s">
        <v>11</v>
      </c>
    </row>
    <row r="15402" spans="2:8" x14ac:dyDescent="0.2">
      <c r="B15402" s="3">
        <v>45906</v>
      </c>
      <c r="C15402" s="3"/>
      <c r="D15402" s="6"/>
      <c r="E15402" s="2"/>
      <c r="F15402" s="2">
        <v>9700</v>
      </c>
      <c r="G15402" s="2">
        <f t="shared" si="240"/>
        <v>-9700</v>
      </c>
      <c r="H15402" t="s">
        <v>10</v>
      </c>
    </row>
    <row r="15403" spans="2:8" x14ac:dyDescent="0.2">
      <c r="B15403" s="3">
        <v>45906</v>
      </c>
      <c r="C15403" s="3"/>
      <c r="D15403" s="6"/>
      <c r="E15403" s="2"/>
      <c r="F15403" s="2"/>
      <c r="G15403" s="2">
        <f t="shared" si="240"/>
        <v>0</v>
      </c>
      <c r="H15403" t="s">
        <v>9</v>
      </c>
    </row>
    <row r="15404" spans="2:8" x14ac:dyDescent="0.2">
      <c r="B15404" s="3">
        <v>45906</v>
      </c>
      <c r="C15404" s="3"/>
      <c r="D15404" s="6"/>
      <c r="E15404" s="2"/>
      <c r="F15404" s="2"/>
      <c r="G15404" s="2">
        <f t="shared" si="240"/>
        <v>0</v>
      </c>
      <c r="H15404" t="s">
        <v>8</v>
      </c>
    </row>
    <row r="15405" spans="2:8" x14ac:dyDescent="0.2">
      <c r="B15405" s="3">
        <v>45906</v>
      </c>
      <c r="C15405" s="3"/>
      <c r="D15405" s="6"/>
      <c r="E15405" s="2"/>
      <c r="F15405" s="2"/>
      <c r="G15405" s="2">
        <f t="shared" si="240"/>
        <v>0</v>
      </c>
      <c r="H15405" t="s">
        <v>7</v>
      </c>
    </row>
    <row r="15406" spans="2:8" x14ac:dyDescent="0.2">
      <c r="B15406" s="3">
        <v>45906</v>
      </c>
      <c r="C15406" s="3"/>
      <c r="D15406" s="6"/>
      <c r="E15406" s="2"/>
      <c r="F15406" s="2"/>
      <c r="G15406" s="2">
        <f t="shared" si="240"/>
        <v>0</v>
      </c>
      <c r="H15406" t="s">
        <v>6</v>
      </c>
    </row>
    <row r="15407" spans="2:8" x14ac:dyDescent="0.2">
      <c r="B15407" s="3">
        <v>45906</v>
      </c>
      <c r="C15407" s="3"/>
      <c r="D15407" s="6"/>
      <c r="E15407" s="2"/>
      <c r="F15407" s="2"/>
      <c r="G15407" s="2">
        <f t="shared" si="240"/>
        <v>0</v>
      </c>
      <c r="H15407" t="s">
        <v>5</v>
      </c>
    </row>
    <row r="15408" spans="2:8" x14ac:dyDescent="0.2">
      <c r="B15408" s="3">
        <v>45906</v>
      </c>
      <c r="C15408" s="3"/>
      <c r="D15408" s="6"/>
      <c r="E15408" s="2"/>
      <c r="F15408" s="2">
        <v>10000</v>
      </c>
      <c r="G15408" s="2">
        <f t="shared" si="240"/>
        <v>-10000</v>
      </c>
      <c r="H15408" s="1" t="s">
        <v>1</v>
      </c>
    </row>
    <row r="15409" spans="2:8" x14ac:dyDescent="0.2">
      <c r="B15409" s="3">
        <v>45906</v>
      </c>
      <c r="C15409" s="3"/>
      <c r="D15409" s="2"/>
      <c r="E15409" s="2"/>
      <c r="F15409" s="2"/>
      <c r="G15409" s="2">
        <f t="shared" si="240"/>
        <v>0</v>
      </c>
      <c r="H15409" t="s">
        <v>0</v>
      </c>
    </row>
    <row r="15410" spans="2:8" x14ac:dyDescent="0.2">
      <c r="B15410" s="3">
        <v>45907</v>
      </c>
      <c r="C15410" s="2"/>
      <c r="D15410" s="2"/>
      <c r="E15410" s="2"/>
      <c r="F15410" s="2"/>
      <c r="G15410" s="2">
        <f t="shared" si="240"/>
        <v>0</v>
      </c>
      <c r="H15410" t="s">
        <v>14</v>
      </c>
    </row>
    <row r="15411" spans="2:8" x14ac:dyDescent="0.2">
      <c r="B15411" s="3">
        <v>45907</v>
      </c>
      <c r="C15411" s="2"/>
      <c r="D15411" s="2"/>
      <c r="E15411" s="2"/>
      <c r="F15411" s="2"/>
      <c r="G15411" s="2">
        <f t="shared" si="240"/>
        <v>0</v>
      </c>
      <c r="H15411" t="s">
        <v>13</v>
      </c>
    </row>
    <row r="15412" spans="2:8" x14ac:dyDescent="0.2">
      <c r="B15412" s="3">
        <v>45907</v>
      </c>
      <c r="C15412" s="3"/>
      <c r="D15412" s="6"/>
      <c r="E15412" s="2"/>
      <c r="F15412" s="2"/>
      <c r="G15412" s="2">
        <f t="shared" si="240"/>
        <v>0</v>
      </c>
      <c r="H15412" t="s">
        <v>11</v>
      </c>
    </row>
    <row r="15413" spans="2:8" x14ac:dyDescent="0.2">
      <c r="B15413" s="3">
        <v>45907</v>
      </c>
      <c r="C15413" s="3"/>
      <c r="D15413" s="6"/>
      <c r="E15413" s="2"/>
      <c r="F15413" s="2"/>
      <c r="G15413" s="2">
        <f t="shared" si="240"/>
        <v>0</v>
      </c>
      <c r="H15413" t="s">
        <v>10</v>
      </c>
    </row>
    <row r="15414" spans="2:8" x14ac:dyDescent="0.2">
      <c r="B15414" s="3">
        <v>45907</v>
      </c>
      <c r="C15414" s="3"/>
      <c r="D15414" s="6"/>
      <c r="E15414" s="2"/>
      <c r="F15414" s="2"/>
      <c r="G15414" s="2">
        <f t="shared" si="240"/>
        <v>0</v>
      </c>
      <c r="H15414" t="s">
        <v>9</v>
      </c>
    </row>
    <row r="15415" spans="2:8" x14ac:dyDescent="0.2">
      <c r="B15415" s="3">
        <v>45907</v>
      </c>
      <c r="C15415" s="2">
        <v>114</v>
      </c>
      <c r="D15415" s="6">
        <v>19200</v>
      </c>
      <c r="E15415" s="2">
        <v>22500</v>
      </c>
      <c r="F15415" s="2">
        <v>30000</v>
      </c>
      <c r="G15415" s="2">
        <f t="shared" si="240"/>
        <v>-7500</v>
      </c>
      <c r="H15415" t="s">
        <v>8</v>
      </c>
    </row>
    <row r="15416" spans="2:8" x14ac:dyDescent="0.2">
      <c r="B15416" s="3">
        <v>45907</v>
      </c>
      <c r="C15416" s="3"/>
      <c r="D15416" s="6"/>
      <c r="E15416" s="2"/>
      <c r="F15416" s="2"/>
      <c r="G15416" s="2">
        <f t="shared" si="240"/>
        <v>0</v>
      </c>
      <c r="H15416" t="s">
        <v>7</v>
      </c>
    </row>
    <row r="15417" spans="2:8" x14ac:dyDescent="0.2">
      <c r="B15417" s="3">
        <v>45907</v>
      </c>
      <c r="C15417" s="3"/>
      <c r="D15417" s="6"/>
      <c r="E15417" s="2"/>
      <c r="F15417" s="2"/>
      <c r="G15417" s="2">
        <f t="shared" si="240"/>
        <v>0</v>
      </c>
      <c r="H15417" t="s">
        <v>6</v>
      </c>
    </row>
    <row r="15418" spans="2:8" x14ac:dyDescent="0.2">
      <c r="B15418" s="3">
        <v>45907</v>
      </c>
      <c r="C15418" s="3"/>
      <c r="D15418" s="6"/>
      <c r="E15418" s="2"/>
      <c r="F15418" s="2"/>
      <c r="G15418" s="2">
        <f t="shared" si="240"/>
        <v>0</v>
      </c>
      <c r="H15418" t="s">
        <v>5</v>
      </c>
    </row>
    <row r="15419" spans="2:8" x14ac:dyDescent="0.2">
      <c r="B15419" s="3">
        <v>45907</v>
      </c>
      <c r="C15419" s="3"/>
      <c r="D15419" s="6"/>
      <c r="E15419" s="2"/>
      <c r="F15419" s="2"/>
      <c r="G15419" s="2">
        <f t="shared" si="240"/>
        <v>0</v>
      </c>
      <c r="H15419" s="1"/>
    </row>
    <row r="15420" spans="2:8" x14ac:dyDescent="0.2">
      <c r="B15420" s="3">
        <v>45907</v>
      </c>
      <c r="C15420" s="3"/>
      <c r="D15420" s="2"/>
      <c r="E15420" s="2"/>
      <c r="F15420" s="2">
        <v>117645</v>
      </c>
      <c r="G15420" s="2">
        <f t="shared" si="240"/>
        <v>-117645</v>
      </c>
      <c r="H15420" t="s">
        <v>0</v>
      </c>
    </row>
    <row r="15421" spans="2:8" x14ac:dyDescent="0.2">
      <c r="B15421" s="3">
        <v>45908</v>
      </c>
      <c r="C15421" s="2"/>
      <c r="D15421" s="2"/>
      <c r="E15421" s="2"/>
      <c r="F15421" s="2"/>
      <c r="G15421" s="2">
        <f t="shared" si="240"/>
        <v>0</v>
      </c>
      <c r="H15421" t="s">
        <v>14</v>
      </c>
    </row>
    <row r="15422" spans="2:8" x14ac:dyDescent="0.2">
      <c r="B15422" s="3">
        <v>45908</v>
      </c>
      <c r="C15422" s="2"/>
      <c r="D15422" s="2"/>
      <c r="E15422" s="2"/>
      <c r="F15422" s="2"/>
      <c r="G15422" s="2">
        <f t="shared" si="240"/>
        <v>0</v>
      </c>
      <c r="H15422" t="s">
        <v>13</v>
      </c>
    </row>
    <row r="15423" spans="2:8" x14ac:dyDescent="0.2">
      <c r="B15423" s="3">
        <v>45908</v>
      </c>
      <c r="C15423" s="3"/>
      <c r="D15423" s="6"/>
      <c r="E15423" s="2"/>
      <c r="F15423" s="2">
        <v>5000</v>
      </c>
      <c r="G15423" s="2">
        <f t="shared" si="240"/>
        <v>-5000</v>
      </c>
      <c r="H15423" t="s">
        <v>11</v>
      </c>
    </row>
    <row r="15424" spans="2:8" x14ac:dyDescent="0.2">
      <c r="B15424" s="3">
        <v>45908</v>
      </c>
      <c r="C15424" s="3"/>
      <c r="D15424" s="6"/>
      <c r="E15424" s="2"/>
      <c r="F15424" s="2"/>
      <c r="G15424" s="2">
        <f t="shared" si="240"/>
        <v>0</v>
      </c>
      <c r="H15424" t="s">
        <v>10</v>
      </c>
    </row>
    <row r="15425" spans="2:8" x14ac:dyDescent="0.2">
      <c r="B15425" s="3">
        <v>45908</v>
      </c>
      <c r="C15425" s="3"/>
      <c r="D15425" s="6"/>
      <c r="E15425" s="2"/>
      <c r="F15425" s="2"/>
      <c r="G15425" s="2">
        <f t="shared" si="240"/>
        <v>0</v>
      </c>
      <c r="H15425" t="s">
        <v>9</v>
      </c>
    </row>
    <row r="15426" spans="2:8" x14ac:dyDescent="0.2">
      <c r="B15426" s="3">
        <v>45908</v>
      </c>
      <c r="C15426" s="2">
        <v>115</v>
      </c>
      <c r="D15426" s="6">
        <v>50764</v>
      </c>
      <c r="E15426" s="2">
        <v>58820</v>
      </c>
      <c r="F15426" s="2"/>
      <c r="G15426" s="2">
        <f t="shared" si="240"/>
        <v>58820</v>
      </c>
      <c r="H15426" t="s">
        <v>8</v>
      </c>
    </row>
    <row r="15427" spans="2:8" x14ac:dyDescent="0.2">
      <c r="B15427" s="3">
        <v>45908</v>
      </c>
      <c r="C15427" s="3"/>
      <c r="D15427" s="6"/>
      <c r="E15427" s="2"/>
      <c r="F15427" s="2"/>
      <c r="G15427" s="2">
        <f t="shared" ref="G15427:G15490" si="241">E15427-F15427</f>
        <v>0</v>
      </c>
      <c r="H15427" t="s">
        <v>7</v>
      </c>
    </row>
    <row r="15428" spans="2:8" x14ac:dyDescent="0.2">
      <c r="B15428" s="3">
        <v>45908</v>
      </c>
      <c r="C15428" s="3"/>
      <c r="D15428" s="6"/>
      <c r="E15428" s="2"/>
      <c r="F15428" s="2">
        <v>15000</v>
      </c>
      <c r="G15428" s="2">
        <f t="shared" si="241"/>
        <v>-15000</v>
      </c>
      <c r="H15428" t="s">
        <v>6</v>
      </c>
    </row>
    <row r="15429" spans="2:8" x14ac:dyDescent="0.2">
      <c r="B15429" s="3">
        <v>45908</v>
      </c>
      <c r="C15429" s="3"/>
      <c r="D15429" s="6"/>
      <c r="E15429" s="2"/>
      <c r="F15429" s="2"/>
      <c r="G15429" s="2">
        <f t="shared" si="241"/>
        <v>0</v>
      </c>
      <c r="H15429" t="s">
        <v>5</v>
      </c>
    </row>
    <row r="15430" spans="2:8" x14ac:dyDescent="0.2">
      <c r="B15430" s="3">
        <v>45908</v>
      </c>
      <c r="C15430" s="3"/>
      <c r="D15430" s="6"/>
      <c r="E15430" s="2"/>
      <c r="F15430" s="2"/>
      <c r="G15430" s="2">
        <f t="shared" si="241"/>
        <v>0</v>
      </c>
      <c r="H15430" s="1"/>
    </row>
    <row r="15431" spans="2:8" x14ac:dyDescent="0.2">
      <c r="B15431" s="3">
        <v>45908</v>
      </c>
      <c r="C15431" s="3"/>
      <c r="D15431" s="2"/>
      <c r="E15431" s="2"/>
      <c r="F15431" s="2"/>
      <c r="G15431" s="2">
        <f t="shared" si="241"/>
        <v>0</v>
      </c>
      <c r="H15431" t="s">
        <v>0</v>
      </c>
    </row>
    <row r="15432" spans="2:8" x14ac:dyDescent="0.2">
      <c r="B15432" s="3">
        <v>45909</v>
      </c>
      <c r="C15432" s="2"/>
      <c r="D15432" s="2"/>
      <c r="E15432" s="2"/>
      <c r="F15432" s="2"/>
      <c r="G15432" s="2">
        <f t="shared" si="241"/>
        <v>0</v>
      </c>
      <c r="H15432" t="s">
        <v>14</v>
      </c>
    </row>
    <row r="15433" spans="2:8" x14ac:dyDescent="0.2">
      <c r="B15433" s="3">
        <v>45909</v>
      </c>
      <c r="C15433" s="2"/>
      <c r="D15433" s="2"/>
      <c r="E15433" s="2"/>
      <c r="F15433" s="2"/>
      <c r="G15433" s="2">
        <f t="shared" si="241"/>
        <v>0</v>
      </c>
      <c r="H15433" t="s">
        <v>13</v>
      </c>
    </row>
    <row r="15434" spans="2:8" x14ac:dyDescent="0.2">
      <c r="B15434" s="3">
        <v>45909</v>
      </c>
      <c r="C15434" s="3"/>
      <c r="D15434" s="6"/>
      <c r="E15434" s="2"/>
      <c r="F15434" s="2"/>
      <c r="G15434" s="2">
        <f t="shared" si="241"/>
        <v>0</v>
      </c>
      <c r="H15434" t="s">
        <v>11</v>
      </c>
    </row>
    <row r="15435" spans="2:8" x14ac:dyDescent="0.2">
      <c r="B15435" s="3">
        <v>45909</v>
      </c>
      <c r="C15435" s="3"/>
      <c r="D15435" s="6"/>
      <c r="E15435" s="2"/>
      <c r="F15435" s="2"/>
      <c r="G15435" s="2">
        <f t="shared" si="241"/>
        <v>0</v>
      </c>
      <c r="H15435" t="s">
        <v>10</v>
      </c>
    </row>
    <row r="15436" spans="2:8" x14ac:dyDescent="0.2">
      <c r="B15436" s="3">
        <v>45909</v>
      </c>
      <c r="C15436" s="3"/>
      <c r="D15436" s="6"/>
      <c r="E15436" s="2"/>
      <c r="F15436" s="2"/>
      <c r="G15436" s="2">
        <f t="shared" si="241"/>
        <v>0</v>
      </c>
      <c r="H15436" t="s">
        <v>9</v>
      </c>
    </row>
    <row r="15437" spans="2:8" x14ac:dyDescent="0.2">
      <c r="B15437" s="3">
        <v>45909</v>
      </c>
      <c r="C15437" s="3"/>
      <c r="D15437" s="6"/>
      <c r="E15437" s="2"/>
      <c r="F15437" s="2"/>
      <c r="G15437" s="2">
        <f t="shared" si="241"/>
        <v>0</v>
      </c>
      <c r="H15437" t="s">
        <v>8</v>
      </c>
    </row>
    <row r="15438" spans="2:8" x14ac:dyDescent="0.2">
      <c r="B15438" s="3">
        <v>45909</v>
      </c>
      <c r="C15438" s="3"/>
      <c r="D15438" s="6"/>
      <c r="E15438" s="2"/>
      <c r="F15438" s="2"/>
      <c r="G15438" s="2">
        <f t="shared" si="241"/>
        <v>0</v>
      </c>
      <c r="H15438" t="s">
        <v>7</v>
      </c>
    </row>
    <row r="15439" spans="2:8" x14ac:dyDescent="0.2">
      <c r="B15439" s="3">
        <v>45909</v>
      </c>
      <c r="C15439" s="3"/>
      <c r="D15439" s="6"/>
      <c r="E15439" s="2"/>
      <c r="F15439" s="2"/>
      <c r="G15439" s="2">
        <f t="shared" si="241"/>
        <v>0</v>
      </c>
      <c r="H15439" t="s">
        <v>6</v>
      </c>
    </row>
    <row r="15440" spans="2:8" x14ac:dyDescent="0.2">
      <c r="B15440" s="3">
        <v>45909</v>
      </c>
      <c r="C15440" s="3"/>
      <c r="D15440" s="6"/>
      <c r="E15440" s="2"/>
      <c r="F15440" s="2"/>
      <c r="G15440" s="2">
        <f t="shared" si="241"/>
        <v>0</v>
      </c>
      <c r="H15440" t="s">
        <v>5</v>
      </c>
    </row>
    <row r="15441" spans="2:8" x14ac:dyDescent="0.2">
      <c r="B15441" s="3">
        <v>45909</v>
      </c>
      <c r="C15441" s="3"/>
      <c r="D15441" s="6"/>
      <c r="E15441" s="2"/>
      <c r="F15441" s="2"/>
      <c r="G15441" s="2">
        <f t="shared" si="241"/>
        <v>0</v>
      </c>
      <c r="H15441" s="1"/>
    </row>
    <row r="15442" spans="2:8" x14ac:dyDescent="0.2">
      <c r="B15442" s="3">
        <v>45909</v>
      </c>
      <c r="C15442" s="3"/>
      <c r="D15442" s="2"/>
      <c r="E15442" s="2"/>
      <c r="F15442" s="2"/>
      <c r="G15442" s="2">
        <f t="shared" si="241"/>
        <v>0</v>
      </c>
      <c r="H15442" t="s">
        <v>0</v>
      </c>
    </row>
    <row r="15443" spans="2:8" x14ac:dyDescent="0.2">
      <c r="B15443" s="3">
        <v>45910</v>
      </c>
      <c r="C15443" s="2"/>
      <c r="D15443" s="2"/>
      <c r="E15443" s="2"/>
      <c r="F15443" s="2">
        <v>31600</v>
      </c>
      <c r="G15443" s="2">
        <f t="shared" si="241"/>
        <v>-31600</v>
      </c>
      <c r="H15443" t="s">
        <v>14</v>
      </c>
    </row>
    <row r="15444" spans="2:8" x14ac:dyDescent="0.2">
      <c r="B15444" s="3">
        <v>45910</v>
      </c>
      <c r="C15444" s="2"/>
      <c r="D15444" s="2"/>
      <c r="E15444" s="2"/>
      <c r="F15444" s="2"/>
      <c r="G15444" s="2">
        <f t="shared" si="241"/>
        <v>0</v>
      </c>
      <c r="H15444" t="s">
        <v>13</v>
      </c>
    </row>
    <row r="15445" spans="2:8" x14ac:dyDescent="0.2">
      <c r="B15445" s="3">
        <v>45910</v>
      </c>
      <c r="C15445" s="3"/>
      <c r="D15445" s="6"/>
      <c r="E15445" s="2"/>
      <c r="F15445" s="2"/>
      <c r="G15445" s="2">
        <f t="shared" si="241"/>
        <v>0</v>
      </c>
      <c r="H15445" t="s">
        <v>11</v>
      </c>
    </row>
    <row r="15446" spans="2:8" x14ac:dyDescent="0.2">
      <c r="B15446" s="3">
        <v>45910</v>
      </c>
      <c r="C15446" s="3"/>
      <c r="D15446" s="6"/>
      <c r="E15446" s="2"/>
      <c r="F15446" s="2"/>
      <c r="G15446" s="2">
        <f t="shared" si="241"/>
        <v>0</v>
      </c>
      <c r="H15446" t="s">
        <v>10</v>
      </c>
    </row>
    <row r="15447" spans="2:8" x14ac:dyDescent="0.2">
      <c r="B15447" s="3">
        <v>45910</v>
      </c>
      <c r="C15447" s="3"/>
      <c r="D15447" s="6"/>
      <c r="E15447" s="2"/>
      <c r="F15447" s="2"/>
      <c r="G15447" s="2">
        <f t="shared" si="241"/>
        <v>0</v>
      </c>
      <c r="H15447" t="s">
        <v>9</v>
      </c>
    </row>
    <row r="15448" spans="2:8" x14ac:dyDescent="0.2">
      <c r="B15448" s="3">
        <v>45910</v>
      </c>
      <c r="C15448" s="2">
        <v>116</v>
      </c>
      <c r="D15448" s="6">
        <v>53915</v>
      </c>
      <c r="E15448" s="2">
        <v>58880</v>
      </c>
      <c r="F15448" s="2"/>
      <c r="G15448" s="2">
        <f t="shared" si="241"/>
        <v>58880</v>
      </c>
      <c r="H15448" t="s">
        <v>8</v>
      </c>
    </row>
    <row r="15449" spans="2:8" x14ac:dyDescent="0.2">
      <c r="B15449" s="3">
        <v>45910</v>
      </c>
      <c r="C15449" s="3"/>
      <c r="D15449" s="6"/>
      <c r="E15449" s="2"/>
      <c r="F15449" s="2"/>
      <c r="G15449" s="2">
        <f t="shared" si="241"/>
        <v>0</v>
      </c>
      <c r="H15449" t="s">
        <v>7</v>
      </c>
    </row>
    <row r="15450" spans="2:8" x14ac:dyDescent="0.2">
      <c r="B15450" s="3">
        <v>45910</v>
      </c>
      <c r="C15450" s="2">
        <v>117</v>
      </c>
      <c r="D15450" s="6">
        <v>2130</v>
      </c>
      <c r="E15450" s="2">
        <v>2300</v>
      </c>
      <c r="F15450" s="2"/>
      <c r="G15450" s="2">
        <f t="shared" si="241"/>
        <v>2300</v>
      </c>
      <c r="H15450" t="s">
        <v>6</v>
      </c>
    </row>
    <row r="15451" spans="2:8" x14ac:dyDescent="0.2">
      <c r="B15451" s="3">
        <v>45910</v>
      </c>
      <c r="C15451" s="3"/>
      <c r="D15451" s="6"/>
      <c r="E15451" s="2"/>
      <c r="F15451" s="2"/>
      <c r="G15451" s="2">
        <f t="shared" si="241"/>
        <v>0</v>
      </c>
      <c r="H15451" t="s">
        <v>5</v>
      </c>
    </row>
    <row r="15452" spans="2:8" x14ac:dyDescent="0.2">
      <c r="B15452" s="3">
        <v>45910</v>
      </c>
      <c r="C15452" s="3"/>
      <c r="D15452" s="6"/>
      <c r="E15452" s="2"/>
      <c r="F15452" s="2"/>
      <c r="G15452" s="2">
        <f t="shared" si="241"/>
        <v>0</v>
      </c>
      <c r="H15452" s="1"/>
    </row>
    <row r="15453" spans="2:8" x14ac:dyDescent="0.2">
      <c r="B15453" s="3">
        <v>45910</v>
      </c>
      <c r="C15453" s="3"/>
      <c r="D15453" s="2"/>
      <c r="E15453" s="2"/>
      <c r="F15453" s="2"/>
      <c r="G15453" s="2">
        <f t="shared" si="241"/>
        <v>0</v>
      </c>
      <c r="H15453" t="s">
        <v>0</v>
      </c>
    </row>
    <row r="15454" spans="2:8" x14ac:dyDescent="0.2">
      <c r="B15454" s="3">
        <v>45911</v>
      </c>
      <c r="C15454" s="2"/>
      <c r="D15454" s="2"/>
      <c r="E15454" s="2"/>
      <c r="F15454" s="2"/>
      <c r="G15454" s="2">
        <f t="shared" si="241"/>
        <v>0</v>
      </c>
      <c r="H15454" t="s">
        <v>14</v>
      </c>
    </row>
    <row r="15455" spans="2:8" x14ac:dyDescent="0.2">
      <c r="B15455" s="3">
        <v>45911</v>
      </c>
      <c r="C15455" s="2"/>
      <c r="D15455" s="2"/>
      <c r="E15455" s="2"/>
      <c r="F15455" s="2"/>
      <c r="G15455" s="2">
        <f t="shared" si="241"/>
        <v>0</v>
      </c>
      <c r="H15455" t="s">
        <v>13</v>
      </c>
    </row>
    <row r="15456" spans="2:8" x14ac:dyDescent="0.2">
      <c r="B15456" s="3">
        <v>45911</v>
      </c>
      <c r="C15456" s="3"/>
      <c r="D15456" s="6"/>
      <c r="E15456" s="2"/>
      <c r="F15456" s="2"/>
      <c r="G15456" s="2">
        <f t="shared" si="241"/>
        <v>0</v>
      </c>
      <c r="H15456" t="s">
        <v>11</v>
      </c>
    </row>
    <row r="15457" spans="2:8" x14ac:dyDescent="0.2">
      <c r="B15457" s="3">
        <v>45911</v>
      </c>
      <c r="C15457" s="3"/>
      <c r="D15457" s="6"/>
      <c r="E15457" s="2"/>
      <c r="F15457" s="2"/>
      <c r="G15457" s="2">
        <f t="shared" si="241"/>
        <v>0</v>
      </c>
      <c r="H15457" t="s">
        <v>10</v>
      </c>
    </row>
    <row r="15458" spans="2:8" x14ac:dyDescent="0.2">
      <c r="B15458" s="3">
        <v>45911</v>
      </c>
      <c r="C15458" s="3"/>
      <c r="D15458" s="6"/>
      <c r="E15458" s="2"/>
      <c r="F15458" s="2"/>
      <c r="G15458" s="2">
        <f t="shared" si="241"/>
        <v>0</v>
      </c>
      <c r="H15458" t="s">
        <v>9</v>
      </c>
    </row>
    <row r="15459" spans="2:8" x14ac:dyDescent="0.2">
      <c r="B15459" s="3">
        <v>45911</v>
      </c>
      <c r="C15459" s="3"/>
      <c r="D15459" s="6"/>
      <c r="E15459" s="2"/>
      <c r="F15459" s="2"/>
      <c r="G15459" s="2">
        <f t="shared" si="241"/>
        <v>0</v>
      </c>
      <c r="H15459" t="s">
        <v>8</v>
      </c>
    </row>
    <row r="15460" spans="2:8" x14ac:dyDescent="0.2">
      <c r="B15460" s="3">
        <v>45911</v>
      </c>
      <c r="C15460" s="3"/>
      <c r="D15460" s="6"/>
      <c r="E15460" s="2"/>
      <c r="F15460" s="2"/>
      <c r="G15460" s="2">
        <f t="shared" si="241"/>
        <v>0</v>
      </c>
      <c r="H15460" t="s">
        <v>7</v>
      </c>
    </row>
    <row r="15461" spans="2:8" x14ac:dyDescent="0.2">
      <c r="B15461" s="3">
        <v>45911</v>
      </c>
      <c r="C15461" s="2">
        <v>118</v>
      </c>
      <c r="D15461" s="6">
        <v>13222</v>
      </c>
      <c r="E15461" s="2">
        <v>14226</v>
      </c>
      <c r="F15461" s="2"/>
      <c r="G15461" s="2">
        <f t="shared" si="241"/>
        <v>14226</v>
      </c>
      <c r="H15461" t="s">
        <v>6</v>
      </c>
    </row>
    <row r="15462" spans="2:8" x14ac:dyDescent="0.2">
      <c r="B15462" s="3">
        <v>45911</v>
      </c>
      <c r="C15462" s="3"/>
      <c r="D15462" s="6"/>
      <c r="E15462" s="2"/>
      <c r="F15462" s="2"/>
      <c r="G15462" s="2">
        <f t="shared" si="241"/>
        <v>0</v>
      </c>
      <c r="H15462" t="s">
        <v>5</v>
      </c>
    </row>
    <row r="15463" spans="2:8" x14ac:dyDescent="0.2">
      <c r="B15463" s="3">
        <v>45911</v>
      </c>
      <c r="C15463" s="3"/>
      <c r="D15463" s="6"/>
      <c r="E15463" s="2"/>
      <c r="F15463" s="2"/>
      <c r="G15463" s="2">
        <f t="shared" si="241"/>
        <v>0</v>
      </c>
      <c r="H15463" s="1"/>
    </row>
    <row r="15464" spans="2:8" x14ac:dyDescent="0.2">
      <c r="B15464" s="3">
        <v>45911</v>
      </c>
      <c r="C15464" s="3"/>
      <c r="D15464" s="2"/>
      <c r="E15464" s="2"/>
      <c r="F15464" s="2"/>
      <c r="G15464" s="2">
        <f t="shared" si="241"/>
        <v>0</v>
      </c>
      <c r="H15464" t="s">
        <v>0</v>
      </c>
    </row>
    <row r="15465" spans="2:8" x14ac:dyDescent="0.2">
      <c r="B15465" s="3">
        <v>45912</v>
      </c>
      <c r="C15465" s="2"/>
      <c r="D15465" s="2"/>
      <c r="E15465" s="2"/>
      <c r="F15465" s="2"/>
      <c r="G15465" s="2">
        <f t="shared" si="241"/>
        <v>0</v>
      </c>
      <c r="H15465" t="s">
        <v>14</v>
      </c>
    </row>
    <row r="15466" spans="2:8" x14ac:dyDescent="0.2">
      <c r="B15466" s="3">
        <v>45912</v>
      </c>
      <c r="C15466" s="2"/>
      <c r="D15466" s="2"/>
      <c r="E15466" s="2"/>
      <c r="F15466" s="2"/>
      <c r="G15466" s="2">
        <f t="shared" si="241"/>
        <v>0</v>
      </c>
      <c r="H15466" t="s">
        <v>13</v>
      </c>
    </row>
    <row r="15467" spans="2:8" x14ac:dyDescent="0.2">
      <c r="B15467" s="3">
        <v>45912</v>
      </c>
      <c r="C15467" s="3"/>
      <c r="D15467" s="6"/>
      <c r="E15467" s="2"/>
      <c r="F15467" s="2"/>
      <c r="G15467" s="2">
        <f t="shared" si="241"/>
        <v>0</v>
      </c>
      <c r="H15467" t="s">
        <v>11</v>
      </c>
    </row>
    <row r="15468" spans="2:8" x14ac:dyDescent="0.2">
      <c r="B15468" s="3">
        <v>45912</v>
      </c>
      <c r="C15468" s="3"/>
      <c r="D15468" s="6"/>
      <c r="E15468" s="2"/>
      <c r="F15468" s="2"/>
      <c r="G15468" s="2">
        <f t="shared" si="241"/>
        <v>0</v>
      </c>
      <c r="H15468" t="s">
        <v>10</v>
      </c>
    </row>
    <row r="15469" spans="2:8" x14ac:dyDescent="0.2">
      <c r="B15469" s="3">
        <v>45912</v>
      </c>
      <c r="C15469" s="3"/>
      <c r="D15469" s="6"/>
      <c r="E15469" s="2"/>
      <c r="F15469" s="2"/>
      <c r="G15469" s="2">
        <f t="shared" si="241"/>
        <v>0</v>
      </c>
      <c r="H15469" t="s">
        <v>9</v>
      </c>
    </row>
    <row r="15470" spans="2:8" x14ac:dyDescent="0.2">
      <c r="B15470" s="3">
        <v>45912</v>
      </c>
      <c r="C15470" s="3"/>
      <c r="D15470" s="6"/>
      <c r="E15470" s="2"/>
      <c r="F15470" s="2"/>
      <c r="G15470" s="2">
        <f t="shared" si="241"/>
        <v>0</v>
      </c>
      <c r="H15470" t="s">
        <v>8</v>
      </c>
    </row>
    <row r="15471" spans="2:8" x14ac:dyDescent="0.2">
      <c r="B15471" s="3">
        <v>45912</v>
      </c>
      <c r="C15471" s="3"/>
      <c r="D15471" s="6"/>
      <c r="E15471" s="2"/>
      <c r="F15471" s="2"/>
      <c r="G15471" s="2">
        <f t="shared" si="241"/>
        <v>0</v>
      </c>
      <c r="H15471" t="s">
        <v>7</v>
      </c>
    </row>
    <row r="15472" spans="2:8" x14ac:dyDescent="0.2">
      <c r="B15472" s="3">
        <v>45912</v>
      </c>
      <c r="C15472" s="3"/>
      <c r="D15472" s="6"/>
      <c r="E15472" s="2"/>
      <c r="F15472" s="2"/>
      <c r="G15472" s="2">
        <f t="shared" si="241"/>
        <v>0</v>
      </c>
      <c r="H15472" t="s">
        <v>6</v>
      </c>
    </row>
    <row r="15473" spans="2:8" x14ac:dyDescent="0.2">
      <c r="B15473" s="3">
        <v>45912</v>
      </c>
      <c r="C15473" s="3"/>
      <c r="D15473" s="6"/>
      <c r="E15473" s="2"/>
      <c r="F15473" s="2"/>
      <c r="G15473" s="2">
        <f t="shared" si="241"/>
        <v>0</v>
      </c>
      <c r="H15473" t="s">
        <v>5</v>
      </c>
    </row>
    <row r="15474" spans="2:8" x14ac:dyDescent="0.2">
      <c r="B15474" s="3">
        <v>45912</v>
      </c>
      <c r="C15474" s="3"/>
      <c r="D15474" s="6"/>
      <c r="E15474" s="2"/>
      <c r="F15474" s="2"/>
      <c r="G15474" s="2">
        <f t="shared" si="241"/>
        <v>0</v>
      </c>
      <c r="H15474" s="1"/>
    </row>
    <row r="15475" spans="2:8" x14ac:dyDescent="0.2">
      <c r="B15475" s="3">
        <v>45912</v>
      </c>
      <c r="C15475" s="3"/>
      <c r="D15475" s="2"/>
      <c r="E15475" s="2"/>
      <c r="F15475" s="2"/>
      <c r="G15475" s="2">
        <f t="shared" si="241"/>
        <v>0</v>
      </c>
      <c r="H15475" t="s">
        <v>0</v>
      </c>
    </row>
    <row r="15476" spans="2:8" x14ac:dyDescent="0.2">
      <c r="B15476" s="3">
        <v>45913</v>
      </c>
      <c r="C15476" s="2"/>
      <c r="D15476" s="2"/>
      <c r="E15476" s="2"/>
      <c r="F15476" s="2"/>
      <c r="G15476" s="2">
        <f t="shared" si="241"/>
        <v>0</v>
      </c>
      <c r="H15476" t="s">
        <v>14</v>
      </c>
    </row>
    <row r="15477" spans="2:8" x14ac:dyDescent="0.2">
      <c r="B15477" s="3">
        <v>45913</v>
      </c>
      <c r="C15477" s="2"/>
      <c r="D15477" s="2"/>
      <c r="E15477" s="2"/>
      <c r="F15477" s="2"/>
      <c r="G15477" s="2">
        <f t="shared" si="241"/>
        <v>0</v>
      </c>
      <c r="H15477" t="s">
        <v>13</v>
      </c>
    </row>
    <row r="15478" spans="2:8" x14ac:dyDescent="0.2">
      <c r="B15478" s="3">
        <v>45913</v>
      </c>
      <c r="C15478" s="3"/>
      <c r="D15478" s="6"/>
      <c r="E15478" s="2"/>
      <c r="F15478" s="2"/>
      <c r="G15478" s="2">
        <f t="shared" si="241"/>
        <v>0</v>
      </c>
      <c r="H15478" t="s">
        <v>11</v>
      </c>
    </row>
    <row r="15479" spans="2:8" x14ac:dyDescent="0.2">
      <c r="B15479" s="3">
        <v>45913</v>
      </c>
      <c r="C15479" s="3"/>
      <c r="D15479" s="6"/>
      <c r="E15479" s="2"/>
      <c r="F15479" s="2"/>
      <c r="G15479" s="2">
        <f t="shared" si="241"/>
        <v>0</v>
      </c>
      <c r="H15479" t="s">
        <v>10</v>
      </c>
    </row>
    <row r="15480" spans="2:8" x14ac:dyDescent="0.2">
      <c r="B15480" s="3">
        <v>45913</v>
      </c>
      <c r="C15480" s="3"/>
      <c r="D15480" s="6"/>
      <c r="E15480" s="2"/>
      <c r="F15480" s="2"/>
      <c r="G15480" s="2">
        <f t="shared" si="241"/>
        <v>0</v>
      </c>
      <c r="H15480" t="s">
        <v>9</v>
      </c>
    </row>
    <row r="15481" spans="2:8" x14ac:dyDescent="0.2">
      <c r="B15481" s="3">
        <v>45913</v>
      </c>
      <c r="C15481" s="3"/>
      <c r="D15481" s="6"/>
      <c r="E15481" s="2"/>
      <c r="F15481" s="2"/>
      <c r="G15481" s="2">
        <f t="shared" si="241"/>
        <v>0</v>
      </c>
      <c r="H15481" t="s">
        <v>8</v>
      </c>
    </row>
    <row r="15482" spans="2:8" x14ac:dyDescent="0.2">
      <c r="B15482" s="3">
        <v>45913</v>
      </c>
      <c r="C15482" s="3"/>
      <c r="D15482" s="6"/>
      <c r="E15482" s="2"/>
      <c r="F15482" s="2"/>
      <c r="G15482" s="2">
        <f t="shared" si="241"/>
        <v>0</v>
      </c>
      <c r="H15482" t="s">
        <v>7</v>
      </c>
    </row>
    <row r="15483" spans="2:8" x14ac:dyDescent="0.2">
      <c r="B15483" s="3">
        <v>45913</v>
      </c>
      <c r="C15483" s="3"/>
      <c r="D15483" s="6"/>
      <c r="E15483" s="2"/>
      <c r="F15483" s="2"/>
      <c r="G15483" s="2">
        <f t="shared" si="241"/>
        <v>0</v>
      </c>
      <c r="H15483" t="s">
        <v>6</v>
      </c>
    </row>
    <row r="15484" spans="2:8" x14ac:dyDescent="0.2">
      <c r="B15484" s="3">
        <v>45913</v>
      </c>
      <c r="C15484" s="3"/>
      <c r="D15484" s="6"/>
      <c r="E15484" s="2"/>
      <c r="F15484" s="2"/>
      <c r="G15484" s="2">
        <f t="shared" si="241"/>
        <v>0</v>
      </c>
      <c r="H15484" t="s">
        <v>5</v>
      </c>
    </row>
    <row r="15485" spans="2:8" x14ac:dyDescent="0.2">
      <c r="B15485" s="3">
        <v>45913</v>
      </c>
      <c r="C15485" s="3"/>
      <c r="D15485" s="6"/>
      <c r="E15485" s="2"/>
      <c r="F15485" s="2"/>
      <c r="G15485" s="2">
        <f t="shared" si="241"/>
        <v>0</v>
      </c>
      <c r="H15485" s="1"/>
    </row>
    <row r="15486" spans="2:8" x14ac:dyDescent="0.2">
      <c r="B15486" s="3">
        <v>45913</v>
      </c>
      <c r="C15486" s="3"/>
      <c r="D15486" s="2"/>
      <c r="E15486" s="2"/>
      <c r="F15486" s="2"/>
      <c r="G15486" s="2">
        <f t="shared" si="241"/>
        <v>0</v>
      </c>
      <c r="H15486" t="s">
        <v>0</v>
      </c>
    </row>
    <row r="15487" spans="2:8" x14ac:dyDescent="0.2">
      <c r="B15487" s="3">
        <v>45914</v>
      </c>
      <c r="C15487" s="2"/>
      <c r="D15487" s="2"/>
      <c r="E15487" s="2"/>
      <c r="F15487" s="2"/>
      <c r="G15487" s="2">
        <f t="shared" si="241"/>
        <v>0</v>
      </c>
      <c r="H15487" t="s">
        <v>14</v>
      </c>
    </row>
    <row r="15488" spans="2:8" x14ac:dyDescent="0.2">
      <c r="B15488" s="3">
        <v>45914</v>
      </c>
      <c r="C15488" s="2"/>
      <c r="D15488" s="2"/>
      <c r="E15488" s="2"/>
      <c r="F15488" s="2"/>
      <c r="G15488" s="2">
        <f t="shared" si="241"/>
        <v>0</v>
      </c>
      <c r="H15488" t="s">
        <v>13</v>
      </c>
    </row>
    <row r="15489" spans="2:8" x14ac:dyDescent="0.2">
      <c r="B15489" s="3">
        <v>45914</v>
      </c>
      <c r="C15489" s="3"/>
      <c r="D15489" s="6"/>
      <c r="E15489" s="2"/>
      <c r="F15489" s="2"/>
      <c r="G15489" s="2">
        <f t="shared" si="241"/>
        <v>0</v>
      </c>
      <c r="H15489" t="s">
        <v>11</v>
      </c>
    </row>
    <row r="15490" spans="2:8" x14ac:dyDescent="0.2">
      <c r="B15490" s="3">
        <v>45914</v>
      </c>
      <c r="C15490" s="3"/>
      <c r="D15490" s="6"/>
      <c r="E15490" s="2"/>
      <c r="F15490" s="2"/>
      <c r="G15490" s="2">
        <f t="shared" si="241"/>
        <v>0</v>
      </c>
      <c r="H15490" t="s">
        <v>10</v>
      </c>
    </row>
    <row r="15491" spans="2:8" x14ac:dyDescent="0.2">
      <c r="B15491" s="3">
        <v>45914</v>
      </c>
      <c r="C15491" s="3"/>
      <c r="D15491" s="6"/>
      <c r="E15491" s="2"/>
      <c r="F15491" s="2"/>
      <c r="G15491" s="2">
        <f t="shared" ref="G15491:G15554" si="242">E15491-F15491</f>
        <v>0</v>
      </c>
      <c r="H15491" t="s">
        <v>9</v>
      </c>
    </row>
    <row r="15492" spans="2:8" x14ac:dyDescent="0.2">
      <c r="B15492" s="3">
        <v>45914</v>
      </c>
      <c r="C15492" s="3"/>
      <c r="D15492" s="6"/>
      <c r="E15492" s="2"/>
      <c r="F15492" s="2"/>
      <c r="G15492" s="2">
        <f t="shared" si="242"/>
        <v>0</v>
      </c>
      <c r="H15492" t="s">
        <v>8</v>
      </c>
    </row>
    <row r="15493" spans="2:8" x14ac:dyDescent="0.2">
      <c r="B15493" s="3">
        <v>45914</v>
      </c>
      <c r="C15493" s="3"/>
      <c r="D15493" s="6"/>
      <c r="E15493" s="2"/>
      <c r="F15493" s="2"/>
      <c r="G15493" s="2">
        <f t="shared" si="242"/>
        <v>0</v>
      </c>
      <c r="H15493" t="s">
        <v>7</v>
      </c>
    </row>
    <row r="15494" spans="2:8" x14ac:dyDescent="0.2">
      <c r="B15494" s="3">
        <v>45914</v>
      </c>
      <c r="C15494" s="3"/>
      <c r="D15494" s="6"/>
      <c r="E15494" s="2"/>
      <c r="F15494" s="2"/>
      <c r="G15494" s="2">
        <f t="shared" si="242"/>
        <v>0</v>
      </c>
      <c r="H15494" t="s">
        <v>6</v>
      </c>
    </row>
    <row r="15495" spans="2:8" x14ac:dyDescent="0.2">
      <c r="B15495" s="3">
        <v>45914</v>
      </c>
      <c r="C15495" s="3"/>
      <c r="D15495" s="6"/>
      <c r="E15495" s="2"/>
      <c r="F15495" s="2"/>
      <c r="G15495" s="2">
        <f t="shared" si="242"/>
        <v>0</v>
      </c>
      <c r="H15495" t="s">
        <v>5</v>
      </c>
    </row>
    <row r="15496" spans="2:8" x14ac:dyDescent="0.2">
      <c r="B15496" s="3">
        <v>45914</v>
      </c>
      <c r="C15496" s="3"/>
      <c r="D15496" s="6"/>
      <c r="E15496" s="2"/>
      <c r="F15496" s="2"/>
      <c r="G15496" s="2">
        <f t="shared" si="242"/>
        <v>0</v>
      </c>
      <c r="H15496" s="1"/>
    </row>
    <row r="15497" spans="2:8" x14ac:dyDescent="0.2">
      <c r="B15497" s="3">
        <v>45914</v>
      </c>
      <c r="C15497" s="3"/>
      <c r="D15497" s="2">
        <v>69017.100000000006</v>
      </c>
      <c r="E15497" s="2">
        <v>71867.5</v>
      </c>
      <c r="F15497" s="2">
        <v>149484</v>
      </c>
      <c r="G15497" s="2">
        <f t="shared" si="242"/>
        <v>-77616.5</v>
      </c>
      <c r="H15497" t="s">
        <v>0</v>
      </c>
    </row>
    <row r="15498" spans="2:8" x14ac:dyDescent="0.2">
      <c r="B15498" s="3">
        <v>45915</v>
      </c>
      <c r="C15498" s="2"/>
      <c r="D15498" s="2"/>
      <c r="E15498" s="2"/>
      <c r="F15498" s="2"/>
      <c r="G15498" s="2">
        <f t="shared" si="242"/>
        <v>0</v>
      </c>
      <c r="H15498" t="s">
        <v>14</v>
      </c>
    </row>
    <row r="15499" spans="2:8" x14ac:dyDescent="0.2">
      <c r="B15499" s="3">
        <v>45915</v>
      </c>
      <c r="C15499" s="2"/>
      <c r="D15499" s="2"/>
      <c r="E15499" s="2"/>
      <c r="F15499" s="2"/>
      <c r="G15499" s="2">
        <f t="shared" si="242"/>
        <v>0</v>
      </c>
      <c r="H15499" t="s">
        <v>13</v>
      </c>
    </row>
    <row r="15500" spans="2:8" x14ac:dyDescent="0.2">
      <c r="B15500" s="3">
        <v>45915</v>
      </c>
      <c r="C15500" s="3"/>
      <c r="D15500" s="6"/>
      <c r="E15500" s="2"/>
      <c r="F15500" s="2"/>
      <c r="G15500" s="2">
        <f t="shared" si="242"/>
        <v>0</v>
      </c>
      <c r="H15500" t="s">
        <v>11</v>
      </c>
    </row>
    <row r="15501" spans="2:8" x14ac:dyDescent="0.2">
      <c r="B15501" s="3">
        <v>45915</v>
      </c>
      <c r="C15501" s="3"/>
      <c r="D15501" s="6"/>
      <c r="E15501" s="2"/>
      <c r="F15501" s="2"/>
      <c r="G15501" s="2">
        <f t="shared" si="242"/>
        <v>0</v>
      </c>
      <c r="H15501" t="s">
        <v>10</v>
      </c>
    </row>
    <row r="15502" spans="2:8" x14ac:dyDescent="0.2">
      <c r="B15502" s="3">
        <v>45915</v>
      </c>
      <c r="C15502" s="3"/>
      <c r="D15502" s="6"/>
      <c r="E15502" s="2"/>
      <c r="F15502" s="2"/>
      <c r="G15502" s="2">
        <f t="shared" si="242"/>
        <v>0</v>
      </c>
      <c r="H15502" t="s">
        <v>9</v>
      </c>
    </row>
    <row r="15503" spans="2:8" x14ac:dyDescent="0.2">
      <c r="B15503" s="3">
        <v>45915</v>
      </c>
      <c r="C15503" s="3"/>
      <c r="D15503" s="6"/>
      <c r="E15503" s="2"/>
      <c r="F15503" s="2"/>
      <c r="G15503" s="2">
        <f t="shared" si="242"/>
        <v>0</v>
      </c>
      <c r="H15503" t="s">
        <v>8</v>
      </c>
    </row>
    <row r="15504" spans="2:8" x14ac:dyDescent="0.2">
      <c r="B15504" s="3">
        <v>45915</v>
      </c>
      <c r="C15504" s="3"/>
      <c r="D15504" s="6"/>
      <c r="E15504" s="2"/>
      <c r="F15504" s="2"/>
      <c r="G15504" s="2">
        <f t="shared" si="242"/>
        <v>0</v>
      </c>
      <c r="H15504" t="s">
        <v>7</v>
      </c>
    </row>
    <row r="15505" spans="2:8" x14ac:dyDescent="0.2">
      <c r="B15505" s="3">
        <v>45915</v>
      </c>
      <c r="C15505" s="3"/>
      <c r="D15505" s="6"/>
      <c r="E15505" s="2"/>
      <c r="F15505" s="2"/>
      <c r="G15505" s="2">
        <f t="shared" si="242"/>
        <v>0</v>
      </c>
      <c r="H15505" t="s">
        <v>6</v>
      </c>
    </row>
    <row r="15506" spans="2:8" x14ac:dyDescent="0.2">
      <c r="B15506" s="3">
        <v>45915</v>
      </c>
      <c r="C15506" s="3"/>
      <c r="D15506" s="6"/>
      <c r="E15506" s="2"/>
      <c r="F15506" s="2"/>
      <c r="G15506" s="2">
        <f t="shared" si="242"/>
        <v>0</v>
      </c>
      <c r="H15506" t="s">
        <v>5</v>
      </c>
    </row>
    <row r="15507" spans="2:8" x14ac:dyDescent="0.2">
      <c r="B15507" s="3">
        <v>45915</v>
      </c>
      <c r="C15507" s="3"/>
      <c r="D15507" s="6"/>
      <c r="E15507" s="2"/>
      <c r="F15507" s="2"/>
      <c r="G15507" s="2">
        <f t="shared" si="242"/>
        <v>0</v>
      </c>
      <c r="H15507" s="1"/>
    </row>
    <row r="15508" spans="2:8" x14ac:dyDescent="0.2">
      <c r="B15508" s="3">
        <v>45915</v>
      </c>
      <c r="C15508" s="3"/>
      <c r="D15508" s="2"/>
      <c r="E15508" s="2"/>
      <c r="F15508" s="2"/>
      <c r="G15508" s="2">
        <f t="shared" si="242"/>
        <v>0</v>
      </c>
      <c r="H15508" t="s">
        <v>0</v>
      </c>
    </row>
    <row r="15509" spans="2:8" x14ac:dyDescent="0.2">
      <c r="B15509" s="3">
        <v>45916</v>
      </c>
      <c r="C15509" s="2"/>
      <c r="D15509" s="2"/>
      <c r="E15509" s="2"/>
      <c r="F15509" s="2"/>
      <c r="G15509" s="2">
        <f t="shared" si="242"/>
        <v>0</v>
      </c>
      <c r="H15509" t="s">
        <v>14</v>
      </c>
    </row>
    <row r="15510" spans="2:8" x14ac:dyDescent="0.2">
      <c r="B15510" s="3">
        <v>45916</v>
      </c>
      <c r="C15510" s="2"/>
      <c r="D15510" s="2"/>
      <c r="E15510" s="2"/>
      <c r="F15510" s="2"/>
      <c r="G15510" s="2">
        <f t="shared" si="242"/>
        <v>0</v>
      </c>
      <c r="H15510" t="s">
        <v>13</v>
      </c>
    </row>
    <row r="15511" spans="2:8" x14ac:dyDescent="0.2">
      <c r="B15511" s="3">
        <v>45916</v>
      </c>
      <c r="C15511" s="3"/>
      <c r="D15511" s="6"/>
      <c r="E15511" s="2"/>
      <c r="F15511" s="2"/>
      <c r="G15511" s="2">
        <f t="shared" si="242"/>
        <v>0</v>
      </c>
      <c r="H15511" t="s">
        <v>11</v>
      </c>
    </row>
    <row r="15512" spans="2:8" x14ac:dyDescent="0.2">
      <c r="B15512" s="3">
        <v>45916</v>
      </c>
      <c r="C15512" s="3"/>
      <c r="D15512" s="6"/>
      <c r="E15512" s="2"/>
      <c r="F15512" s="2"/>
      <c r="G15512" s="2">
        <f t="shared" si="242"/>
        <v>0</v>
      </c>
      <c r="H15512" t="s">
        <v>10</v>
      </c>
    </row>
    <row r="15513" spans="2:8" x14ac:dyDescent="0.2">
      <c r="B15513" s="3">
        <v>45916</v>
      </c>
      <c r="C15513" s="3"/>
      <c r="D15513" s="6"/>
      <c r="E15513" s="2"/>
      <c r="F15513" s="2"/>
      <c r="G15513" s="2">
        <f t="shared" si="242"/>
        <v>0</v>
      </c>
      <c r="H15513" t="s">
        <v>9</v>
      </c>
    </row>
    <row r="15514" spans="2:8" x14ac:dyDescent="0.2">
      <c r="B15514" s="3">
        <v>45916</v>
      </c>
      <c r="C15514" s="3"/>
      <c r="D15514" s="6"/>
      <c r="E15514" s="2"/>
      <c r="F15514" s="2">
        <v>35000</v>
      </c>
      <c r="G15514" s="2">
        <f t="shared" si="242"/>
        <v>-35000</v>
      </c>
      <c r="H15514" t="s">
        <v>8</v>
      </c>
    </row>
    <row r="15515" spans="2:8" x14ac:dyDescent="0.2">
      <c r="B15515" s="3">
        <v>45916</v>
      </c>
      <c r="C15515" s="3"/>
      <c r="D15515" s="6"/>
      <c r="E15515" s="2"/>
      <c r="F15515" s="2"/>
      <c r="G15515" s="2">
        <f t="shared" si="242"/>
        <v>0</v>
      </c>
      <c r="H15515" t="s">
        <v>7</v>
      </c>
    </row>
    <row r="15516" spans="2:8" x14ac:dyDescent="0.2">
      <c r="B15516" s="3">
        <v>45916</v>
      </c>
      <c r="C15516" s="3"/>
      <c r="D15516" s="6"/>
      <c r="E15516" s="2"/>
      <c r="F15516" s="2"/>
      <c r="G15516" s="2">
        <f t="shared" si="242"/>
        <v>0</v>
      </c>
      <c r="H15516" t="s">
        <v>6</v>
      </c>
    </row>
    <row r="15517" spans="2:8" x14ac:dyDescent="0.2">
      <c r="B15517" s="3">
        <v>45916</v>
      </c>
      <c r="C15517" s="3"/>
      <c r="D15517" s="6"/>
      <c r="E15517" s="2"/>
      <c r="F15517" s="2"/>
      <c r="G15517" s="2">
        <f t="shared" si="242"/>
        <v>0</v>
      </c>
      <c r="H15517" t="s">
        <v>5</v>
      </c>
    </row>
    <row r="15518" spans="2:8" x14ac:dyDescent="0.2">
      <c r="B15518" s="3">
        <v>45916</v>
      </c>
      <c r="C15518" s="3"/>
      <c r="D15518" s="6"/>
      <c r="E15518" s="2"/>
      <c r="F15518" s="2"/>
      <c r="G15518" s="2">
        <f t="shared" si="242"/>
        <v>0</v>
      </c>
      <c r="H15518" s="1"/>
    </row>
    <row r="15519" spans="2:8" x14ac:dyDescent="0.2">
      <c r="B15519" s="3">
        <v>45916</v>
      </c>
      <c r="C15519" s="3"/>
      <c r="D15519" s="2"/>
      <c r="E15519" s="2"/>
      <c r="F15519" s="2"/>
      <c r="G15519" s="2">
        <f t="shared" si="242"/>
        <v>0</v>
      </c>
      <c r="H15519" t="s">
        <v>0</v>
      </c>
    </row>
    <row r="15520" spans="2:8" x14ac:dyDescent="0.2">
      <c r="B15520" s="3">
        <v>45917</v>
      </c>
      <c r="C15520" s="2">
        <v>119</v>
      </c>
      <c r="D15520" s="2">
        <v>1575</v>
      </c>
      <c r="E15520" s="2">
        <v>1875</v>
      </c>
      <c r="F15520" s="2"/>
      <c r="G15520" s="2">
        <f t="shared" si="242"/>
        <v>1875</v>
      </c>
      <c r="H15520" t="s">
        <v>14</v>
      </c>
    </row>
    <row r="15521" spans="2:8" x14ac:dyDescent="0.2">
      <c r="B15521" s="3">
        <v>45917</v>
      </c>
      <c r="C15521" s="2"/>
      <c r="D15521" s="2"/>
      <c r="E15521" s="2"/>
      <c r="F15521" s="2"/>
      <c r="G15521" s="2">
        <f t="shared" si="242"/>
        <v>0</v>
      </c>
      <c r="H15521" t="s">
        <v>13</v>
      </c>
    </row>
    <row r="15522" spans="2:8" x14ac:dyDescent="0.2">
      <c r="B15522" s="3">
        <v>45917</v>
      </c>
      <c r="C15522" s="3"/>
      <c r="D15522" s="6"/>
      <c r="E15522" s="2"/>
      <c r="F15522" s="2"/>
      <c r="G15522" s="2">
        <f t="shared" si="242"/>
        <v>0</v>
      </c>
      <c r="H15522" t="s">
        <v>11</v>
      </c>
    </row>
    <row r="15523" spans="2:8" x14ac:dyDescent="0.2">
      <c r="B15523" s="3">
        <v>45917</v>
      </c>
      <c r="C15523" s="3"/>
      <c r="D15523" s="6"/>
      <c r="E15523" s="2"/>
      <c r="F15523" s="2"/>
      <c r="G15523" s="2">
        <f t="shared" si="242"/>
        <v>0</v>
      </c>
      <c r="H15523" t="s">
        <v>10</v>
      </c>
    </row>
    <row r="15524" spans="2:8" x14ac:dyDescent="0.2">
      <c r="B15524" s="3">
        <v>45917</v>
      </c>
      <c r="C15524" s="3"/>
      <c r="D15524" s="6"/>
      <c r="E15524" s="2"/>
      <c r="F15524" s="2"/>
      <c r="G15524" s="2">
        <f t="shared" si="242"/>
        <v>0</v>
      </c>
      <c r="H15524" t="s">
        <v>9</v>
      </c>
    </row>
    <row r="15525" spans="2:8" x14ac:dyDescent="0.2">
      <c r="B15525" s="3">
        <v>45917</v>
      </c>
      <c r="C15525" s="3"/>
      <c r="D15525" s="6"/>
      <c r="E15525" s="2"/>
      <c r="F15525" s="2"/>
      <c r="G15525" s="2">
        <f t="shared" si="242"/>
        <v>0</v>
      </c>
      <c r="H15525" t="s">
        <v>8</v>
      </c>
    </row>
    <row r="15526" spans="2:8" x14ac:dyDescent="0.2">
      <c r="B15526" s="3">
        <v>45917</v>
      </c>
      <c r="C15526" s="3"/>
      <c r="D15526" s="6"/>
      <c r="E15526" s="2"/>
      <c r="F15526" s="2"/>
      <c r="G15526" s="2">
        <f t="shared" si="242"/>
        <v>0</v>
      </c>
      <c r="H15526" t="s">
        <v>7</v>
      </c>
    </row>
    <row r="15527" spans="2:8" x14ac:dyDescent="0.2">
      <c r="B15527" s="3">
        <v>45917</v>
      </c>
      <c r="C15527" s="2">
        <v>120</v>
      </c>
      <c r="D15527" s="6">
        <v>4700</v>
      </c>
      <c r="E15527" s="2">
        <v>5350</v>
      </c>
      <c r="F15527" s="2"/>
      <c r="G15527" s="2">
        <f t="shared" si="242"/>
        <v>5350</v>
      </c>
      <c r="H15527" t="s">
        <v>6</v>
      </c>
    </row>
    <row r="15528" spans="2:8" x14ac:dyDescent="0.2">
      <c r="B15528" s="3">
        <v>45917</v>
      </c>
      <c r="C15528" s="3"/>
      <c r="D15528" s="6"/>
      <c r="E15528" s="2"/>
      <c r="F15528" s="2"/>
      <c r="G15528" s="2">
        <f t="shared" si="242"/>
        <v>0</v>
      </c>
      <c r="H15528" t="s">
        <v>5</v>
      </c>
    </row>
    <row r="15529" spans="2:8" x14ac:dyDescent="0.2">
      <c r="B15529" s="3">
        <v>45917</v>
      </c>
      <c r="C15529" s="3"/>
      <c r="D15529" s="6"/>
      <c r="E15529" s="2"/>
      <c r="F15529" s="2"/>
      <c r="G15529" s="2">
        <f t="shared" si="242"/>
        <v>0</v>
      </c>
      <c r="H15529" s="1"/>
    </row>
    <row r="15530" spans="2:8" x14ac:dyDescent="0.2">
      <c r="B15530" s="3">
        <v>45917</v>
      </c>
      <c r="C15530" s="3"/>
      <c r="D15530" s="2"/>
      <c r="E15530" s="2"/>
      <c r="F15530" s="2"/>
      <c r="G15530" s="2">
        <f t="shared" si="242"/>
        <v>0</v>
      </c>
      <c r="H15530" t="s">
        <v>0</v>
      </c>
    </row>
    <row r="15531" spans="2:8" x14ac:dyDescent="0.2">
      <c r="B15531" s="3">
        <v>45918</v>
      </c>
      <c r="C15531" s="2"/>
      <c r="D15531" s="2"/>
      <c r="E15531" s="2"/>
      <c r="F15531" s="2"/>
      <c r="G15531" s="2">
        <f t="shared" si="242"/>
        <v>0</v>
      </c>
      <c r="H15531" t="s">
        <v>14</v>
      </c>
    </row>
    <row r="15532" spans="2:8" x14ac:dyDescent="0.2">
      <c r="B15532" s="3">
        <v>45918</v>
      </c>
      <c r="C15532" s="2"/>
      <c r="D15532" s="2"/>
      <c r="E15532" s="2"/>
      <c r="F15532" s="2"/>
      <c r="G15532" s="2">
        <f t="shared" si="242"/>
        <v>0</v>
      </c>
      <c r="H15532" t="s">
        <v>13</v>
      </c>
    </row>
    <row r="15533" spans="2:8" x14ac:dyDescent="0.2">
      <c r="B15533" s="3">
        <v>45918</v>
      </c>
      <c r="C15533" s="3"/>
      <c r="D15533" s="6"/>
      <c r="E15533" s="2"/>
      <c r="F15533" s="2"/>
      <c r="G15533" s="2">
        <f t="shared" si="242"/>
        <v>0</v>
      </c>
      <c r="H15533" t="s">
        <v>11</v>
      </c>
    </row>
    <row r="15534" spans="2:8" x14ac:dyDescent="0.2">
      <c r="B15534" s="3">
        <v>45918</v>
      </c>
      <c r="C15534" s="3"/>
      <c r="D15534" s="6"/>
      <c r="E15534" s="2"/>
      <c r="F15534" s="2"/>
      <c r="G15534" s="2">
        <f t="shared" si="242"/>
        <v>0</v>
      </c>
      <c r="H15534" t="s">
        <v>10</v>
      </c>
    </row>
    <row r="15535" spans="2:8" x14ac:dyDescent="0.2">
      <c r="B15535" s="3">
        <v>45918</v>
      </c>
      <c r="C15535" s="3"/>
      <c r="D15535" s="6"/>
      <c r="E15535" s="2"/>
      <c r="F15535" s="2"/>
      <c r="G15535" s="2">
        <f t="shared" si="242"/>
        <v>0</v>
      </c>
      <c r="H15535" t="s">
        <v>9</v>
      </c>
    </row>
    <row r="15536" spans="2:8" x14ac:dyDescent="0.2">
      <c r="B15536" s="3">
        <v>45918</v>
      </c>
      <c r="C15536" s="3"/>
      <c r="D15536" s="6"/>
      <c r="E15536" s="2"/>
      <c r="F15536" s="2"/>
      <c r="G15536" s="2">
        <f t="shared" si="242"/>
        <v>0</v>
      </c>
      <c r="H15536" t="s">
        <v>8</v>
      </c>
    </row>
    <row r="15537" spans="2:8" x14ac:dyDescent="0.2">
      <c r="B15537" s="3">
        <v>45918</v>
      </c>
      <c r="C15537" s="3"/>
      <c r="D15537" s="6"/>
      <c r="E15537" s="2"/>
      <c r="F15537" s="2"/>
      <c r="G15537" s="2">
        <f t="shared" si="242"/>
        <v>0</v>
      </c>
      <c r="H15537" t="s">
        <v>7</v>
      </c>
    </row>
    <row r="15538" spans="2:8" x14ac:dyDescent="0.2">
      <c r="B15538" s="3">
        <v>45918</v>
      </c>
      <c r="C15538" s="3"/>
      <c r="D15538" s="6"/>
      <c r="E15538" s="2"/>
      <c r="F15538" s="2"/>
      <c r="G15538" s="2">
        <f t="shared" si="242"/>
        <v>0</v>
      </c>
      <c r="H15538" t="s">
        <v>6</v>
      </c>
    </row>
    <row r="15539" spans="2:8" x14ac:dyDescent="0.2">
      <c r="B15539" s="3">
        <v>45918</v>
      </c>
      <c r="C15539" s="3"/>
      <c r="D15539" s="6"/>
      <c r="E15539" s="2"/>
      <c r="F15539" s="2"/>
      <c r="G15539" s="2">
        <f t="shared" si="242"/>
        <v>0</v>
      </c>
      <c r="H15539" t="s">
        <v>5</v>
      </c>
    </row>
    <row r="15540" spans="2:8" x14ac:dyDescent="0.2">
      <c r="B15540" s="3">
        <v>45918</v>
      </c>
      <c r="C15540" s="3"/>
      <c r="D15540" s="6"/>
      <c r="E15540" s="2"/>
      <c r="F15540" s="2"/>
      <c r="G15540" s="2">
        <f t="shared" si="242"/>
        <v>0</v>
      </c>
      <c r="H15540" s="1"/>
    </row>
    <row r="15541" spans="2:8" x14ac:dyDescent="0.2">
      <c r="B15541" s="3">
        <v>45918</v>
      </c>
      <c r="C15541" s="3"/>
      <c r="D15541" s="2"/>
      <c r="E15541" s="2"/>
      <c r="F15541" s="2"/>
      <c r="G15541" s="2">
        <f t="shared" si="242"/>
        <v>0</v>
      </c>
      <c r="H15541" t="s">
        <v>0</v>
      </c>
    </row>
    <row r="15542" spans="2:8" x14ac:dyDescent="0.2">
      <c r="B15542" s="3">
        <v>45919</v>
      </c>
      <c r="C15542" s="2"/>
      <c r="D15542" s="2"/>
      <c r="E15542" s="2"/>
      <c r="F15542" s="2"/>
      <c r="G15542" s="2">
        <f t="shared" si="242"/>
        <v>0</v>
      </c>
      <c r="H15542" t="s">
        <v>14</v>
      </c>
    </row>
    <row r="15543" spans="2:8" x14ac:dyDescent="0.2">
      <c r="B15543" s="3">
        <v>45919</v>
      </c>
      <c r="C15543" s="2"/>
      <c r="D15543" s="2"/>
      <c r="E15543" s="2"/>
      <c r="F15543" s="2"/>
      <c r="G15543" s="2">
        <f t="shared" si="242"/>
        <v>0</v>
      </c>
      <c r="H15543" t="s">
        <v>13</v>
      </c>
    </row>
    <row r="15544" spans="2:8" x14ac:dyDescent="0.2">
      <c r="B15544" s="3">
        <v>45919</v>
      </c>
      <c r="C15544" s="3"/>
      <c r="D15544" s="6"/>
      <c r="E15544" s="2"/>
      <c r="F15544" s="2"/>
      <c r="G15544" s="2">
        <f t="shared" si="242"/>
        <v>0</v>
      </c>
      <c r="H15544" t="s">
        <v>11</v>
      </c>
    </row>
    <row r="15545" spans="2:8" x14ac:dyDescent="0.2">
      <c r="B15545" s="3">
        <v>45919</v>
      </c>
      <c r="C15545" s="3"/>
      <c r="D15545" s="6"/>
      <c r="E15545" s="2"/>
      <c r="F15545" s="2"/>
      <c r="G15545" s="2">
        <f t="shared" si="242"/>
        <v>0</v>
      </c>
      <c r="H15545" t="s">
        <v>10</v>
      </c>
    </row>
    <row r="15546" spans="2:8" x14ac:dyDescent="0.2">
      <c r="B15546" s="3">
        <v>45919</v>
      </c>
      <c r="C15546" s="3"/>
      <c r="D15546" s="6"/>
      <c r="E15546" s="2"/>
      <c r="F15546" s="2"/>
      <c r="G15546" s="2">
        <f t="shared" si="242"/>
        <v>0</v>
      </c>
      <c r="H15546" t="s">
        <v>9</v>
      </c>
    </row>
    <row r="15547" spans="2:8" x14ac:dyDescent="0.2">
      <c r="B15547" s="3">
        <v>45919</v>
      </c>
      <c r="C15547" s="3"/>
      <c r="D15547" s="6"/>
      <c r="E15547" s="2"/>
      <c r="F15547" s="2"/>
      <c r="G15547" s="2">
        <f t="shared" si="242"/>
        <v>0</v>
      </c>
      <c r="H15547" t="s">
        <v>8</v>
      </c>
    </row>
    <row r="15548" spans="2:8" x14ac:dyDescent="0.2">
      <c r="B15548" s="3">
        <v>45919</v>
      </c>
      <c r="C15548" s="3"/>
      <c r="D15548" s="6"/>
      <c r="E15548" s="2"/>
      <c r="F15548" s="2"/>
      <c r="G15548" s="2">
        <f t="shared" si="242"/>
        <v>0</v>
      </c>
      <c r="H15548" t="s">
        <v>7</v>
      </c>
    </row>
    <row r="15549" spans="2:8" x14ac:dyDescent="0.2">
      <c r="B15549" s="3">
        <v>45919</v>
      </c>
      <c r="C15549" s="3"/>
      <c r="D15549" s="6"/>
      <c r="E15549" s="2"/>
      <c r="F15549" s="2"/>
      <c r="G15549" s="2">
        <f t="shared" si="242"/>
        <v>0</v>
      </c>
      <c r="H15549" t="s">
        <v>6</v>
      </c>
    </row>
    <row r="15550" spans="2:8" x14ac:dyDescent="0.2">
      <c r="B15550" s="3">
        <v>45919</v>
      </c>
      <c r="C15550" s="3"/>
      <c r="D15550" s="6"/>
      <c r="E15550" s="2"/>
      <c r="F15550" s="2"/>
      <c r="G15550" s="2">
        <f t="shared" si="242"/>
        <v>0</v>
      </c>
      <c r="H15550" t="s">
        <v>5</v>
      </c>
    </row>
    <row r="15551" spans="2:8" x14ac:dyDescent="0.2">
      <c r="B15551" s="3">
        <v>45919</v>
      </c>
      <c r="C15551" s="3"/>
      <c r="D15551" s="6"/>
      <c r="E15551" s="2"/>
      <c r="F15551" s="2"/>
      <c r="G15551" s="2">
        <f t="shared" si="242"/>
        <v>0</v>
      </c>
      <c r="H15551" s="1"/>
    </row>
    <row r="15552" spans="2:8" x14ac:dyDescent="0.2">
      <c r="B15552" s="3">
        <v>45919</v>
      </c>
      <c r="C15552" s="3"/>
      <c r="D15552" s="2"/>
      <c r="E15552" s="2"/>
      <c r="F15552" s="2"/>
      <c r="G15552" s="2">
        <f t="shared" si="242"/>
        <v>0</v>
      </c>
      <c r="H15552" t="s">
        <v>0</v>
      </c>
    </row>
    <row r="15553" spans="2:8" x14ac:dyDescent="0.2">
      <c r="B15553" s="3">
        <v>45920</v>
      </c>
      <c r="C15553" s="2" t="s">
        <v>15</v>
      </c>
      <c r="D15553" s="2">
        <v>34997.85</v>
      </c>
      <c r="E15553" s="2">
        <v>39957</v>
      </c>
      <c r="F15553" s="2">
        <v>39200</v>
      </c>
      <c r="G15553" s="2">
        <f t="shared" si="242"/>
        <v>757</v>
      </c>
      <c r="H15553" t="s">
        <v>14</v>
      </c>
    </row>
    <row r="15554" spans="2:8" x14ac:dyDescent="0.2">
      <c r="B15554" s="3">
        <v>45920</v>
      </c>
      <c r="C15554" s="2"/>
      <c r="D15554" s="2"/>
      <c r="E15554" s="2"/>
      <c r="F15554" s="2"/>
      <c r="G15554" s="2">
        <f t="shared" si="242"/>
        <v>0</v>
      </c>
      <c r="H15554" t="s">
        <v>13</v>
      </c>
    </row>
    <row r="15555" spans="2:8" x14ac:dyDescent="0.2">
      <c r="B15555" s="3">
        <v>45920</v>
      </c>
      <c r="C15555" s="3"/>
      <c r="D15555" s="6"/>
      <c r="E15555" s="2"/>
      <c r="F15555" s="2"/>
      <c r="G15555" s="2">
        <f t="shared" ref="G15555:G15618" si="243">E15555-F15555</f>
        <v>0</v>
      </c>
      <c r="H15555" t="s">
        <v>11</v>
      </c>
    </row>
    <row r="15556" spans="2:8" x14ac:dyDescent="0.2">
      <c r="B15556" s="3">
        <v>45920</v>
      </c>
      <c r="C15556" s="3"/>
      <c r="D15556" s="6"/>
      <c r="E15556" s="2"/>
      <c r="F15556" s="2"/>
      <c r="G15556" s="2">
        <f t="shared" si="243"/>
        <v>0</v>
      </c>
      <c r="H15556" t="s">
        <v>10</v>
      </c>
    </row>
    <row r="15557" spans="2:8" x14ac:dyDescent="0.2">
      <c r="B15557" s="3">
        <v>45920</v>
      </c>
      <c r="C15557" s="3"/>
      <c r="D15557" s="6"/>
      <c r="E15557" s="2"/>
      <c r="F15557" s="2"/>
      <c r="G15557" s="2">
        <f t="shared" si="243"/>
        <v>0</v>
      </c>
      <c r="H15557" t="s">
        <v>9</v>
      </c>
    </row>
    <row r="15558" spans="2:8" x14ac:dyDescent="0.2">
      <c r="B15558" s="3">
        <v>45920</v>
      </c>
      <c r="C15558" s="3"/>
      <c r="D15558" s="6"/>
      <c r="E15558" s="2"/>
      <c r="F15558" s="2"/>
      <c r="G15558" s="2">
        <f t="shared" si="243"/>
        <v>0</v>
      </c>
      <c r="H15558" t="s">
        <v>8</v>
      </c>
    </row>
    <row r="15559" spans="2:8" x14ac:dyDescent="0.2">
      <c r="B15559" s="3">
        <v>45920</v>
      </c>
      <c r="C15559" s="3"/>
      <c r="D15559" s="6"/>
      <c r="E15559" s="2"/>
      <c r="F15559" s="2"/>
      <c r="G15559" s="2">
        <f t="shared" si="243"/>
        <v>0</v>
      </c>
      <c r="H15559" t="s">
        <v>7</v>
      </c>
    </row>
    <row r="15560" spans="2:8" x14ac:dyDescent="0.2">
      <c r="B15560" s="3">
        <v>45920</v>
      </c>
      <c r="C15560" s="2">
        <v>121</v>
      </c>
      <c r="D15560" s="6">
        <v>11800</v>
      </c>
      <c r="E15560" s="2">
        <v>13000</v>
      </c>
      <c r="F15560" s="2"/>
      <c r="G15560" s="2">
        <f t="shared" si="243"/>
        <v>13000</v>
      </c>
      <c r="H15560" t="s">
        <v>6</v>
      </c>
    </row>
    <row r="15561" spans="2:8" x14ac:dyDescent="0.2">
      <c r="B15561" s="3">
        <v>45920</v>
      </c>
      <c r="C15561" s="3"/>
      <c r="D15561" s="6"/>
      <c r="E15561" s="2"/>
      <c r="F15561" s="2"/>
      <c r="G15561" s="2">
        <f t="shared" si="243"/>
        <v>0</v>
      </c>
      <c r="H15561" t="s">
        <v>5</v>
      </c>
    </row>
    <row r="15562" spans="2:8" x14ac:dyDescent="0.2">
      <c r="B15562" s="3">
        <v>45920</v>
      </c>
      <c r="C15562" s="3"/>
      <c r="D15562" s="6"/>
      <c r="E15562" s="2"/>
      <c r="F15562" s="2"/>
      <c r="G15562" s="2">
        <f t="shared" si="243"/>
        <v>0</v>
      </c>
      <c r="H15562" s="1"/>
    </row>
    <row r="15563" spans="2:8" x14ac:dyDescent="0.2">
      <c r="B15563" s="3">
        <v>45920</v>
      </c>
      <c r="C15563" s="3"/>
      <c r="D15563" s="2"/>
      <c r="E15563" s="2"/>
      <c r="F15563" s="2"/>
      <c r="G15563" s="2">
        <f t="shared" si="243"/>
        <v>0</v>
      </c>
      <c r="H15563" t="s">
        <v>0</v>
      </c>
    </row>
    <row r="15564" spans="2:8" x14ac:dyDescent="0.2">
      <c r="B15564" s="3">
        <v>45921</v>
      </c>
      <c r="C15564" s="2"/>
      <c r="D15564" s="2"/>
      <c r="E15564" s="2"/>
      <c r="F15564" s="2"/>
      <c r="G15564" s="2">
        <f t="shared" si="243"/>
        <v>0</v>
      </c>
      <c r="H15564" t="s">
        <v>14</v>
      </c>
    </row>
    <row r="15565" spans="2:8" x14ac:dyDescent="0.2">
      <c r="B15565" s="3">
        <v>45921</v>
      </c>
      <c r="C15565" s="2"/>
      <c r="D15565" s="2"/>
      <c r="E15565" s="2"/>
      <c r="F15565" s="2"/>
      <c r="G15565" s="2">
        <f t="shared" si="243"/>
        <v>0</v>
      </c>
      <c r="H15565" t="s">
        <v>13</v>
      </c>
    </row>
    <row r="15566" spans="2:8" x14ac:dyDescent="0.2">
      <c r="B15566" s="3">
        <v>45921</v>
      </c>
      <c r="C15566" s="3"/>
      <c r="D15566" s="6"/>
      <c r="E15566" s="2"/>
      <c r="F15566" s="2"/>
      <c r="G15566" s="2">
        <f t="shared" si="243"/>
        <v>0</v>
      </c>
      <c r="H15566" t="s">
        <v>11</v>
      </c>
    </row>
    <row r="15567" spans="2:8" x14ac:dyDescent="0.2">
      <c r="B15567" s="3">
        <v>45921</v>
      </c>
      <c r="C15567" s="3"/>
      <c r="D15567" s="6"/>
      <c r="E15567" s="2"/>
      <c r="F15567" s="2"/>
      <c r="G15567" s="2">
        <f t="shared" si="243"/>
        <v>0</v>
      </c>
      <c r="H15567" t="s">
        <v>10</v>
      </c>
    </row>
    <row r="15568" spans="2:8" x14ac:dyDescent="0.2">
      <c r="B15568" s="3">
        <v>45921</v>
      </c>
      <c r="C15568" s="3"/>
      <c r="D15568" s="6"/>
      <c r="E15568" s="2"/>
      <c r="F15568" s="2"/>
      <c r="G15568" s="2">
        <f t="shared" si="243"/>
        <v>0</v>
      </c>
      <c r="H15568" t="s">
        <v>9</v>
      </c>
    </row>
    <row r="15569" spans="2:8" x14ac:dyDescent="0.2">
      <c r="B15569" s="3">
        <v>45921</v>
      </c>
      <c r="C15569" s="3"/>
      <c r="D15569" s="6"/>
      <c r="E15569" s="2"/>
      <c r="F15569" s="2"/>
      <c r="G15569" s="2">
        <f t="shared" si="243"/>
        <v>0</v>
      </c>
      <c r="H15569" t="s">
        <v>8</v>
      </c>
    </row>
    <row r="15570" spans="2:8" x14ac:dyDescent="0.2">
      <c r="B15570" s="3">
        <v>45921</v>
      </c>
      <c r="C15570" s="3"/>
      <c r="D15570" s="6"/>
      <c r="E15570" s="2"/>
      <c r="F15570" s="2"/>
      <c r="G15570" s="2">
        <f t="shared" si="243"/>
        <v>0</v>
      </c>
      <c r="H15570" t="s">
        <v>7</v>
      </c>
    </row>
    <row r="15571" spans="2:8" x14ac:dyDescent="0.2">
      <c r="B15571" s="3">
        <v>45921</v>
      </c>
      <c r="C15571" s="3"/>
      <c r="D15571" s="6"/>
      <c r="E15571" s="2"/>
      <c r="F15571" s="2"/>
      <c r="G15571" s="2">
        <f t="shared" si="243"/>
        <v>0</v>
      </c>
      <c r="H15571" t="s">
        <v>6</v>
      </c>
    </row>
    <row r="15572" spans="2:8" x14ac:dyDescent="0.2">
      <c r="B15572" s="3">
        <v>45921</v>
      </c>
      <c r="C15572" s="3"/>
      <c r="D15572" s="6"/>
      <c r="E15572" s="2"/>
      <c r="F15572" s="2"/>
      <c r="G15572" s="2">
        <f t="shared" si="243"/>
        <v>0</v>
      </c>
      <c r="H15572" t="s">
        <v>5</v>
      </c>
    </row>
    <row r="15573" spans="2:8" x14ac:dyDescent="0.2">
      <c r="B15573" s="3">
        <v>45921</v>
      </c>
      <c r="C15573" s="3"/>
      <c r="D15573" s="6"/>
      <c r="E15573" s="2"/>
      <c r="F15573" s="2"/>
      <c r="G15573" s="2">
        <f t="shared" si="243"/>
        <v>0</v>
      </c>
      <c r="H15573" s="1"/>
    </row>
    <row r="15574" spans="2:8" x14ac:dyDescent="0.2">
      <c r="B15574" s="3">
        <v>45921</v>
      </c>
      <c r="C15574" s="3"/>
      <c r="D15574" s="2"/>
      <c r="E15574" s="2"/>
      <c r="F15574" s="2"/>
      <c r="G15574" s="2">
        <f t="shared" si="243"/>
        <v>0</v>
      </c>
      <c r="H15574" t="s">
        <v>0</v>
      </c>
    </row>
    <row r="15575" spans="2:8" x14ac:dyDescent="0.2">
      <c r="B15575" s="3">
        <v>45922</v>
      </c>
      <c r="C15575" s="2"/>
      <c r="D15575" s="2"/>
      <c r="E15575" s="2"/>
      <c r="F15575" s="2"/>
      <c r="G15575" s="2">
        <f t="shared" si="243"/>
        <v>0</v>
      </c>
      <c r="H15575" t="s">
        <v>14</v>
      </c>
    </row>
    <row r="15576" spans="2:8" x14ac:dyDescent="0.2">
      <c r="B15576" s="3">
        <v>45922</v>
      </c>
      <c r="C15576" s="2"/>
      <c r="D15576" s="2"/>
      <c r="E15576" s="2"/>
      <c r="F15576" s="2"/>
      <c r="G15576" s="2">
        <f t="shared" si="243"/>
        <v>0</v>
      </c>
      <c r="H15576" t="s">
        <v>13</v>
      </c>
    </row>
    <row r="15577" spans="2:8" x14ac:dyDescent="0.2">
      <c r="B15577" s="3">
        <v>45922</v>
      </c>
      <c r="C15577" s="3"/>
      <c r="D15577" s="6"/>
      <c r="E15577" s="2"/>
      <c r="F15577" s="2"/>
      <c r="G15577" s="2">
        <f t="shared" si="243"/>
        <v>0</v>
      </c>
      <c r="H15577" t="s">
        <v>11</v>
      </c>
    </row>
    <row r="15578" spans="2:8" x14ac:dyDescent="0.2">
      <c r="B15578" s="3">
        <v>45922</v>
      </c>
      <c r="C15578" s="3"/>
      <c r="D15578" s="6"/>
      <c r="E15578" s="2"/>
      <c r="F15578" s="2"/>
      <c r="G15578" s="2">
        <f t="shared" si="243"/>
        <v>0</v>
      </c>
      <c r="H15578" t="s">
        <v>10</v>
      </c>
    </row>
    <row r="15579" spans="2:8" x14ac:dyDescent="0.2">
      <c r="B15579" s="3">
        <v>45922</v>
      </c>
      <c r="C15579" s="3"/>
      <c r="D15579" s="6"/>
      <c r="E15579" s="2"/>
      <c r="F15579" s="2"/>
      <c r="G15579" s="2">
        <f t="shared" si="243"/>
        <v>0</v>
      </c>
      <c r="H15579" t="s">
        <v>9</v>
      </c>
    </row>
    <row r="15580" spans="2:8" x14ac:dyDescent="0.2">
      <c r="B15580" s="3">
        <v>45922</v>
      </c>
      <c r="C15580" s="3"/>
      <c r="D15580" s="6"/>
      <c r="E15580" s="2"/>
      <c r="F15580" s="2"/>
      <c r="G15580" s="2">
        <f t="shared" si="243"/>
        <v>0</v>
      </c>
      <c r="H15580" t="s">
        <v>8</v>
      </c>
    </row>
    <row r="15581" spans="2:8" x14ac:dyDescent="0.2">
      <c r="B15581" s="3">
        <v>45922</v>
      </c>
      <c r="C15581" s="3"/>
      <c r="D15581" s="6"/>
      <c r="E15581" s="2"/>
      <c r="F15581" s="2"/>
      <c r="G15581" s="2">
        <f t="shared" si="243"/>
        <v>0</v>
      </c>
      <c r="H15581" t="s">
        <v>7</v>
      </c>
    </row>
    <row r="15582" spans="2:8" x14ac:dyDescent="0.2">
      <c r="B15582" s="3">
        <v>45922</v>
      </c>
      <c r="C15582" s="3"/>
      <c r="D15582" s="6"/>
      <c r="E15582" s="2"/>
      <c r="F15582" s="2"/>
      <c r="G15582" s="2">
        <f t="shared" si="243"/>
        <v>0</v>
      </c>
      <c r="H15582" t="s">
        <v>6</v>
      </c>
    </row>
    <row r="15583" spans="2:8" x14ac:dyDescent="0.2">
      <c r="B15583" s="3">
        <v>45922</v>
      </c>
      <c r="C15583" s="3"/>
      <c r="D15583" s="6"/>
      <c r="E15583" s="2"/>
      <c r="F15583" s="2"/>
      <c r="G15583" s="2">
        <f t="shared" si="243"/>
        <v>0</v>
      </c>
      <c r="H15583" t="s">
        <v>5</v>
      </c>
    </row>
    <row r="15584" spans="2:8" x14ac:dyDescent="0.2">
      <c r="B15584" s="3">
        <v>45922</v>
      </c>
      <c r="C15584" s="3"/>
      <c r="D15584" s="6"/>
      <c r="E15584" s="2"/>
      <c r="F15584" s="2"/>
      <c r="G15584" s="2">
        <f t="shared" si="243"/>
        <v>0</v>
      </c>
      <c r="H15584" s="1"/>
    </row>
    <row r="15585" spans="2:8" x14ac:dyDescent="0.2">
      <c r="B15585" s="3">
        <v>45922</v>
      </c>
      <c r="C15585" s="3"/>
      <c r="D15585" s="2"/>
      <c r="E15585" s="2"/>
      <c r="F15585" s="2">
        <v>166653</v>
      </c>
      <c r="G15585" s="2">
        <f t="shared" si="243"/>
        <v>-166653</v>
      </c>
      <c r="H15585" t="s">
        <v>0</v>
      </c>
    </row>
    <row r="15586" spans="2:8" x14ac:dyDescent="0.2">
      <c r="B15586" s="3">
        <v>45923</v>
      </c>
      <c r="C15586" s="2"/>
      <c r="D15586" s="2"/>
      <c r="E15586" s="2"/>
      <c r="F15586" s="2"/>
      <c r="G15586" s="2">
        <f t="shared" si="243"/>
        <v>0</v>
      </c>
      <c r="H15586" t="s">
        <v>14</v>
      </c>
    </row>
    <row r="15587" spans="2:8" x14ac:dyDescent="0.2">
      <c r="B15587" s="3">
        <v>45923</v>
      </c>
      <c r="C15587" s="2"/>
      <c r="D15587" s="2"/>
      <c r="E15587" s="2"/>
      <c r="F15587" s="2"/>
      <c r="G15587" s="2">
        <f t="shared" si="243"/>
        <v>0</v>
      </c>
      <c r="H15587" t="s">
        <v>13</v>
      </c>
    </row>
    <row r="15588" spans="2:8" x14ac:dyDescent="0.2">
      <c r="B15588" s="3">
        <v>45923</v>
      </c>
      <c r="C15588" s="3"/>
      <c r="D15588" s="6"/>
      <c r="E15588" s="2"/>
      <c r="F15588" s="2"/>
      <c r="G15588" s="2">
        <f t="shared" si="243"/>
        <v>0</v>
      </c>
      <c r="H15588" t="s">
        <v>11</v>
      </c>
    </row>
    <row r="15589" spans="2:8" x14ac:dyDescent="0.2">
      <c r="B15589" s="3">
        <v>45923</v>
      </c>
      <c r="C15589" s="3"/>
      <c r="D15589" s="6"/>
      <c r="E15589" s="2"/>
      <c r="F15589" s="2"/>
      <c r="G15589" s="2">
        <f t="shared" si="243"/>
        <v>0</v>
      </c>
      <c r="H15589" t="s">
        <v>10</v>
      </c>
    </row>
    <row r="15590" spans="2:8" x14ac:dyDescent="0.2">
      <c r="B15590" s="3">
        <v>45923</v>
      </c>
      <c r="C15590" s="3"/>
      <c r="D15590" s="6"/>
      <c r="E15590" s="2"/>
      <c r="F15590" s="2"/>
      <c r="G15590" s="2">
        <f t="shared" si="243"/>
        <v>0</v>
      </c>
      <c r="H15590" t="s">
        <v>9</v>
      </c>
    </row>
    <row r="15591" spans="2:8" x14ac:dyDescent="0.2">
      <c r="B15591" s="3">
        <v>45923</v>
      </c>
      <c r="C15591" s="3"/>
      <c r="D15591" s="6"/>
      <c r="E15591" s="2"/>
      <c r="F15591" s="2"/>
      <c r="G15591" s="2">
        <f t="shared" si="243"/>
        <v>0</v>
      </c>
      <c r="H15591" t="s">
        <v>8</v>
      </c>
    </row>
    <row r="15592" spans="2:8" x14ac:dyDescent="0.2">
      <c r="B15592" s="3">
        <v>45923</v>
      </c>
      <c r="C15592" s="3"/>
      <c r="D15592" s="6"/>
      <c r="E15592" s="2"/>
      <c r="F15592" s="2"/>
      <c r="G15592" s="2">
        <f t="shared" si="243"/>
        <v>0</v>
      </c>
      <c r="H15592" t="s">
        <v>7</v>
      </c>
    </row>
    <row r="15593" spans="2:8" x14ac:dyDescent="0.2">
      <c r="B15593" s="3">
        <v>45923</v>
      </c>
      <c r="C15593" s="3"/>
      <c r="D15593" s="6"/>
      <c r="E15593" s="2"/>
      <c r="F15593" s="2"/>
      <c r="G15593" s="2">
        <f t="shared" si="243"/>
        <v>0</v>
      </c>
      <c r="H15593" t="s">
        <v>6</v>
      </c>
    </row>
    <row r="15594" spans="2:8" x14ac:dyDescent="0.2">
      <c r="B15594" s="3">
        <v>45923</v>
      </c>
      <c r="C15594" s="3"/>
      <c r="D15594" s="6"/>
      <c r="E15594" s="2"/>
      <c r="F15594" s="2"/>
      <c r="G15594" s="2">
        <f t="shared" si="243"/>
        <v>0</v>
      </c>
      <c r="H15594" t="s">
        <v>5</v>
      </c>
    </row>
    <row r="15595" spans="2:8" x14ac:dyDescent="0.2">
      <c r="B15595" s="3">
        <v>45923</v>
      </c>
      <c r="C15595" s="2">
        <v>122</v>
      </c>
      <c r="D15595" s="6">
        <v>1787.5</v>
      </c>
      <c r="E15595" s="2">
        <v>1942.5</v>
      </c>
      <c r="F15595" s="2"/>
      <c r="G15595" s="2">
        <f t="shared" si="243"/>
        <v>1942.5</v>
      </c>
      <c r="H15595" s="1" t="s">
        <v>77</v>
      </c>
    </row>
    <row r="15596" spans="2:8" x14ac:dyDescent="0.2">
      <c r="B15596" s="3">
        <v>45923</v>
      </c>
      <c r="C15596" s="3"/>
      <c r="D15596" s="2"/>
      <c r="E15596" s="2"/>
      <c r="F15596" s="2"/>
      <c r="G15596" s="2">
        <f t="shared" si="243"/>
        <v>0</v>
      </c>
      <c r="H15596" t="s">
        <v>0</v>
      </c>
    </row>
    <row r="15597" spans="2:8" x14ac:dyDescent="0.2">
      <c r="B15597" s="3">
        <v>45924</v>
      </c>
      <c r="C15597" s="2"/>
      <c r="D15597" s="2"/>
      <c r="E15597" s="2"/>
      <c r="F15597" s="2"/>
      <c r="G15597" s="2">
        <f t="shared" si="243"/>
        <v>0</v>
      </c>
      <c r="H15597" t="s">
        <v>14</v>
      </c>
    </row>
    <row r="15598" spans="2:8" x14ac:dyDescent="0.2">
      <c r="B15598" s="3">
        <v>45924</v>
      </c>
      <c r="C15598" s="2"/>
      <c r="D15598" s="2"/>
      <c r="E15598" s="2"/>
      <c r="F15598" s="2"/>
      <c r="G15598" s="2">
        <f t="shared" si="243"/>
        <v>0</v>
      </c>
      <c r="H15598" t="s">
        <v>13</v>
      </c>
    </row>
    <row r="15599" spans="2:8" x14ac:dyDescent="0.2">
      <c r="B15599" s="3">
        <v>45924</v>
      </c>
      <c r="C15599" s="3"/>
      <c r="D15599" s="6"/>
      <c r="E15599" s="2"/>
      <c r="F15599" s="2"/>
      <c r="G15599" s="2">
        <f t="shared" si="243"/>
        <v>0</v>
      </c>
      <c r="H15599" t="s">
        <v>11</v>
      </c>
    </row>
    <row r="15600" spans="2:8" x14ac:dyDescent="0.2">
      <c r="B15600" s="3">
        <v>45924</v>
      </c>
      <c r="C15600" s="3"/>
      <c r="D15600" s="6"/>
      <c r="E15600" s="2"/>
      <c r="F15600" s="2"/>
      <c r="G15600" s="2">
        <f t="shared" si="243"/>
        <v>0</v>
      </c>
      <c r="H15600" t="s">
        <v>10</v>
      </c>
    </row>
    <row r="15601" spans="2:8" x14ac:dyDescent="0.2">
      <c r="B15601" s="3">
        <v>45924</v>
      </c>
      <c r="C15601" s="3"/>
      <c r="D15601" s="6"/>
      <c r="E15601" s="2"/>
      <c r="F15601" s="2"/>
      <c r="G15601" s="2">
        <f t="shared" si="243"/>
        <v>0</v>
      </c>
      <c r="H15601" t="s">
        <v>9</v>
      </c>
    </row>
    <row r="15602" spans="2:8" x14ac:dyDescent="0.2">
      <c r="B15602" s="3">
        <v>45924</v>
      </c>
      <c r="C15602" s="3"/>
      <c r="D15602" s="6"/>
      <c r="E15602" s="2"/>
      <c r="F15602" s="2"/>
      <c r="G15602" s="2">
        <f t="shared" si="243"/>
        <v>0</v>
      </c>
      <c r="H15602" t="s">
        <v>8</v>
      </c>
    </row>
    <row r="15603" spans="2:8" x14ac:dyDescent="0.2">
      <c r="B15603" s="3">
        <v>45924</v>
      </c>
      <c r="C15603" s="3"/>
      <c r="D15603" s="6"/>
      <c r="E15603" s="2"/>
      <c r="F15603" s="2"/>
      <c r="G15603" s="2">
        <f t="shared" si="243"/>
        <v>0</v>
      </c>
      <c r="H15603" t="s">
        <v>7</v>
      </c>
    </row>
    <row r="15604" spans="2:8" x14ac:dyDescent="0.2">
      <c r="B15604" s="3">
        <v>45924</v>
      </c>
      <c r="C15604" s="3"/>
      <c r="D15604" s="6"/>
      <c r="E15604" s="2"/>
      <c r="F15604" s="2"/>
      <c r="G15604" s="2">
        <f t="shared" si="243"/>
        <v>0</v>
      </c>
      <c r="H15604" t="s">
        <v>6</v>
      </c>
    </row>
    <row r="15605" spans="2:8" x14ac:dyDescent="0.2">
      <c r="B15605" s="3">
        <v>45924</v>
      </c>
      <c r="C15605" s="3"/>
      <c r="D15605" s="6"/>
      <c r="E15605" s="2"/>
      <c r="F15605" s="2"/>
      <c r="G15605" s="2">
        <f t="shared" si="243"/>
        <v>0</v>
      </c>
      <c r="H15605" t="s">
        <v>5</v>
      </c>
    </row>
    <row r="15606" spans="2:8" x14ac:dyDescent="0.2">
      <c r="B15606" s="3">
        <v>45924</v>
      </c>
      <c r="C15606" s="3"/>
      <c r="D15606" s="6"/>
      <c r="E15606" s="2"/>
      <c r="F15606" s="2"/>
      <c r="G15606" s="2">
        <f t="shared" si="243"/>
        <v>0</v>
      </c>
      <c r="H15606" s="1"/>
    </row>
    <row r="15607" spans="2:8" x14ac:dyDescent="0.2">
      <c r="B15607" s="3">
        <v>45924</v>
      </c>
      <c r="C15607" s="3"/>
      <c r="D15607" s="2"/>
      <c r="E15607" s="2"/>
      <c r="F15607" s="2"/>
      <c r="G15607" s="2">
        <f t="shared" si="243"/>
        <v>0</v>
      </c>
      <c r="H15607" t="s">
        <v>0</v>
      </c>
    </row>
    <row r="15608" spans="2:8" x14ac:dyDescent="0.2">
      <c r="B15608" s="3">
        <v>45925</v>
      </c>
      <c r="C15608" s="2"/>
      <c r="D15608" s="2"/>
      <c r="E15608" s="2"/>
      <c r="F15608" s="2"/>
      <c r="G15608" s="2">
        <f t="shared" si="243"/>
        <v>0</v>
      </c>
      <c r="H15608" t="s">
        <v>14</v>
      </c>
    </row>
    <row r="15609" spans="2:8" x14ac:dyDescent="0.2">
      <c r="B15609" s="3">
        <v>45925</v>
      </c>
      <c r="C15609" s="2"/>
      <c r="D15609" s="2"/>
      <c r="E15609" s="2"/>
      <c r="F15609" s="2"/>
      <c r="G15609" s="2">
        <f t="shared" si="243"/>
        <v>0</v>
      </c>
      <c r="H15609" t="s">
        <v>13</v>
      </c>
    </row>
    <row r="15610" spans="2:8" x14ac:dyDescent="0.2">
      <c r="B15610" s="3">
        <v>45925</v>
      </c>
      <c r="C15610" s="3"/>
      <c r="D15610" s="6"/>
      <c r="E15610" s="2"/>
      <c r="F15610" s="2"/>
      <c r="G15610" s="2">
        <f t="shared" si="243"/>
        <v>0</v>
      </c>
      <c r="H15610" t="s">
        <v>11</v>
      </c>
    </row>
    <row r="15611" spans="2:8" x14ac:dyDescent="0.2">
      <c r="B15611" s="3">
        <v>45925</v>
      </c>
      <c r="C15611" s="3"/>
      <c r="D15611" s="6"/>
      <c r="E15611" s="2"/>
      <c r="F15611" s="2"/>
      <c r="G15611" s="2">
        <f t="shared" si="243"/>
        <v>0</v>
      </c>
      <c r="H15611" t="s">
        <v>10</v>
      </c>
    </row>
    <row r="15612" spans="2:8" x14ac:dyDescent="0.2">
      <c r="B15612" s="3">
        <v>45925</v>
      </c>
      <c r="C15612" s="3"/>
      <c r="D15612" s="6"/>
      <c r="E15612" s="2"/>
      <c r="F15612" s="2"/>
      <c r="G15612" s="2">
        <f t="shared" si="243"/>
        <v>0</v>
      </c>
      <c r="H15612" t="s">
        <v>9</v>
      </c>
    </row>
    <row r="15613" spans="2:8" x14ac:dyDescent="0.2">
      <c r="B15613" s="3">
        <v>45925</v>
      </c>
      <c r="C15613" s="3"/>
      <c r="D15613" s="6"/>
      <c r="E15613" s="2"/>
      <c r="F15613" s="2"/>
      <c r="G15613" s="2">
        <f t="shared" si="243"/>
        <v>0</v>
      </c>
      <c r="H15613" t="s">
        <v>8</v>
      </c>
    </row>
    <row r="15614" spans="2:8" x14ac:dyDescent="0.2">
      <c r="B15614" s="3">
        <v>45925</v>
      </c>
      <c r="C15614" s="3"/>
      <c r="D15614" s="6"/>
      <c r="E15614" s="2"/>
      <c r="F15614" s="2"/>
      <c r="G15614" s="2">
        <f t="shared" si="243"/>
        <v>0</v>
      </c>
      <c r="H15614" t="s">
        <v>7</v>
      </c>
    </row>
    <row r="15615" spans="2:8" x14ac:dyDescent="0.2">
      <c r="B15615" s="3">
        <v>45925</v>
      </c>
      <c r="C15615" s="3"/>
      <c r="D15615" s="6"/>
      <c r="E15615" s="2"/>
      <c r="F15615" s="2"/>
      <c r="G15615" s="2">
        <f t="shared" si="243"/>
        <v>0</v>
      </c>
      <c r="H15615" t="s">
        <v>6</v>
      </c>
    </row>
    <row r="15616" spans="2:8" x14ac:dyDescent="0.2">
      <c r="B15616" s="3">
        <v>45925</v>
      </c>
      <c r="C15616" s="3"/>
      <c r="D15616" s="6"/>
      <c r="E15616" s="2"/>
      <c r="F15616" s="2"/>
      <c r="G15616" s="2">
        <f t="shared" si="243"/>
        <v>0</v>
      </c>
      <c r="H15616" t="s">
        <v>5</v>
      </c>
    </row>
    <row r="15617" spans="2:8" x14ac:dyDescent="0.2">
      <c r="B15617" s="3">
        <v>45925</v>
      </c>
      <c r="C15617" s="3"/>
      <c r="D15617" s="6"/>
      <c r="E15617" s="2"/>
      <c r="F15617" s="2"/>
      <c r="G15617" s="2">
        <f t="shared" si="243"/>
        <v>0</v>
      </c>
      <c r="H15617" s="1"/>
    </row>
    <row r="15618" spans="2:8" x14ac:dyDescent="0.2">
      <c r="B15618" s="3">
        <v>45925</v>
      </c>
      <c r="C15618" s="3"/>
      <c r="D15618" s="2"/>
      <c r="E15618" s="2"/>
      <c r="F15618" s="2"/>
      <c r="G15618" s="2">
        <f t="shared" si="243"/>
        <v>0</v>
      </c>
      <c r="H15618" t="s">
        <v>0</v>
      </c>
    </row>
    <row r="15619" spans="2:8" x14ac:dyDescent="0.2">
      <c r="B15619" s="3">
        <v>45926</v>
      </c>
      <c r="C15619" s="2"/>
      <c r="D15619" s="2"/>
      <c r="E15619" s="2"/>
      <c r="F15619" s="2"/>
      <c r="G15619" s="2">
        <f t="shared" ref="G15619:G15682" si="244">E15619-F15619</f>
        <v>0</v>
      </c>
      <c r="H15619" t="s">
        <v>14</v>
      </c>
    </row>
    <row r="15620" spans="2:8" x14ac:dyDescent="0.2">
      <c r="B15620" s="3">
        <v>45926</v>
      </c>
      <c r="C15620" s="2"/>
      <c r="D15620" s="2"/>
      <c r="E15620" s="2"/>
      <c r="F15620" s="2"/>
      <c r="G15620" s="2">
        <f t="shared" si="244"/>
        <v>0</v>
      </c>
      <c r="H15620" t="s">
        <v>13</v>
      </c>
    </row>
    <row r="15621" spans="2:8" x14ac:dyDescent="0.2">
      <c r="B15621" s="3">
        <v>45926</v>
      </c>
      <c r="C15621" s="3"/>
      <c r="D15621" s="6"/>
      <c r="E15621" s="2"/>
      <c r="F15621" s="2"/>
      <c r="G15621" s="2">
        <f t="shared" si="244"/>
        <v>0</v>
      </c>
      <c r="H15621" t="s">
        <v>11</v>
      </c>
    </row>
    <row r="15622" spans="2:8" x14ac:dyDescent="0.2">
      <c r="B15622" s="3">
        <v>45926</v>
      </c>
      <c r="C15622" s="3"/>
      <c r="D15622" s="6"/>
      <c r="E15622" s="2"/>
      <c r="F15622" s="2"/>
      <c r="G15622" s="2">
        <f t="shared" si="244"/>
        <v>0</v>
      </c>
      <c r="H15622" t="s">
        <v>10</v>
      </c>
    </row>
    <row r="15623" spans="2:8" x14ac:dyDescent="0.2">
      <c r="B15623" s="3">
        <v>45926</v>
      </c>
      <c r="C15623" s="3"/>
      <c r="D15623" s="6"/>
      <c r="E15623" s="2"/>
      <c r="F15623" s="2"/>
      <c r="G15623" s="2">
        <f t="shared" si="244"/>
        <v>0</v>
      </c>
      <c r="H15623" t="s">
        <v>9</v>
      </c>
    </row>
    <row r="15624" spans="2:8" x14ac:dyDescent="0.2">
      <c r="B15624" s="3">
        <v>45926</v>
      </c>
      <c r="C15624" s="3"/>
      <c r="D15624" s="6"/>
      <c r="E15624" s="2"/>
      <c r="F15624" s="2"/>
      <c r="G15624" s="2">
        <f t="shared" si="244"/>
        <v>0</v>
      </c>
      <c r="H15624" t="s">
        <v>8</v>
      </c>
    </row>
    <row r="15625" spans="2:8" x14ac:dyDescent="0.2">
      <c r="B15625" s="3">
        <v>45926</v>
      </c>
      <c r="C15625" s="3"/>
      <c r="D15625" s="6"/>
      <c r="E15625" s="2"/>
      <c r="F15625" s="2"/>
      <c r="G15625" s="2">
        <f t="shared" si="244"/>
        <v>0</v>
      </c>
      <c r="H15625" t="s">
        <v>7</v>
      </c>
    </row>
    <row r="15626" spans="2:8" x14ac:dyDescent="0.2">
      <c r="B15626" s="3">
        <v>45926</v>
      </c>
      <c r="C15626" s="3"/>
      <c r="D15626" s="6"/>
      <c r="E15626" s="2"/>
      <c r="F15626" s="2"/>
      <c r="G15626" s="2">
        <f t="shared" si="244"/>
        <v>0</v>
      </c>
      <c r="H15626" t="s">
        <v>6</v>
      </c>
    </row>
    <row r="15627" spans="2:8" x14ac:dyDescent="0.2">
      <c r="B15627" s="3">
        <v>45926</v>
      </c>
      <c r="C15627" s="3"/>
      <c r="D15627" s="6"/>
      <c r="E15627" s="2"/>
      <c r="F15627" s="2"/>
      <c r="G15627" s="2">
        <f t="shared" si="244"/>
        <v>0</v>
      </c>
      <c r="H15627" t="s">
        <v>5</v>
      </c>
    </row>
    <row r="15628" spans="2:8" x14ac:dyDescent="0.2">
      <c r="B15628" s="3">
        <v>45926</v>
      </c>
      <c r="C15628" s="3"/>
      <c r="D15628" s="6"/>
      <c r="E15628" s="2"/>
      <c r="F15628" s="2"/>
      <c r="G15628" s="2">
        <f t="shared" si="244"/>
        <v>0</v>
      </c>
      <c r="H15628" s="1"/>
    </row>
    <row r="15629" spans="2:8" x14ac:dyDescent="0.2">
      <c r="B15629" s="3">
        <v>45926</v>
      </c>
      <c r="C15629" s="3"/>
      <c r="D15629" s="2"/>
      <c r="E15629" s="2"/>
      <c r="F15629" s="2"/>
      <c r="G15629" s="2">
        <f t="shared" si="244"/>
        <v>0</v>
      </c>
      <c r="H15629" t="s">
        <v>0</v>
      </c>
    </row>
    <row r="15630" spans="2:8" x14ac:dyDescent="0.2">
      <c r="B15630" s="3">
        <v>45927</v>
      </c>
      <c r="C15630" s="3" t="s">
        <v>88</v>
      </c>
      <c r="D15630" s="6">
        <v>22479.829999999998</v>
      </c>
      <c r="E15630" s="2">
        <v>25524.6</v>
      </c>
      <c r="F15630" s="2">
        <v>16216</v>
      </c>
      <c r="G15630" s="2">
        <f t="shared" si="244"/>
        <v>9308.5999999999985</v>
      </c>
      <c r="H15630" t="s">
        <v>14</v>
      </c>
    </row>
    <row r="15631" spans="2:8" x14ac:dyDescent="0.2">
      <c r="B15631" s="3">
        <v>45927</v>
      </c>
      <c r="C15631" s="2"/>
      <c r="D15631" s="2"/>
      <c r="E15631" s="2"/>
      <c r="F15631" s="2"/>
      <c r="G15631" s="2">
        <f t="shared" si="244"/>
        <v>0</v>
      </c>
      <c r="H15631" t="s">
        <v>13</v>
      </c>
    </row>
    <row r="15632" spans="2:8" x14ac:dyDescent="0.2">
      <c r="B15632" s="3">
        <v>45927</v>
      </c>
      <c r="C15632" s="3"/>
      <c r="D15632" s="6"/>
      <c r="E15632" s="2"/>
      <c r="F15632" s="2"/>
      <c r="G15632" s="2">
        <f t="shared" si="244"/>
        <v>0</v>
      </c>
      <c r="H15632" t="s">
        <v>11</v>
      </c>
    </row>
    <row r="15633" spans="2:8" x14ac:dyDescent="0.2">
      <c r="B15633" s="3">
        <v>45927</v>
      </c>
      <c r="C15633" s="3"/>
      <c r="D15633" s="6"/>
      <c r="E15633" s="2"/>
      <c r="F15633" s="2"/>
      <c r="G15633" s="2">
        <f t="shared" si="244"/>
        <v>0</v>
      </c>
      <c r="H15633" t="s">
        <v>10</v>
      </c>
    </row>
    <row r="15634" spans="2:8" x14ac:dyDescent="0.2">
      <c r="B15634" s="3">
        <v>45927</v>
      </c>
      <c r="C15634" s="3"/>
      <c r="D15634" s="6"/>
      <c r="E15634" s="2"/>
      <c r="F15634" s="2"/>
      <c r="G15634" s="2">
        <f t="shared" si="244"/>
        <v>0</v>
      </c>
      <c r="H15634" t="s">
        <v>9</v>
      </c>
    </row>
    <row r="15635" spans="2:8" x14ac:dyDescent="0.2">
      <c r="B15635" s="3">
        <v>45927</v>
      </c>
      <c r="C15635" s="3"/>
      <c r="D15635" s="6"/>
      <c r="E15635" s="2"/>
      <c r="F15635" s="2"/>
      <c r="G15635" s="2">
        <f t="shared" si="244"/>
        <v>0</v>
      </c>
      <c r="H15635" t="s">
        <v>8</v>
      </c>
    </row>
    <row r="15636" spans="2:8" x14ac:dyDescent="0.2">
      <c r="B15636" s="3">
        <v>45927</v>
      </c>
      <c r="C15636" s="3"/>
      <c r="D15636" s="6"/>
      <c r="E15636" s="2"/>
      <c r="F15636" s="2"/>
      <c r="G15636" s="2">
        <f t="shared" si="244"/>
        <v>0</v>
      </c>
      <c r="H15636" t="s">
        <v>7</v>
      </c>
    </row>
    <row r="15637" spans="2:8" x14ac:dyDescent="0.2">
      <c r="B15637" s="3">
        <v>45927</v>
      </c>
      <c r="C15637" s="2">
        <v>125</v>
      </c>
      <c r="D15637" s="6">
        <v>5900</v>
      </c>
      <c r="E15637" s="2">
        <v>6500</v>
      </c>
      <c r="F15637" s="2"/>
      <c r="G15637" s="2">
        <f t="shared" si="244"/>
        <v>6500</v>
      </c>
      <c r="H15637" t="s">
        <v>6</v>
      </c>
    </row>
    <row r="15638" spans="2:8" x14ac:dyDescent="0.2">
      <c r="B15638" s="3">
        <v>45927</v>
      </c>
      <c r="C15638" s="3"/>
      <c r="D15638" s="6"/>
      <c r="E15638" s="2"/>
      <c r="F15638" s="2"/>
      <c r="G15638" s="2">
        <f t="shared" si="244"/>
        <v>0</v>
      </c>
      <c r="H15638" t="s">
        <v>5</v>
      </c>
    </row>
    <row r="15639" spans="2:8" x14ac:dyDescent="0.2">
      <c r="B15639" s="3">
        <v>45927</v>
      </c>
      <c r="C15639" s="2">
        <v>123</v>
      </c>
      <c r="D15639" s="6">
        <v>700</v>
      </c>
      <c r="E15639" s="2">
        <v>850</v>
      </c>
      <c r="F15639" s="2"/>
      <c r="G15639" s="2">
        <f t="shared" si="244"/>
        <v>850</v>
      </c>
      <c r="H15639" s="1" t="s">
        <v>77</v>
      </c>
    </row>
    <row r="15640" spans="2:8" x14ac:dyDescent="0.2">
      <c r="B15640" s="3">
        <v>45927</v>
      </c>
      <c r="C15640" s="3"/>
      <c r="D15640" s="2"/>
      <c r="E15640" s="2"/>
      <c r="F15640" s="2"/>
      <c r="G15640" s="2">
        <f t="shared" si="244"/>
        <v>0</v>
      </c>
      <c r="H15640" t="s">
        <v>0</v>
      </c>
    </row>
    <row r="15641" spans="2:8" x14ac:dyDescent="0.2">
      <c r="B15641" s="3">
        <v>45928</v>
      </c>
      <c r="C15641" s="2"/>
      <c r="D15641" s="2"/>
      <c r="E15641" s="2"/>
      <c r="F15641" s="2"/>
      <c r="G15641" s="2">
        <f t="shared" si="244"/>
        <v>0</v>
      </c>
      <c r="H15641" t="s">
        <v>14</v>
      </c>
    </row>
    <row r="15642" spans="2:8" x14ac:dyDescent="0.2">
      <c r="B15642" s="3">
        <v>45928</v>
      </c>
      <c r="C15642" s="2"/>
      <c r="D15642" s="2"/>
      <c r="E15642" s="2"/>
      <c r="F15642" s="2"/>
      <c r="G15642" s="2">
        <f t="shared" si="244"/>
        <v>0</v>
      </c>
      <c r="H15642" t="s">
        <v>13</v>
      </c>
    </row>
    <row r="15643" spans="2:8" x14ac:dyDescent="0.2">
      <c r="B15643" s="3">
        <v>45928</v>
      </c>
      <c r="C15643" s="3"/>
      <c r="D15643" s="6"/>
      <c r="E15643" s="2"/>
      <c r="F15643" s="2"/>
      <c r="G15643" s="2">
        <f t="shared" si="244"/>
        <v>0</v>
      </c>
      <c r="H15643" t="s">
        <v>11</v>
      </c>
    </row>
    <row r="15644" spans="2:8" x14ac:dyDescent="0.2">
      <c r="B15644" s="3">
        <v>45928</v>
      </c>
      <c r="C15644" s="3"/>
      <c r="D15644" s="6"/>
      <c r="E15644" s="2"/>
      <c r="F15644" s="2"/>
      <c r="G15644" s="2">
        <f t="shared" si="244"/>
        <v>0</v>
      </c>
      <c r="H15644" t="s">
        <v>10</v>
      </c>
    </row>
    <row r="15645" spans="2:8" x14ac:dyDescent="0.2">
      <c r="B15645" s="3">
        <v>45928</v>
      </c>
      <c r="C15645" s="3"/>
      <c r="D15645" s="6"/>
      <c r="E15645" s="2"/>
      <c r="F15645" s="2"/>
      <c r="G15645" s="2">
        <f t="shared" si="244"/>
        <v>0</v>
      </c>
      <c r="H15645" t="s">
        <v>9</v>
      </c>
    </row>
    <row r="15646" spans="2:8" x14ac:dyDescent="0.2">
      <c r="B15646" s="3">
        <v>45928</v>
      </c>
      <c r="C15646" s="2">
        <v>124</v>
      </c>
      <c r="D15646" s="6">
        <v>23650</v>
      </c>
      <c r="E15646" s="2">
        <v>26800</v>
      </c>
      <c r="F15646" s="2"/>
      <c r="G15646" s="2">
        <f t="shared" si="244"/>
        <v>26800</v>
      </c>
      <c r="H15646" t="s">
        <v>8</v>
      </c>
    </row>
    <row r="15647" spans="2:8" x14ac:dyDescent="0.2">
      <c r="B15647" s="3">
        <v>45928</v>
      </c>
      <c r="C15647" s="3"/>
      <c r="D15647" s="6"/>
      <c r="E15647" s="2"/>
      <c r="F15647" s="2"/>
      <c r="G15647" s="2">
        <f t="shared" si="244"/>
        <v>0</v>
      </c>
      <c r="H15647" t="s">
        <v>7</v>
      </c>
    </row>
    <row r="15648" spans="2:8" x14ac:dyDescent="0.2">
      <c r="B15648" s="3">
        <v>45928</v>
      </c>
      <c r="C15648" s="3"/>
      <c r="D15648" s="6"/>
      <c r="E15648" s="2"/>
      <c r="F15648" s="2"/>
      <c r="G15648" s="2">
        <f t="shared" si="244"/>
        <v>0</v>
      </c>
      <c r="H15648" t="s">
        <v>6</v>
      </c>
    </row>
    <row r="15649" spans="2:8" x14ac:dyDescent="0.2">
      <c r="B15649" s="3">
        <v>45928</v>
      </c>
      <c r="C15649" s="3"/>
      <c r="D15649" s="6"/>
      <c r="E15649" s="2"/>
      <c r="F15649" s="2"/>
      <c r="G15649" s="2">
        <f t="shared" si="244"/>
        <v>0</v>
      </c>
      <c r="H15649" t="s">
        <v>5</v>
      </c>
    </row>
    <row r="15650" spans="2:8" x14ac:dyDescent="0.2">
      <c r="B15650" s="3">
        <v>45928</v>
      </c>
      <c r="C15650" s="3"/>
      <c r="D15650" s="6"/>
      <c r="E15650" s="2"/>
      <c r="F15650" s="2"/>
      <c r="G15650" s="2">
        <f t="shared" si="244"/>
        <v>0</v>
      </c>
      <c r="H15650" s="1"/>
    </row>
    <row r="15651" spans="2:8" x14ac:dyDescent="0.2">
      <c r="B15651" s="3">
        <v>45928</v>
      </c>
      <c r="C15651" s="3"/>
      <c r="D15651" s="6">
        <v>25125.890000000003</v>
      </c>
      <c r="E15651" s="2">
        <v>27097.18</v>
      </c>
      <c r="F15651" s="2"/>
      <c r="G15651" s="2">
        <f t="shared" si="244"/>
        <v>27097.18</v>
      </c>
      <c r="H15651" t="s">
        <v>0</v>
      </c>
    </row>
    <row r="15652" spans="2:8" x14ac:dyDescent="0.2">
      <c r="B15652" s="3">
        <v>45929</v>
      </c>
      <c r="C15652" s="2"/>
      <c r="D15652" s="2"/>
      <c r="E15652" s="2"/>
      <c r="F15652" s="2"/>
      <c r="G15652" s="2">
        <f t="shared" si="244"/>
        <v>0</v>
      </c>
      <c r="H15652" t="s">
        <v>14</v>
      </c>
    </row>
    <row r="15653" spans="2:8" x14ac:dyDescent="0.2">
      <c r="B15653" s="3">
        <v>45929</v>
      </c>
      <c r="C15653" s="2"/>
      <c r="D15653" s="2"/>
      <c r="E15653" s="2"/>
      <c r="F15653" s="2"/>
      <c r="G15653" s="2">
        <f t="shared" si="244"/>
        <v>0</v>
      </c>
      <c r="H15653" t="s">
        <v>13</v>
      </c>
    </row>
    <row r="15654" spans="2:8" x14ac:dyDescent="0.2">
      <c r="B15654" s="3">
        <v>45929</v>
      </c>
      <c r="C15654" s="3"/>
      <c r="D15654" s="6"/>
      <c r="E15654" s="2"/>
      <c r="F15654" s="2"/>
      <c r="G15654" s="2">
        <f t="shared" si="244"/>
        <v>0</v>
      </c>
      <c r="H15654" t="s">
        <v>11</v>
      </c>
    </row>
    <row r="15655" spans="2:8" x14ac:dyDescent="0.2">
      <c r="B15655" s="3">
        <v>45929</v>
      </c>
      <c r="C15655" s="3"/>
      <c r="D15655" s="6"/>
      <c r="E15655" s="2"/>
      <c r="F15655" s="2"/>
      <c r="G15655" s="2">
        <f t="shared" si="244"/>
        <v>0</v>
      </c>
      <c r="H15655" t="s">
        <v>10</v>
      </c>
    </row>
    <row r="15656" spans="2:8" x14ac:dyDescent="0.2">
      <c r="B15656" s="3">
        <v>45929</v>
      </c>
      <c r="C15656" s="3"/>
      <c r="D15656" s="6"/>
      <c r="E15656" s="2"/>
      <c r="F15656" s="2"/>
      <c r="G15656" s="2">
        <f t="shared" si="244"/>
        <v>0</v>
      </c>
      <c r="H15656" t="s">
        <v>9</v>
      </c>
    </row>
    <row r="15657" spans="2:8" x14ac:dyDescent="0.2">
      <c r="B15657" s="3">
        <v>45929</v>
      </c>
      <c r="C15657" s="3"/>
      <c r="D15657" s="6"/>
      <c r="E15657" s="2"/>
      <c r="F15657" s="2"/>
      <c r="G15657" s="2">
        <f t="shared" si="244"/>
        <v>0</v>
      </c>
      <c r="H15657" t="s">
        <v>8</v>
      </c>
    </row>
    <row r="15658" spans="2:8" x14ac:dyDescent="0.2">
      <c r="B15658" s="3">
        <v>45929</v>
      </c>
      <c r="C15658" s="3"/>
      <c r="D15658" s="6"/>
      <c r="E15658" s="2"/>
      <c r="F15658" s="2"/>
      <c r="G15658" s="2">
        <f t="shared" si="244"/>
        <v>0</v>
      </c>
      <c r="H15658" t="s">
        <v>7</v>
      </c>
    </row>
    <row r="15659" spans="2:8" x14ac:dyDescent="0.2">
      <c r="B15659" s="3">
        <v>45929</v>
      </c>
      <c r="C15659" s="3"/>
      <c r="D15659" s="6"/>
      <c r="E15659" s="2"/>
      <c r="F15659" s="2"/>
      <c r="G15659" s="2">
        <f t="shared" si="244"/>
        <v>0</v>
      </c>
      <c r="H15659" t="s">
        <v>6</v>
      </c>
    </row>
    <row r="15660" spans="2:8" x14ac:dyDescent="0.2">
      <c r="B15660" s="3">
        <v>45929</v>
      </c>
      <c r="C15660" s="3"/>
      <c r="D15660" s="6"/>
      <c r="E15660" s="2"/>
      <c r="F15660" s="2"/>
      <c r="G15660" s="2">
        <f t="shared" si="244"/>
        <v>0</v>
      </c>
      <c r="H15660" t="s">
        <v>5</v>
      </c>
    </row>
    <row r="15661" spans="2:8" x14ac:dyDescent="0.2">
      <c r="B15661" s="3">
        <v>45929</v>
      </c>
      <c r="C15661" s="3"/>
      <c r="D15661" s="6"/>
      <c r="E15661" s="2"/>
      <c r="F15661" s="2"/>
      <c r="G15661" s="2">
        <f t="shared" si="244"/>
        <v>0</v>
      </c>
      <c r="H15661" s="1"/>
    </row>
    <row r="15662" spans="2:8" x14ac:dyDescent="0.2">
      <c r="B15662" s="3">
        <v>45929</v>
      </c>
      <c r="C15662" s="3"/>
      <c r="D15662" s="6">
        <v>124167.94</v>
      </c>
      <c r="E15662" s="2">
        <v>129080.15999999999</v>
      </c>
      <c r="F15662" s="2"/>
      <c r="G15662" s="2">
        <f t="shared" si="244"/>
        <v>129080.15999999999</v>
      </c>
      <c r="H15662" t="s">
        <v>0</v>
      </c>
    </row>
    <row r="15663" spans="2:8" x14ac:dyDescent="0.2">
      <c r="B15663" s="3">
        <v>45930</v>
      </c>
      <c r="C15663" s="2"/>
      <c r="D15663" s="2"/>
      <c r="E15663" s="2"/>
      <c r="F15663" s="2"/>
      <c r="G15663" s="2">
        <f t="shared" si="244"/>
        <v>0</v>
      </c>
      <c r="H15663" t="s">
        <v>14</v>
      </c>
    </row>
    <row r="15664" spans="2:8" x14ac:dyDescent="0.2">
      <c r="B15664" s="3">
        <v>45930</v>
      </c>
      <c r="C15664" s="2"/>
      <c r="D15664" s="2"/>
      <c r="E15664" s="2"/>
      <c r="F15664" s="2"/>
      <c r="G15664" s="2">
        <f t="shared" si="244"/>
        <v>0</v>
      </c>
      <c r="H15664" t="s">
        <v>13</v>
      </c>
    </row>
    <row r="15665" spans="2:8" x14ac:dyDescent="0.2">
      <c r="B15665" s="3">
        <v>45930</v>
      </c>
      <c r="C15665" s="3"/>
      <c r="D15665" s="6"/>
      <c r="E15665" s="2"/>
      <c r="F15665" s="2"/>
      <c r="G15665" s="2">
        <f t="shared" si="244"/>
        <v>0</v>
      </c>
      <c r="H15665" t="s">
        <v>11</v>
      </c>
    </row>
    <row r="15666" spans="2:8" x14ac:dyDescent="0.2">
      <c r="B15666" s="3">
        <v>45930</v>
      </c>
      <c r="C15666" s="3"/>
      <c r="D15666" s="6"/>
      <c r="E15666" s="2"/>
      <c r="F15666" s="2"/>
      <c r="G15666" s="2">
        <f t="shared" si="244"/>
        <v>0</v>
      </c>
      <c r="H15666" t="s">
        <v>10</v>
      </c>
    </row>
    <row r="15667" spans="2:8" x14ac:dyDescent="0.2">
      <c r="B15667" s="3">
        <v>45930</v>
      </c>
      <c r="C15667" s="3">
        <v>126</v>
      </c>
      <c r="D15667" s="6">
        <v>28545</v>
      </c>
      <c r="E15667" s="2">
        <v>32510</v>
      </c>
      <c r="F15667" s="2"/>
      <c r="G15667" s="2">
        <f t="shared" si="244"/>
        <v>32510</v>
      </c>
      <c r="H15667" t="s">
        <v>9</v>
      </c>
    </row>
    <row r="15668" spans="2:8" x14ac:dyDescent="0.2">
      <c r="B15668" s="3">
        <v>45930</v>
      </c>
      <c r="C15668" s="2">
        <v>127</v>
      </c>
      <c r="D15668" s="6">
        <v>29350</v>
      </c>
      <c r="E15668" s="2">
        <v>33675</v>
      </c>
      <c r="F15668" s="2">
        <v>30000</v>
      </c>
      <c r="G15668" s="2">
        <f t="shared" si="244"/>
        <v>3675</v>
      </c>
      <c r="H15668" t="s">
        <v>8</v>
      </c>
    </row>
    <row r="15669" spans="2:8" x14ac:dyDescent="0.2">
      <c r="B15669" s="3">
        <v>45930</v>
      </c>
      <c r="C15669" s="3"/>
      <c r="D15669" s="6"/>
      <c r="E15669" s="2"/>
      <c r="F15669" s="2"/>
      <c r="G15669" s="2">
        <f t="shared" si="244"/>
        <v>0</v>
      </c>
      <c r="H15669" t="s">
        <v>7</v>
      </c>
    </row>
    <row r="15670" spans="2:8" x14ac:dyDescent="0.2">
      <c r="B15670" s="3">
        <v>45930</v>
      </c>
      <c r="C15670" s="3"/>
      <c r="D15670" s="6"/>
      <c r="E15670" s="2"/>
      <c r="F15670" s="2"/>
      <c r="G15670" s="2">
        <f t="shared" si="244"/>
        <v>0</v>
      </c>
      <c r="H15670" t="s">
        <v>6</v>
      </c>
    </row>
    <row r="15671" spans="2:8" x14ac:dyDescent="0.2">
      <c r="B15671" s="3">
        <v>45930</v>
      </c>
      <c r="C15671" s="3"/>
      <c r="D15671" s="6"/>
      <c r="E15671" s="2"/>
      <c r="F15671" s="2"/>
      <c r="G15671" s="2">
        <f t="shared" si="244"/>
        <v>0</v>
      </c>
      <c r="H15671" t="s">
        <v>5</v>
      </c>
    </row>
    <row r="15672" spans="2:8" x14ac:dyDescent="0.2">
      <c r="B15672" s="3">
        <v>45930</v>
      </c>
      <c r="C15672" s="3"/>
      <c r="D15672" s="6"/>
      <c r="E15672" s="2"/>
      <c r="F15672" s="2"/>
      <c r="G15672" s="2">
        <f t="shared" si="244"/>
        <v>0</v>
      </c>
      <c r="H15672" s="1"/>
    </row>
    <row r="15673" spans="2:8" x14ac:dyDescent="0.2">
      <c r="B15673" s="3">
        <v>45930</v>
      </c>
      <c r="C15673" s="3"/>
      <c r="D15673" s="6">
        <v>223934.89</v>
      </c>
      <c r="E15673" s="2">
        <v>233373.78000000003</v>
      </c>
      <c r="F15673" s="2"/>
      <c r="G15673" s="2">
        <f t="shared" si="244"/>
        <v>233373.78000000003</v>
      </c>
      <c r="H15673" t="s">
        <v>0</v>
      </c>
    </row>
    <row r="15674" spans="2:8" x14ac:dyDescent="0.2">
      <c r="B15674" s="3">
        <v>45931</v>
      </c>
      <c r="C15674" s="2"/>
      <c r="D15674" s="2"/>
      <c r="E15674" s="2"/>
      <c r="F15674" s="2"/>
      <c r="G15674" s="2">
        <f t="shared" si="244"/>
        <v>0</v>
      </c>
      <c r="H15674" t="s">
        <v>14</v>
      </c>
    </row>
    <row r="15675" spans="2:8" x14ac:dyDescent="0.2">
      <c r="B15675" s="3">
        <v>45931</v>
      </c>
      <c r="C15675" s="2"/>
      <c r="D15675" s="2"/>
      <c r="E15675" s="2"/>
      <c r="F15675" s="2"/>
      <c r="G15675" s="2">
        <f t="shared" si="244"/>
        <v>0</v>
      </c>
      <c r="H15675" t="s">
        <v>13</v>
      </c>
    </row>
    <row r="15676" spans="2:8" x14ac:dyDescent="0.2">
      <c r="B15676" s="3">
        <v>45931</v>
      </c>
      <c r="C15676" s="3"/>
      <c r="D15676" s="6"/>
      <c r="E15676" s="2"/>
      <c r="F15676" s="2"/>
      <c r="G15676" s="2">
        <f t="shared" si="244"/>
        <v>0</v>
      </c>
      <c r="H15676" t="s">
        <v>11</v>
      </c>
    </row>
    <row r="15677" spans="2:8" x14ac:dyDescent="0.2">
      <c r="B15677" s="3">
        <v>45931</v>
      </c>
      <c r="C15677" s="3"/>
      <c r="D15677" s="6"/>
      <c r="E15677" s="2"/>
      <c r="F15677" s="2"/>
      <c r="G15677" s="2">
        <f t="shared" si="244"/>
        <v>0</v>
      </c>
      <c r="H15677" t="s">
        <v>10</v>
      </c>
    </row>
    <row r="15678" spans="2:8" x14ac:dyDescent="0.2">
      <c r="B15678" s="3">
        <v>45931</v>
      </c>
      <c r="C15678" s="3"/>
      <c r="D15678" s="6"/>
      <c r="E15678" s="2"/>
      <c r="F15678" s="2"/>
      <c r="G15678" s="2">
        <f t="shared" si="244"/>
        <v>0</v>
      </c>
      <c r="H15678" t="s">
        <v>9</v>
      </c>
    </row>
    <row r="15679" spans="2:8" x14ac:dyDescent="0.2">
      <c r="B15679" s="3">
        <v>45931</v>
      </c>
      <c r="C15679" s="3"/>
      <c r="D15679" s="6"/>
      <c r="E15679" s="2"/>
      <c r="F15679" s="2"/>
      <c r="G15679" s="2">
        <f t="shared" si="244"/>
        <v>0</v>
      </c>
      <c r="H15679" t="s">
        <v>8</v>
      </c>
    </row>
    <row r="15680" spans="2:8" x14ac:dyDescent="0.2">
      <c r="B15680" s="3">
        <v>45931</v>
      </c>
      <c r="C15680" s="3"/>
      <c r="D15680" s="6"/>
      <c r="E15680" s="2"/>
      <c r="F15680" s="2"/>
      <c r="G15680" s="2">
        <f t="shared" si="244"/>
        <v>0</v>
      </c>
      <c r="H15680" t="s">
        <v>7</v>
      </c>
    </row>
    <row r="15681" spans="2:8" x14ac:dyDescent="0.2">
      <c r="B15681" s="3">
        <v>45931</v>
      </c>
      <c r="C15681" s="3"/>
      <c r="D15681" s="6"/>
      <c r="E15681" s="2"/>
      <c r="F15681" s="2"/>
      <c r="G15681" s="2">
        <f t="shared" si="244"/>
        <v>0</v>
      </c>
      <c r="H15681" t="s">
        <v>6</v>
      </c>
    </row>
    <row r="15682" spans="2:8" x14ac:dyDescent="0.2">
      <c r="B15682" s="3">
        <v>45931</v>
      </c>
      <c r="C15682" s="3"/>
      <c r="D15682" s="6"/>
      <c r="E15682" s="2"/>
      <c r="F15682" s="2"/>
      <c r="G15682" s="2">
        <f t="shared" si="244"/>
        <v>0</v>
      </c>
      <c r="H15682" t="s">
        <v>5</v>
      </c>
    </row>
    <row r="15683" spans="2:8" x14ac:dyDescent="0.2">
      <c r="B15683" s="3">
        <v>45931</v>
      </c>
      <c r="C15683" s="3"/>
      <c r="D15683" s="6">
        <v>1400</v>
      </c>
      <c r="E15683" s="2">
        <v>1500</v>
      </c>
      <c r="F15683" s="2"/>
      <c r="G15683" s="2">
        <f t="shared" ref="G15683:G15746" si="245">E15683-F15683</f>
        <v>1500</v>
      </c>
      <c r="H15683" s="1" t="s">
        <v>1</v>
      </c>
    </row>
    <row r="15684" spans="2:8" x14ac:dyDescent="0.2">
      <c r="B15684" s="3">
        <v>45931</v>
      </c>
      <c r="C15684" s="3"/>
      <c r="D15684" s="2"/>
      <c r="E15684" s="2"/>
      <c r="F15684" s="2"/>
      <c r="G15684" s="2">
        <f t="shared" si="245"/>
        <v>0</v>
      </c>
      <c r="H15684" t="s">
        <v>0</v>
      </c>
    </row>
    <row r="15685" spans="2:8" x14ac:dyDescent="0.2">
      <c r="B15685" s="3">
        <v>45932</v>
      </c>
      <c r="C15685" s="2"/>
      <c r="D15685" s="2"/>
      <c r="E15685" s="2"/>
      <c r="F15685" s="2"/>
      <c r="G15685" s="2">
        <f t="shared" si="245"/>
        <v>0</v>
      </c>
      <c r="H15685" t="s">
        <v>14</v>
      </c>
    </row>
    <row r="15686" spans="2:8" x14ac:dyDescent="0.2">
      <c r="B15686" s="3">
        <v>45932</v>
      </c>
      <c r="C15686" s="2"/>
      <c r="D15686" s="2"/>
      <c r="E15686" s="2"/>
      <c r="F15686" s="2"/>
      <c r="G15686" s="2">
        <f t="shared" si="245"/>
        <v>0</v>
      </c>
      <c r="H15686" t="s">
        <v>13</v>
      </c>
    </row>
    <row r="15687" spans="2:8" x14ac:dyDescent="0.2">
      <c r="B15687" s="3">
        <v>45932</v>
      </c>
      <c r="C15687" s="3"/>
      <c r="D15687" s="6"/>
      <c r="E15687" s="2"/>
      <c r="F15687" s="2"/>
      <c r="G15687" s="2">
        <f t="shared" si="245"/>
        <v>0</v>
      </c>
      <c r="H15687" t="s">
        <v>11</v>
      </c>
    </row>
    <row r="15688" spans="2:8" x14ac:dyDescent="0.2">
      <c r="B15688" s="3">
        <v>45932</v>
      </c>
      <c r="C15688" s="3"/>
      <c r="D15688" s="6"/>
      <c r="E15688" s="2"/>
      <c r="F15688" s="2"/>
      <c r="G15688" s="2">
        <f t="shared" si="245"/>
        <v>0</v>
      </c>
      <c r="H15688" t="s">
        <v>10</v>
      </c>
    </row>
    <row r="15689" spans="2:8" x14ac:dyDescent="0.2">
      <c r="B15689" s="3">
        <v>45932</v>
      </c>
      <c r="C15689" s="3"/>
      <c r="D15689" s="6"/>
      <c r="E15689" s="2"/>
      <c r="F15689" s="2"/>
      <c r="G15689" s="2">
        <f t="shared" si="245"/>
        <v>0</v>
      </c>
      <c r="H15689" t="s">
        <v>9</v>
      </c>
    </row>
    <row r="15690" spans="2:8" x14ac:dyDescent="0.2">
      <c r="B15690" s="3">
        <v>45932</v>
      </c>
      <c r="C15690" s="3"/>
      <c r="D15690" s="6"/>
      <c r="E15690" s="2"/>
      <c r="F15690" s="2"/>
      <c r="G15690" s="2">
        <f t="shared" si="245"/>
        <v>0</v>
      </c>
      <c r="H15690" t="s">
        <v>8</v>
      </c>
    </row>
    <row r="15691" spans="2:8" x14ac:dyDescent="0.2">
      <c r="B15691" s="3">
        <v>45932</v>
      </c>
      <c r="C15691" s="3"/>
      <c r="D15691" s="6"/>
      <c r="E15691" s="2"/>
      <c r="F15691" s="2"/>
      <c r="G15691" s="2">
        <f t="shared" si="245"/>
        <v>0</v>
      </c>
      <c r="H15691" t="s">
        <v>7</v>
      </c>
    </row>
    <row r="15692" spans="2:8" x14ac:dyDescent="0.2">
      <c r="B15692" s="3">
        <v>45932</v>
      </c>
      <c r="C15692" s="3"/>
      <c r="D15692" s="6"/>
      <c r="E15692" s="2"/>
      <c r="F15692" s="2"/>
      <c r="G15692" s="2">
        <f t="shared" si="245"/>
        <v>0</v>
      </c>
      <c r="H15692" t="s">
        <v>6</v>
      </c>
    </row>
    <row r="15693" spans="2:8" x14ac:dyDescent="0.2">
      <c r="B15693" s="3">
        <v>45932</v>
      </c>
      <c r="C15693" s="3"/>
      <c r="D15693" s="6"/>
      <c r="E15693" s="2"/>
      <c r="F15693" s="2"/>
      <c r="G15693" s="2">
        <f t="shared" si="245"/>
        <v>0</v>
      </c>
      <c r="H15693" t="s">
        <v>5</v>
      </c>
    </row>
    <row r="15694" spans="2:8" x14ac:dyDescent="0.2">
      <c r="B15694" s="3">
        <v>45932</v>
      </c>
      <c r="C15694" s="3"/>
      <c r="D15694" s="6"/>
      <c r="E15694" s="2"/>
      <c r="F15694" s="2"/>
      <c r="G15694" s="2">
        <f t="shared" si="245"/>
        <v>0</v>
      </c>
      <c r="H15694" s="1"/>
    </row>
    <row r="15695" spans="2:8" x14ac:dyDescent="0.2">
      <c r="B15695" s="3">
        <v>45932</v>
      </c>
      <c r="C15695" s="3"/>
      <c r="D15695" s="2"/>
      <c r="E15695" s="2"/>
      <c r="F15695" s="2"/>
      <c r="G15695" s="2">
        <f t="shared" si="245"/>
        <v>0</v>
      </c>
      <c r="H15695" t="s">
        <v>0</v>
      </c>
    </row>
    <row r="15696" spans="2:8" x14ac:dyDescent="0.2">
      <c r="B15696" s="3">
        <v>45933</v>
      </c>
      <c r="C15696" s="2"/>
      <c r="D15696" s="2"/>
      <c r="E15696" s="2"/>
      <c r="F15696" s="2"/>
      <c r="G15696" s="2">
        <f t="shared" si="245"/>
        <v>0</v>
      </c>
      <c r="H15696" t="s">
        <v>14</v>
      </c>
    </row>
    <row r="15697" spans="2:8" x14ac:dyDescent="0.2">
      <c r="B15697" s="3">
        <v>45933</v>
      </c>
      <c r="C15697" s="2"/>
      <c r="D15697" s="2"/>
      <c r="E15697" s="2"/>
      <c r="F15697" s="2"/>
      <c r="G15697" s="2">
        <f t="shared" si="245"/>
        <v>0</v>
      </c>
      <c r="H15697" t="s">
        <v>13</v>
      </c>
    </row>
    <row r="15698" spans="2:8" x14ac:dyDescent="0.2">
      <c r="B15698" s="3">
        <v>45933</v>
      </c>
      <c r="C15698" s="3"/>
      <c r="D15698" s="6"/>
      <c r="E15698" s="2"/>
      <c r="F15698" s="2"/>
      <c r="G15698" s="2">
        <f t="shared" si="245"/>
        <v>0</v>
      </c>
      <c r="H15698" t="s">
        <v>11</v>
      </c>
    </row>
    <row r="15699" spans="2:8" x14ac:dyDescent="0.2">
      <c r="B15699" s="3">
        <v>45933</v>
      </c>
      <c r="C15699" s="3"/>
      <c r="D15699" s="6"/>
      <c r="E15699" s="2"/>
      <c r="F15699" s="2"/>
      <c r="G15699" s="2">
        <f t="shared" si="245"/>
        <v>0</v>
      </c>
      <c r="H15699" t="s">
        <v>10</v>
      </c>
    </row>
    <row r="15700" spans="2:8" x14ac:dyDescent="0.2">
      <c r="B15700" s="3">
        <v>45933</v>
      </c>
      <c r="C15700" s="3"/>
      <c r="D15700" s="6"/>
      <c r="E15700" s="2"/>
      <c r="F15700" s="2"/>
      <c r="G15700" s="2">
        <f t="shared" si="245"/>
        <v>0</v>
      </c>
      <c r="H15700" t="s">
        <v>9</v>
      </c>
    </row>
    <row r="15701" spans="2:8" x14ac:dyDescent="0.2">
      <c r="B15701" s="3">
        <v>45933</v>
      </c>
      <c r="C15701" s="3"/>
      <c r="D15701" s="6"/>
      <c r="E15701" s="2"/>
      <c r="F15701" s="2"/>
      <c r="G15701" s="2">
        <f t="shared" si="245"/>
        <v>0</v>
      </c>
      <c r="H15701" t="s">
        <v>8</v>
      </c>
    </row>
    <row r="15702" spans="2:8" x14ac:dyDescent="0.2">
      <c r="B15702" s="3">
        <v>45933</v>
      </c>
      <c r="C15702" s="3"/>
      <c r="D15702" s="6"/>
      <c r="E15702" s="2"/>
      <c r="F15702" s="2"/>
      <c r="G15702" s="2">
        <f t="shared" si="245"/>
        <v>0</v>
      </c>
      <c r="H15702" t="s">
        <v>7</v>
      </c>
    </row>
    <row r="15703" spans="2:8" x14ac:dyDescent="0.2">
      <c r="B15703" s="3">
        <v>45933</v>
      </c>
      <c r="C15703" s="3"/>
      <c r="D15703" s="6"/>
      <c r="E15703" s="2"/>
      <c r="F15703" s="2"/>
      <c r="G15703" s="2">
        <f t="shared" si="245"/>
        <v>0</v>
      </c>
      <c r="H15703" t="s">
        <v>6</v>
      </c>
    </row>
    <row r="15704" spans="2:8" x14ac:dyDescent="0.2">
      <c r="B15704" s="3">
        <v>45933</v>
      </c>
      <c r="C15704" s="3"/>
      <c r="D15704" s="6"/>
      <c r="E15704" s="2"/>
      <c r="F15704" s="2"/>
      <c r="G15704" s="2">
        <f t="shared" si="245"/>
        <v>0</v>
      </c>
      <c r="H15704" t="s">
        <v>5</v>
      </c>
    </row>
    <row r="15705" spans="2:8" x14ac:dyDescent="0.2">
      <c r="B15705" s="3">
        <v>45933</v>
      </c>
      <c r="C15705" s="3"/>
      <c r="D15705" s="6"/>
      <c r="E15705" s="2"/>
      <c r="F15705" s="2"/>
      <c r="G15705" s="2">
        <f t="shared" si="245"/>
        <v>0</v>
      </c>
      <c r="H15705" s="1"/>
    </row>
    <row r="15706" spans="2:8" x14ac:dyDescent="0.2">
      <c r="B15706" s="3">
        <v>45933</v>
      </c>
      <c r="C15706" s="3"/>
      <c r="D15706" s="2"/>
      <c r="E15706" s="2"/>
      <c r="F15706" s="2"/>
      <c r="G15706" s="2">
        <f t="shared" si="245"/>
        <v>0</v>
      </c>
      <c r="H15706" t="s">
        <v>0</v>
      </c>
    </row>
    <row r="15707" spans="2:8" x14ac:dyDescent="0.2">
      <c r="B15707" s="3">
        <v>45934</v>
      </c>
      <c r="C15707" s="2">
        <v>128</v>
      </c>
      <c r="D15707" s="6">
        <v>5660</v>
      </c>
      <c r="E15707" s="2">
        <v>6195</v>
      </c>
      <c r="F15707" s="2"/>
      <c r="G15707" s="2">
        <f t="shared" si="245"/>
        <v>6195</v>
      </c>
      <c r="H15707" t="s">
        <v>14</v>
      </c>
    </row>
    <row r="15708" spans="2:8" x14ac:dyDescent="0.2">
      <c r="B15708" s="3">
        <v>45934</v>
      </c>
      <c r="C15708" s="2"/>
      <c r="D15708" s="2"/>
      <c r="E15708" s="2"/>
      <c r="F15708" s="2"/>
      <c r="G15708" s="2">
        <f t="shared" si="245"/>
        <v>0</v>
      </c>
      <c r="H15708" t="s">
        <v>13</v>
      </c>
    </row>
    <row r="15709" spans="2:8" x14ac:dyDescent="0.2">
      <c r="B15709" s="3">
        <v>45934</v>
      </c>
      <c r="C15709" s="3"/>
      <c r="D15709" s="6"/>
      <c r="E15709" s="2"/>
      <c r="F15709" s="2"/>
      <c r="G15709" s="2">
        <f t="shared" si="245"/>
        <v>0</v>
      </c>
      <c r="H15709" t="s">
        <v>11</v>
      </c>
    </row>
    <row r="15710" spans="2:8" x14ac:dyDescent="0.2">
      <c r="B15710" s="3">
        <v>45934</v>
      </c>
      <c r="C15710" s="3"/>
      <c r="D15710" s="6"/>
      <c r="E15710" s="2"/>
      <c r="F15710" s="2"/>
      <c r="G15710" s="2">
        <f t="shared" si="245"/>
        <v>0</v>
      </c>
      <c r="H15710" t="s">
        <v>10</v>
      </c>
    </row>
    <row r="15711" spans="2:8" x14ac:dyDescent="0.2">
      <c r="B15711" s="3">
        <v>45934</v>
      </c>
      <c r="C15711" s="3"/>
      <c r="D15711" s="6"/>
      <c r="E15711" s="2"/>
      <c r="F15711" s="2"/>
      <c r="G15711" s="2">
        <f t="shared" si="245"/>
        <v>0</v>
      </c>
      <c r="H15711" t="s">
        <v>9</v>
      </c>
    </row>
    <row r="15712" spans="2:8" x14ac:dyDescent="0.2">
      <c r="B15712" s="3">
        <v>45934</v>
      </c>
      <c r="C15712" s="3"/>
      <c r="D15712" s="6"/>
      <c r="E15712" s="2"/>
      <c r="F15712" s="2"/>
      <c r="G15712" s="2">
        <f t="shared" si="245"/>
        <v>0</v>
      </c>
      <c r="H15712" t="s">
        <v>8</v>
      </c>
    </row>
    <row r="15713" spans="2:8" x14ac:dyDescent="0.2">
      <c r="B15713" s="3">
        <v>45934</v>
      </c>
      <c r="C15713" s="3"/>
      <c r="D15713" s="6"/>
      <c r="E15713" s="2"/>
      <c r="F15713" s="2"/>
      <c r="G15713" s="2">
        <f t="shared" si="245"/>
        <v>0</v>
      </c>
      <c r="H15713" t="s">
        <v>7</v>
      </c>
    </row>
    <row r="15714" spans="2:8" x14ac:dyDescent="0.2">
      <c r="B15714" s="3">
        <v>45934</v>
      </c>
      <c r="C15714" s="3"/>
      <c r="D15714" s="6"/>
      <c r="E15714" s="2"/>
      <c r="F15714" s="2"/>
      <c r="G15714" s="2">
        <f t="shared" si="245"/>
        <v>0</v>
      </c>
      <c r="H15714" t="s">
        <v>6</v>
      </c>
    </row>
    <row r="15715" spans="2:8" x14ac:dyDescent="0.2">
      <c r="B15715" s="3">
        <v>45934</v>
      </c>
      <c r="C15715" s="3"/>
      <c r="D15715" s="6"/>
      <c r="E15715" s="2"/>
      <c r="F15715" s="2"/>
      <c r="G15715" s="2">
        <f t="shared" si="245"/>
        <v>0</v>
      </c>
      <c r="H15715" t="s">
        <v>5</v>
      </c>
    </row>
    <row r="15716" spans="2:8" x14ac:dyDescent="0.2">
      <c r="B15716" s="3">
        <v>45934</v>
      </c>
      <c r="C15716" s="3"/>
      <c r="D15716" s="6"/>
      <c r="E15716" s="2"/>
      <c r="F15716" s="2"/>
      <c r="G15716" s="2">
        <f t="shared" si="245"/>
        <v>0</v>
      </c>
      <c r="H15716" s="1"/>
    </row>
    <row r="15717" spans="2:8" x14ac:dyDescent="0.2">
      <c r="B15717" s="3">
        <v>45934</v>
      </c>
      <c r="C15717" s="3"/>
      <c r="D15717" s="2"/>
      <c r="E15717" s="2"/>
      <c r="F15717" s="2"/>
      <c r="G15717" s="2">
        <f t="shared" si="245"/>
        <v>0</v>
      </c>
      <c r="H15717" t="s">
        <v>0</v>
      </c>
    </row>
    <row r="15718" spans="2:8" x14ac:dyDescent="0.2">
      <c r="B15718" s="3">
        <v>45935</v>
      </c>
      <c r="C15718" s="2"/>
      <c r="D15718" s="2"/>
      <c r="E15718" s="2"/>
      <c r="F15718" s="2"/>
      <c r="G15718" s="2">
        <f t="shared" si="245"/>
        <v>0</v>
      </c>
      <c r="H15718" t="s">
        <v>14</v>
      </c>
    </row>
    <row r="15719" spans="2:8" x14ac:dyDescent="0.2">
      <c r="B15719" s="3">
        <v>45935</v>
      </c>
      <c r="C15719" s="2"/>
      <c r="D15719" s="2"/>
      <c r="E15719" s="2"/>
      <c r="F15719" s="2"/>
      <c r="G15719" s="2">
        <f t="shared" si="245"/>
        <v>0</v>
      </c>
      <c r="H15719" t="s">
        <v>13</v>
      </c>
    </row>
    <row r="15720" spans="2:8" x14ac:dyDescent="0.2">
      <c r="B15720" s="3">
        <v>45935</v>
      </c>
      <c r="C15720" s="3"/>
      <c r="D15720" s="6"/>
      <c r="E15720" s="2"/>
      <c r="F15720" s="2"/>
      <c r="G15720" s="2">
        <f t="shared" si="245"/>
        <v>0</v>
      </c>
      <c r="H15720" t="s">
        <v>11</v>
      </c>
    </row>
    <row r="15721" spans="2:8" x14ac:dyDescent="0.2">
      <c r="B15721" s="3">
        <v>45935</v>
      </c>
      <c r="C15721" s="3"/>
      <c r="D15721" s="6"/>
      <c r="E15721" s="2"/>
      <c r="F15721" s="2"/>
      <c r="G15721" s="2">
        <f t="shared" si="245"/>
        <v>0</v>
      </c>
      <c r="H15721" t="s">
        <v>10</v>
      </c>
    </row>
    <row r="15722" spans="2:8" x14ac:dyDescent="0.2">
      <c r="B15722" s="3">
        <v>45935</v>
      </c>
      <c r="C15722" s="3"/>
      <c r="D15722" s="6"/>
      <c r="E15722" s="2"/>
      <c r="F15722" s="2"/>
      <c r="G15722" s="2">
        <f t="shared" si="245"/>
        <v>0</v>
      </c>
      <c r="H15722" t="s">
        <v>9</v>
      </c>
    </row>
    <row r="15723" spans="2:8" x14ac:dyDescent="0.2">
      <c r="B15723" s="3">
        <v>45935</v>
      </c>
      <c r="C15723" s="3"/>
      <c r="D15723" s="6"/>
      <c r="E15723" s="2"/>
      <c r="F15723" s="2"/>
      <c r="G15723" s="2">
        <f t="shared" si="245"/>
        <v>0</v>
      </c>
      <c r="H15723" t="s">
        <v>8</v>
      </c>
    </row>
    <row r="15724" spans="2:8" x14ac:dyDescent="0.2">
      <c r="B15724" s="3">
        <v>45935</v>
      </c>
      <c r="C15724" s="3"/>
      <c r="D15724" s="6"/>
      <c r="E15724" s="2"/>
      <c r="F15724" s="2"/>
      <c r="G15724" s="2">
        <f t="shared" si="245"/>
        <v>0</v>
      </c>
      <c r="H15724" t="s">
        <v>7</v>
      </c>
    </row>
    <row r="15725" spans="2:8" x14ac:dyDescent="0.2">
      <c r="B15725" s="3">
        <v>45935</v>
      </c>
      <c r="C15725" s="3"/>
      <c r="D15725" s="6"/>
      <c r="E15725" s="2"/>
      <c r="F15725" s="2"/>
      <c r="G15725" s="2">
        <f t="shared" si="245"/>
        <v>0</v>
      </c>
      <c r="H15725" t="s">
        <v>6</v>
      </c>
    </row>
    <row r="15726" spans="2:8" x14ac:dyDescent="0.2">
      <c r="B15726" s="3">
        <v>45935</v>
      </c>
      <c r="C15726" s="3"/>
      <c r="D15726" s="6"/>
      <c r="E15726" s="2"/>
      <c r="F15726" s="2"/>
      <c r="G15726" s="2">
        <f t="shared" si="245"/>
        <v>0</v>
      </c>
      <c r="H15726" t="s">
        <v>5</v>
      </c>
    </row>
    <row r="15727" spans="2:8" x14ac:dyDescent="0.2">
      <c r="B15727" s="3">
        <v>45935</v>
      </c>
      <c r="C15727" s="3"/>
      <c r="D15727" s="6"/>
      <c r="E15727" s="2"/>
      <c r="F15727" s="2"/>
      <c r="G15727" s="2">
        <f t="shared" si="245"/>
        <v>0</v>
      </c>
      <c r="H15727" s="1"/>
    </row>
    <row r="15728" spans="2:8" x14ac:dyDescent="0.2">
      <c r="B15728" s="3">
        <v>45935</v>
      </c>
      <c r="C15728" s="3"/>
      <c r="D15728" s="2"/>
      <c r="E15728" s="2"/>
      <c r="F15728" s="2"/>
      <c r="G15728" s="2">
        <f t="shared" si="245"/>
        <v>0</v>
      </c>
      <c r="H15728" t="s">
        <v>0</v>
      </c>
    </row>
    <row r="15729" spans="2:8" x14ac:dyDescent="0.2">
      <c r="B15729" s="3">
        <v>45936</v>
      </c>
      <c r="C15729" s="2"/>
      <c r="D15729" s="2"/>
      <c r="E15729" s="2"/>
      <c r="F15729" s="2"/>
      <c r="G15729" s="2">
        <f t="shared" si="245"/>
        <v>0</v>
      </c>
      <c r="H15729" t="s">
        <v>14</v>
      </c>
    </row>
    <row r="15730" spans="2:8" x14ac:dyDescent="0.2">
      <c r="B15730" s="3">
        <v>45936</v>
      </c>
      <c r="C15730" s="2"/>
      <c r="D15730" s="2"/>
      <c r="E15730" s="2"/>
      <c r="F15730" s="2"/>
      <c r="G15730" s="2">
        <f t="shared" si="245"/>
        <v>0</v>
      </c>
      <c r="H15730" t="s">
        <v>13</v>
      </c>
    </row>
    <row r="15731" spans="2:8" x14ac:dyDescent="0.2">
      <c r="B15731" s="3">
        <v>45936</v>
      </c>
      <c r="C15731" s="3"/>
      <c r="D15731" s="6"/>
      <c r="E15731" s="2"/>
      <c r="F15731" s="2"/>
      <c r="G15731" s="2">
        <f t="shared" si="245"/>
        <v>0</v>
      </c>
      <c r="H15731" t="s">
        <v>11</v>
      </c>
    </row>
    <row r="15732" spans="2:8" x14ac:dyDescent="0.2">
      <c r="B15732" s="3">
        <v>45936</v>
      </c>
      <c r="C15732" s="3"/>
      <c r="D15732" s="6"/>
      <c r="E15732" s="2"/>
      <c r="F15732" s="2"/>
      <c r="G15732" s="2">
        <f t="shared" si="245"/>
        <v>0</v>
      </c>
      <c r="H15732" t="s">
        <v>10</v>
      </c>
    </row>
    <row r="15733" spans="2:8" x14ac:dyDescent="0.2">
      <c r="B15733" s="3">
        <v>45936</v>
      </c>
      <c r="C15733" s="3"/>
      <c r="D15733" s="6"/>
      <c r="E15733" s="2"/>
      <c r="F15733" s="2"/>
      <c r="G15733" s="2">
        <f t="shared" si="245"/>
        <v>0</v>
      </c>
      <c r="H15733" t="s">
        <v>9</v>
      </c>
    </row>
    <row r="15734" spans="2:8" x14ac:dyDescent="0.2">
      <c r="B15734" s="3">
        <v>45936</v>
      </c>
      <c r="C15734" s="3"/>
      <c r="D15734" s="6"/>
      <c r="E15734" s="2"/>
      <c r="F15734" s="2"/>
      <c r="G15734" s="2">
        <f t="shared" si="245"/>
        <v>0</v>
      </c>
      <c r="H15734" t="s">
        <v>8</v>
      </c>
    </row>
    <row r="15735" spans="2:8" x14ac:dyDescent="0.2">
      <c r="B15735" s="3">
        <v>45936</v>
      </c>
      <c r="C15735" s="3"/>
      <c r="D15735" s="6"/>
      <c r="E15735" s="2"/>
      <c r="F15735" s="2"/>
      <c r="G15735" s="2">
        <f t="shared" si="245"/>
        <v>0</v>
      </c>
      <c r="H15735" t="s">
        <v>7</v>
      </c>
    </row>
    <row r="15736" spans="2:8" x14ac:dyDescent="0.2">
      <c r="B15736" s="3">
        <v>45936</v>
      </c>
      <c r="C15736" s="3"/>
      <c r="D15736" s="6"/>
      <c r="E15736" s="2"/>
      <c r="F15736" s="2"/>
      <c r="G15736" s="2">
        <f t="shared" si="245"/>
        <v>0</v>
      </c>
      <c r="H15736" t="s">
        <v>6</v>
      </c>
    </row>
    <row r="15737" spans="2:8" x14ac:dyDescent="0.2">
      <c r="B15737" s="3">
        <v>45936</v>
      </c>
      <c r="C15737" s="3"/>
      <c r="D15737" s="6"/>
      <c r="E15737" s="2"/>
      <c r="F15737" s="2"/>
      <c r="G15737" s="2">
        <f t="shared" si="245"/>
        <v>0</v>
      </c>
      <c r="H15737" t="s">
        <v>5</v>
      </c>
    </row>
    <row r="15738" spans="2:8" x14ac:dyDescent="0.2">
      <c r="B15738" s="3">
        <v>45936</v>
      </c>
      <c r="C15738" s="2">
        <v>129</v>
      </c>
      <c r="D15738" s="6">
        <v>2804.5</v>
      </c>
      <c r="E15738" s="2">
        <v>3065</v>
      </c>
      <c r="F15738" s="2">
        <v>3065</v>
      </c>
      <c r="G15738" s="2">
        <f t="shared" si="245"/>
        <v>0</v>
      </c>
      <c r="H15738" s="1" t="s">
        <v>77</v>
      </c>
    </row>
    <row r="15739" spans="2:8" x14ac:dyDescent="0.2">
      <c r="B15739" s="3">
        <v>45936</v>
      </c>
      <c r="C15739" s="3"/>
      <c r="D15739" s="2"/>
      <c r="E15739" s="2"/>
      <c r="F15739" s="2"/>
      <c r="G15739" s="2">
        <f t="shared" si="245"/>
        <v>0</v>
      </c>
      <c r="H15739" t="s">
        <v>0</v>
      </c>
    </row>
    <row r="15740" spans="2:8" x14ac:dyDescent="0.2">
      <c r="B15740" s="3">
        <v>45937</v>
      </c>
      <c r="C15740" s="2"/>
      <c r="D15740" s="2"/>
      <c r="E15740" s="2"/>
      <c r="F15740" s="2"/>
      <c r="G15740" s="2">
        <f t="shared" si="245"/>
        <v>0</v>
      </c>
      <c r="H15740" t="s">
        <v>14</v>
      </c>
    </row>
    <row r="15741" spans="2:8" x14ac:dyDescent="0.2">
      <c r="B15741" s="3">
        <v>45937</v>
      </c>
      <c r="C15741" s="2"/>
      <c r="D15741" s="2"/>
      <c r="E15741" s="2"/>
      <c r="F15741" s="2"/>
      <c r="G15741" s="2">
        <f t="shared" si="245"/>
        <v>0</v>
      </c>
      <c r="H15741" t="s">
        <v>13</v>
      </c>
    </row>
    <row r="15742" spans="2:8" x14ac:dyDescent="0.2">
      <c r="B15742" s="3">
        <v>45937</v>
      </c>
      <c r="C15742" s="3"/>
      <c r="D15742" s="6"/>
      <c r="E15742" s="2"/>
      <c r="F15742" s="2"/>
      <c r="G15742" s="2">
        <f t="shared" si="245"/>
        <v>0</v>
      </c>
      <c r="H15742" t="s">
        <v>11</v>
      </c>
    </row>
    <row r="15743" spans="2:8" x14ac:dyDescent="0.2">
      <c r="B15743" s="3">
        <v>45937</v>
      </c>
      <c r="C15743" s="3"/>
      <c r="D15743" s="6"/>
      <c r="E15743" s="2"/>
      <c r="F15743" s="2"/>
      <c r="G15743" s="2">
        <f t="shared" si="245"/>
        <v>0</v>
      </c>
      <c r="H15743" t="s">
        <v>10</v>
      </c>
    </row>
    <row r="15744" spans="2:8" x14ac:dyDescent="0.2">
      <c r="B15744" s="3">
        <v>45937</v>
      </c>
      <c r="C15744" s="3"/>
      <c r="D15744" s="6"/>
      <c r="E15744" s="2"/>
      <c r="F15744" s="2">
        <v>32510</v>
      </c>
      <c r="G15744" s="2">
        <f t="shared" si="245"/>
        <v>-32510</v>
      </c>
      <c r="H15744" t="s">
        <v>9</v>
      </c>
    </row>
    <row r="15745" spans="2:8" x14ac:dyDescent="0.2">
      <c r="B15745" s="3">
        <v>45937</v>
      </c>
      <c r="C15745" s="2">
        <v>130</v>
      </c>
      <c r="D15745" s="6">
        <v>55712</v>
      </c>
      <c r="E15745" s="2">
        <v>64660</v>
      </c>
      <c r="F15745" s="2"/>
      <c r="G15745" s="2">
        <f t="shared" si="245"/>
        <v>64660</v>
      </c>
      <c r="H15745" t="s">
        <v>8</v>
      </c>
    </row>
    <row r="15746" spans="2:8" x14ac:dyDescent="0.2">
      <c r="B15746" s="3">
        <v>45937</v>
      </c>
      <c r="C15746" s="3"/>
      <c r="D15746" s="6"/>
      <c r="E15746" s="2"/>
      <c r="F15746" s="2"/>
      <c r="G15746" s="2">
        <f t="shared" si="245"/>
        <v>0</v>
      </c>
      <c r="H15746" t="s">
        <v>7</v>
      </c>
    </row>
    <row r="15747" spans="2:8" x14ac:dyDescent="0.2">
      <c r="B15747" s="3">
        <v>45937</v>
      </c>
      <c r="C15747" s="3"/>
      <c r="D15747" s="6"/>
      <c r="E15747" s="2"/>
      <c r="F15747" s="2"/>
      <c r="G15747" s="2">
        <f t="shared" ref="G15747:G15810" si="246">E15747-F15747</f>
        <v>0</v>
      </c>
      <c r="H15747" t="s">
        <v>6</v>
      </c>
    </row>
    <row r="15748" spans="2:8" x14ac:dyDescent="0.2">
      <c r="B15748" s="3">
        <v>45937</v>
      </c>
      <c r="C15748" s="3"/>
      <c r="D15748" s="6"/>
      <c r="E15748" s="2"/>
      <c r="F15748" s="2"/>
      <c r="G15748" s="2">
        <f t="shared" si="246"/>
        <v>0</v>
      </c>
      <c r="H15748" t="s">
        <v>5</v>
      </c>
    </row>
    <row r="15749" spans="2:8" x14ac:dyDescent="0.2">
      <c r="B15749" s="3">
        <v>45937</v>
      </c>
      <c r="C15749" s="3"/>
      <c r="D15749" s="6"/>
      <c r="E15749" s="2"/>
      <c r="F15749" s="2"/>
      <c r="G15749" s="2">
        <f t="shared" si="246"/>
        <v>0</v>
      </c>
      <c r="H15749" s="1"/>
    </row>
    <row r="15750" spans="2:8" x14ac:dyDescent="0.2">
      <c r="B15750" s="3">
        <v>45937</v>
      </c>
      <c r="C15750" s="3"/>
      <c r="D15750" s="2"/>
      <c r="E15750" s="2"/>
      <c r="F15750" s="2"/>
      <c r="G15750" s="2">
        <f t="shared" si="246"/>
        <v>0</v>
      </c>
      <c r="H15750" t="s">
        <v>0</v>
      </c>
    </row>
    <row r="15751" spans="2:8" x14ac:dyDescent="0.2">
      <c r="B15751" s="3">
        <v>45938</v>
      </c>
      <c r="C15751" s="2"/>
      <c r="D15751" s="2"/>
      <c r="E15751" s="2"/>
      <c r="F15751" s="2">
        <v>10000</v>
      </c>
      <c r="G15751" s="2">
        <f t="shared" si="246"/>
        <v>-10000</v>
      </c>
      <c r="H15751" t="s">
        <v>14</v>
      </c>
    </row>
    <row r="15752" spans="2:8" x14ac:dyDescent="0.2">
      <c r="B15752" s="3">
        <v>45938</v>
      </c>
      <c r="C15752" s="2"/>
      <c r="D15752" s="2"/>
      <c r="E15752" s="2"/>
      <c r="F15752" s="2"/>
      <c r="G15752" s="2">
        <f t="shared" si="246"/>
        <v>0</v>
      </c>
      <c r="H15752" t="s">
        <v>13</v>
      </c>
    </row>
    <row r="15753" spans="2:8" x14ac:dyDescent="0.2">
      <c r="B15753" s="3">
        <v>45938</v>
      </c>
      <c r="C15753" s="3"/>
      <c r="D15753" s="6"/>
      <c r="E15753" s="2"/>
      <c r="F15753" s="2"/>
      <c r="G15753" s="2">
        <f t="shared" si="246"/>
        <v>0</v>
      </c>
      <c r="H15753" t="s">
        <v>11</v>
      </c>
    </row>
    <row r="15754" spans="2:8" x14ac:dyDescent="0.2">
      <c r="B15754" s="3">
        <v>45938</v>
      </c>
      <c r="C15754" s="3"/>
      <c r="D15754" s="6"/>
      <c r="E15754" s="2"/>
      <c r="F15754" s="2"/>
      <c r="G15754" s="2">
        <f t="shared" si="246"/>
        <v>0</v>
      </c>
      <c r="H15754" t="s">
        <v>10</v>
      </c>
    </row>
    <row r="15755" spans="2:8" x14ac:dyDescent="0.2">
      <c r="B15755" s="3">
        <v>45938</v>
      </c>
      <c r="C15755" s="3"/>
      <c r="D15755" s="6"/>
      <c r="E15755" s="2"/>
      <c r="F15755" s="2"/>
      <c r="G15755" s="2">
        <f t="shared" si="246"/>
        <v>0</v>
      </c>
      <c r="H15755" t="s">
        <v>9</v>
      </c>
    </row>
    <row r="15756" spans="2:8" x14ac:dyDescent="0.2">
      <c r="B15756" s="3">
        <v>45938</v>
      </c>
      <c r="C15756" s="3"/>
      <c r="D15756" s="6"/>
      <c r="E15756" s="2"/>
      <c r="F15756" s="2">
        <v>30000</v>
      </c>
      <c r="G15756" s="2">
        <f t="shared" si="246"/>
        <v>-30000</v>
      </c>
      <c r="H15756" t="s">
        <v>8</v>
      </c>
    </row>
    <row r="15757" spans="2:8" x14ac:dyDescent="0.2">
      <c r="B15757" s="3">
        <v>45938</v>
      </c>
      <c r="C15757" s="3"/>
      <c r="D15757" s="6"/>
      <c r="E15757" s="2"/>
      <c r="F15757" s="2"/>
      <c r="G15757" s="2">
        <f t="shared" si="246"/>
        <v>0</v>
      </c>
      <c r="H15757" t="s">
        <v>7</v>
      </c>
    </row>
    <row r="15758" spans="2:8" x14ac:dyDescent="0.2">
      <c r="B15758" s="3">
        <v>45938</v>
      </c>
      <c r="C15758" s="3"/>
      <c r="D15758" s="6"/>
      <c r="E15758" s="2"/>
      <c r="F15758" s="2"/>
      <c r="G15758" s="2">
        <f t="shared" si="246"/>
        <v>0</v>
      </c>
      <c r="H15758" t="s">
        <v>6</v>
      </c>
    </row>
    <row r="15759" spans="2:8" x14ac:dyDescent="0.2">
      <c r="B15759" s="3">
        <v>45938</v>
      </c>
      <c r="C15759" s="3"/>
      <c r="D15759" s="6"/>
      <c r="E15759" s="2"/>
      <c r="F15759" s="2"/>
      <c r="G15759" s="2">
        <f t="shared" si="246"/>
        <v>0</v>
      </c>
      <c r="H15759" t="s">
        <v>5</v>
      </c>
    </row>
    <row r="15760" spans="2:8" x14ac:dyDescent="0.2">
      <c r="B15760" s="3">
        <v>45938</v>
      </c>
      <c r="C15760" s="3"/>
      <c r="D15760" s="6"/>
      <c r="E15760" s="2"/>
      <c r="F15760" s="2"/>
      <c r="G15760" s="2">
        <f t="shared" si="246"/>
        <v>0</v>
      </c>
      <c r="H15760" s="1"/>
    </row>
    <row r="15761" spans="2:8" x14ac:dyDescent="0.2">
      <c r="B15761" s="3">
        <v>45938</v>
      </c>
      <c r="C15761" s="3"/>
      <c r="D15761" s="2">
        <v>176899.57750000001</v>
      </c>
      <c r="E15761" s="2">
        <v>184513.69750000001</v>
      </c>
      <c r="F15761" s="2">
        <v>200000</v>
      </c>
      <c r="G15761" s="2">
        <f t="shared" si="246"/>
        <v>-15486.302499999991</v>
      </c>
      <c r="H15761" t="s">
        <v>0</v>
      </c>
    </row>
    <row r="15762" spans="2:8" x14ac:dyDescent="0.2">
      <c r="B15762" s="3">
        <v>45939</v>
      </c>
      <c r="C15762" s="2"/>
      <c r="D15762" s="2"/>
      <c r="E15762" s="2"/>
      <c r="F15762" s="2"/>
      <c r="G15762" s="2">
        <f t="shared" si="246"/>
        <v>0</v>
      </c>
      <c r="H15762" t="s">
        <v>14</v>
      </c>
    </row>
    <row r="15763" spans="2:8" x14ac:dyDescent="0.2">
      <c r="B15763" s="3">
        <v>45939</v>
      </c>
      <c r="C15763" s="2"/>
      <c r="D15763" s="2"/>
      <c r="E15763" s="2"/>
      <c r="F15763" s="2"/>
      <c r="G15763" s="2">
        <f t="shared" si="246"/>
        <v>0</v>
      </c>
      <c r="H15763" t="s">
        <v>13</v>
      </c>
    </row>
    <row r="15764" spans="2:8" x14ac:dyDescent="0.2">
      <c r="B15764" s="3">
        <v>45939</v>
      </c>
      <c r="C15764" s="3"/>
      <c r="D15764" s="6"/>
      <c r="E15764" s="2"/>
      <c r="F15764" s="2"/>
      <c r="G15764" s="2">
        <f t="shared" si="246"/>
        <v>0</v>
      </c>
      <c r="H15764" t="s">
        <v>11</v>
      </c>
    </row>
    <row r="15765" spans="2:8" x14ac:dyDescent="0.2">
      <c r="B15765" s="3">
        <v>45939</v>
      </c>
      <c r="C15765" s="3"/>
      <c r="D15765" s="6"/>
      <c r="E15765" s="2"/>
      <c r="F15765" s="2"/>
      <c r="G15765" s="2">
        <f t="shared" si="246"/>
        <v>0</v>
      </c>
      <c r="H15765" t="s">
        <v>10</v>
      </c>
    </row>
    <row r="15766" spans="2:8" x14ac:dyDescent="0.2">
      <c r="B15766" s="3">
        <v>45939</v>
      </c>
      <c r="C15766" s="3"/>
      <c r="D15766" s="6"/>
      <c r="E15766" s="2"/>
      <c r="F15766" s="2"/>
      <c r="G15766" s="2">
        <f t="shared" si="246"/>
        <v>0</v>
      </c>
      <c r="H15766" t="s">
        <v>9</v>
      </c>
    </row>
    <row r="15767" spans="2:8" x14ac:dyDescent="0.2">
      <c r="B15767" s="3">
        <v>45939</v>
      </c>
      <c r="C15767" s="3"/>
      <c r="D15767" s="6"/>
      <c r="E15767" s="2"/>
      <c r="F15767" s="2"/>
      <c r="G15767" s="2">
        <f t="shared" si="246"/>
        <v>0</v>
      </c>
      <c r="H15767" t="s">
        <v>8</v>
      </c>
    </row>
    <row r="15768" spans="2:8" x14ac:dyDescent="0.2">
      <c r="B15768" s="3">
        <v>45939</v>
      </c>
      <c r="C15768" s="3"/>
      <c r="D15768" s="6"/>
      <c r="E15768" s="2"/>
      <c r="F15768" s="2"/>
      <c r="G15768" s="2">
        <f t="shared" si="246"/>
        <v>0</v>
      </c>
      <c r="H15768" t="s">
        <v>7</v>
      </c>
    </row>
    <row r="15769" spans="2:8" x14ac:dyDescent="0.2">
      <c r="B15769" s="3">
        <v>45939</v>
      </c>
      <c r="C15769" s="3"/>
      <c r="D15769" s="6"/>
      <c r="E15769" s="2"/>
      <c r="F15769" s="2"/>
      <c r="G15769" s="2">
        <f t="shared" si="246"/>
        <v>0</v>
      </c>
      <c r="H15769" t="s">
        <v>6</v>
      </c>
    </row>
    <row r="15770" spans="2:8" x14ac:dyDescent="0.2">
      <c r="B15770" s="3">
        <v>45939</v>
      </c>
      <c r="C15770" s="3"/>
      <c r="D15770" s="6"/>
      <c r="E15770" s="2"/>
      <c r="F15770" s="2"/>
      <c r="G15770" s="2">
        <f t="shared" si="246"/>
        <v>0</v>
      </c>
      <c r="H15770" t="s">
        <v>5</v>
      </c>
    </row>
    <row r="15771" spans="2:8" x14ac:dyDescent="0.2">
      <c r="B15771" s="3">
        <v>45939</v>
      </c>
      <c r="C15771" s="3"/>
      <c r="D15771" s="6"/>
      <c r="E15771" s="2"/>
      <c r="F15771" s="2"/>
      <c r="G15771" s="2">
        <f t="shared" si="246"/>
        <v>0</v>
      </c>
      <c r="H15771" s="1"/>
    </row>
    <row r="15772" spans="2:8" x14ac:dyDescent="0.2">
      <c r="B15772" s="3">
        <v>45939</v>
      </c>
      <c r="C15772" s="3"/>
      <c r="D15772" s="2">
        <v>27920.329999999998</v>
      </c>
      <c r="E15772" s="2">
        <v>28832.97</v>
      </c>
      <c r="F15772" s="2"/>
      <c r="G15772" s="2">
        <f t="shared" si="246"/>
        <v>28832.97</v>
      </c>
      <c r="H15772" t="s">
        <v>0</v>
      </c>
    </row>
    <row r="15773" spans="2:8" x14ac:dyDescent="0.2">
      <c r="B15773" s="3">
        <v>45940</v>
      </c>
      <c r="C15773" s="2"/>
      <c r="D15773" s="2"/>
      <c r="E15773" s="2"/>
      <c r="F15773" s="2"/>
      <c r="G15773" s="2">
        <f t="shared" si="246"/>
        <v>0</v>
      </c>
      <c r="H15773" t="s">
        <v>14</v>
      </c>
    </row>
    <row r="15774" spans="2:8" x14ac:dyDescent="0.2">
      <c r="B15774" s="3">
        <v>45940</v>
      </c>
      <c r="C15774" s="2"/>
      <c r="D15774" s="2"/>
      <c r="E15774" s="2"/>
      <c r="F15774" s="2"/>
      <c r="G15774" s="2">
        <f t="shared" si="246"/>
        <v>0</v>
      </c>
      <c r="H15774" t="s">
        <v>13</v>
      </c>
    </row>
    <row r="15775" spans="2:8" x14ac:dyDescent="0.2">
      <c r="B15775" s="3">
        <v>45940</v>
      </c>
      <c r="C15775" s="3"/>
      <c r="D15775" s="6"/>
      <c r="E15775" s="2"/>
      <c r="F15775" s="2"/>
      <c r="G15775" s="2">
        <f t="shared" si="246"/>
        <v>0</v>
      </c>
      <c r="H15775" t="s">
        <v>11</v>
      </c>
    </row>
    <row r="15776" spans="2:8" x14ac:dyDescent="0.2">
      <c r="B15776" s="3">
        <v>45940</v>
      </c>
      <c r="C15776" s="3"/>
      <c r="D15776" s="6"/>
      <c r="E15776" s="2"/>
      <c r="F15776" s="2"/>
      <c r="G15776" s="2">
        <f t="shared" si="246"/>
        <v>0</v>
      </c>
      <c r="H15776" t="s">
        <v>10</v>
      </c>
    </row>
    <row r="15777" spans="2:8" x14ac:dyDescent="0.2">
      <c r="B15777" s="3">
        <v>45940</v>
      </c>
      <c r="C15777" s="3"/>
      <c r="D15777" s="6"/>
      <c r="E15777" s="2"/>
      <c r="F15777" s="2"/>
      <c r="G15777" s="2">
        <f t="shared" si="246"/>
        <v>0</v>
      </c>
      <c r="H15777" t="s">
        <v>9</v>
      </c>
    </row>
    <row r="15778" spans="2:8" x14ac:dyDescent="0.2">
      <c r="B15778" s="3">
        <v>45940</v>
      </c>
      <c r="C15778" s="3"/>
      <c r="D15778" s="6"/>
      <c r="E15778" s="2"/>
      <c r="F15778" s="2"/>
      <c r="G15778" s="2">
        <f t="shared" si="246"/>
        <v>0</v>
      </c>
      <c r="H15778" t="s">
        <v>8</v>
      </c>
    </row>
    <row r="15779" spans="2:8" x14ac:dyDescent="0.2">
      <c r="B15779" s="3">
        <v>45940</v>
      </c>
      <c r="C15779" s="3"/>
      <c r="D15779" s="6"/>
      <c r="E15779" s="2"/>
      <c r="F15779" s="2"/>
      <c r="G15779" s="2">
        <f t="shared" si="246"/>
        <v>0</v>
      </c>
      <c r="H15779" t="s">
        <v>7</v>
      </c>
    </row>
    <row r="15780" spans="2:8" x14ac:dyDescent="0.2">
      <c r="B15780" s="3">
        <v>45940</v>
      </c>
      <c r="C15780" s="3"/>
      <c r="D15780" s="6"/>
      <c r="E15780" s="2"/>
      <c r="F15780" s="2"/>
      <c r="G15780" s="2">
        <f t="shared" si="246"/>
        <v>0</v>
      </c>
      <c r="H15780" t="s">
        <v>6</v>
      </c>
    </row>
    <row r="15781" spans="2:8" x14ac:dyDescent="0.2">
      <c r="B15781" s="3">
        <v>45940</v>
      </c>
      <c r="C15781" s="3"/>
      <c r="D15781" s="6"/>
      <c r="E15781" s="2"/>
      <c r="F15781" s="2"/>
      <c r="G15781" s="2">
        <f t="shared" si="246"/>
        <v>0</v>
      </c>
      <c r="H15781" t="s">
        <v>5</v>
      </c>
    </row>
    <row r="15782" spans="2:8" x14ac:dyDescent="0.2">
      <c r="B15782" s="3">
        <v>45940</v>
      </c>
      <c r="C15782" s="3"/>
      <c r="D15782" s="6"/>
      <c r="E15782" s="2"/>
      <c r="F15782" s="2"/>
      <c r="G15782" s="2">
        <f t="shared" si="246"/>
        <v>0</v>
      </c>
      <c r="H15782" s="1"/>
    </row>
    <row r="15783" spans="2:8" x14ac:dyDescent="0.2">
      <c r="B15783" s="3">
        <v>45940</v>
      </c>
      <c r="C15783" s="3"/>
      <c r="D15783" s="2">
        <v>32273.200000000001</v>
      </c>
      <c r="E15783" s="2">
        <v>33590.6</v>
      </c>
      <c r="F15783" s="2"/>
      <c r="G15783" s="2">
        <f t="shared" si="246"/>
        <v>33590.6</v>
      </c>
      <c r="H15783" t="s">
        <v>0</v>
      </c>
    </row>
    <row r="15784" spans="2:8" x14ac:dyDescent="0.2">
      <c r="B15784" s="3">
        <v>45941</v>
      </c>
      <c r="C15784" s="2"/>
      <c r="D15784" s="2"/>
      <c r="E15784" s="2"/>
      <c r="F15784" s="2">
        <v>39995</v>
      </c>
      <c r="G15784" s="2">
        <f>E15784-F15784</f>
        <v>-39995</v>
      </c>
      <c r="H15784" t="s">
        <v>14</v>
      </c>
    </row>
    <row r="15785" spans="2:8" x14ac:dyDescent="0.2">
      <c r="B15785" s="3">
        <v>45941</v>
      </c>
      <c r="C15785" s="2"/>
      <c r="D15785" s="2"/>
      <c r="E15785" s="2"/>
      <c r="F15785" s="2"/>
      <c r="G15785" s="2">
        <f t="shared" si="246"/>
        <v>0</v>
      </c>
      <c r="H15785" t="s">
        <v>13</v>
      </c>
    </row>
    <row r="15786" spans="2:8" x14ac:dyDescent="0.2">
      <c r="B15786" s="3">
        <v>45941</v>
      </c>
      <c r="C15786" s="3"/>
      <c r="D15786" s="6"/>
      <c r="E15786" s="2"/>
      <c r="F15786" s="2"/>
      <c r="G15786" s="2">
        <f t="shared" si="246"/>
        <v>0</v>
      </c>
      <c r="H15786" t="s">
        <v>11</v>
      </c>
    </row>
    <row r="15787" spans="2:8" x14ac:dyDescent="0.2">
      <c r="B15787" s="3">
        <v>45941</v>
      </c>
      <c r="C15787" s="3"/>
      <c r="D15787" s="6"/>
      <c r="E15787" s="2"/>
      <c r="F15787" s="2"/>
      <c r="G15787" s="2">
        <f t="shared" si="246"/>
        <v>0</v>
      </c>
      <c r="H15787" t="s">
        <v>10</v>
      </c>
    </row>
    <row r="15788" spans="2:8" x14ac:dyDescent="0.2">
      <c r="B15788" s="3">
        <v>45941</v>
      </c>
      <c r="C15788" s="3"/>
      <c r="D15788" s="6"/>
      <c r="E15788" s="2"/>
      <c r="F15788" s="2"/>
      <c r="G15788" s="2">
        <f t="shared" si="246"/>
        <v>0</v>
      </c>
      <c r="H15788" t="s">
        <v>9</v>
      </c>
    </row>
    <row r="15789" spans="2:8" x14ac:dyDescent="0.2">
      <c r="B15789" s="3">
        <v>45941</v>
      </c>
      <c r="C15789" s="3"/>
      <c r="D15789" s="6"/>
      <c r="E15789" s="2"/>
      <c r="F15789" s="2"/>
      <c r="G15789" s="2">
        <f t="shared" si="246"/>
        <v>0</v>
      </c>
      <c r="H15789" t="s">
        <v>8</v>
      </c>
    </row>
    <row r="15790" spans="2:8" x14ac:dyDescent="0.2">
      <c r="B15790" s="3">
        <v>45941</v>
      </c>
      <c r="C15790" s="3"/>
      <c r="D15790" s="6"/>
      <c r="E15790" s="2"/>
      <c r="F15790" s="2"/>
      <c r="G15790" s="2">
        <f t="shared" si="246"/>
        <v>0</v>
      </c>
      <c r="H15790" t="s">
        <v>7</v>
      </c>
    </row>
    <row r="15791" spans="2:8" x14ac:dyDescent="0.2">
      <c r="B15791" s="3">
        <v>45941</v>
      </c>
      <c r="C15791" s="2">
        <v>131</v>
      </c>
      <c r="D15791" s="6">
        <v>3550</v>
      </c>
      <c r="E15791" s="2">
        <v>4230</v>
      </c>
      <c r="F15791" s="2"/>
      <c r="G15791" s="2">
        <f t="shared" si="246"/>
        <v>4230</v>
      </c>
      <c r="H15791" t="s">
        <v>6</v>
      </c>
    </row>
    <row r="15792" spans="2:8" x14ac:dyDescent="0.2">
      <c r="B15792" s="3">
        <v>45941</v>
      </c>
      <c r="C15792" s="3"/>
      <c r="D15792" s="6"/>
      <c r="E15792" s="2"/>
      <c r="F15792" s="2"/>
      <c r="G15792" s="2">
        <f t="shared" si="246"/>
        <v>0</v>
      </c>
      <c r="H15792" t="s">
        <v>5</v>
      </c>
    </row>
    <row r="15793" spans="2:8" x14ac:dyDescent="0.2">
      <c r="B15793" s="3">
        <v>45941</v>
      </c>
      <c r="C15793" s="3"/>
      <c r="D15793" s="6"/>
      <c r="E15793" s="2"/>
      <c r="F15793" s="2"/>
      <c r="G15793" s="2">
        <f t="shared" si="246"/>
        <v>0</v>
      </c>
      <c r="H15793" s="1"/>
    </row>
    <row r="15794" spans="2:8" x14ac:dyDescent="0.2">
      <c r="B15794" s="3">
        <v>45941</v>
      </c>
      <c r="C15794" s="3"/>
      <c r="D15794" s="2"/>
      <c r="E15794" s="2"/>
      <c r="F15794" s="2"/>
      <c r="G15794" s="2">
        <f t="shared" si="246"/>
        <v>0</v>
      </c>
      <c r="H15794" t="s">
        <v>0</v>
      </c>
    </row>
    <row r="15795" spans="2:8" x14ac:dyDescent="0.2">
      <c r="B15795" s="3">
        <v>45942</v>
      </c>
      <c r="C15795" s="3" t="s">
        <v>89</v>
      </c>
      <c r="D15795" s="6">
        <v>9726.768</v>
      </c>
      <c r="E15795" s="2">
        <v>11655.36</v>
      </c>
      <c r="F15795" s="2"/>
      <c r="G15795" s="2">
        <f t="shared" si="246"/>
        <v>11655.36</v>
      </c>
      <c r="H15795" t="s">
        <v>14</v>
      </c>
    </row>
    <row r="15796" spans="2:8" x14ac:dyDescent="0.2">
      <c r="B15796" s="3">
        <v>45942</v>
      </c>
      <c r="C15796" s="2"/>
      <c r="D15796" s="2"/>
      <c r="E15796" s="2"/>
      <c r="F15796" s="2"/>
      <c r="G15796" s="2">
        <f t="shared" si="246"/>
        <v>0</v>
      </c>
      <c r="H15796" t="s">
        <v>13</v>
      </c>
    </row>
    <row r="15797" spans="2:8" x14ac:dyDescent="0.2">
      <c r="B15797" s="3">
        <v>45942</v>
      </c>
      <c r="C15797" s="3"/>
      <c r="D15797" s="6"/>
      <c r="E15797" s="2"/>
      <c r="F15797" s="2"/>
      <c r="G15797" s="2">
        <f t="shared" si="246"/>
        <v>0</v>
      </c>
      <c r="H15797" t="s">
        <v>11</v>
      </c>
    </row>
    <row r="15798" spans="2:8" x14ac:dyDescent="0.2">
      <c r="B15798" s="3">
        <v>45942</v>
      </c>
      <c r="C15798" s="3"/>
      <c r="D15798" s="6"/>
      <c r="E15798" s="2"/>
      <c r="F15798" s="2"/>
      <c r="G15798" s="2">
        <f t="shared" si="246"/>
        <v>0</v>
      </c>
      <c r="H15798" t="s">
        <v>10</v>
      </c>
    </row>
    <row r="15799" spans="2:8" x14ac:dyDescent="0.2">
      <c r="B15799" s="3">
        <v>45942</v>
      </c>
      <c r="C15799" s="3"/>
      <c r="D15799" s="6"/>
      <c r="E15799" s="2"/>
      <c r="F15799" s="2"/>
      <c r="G15799" s="2">
        <f t="shared" si="246"/>
        <v>0</v>
      </c>
      <c r="H15799" t="s">
        <v>9</v>
      </c>
    </row>
    <row r="15800" spans="2:8" x14ac:dyDescent="0.2">
      <c r="B15800" s="3">
        <v>45942</v>
      </c>
      <c r="C15800" s="3"/>
      <c r="D15800" s="6"/>
      <c r="E15800" s="2"/>
      <c r="F15800" s="2"/>
      <c r="G15800" s="2">
        <f t="shared" si="246"/>
        <v>0</v>
      </c>
      <c r="H15800" t="s">
        <v>8</v>
      </c>
    </row>
    <row r="15801" spans="2:8" x14ac:dyDescent="0.2">
      <c r="B15801" s="3">
        <v>45942</v>
      </c>
      <c r="C15801" s="3"/>
      <c r="D15801" s="6"/>
      <c r="E15801" s="2"/>
      <c r="F15801" s="2"/>
      <c r="G15801" s="2">
        <f t="shared" si="246"/>
        <v>0</v>
      </c>
      <c r="H15801" t="s">
        <v>7</v>
      </c>
    </row>
    <row r="15802" spans="2:8" x14ac:dyDescent="0.2">
      <c r="B15802" s="3">
        <v>45942</v>
      </c>
      <c r="C15802" s="3"/>
      <c r="D15802" s="6"/>
      <c r="E15802" s="2"/>
      <c r="F15802" s="2"/>
      <c r="G15802" s="2">
        <f t="shared" si="246"/>
        <v>0</v>
      </c>
      <c r="H15802" t="s">
        <v>6</v>
      </c>
    </row>
    <row r="15803" spans="2:8" x14ac:dyDescent="0.2">
      <c r="B15803" s="3">
        <v>45942</v>
      </c>
      <c r="C15803" s="3"/>
      <c r="D15803" s="6"/>
      <c r="E15803" s="2"/>
      <c r="F15803" s="2"/>
      <c r="G15803" s="2">
        <f t="shared" si="246"/>
        <v>0</v>
      </c>
      <c r="H15803" t="s">
        <v>5</v>
      </c>
    </row>
    <row r="15804" spans="2:8" x14ac:dyDescent="0.2">
      <c r="B15804" s="3">
        <v>45942</v>
      </c>
      <c r="C15804" s="3"/>
      <c r="D15804" s="6">
        <v>37049.930000000008</v>
      </c>
      <c r="E15804" s="2">
        <v>39267.489999999991</v>
      </c>
      <c r="F15804" s="2">
        <v>39267.489999999991</v>
      </c>
      <c r="G15804" s="2">
        <f t="shared" si="246"/>
        <v>0</v>
      </c>
      <c r="H15804" s="1" t="s">
        <v>84</v>
      </c>
    </row>
    <row r="15805" spans="2:8" x14ac:dyDescent="0.2">
      <c r="B15805" s="3">
        <v>45942</v>
      </c>
      <c r="C15805" s="3"/>
      <c r="D15805" s="2"/>
      <c r="E15805" s="2"/>
      <c r="F15805" s="2">
        <v>189551</v>
      </c>
      <c r="G15805" s="2">
        <f t="shared" si="246"/>
        <v>-189551</v>
      </c>
      <c r="H15805" t="s">
        <v>0</v>
      </c>
    </row>
    <row r="15806" spans="2:8" x14ac:dyDescent="0.2">
      <c r="B15806" s="3">
        <v>45943</v>
      </c>
      <c r="C15806" s="2"/>
      <c r="D15806" s="2"/>
      <c r="E15806" s="2"/>
      <c r="F15806" s="2"/>
      <c r="G15806" s="2">
        <f t="shared" si="246"/>
        <v>0</v>
      </c>
      <c r="H15806" t="s">
        <v>14</v>
      </c>
    </row>
    <row r="15807" spans="2:8" x14ac:dyDescent="0.2">
      <c r="B15807" s="3">
        <v>45943</v>
      </c>
      <c r="C15807" s="2"/>
      <c r="D15807" s="2"/>
      <c r="E15807" s="2"/>
      <c r="F15807" s="2"/>
      <c r="G15807" s="2">
        <f t="shared" si="246"/>
        <v>0</v>
      </c>
      <c r="H15807" t="s">
        <v>13</v>
      </c>
    </row>
    <row r="15808" spans="2:8" x14ac:dyDescent="0.2">
      <c r="B15808" s="3">
        <v>45943</v>
      </c>
      <c r="C15808" s="3"/>
      <c r="D15808" s="6"/>
      <c r="E15808" s="2"/>
      <c r="F15808" s="2"/>
      <c r="G15808" s="2">
        <f t="shared" si="246"/>
        <v>0</v>
      </c>
      <c r="H15808" t="s">
        <v>11</v>
      </c>
    </row>
    <row r="15809" spans="2:8" x14ac:dyDescent="0.2">
      <c r="B15809" s="3">
        <v>45943</v>
      </c>
      <c r="C15809" s="3"/>
      <c r="D15809" s="6"/>
      <c r="E15809" s="2"/>
      <c r="F15809" s="2"/>
      <c r="G15809" s="2">
        <f t="shared" si="246"/>
        <v>0</v>
      </c>
      <c r="H15809" t="s">
        <v>10</v>
      </c>
    </row>
    <row r="15810" spans="2:8" x14ac:dyDescent="0.2">
      <c r="B15810" s="3">
        <v>45943</v>
      </c>
      <c r="C15810" s="3"/>
      <c r="D15810" s="6"/>
      <c r="E15810" s="2"/>
      <c r="F15810" s="2"/>
      <c r="G15810" s="2">
        <f t="shared" si="246"/>
        <v>0</v>
      </c>
      <c r="H15810" t="s">
        <v>9</v>
      </c>
    </row>
    <row r="15811" spans="2:8" x14ac:dyDescent="0.2">
      <c r="B15811" s="3">
        <v>45943</v>
      </c>
      <c r="C15811" s="3"/>
      <c r="D15811" s="6"/>
      <c r="E15811" s="2"/>
      <c r="F15811" s="2"/>
      <c r="G15811" s="2">
        <f t="shared" ref="G15811:G15874" si="247">E15811-F15811</f>
        <v>0</v>
      </c>
      <c r="H15811" t="s">
        <v>8</v>
      </c>
    </row>
    <row r="15812" spans="2:8" x14ac:dyDescent="0.2">
      <c r="B15812" s="3">
        <v>45943</v>
      </c>
      <c r="C15812" s="3"/>
      <c r="D15812" s="6"/>
      <c r="E15812" s="2"/>
      <c r="F15812" s="2"/>
      <c r="G15812" s="2">
        <f t="shared" si="247"/>
        <v>0</v>
      </c>
      <c r="H15812" t="s">
        <v>7</v>
      </c>
    </row>
    <row r="15813" spans="2:8" x14ac:dyDescent="0.2">
      <c r="B15813" s="3">
        <v>45943</v>
      </c>
      <c r="C15813" s="3"/>
      <c r="D15813" s="6"/>
      <c r="E15813" s="2"/>
      <c r="F15813" s="2"/>
      <c r="G15813" s="2">
        <f t="shared" si="247"/>
        <v>0</v>
      </c>
      <c r="H15813" t="s">
        <v>6</v>
      </c>
    </row>
    <row r="15814" spans="2:8" x14ac:dyDescent="0.2">
      <c r="B15814" s="3">
        <v>45943</v>
      </c>
      <c r="C15814" s="3"/>
      <c r="D15814" s="6"/>
      <c r="E15814" s="2"/>
      <c r="F15814" s="2"/>
      <c r="G15814" s="2">
        <f t="shared" si="247"/>
        <v>0</v>
      </c>
      <c r="H15814" t="s">
        <v>5</v>
      </c>
    </row>
    <row r="15815" spans="2:8" x14ac:dyDescent="0.2">
      <c r="B15815" s="3">
        <v>45943</v>
      </c>
      <c r="C15815" s="2">
        <v>132</v>
      </c>
      <c r="D15815" s="6">
        <v>9987.5</v>
      </c>
      <c r="E15815" s="2">
        <v>11107.5</v>
      </c>
      <c r="F15815" s="2"/>
      <c r="G15815" s="2">
        <f t="shared" si="247"/>
        <v>11107.5</v>
      </c>
      <c r="H15815" s="1" t="s">
        <v>77</v>
      </c>
    </row>
    <row r="15816" spans="2:8" x14ac:dyDescent="0.2">
      <c r="B15816" s="3">
        <v>45943</v>
      </c>
      <c r="C15816" s="3"/>
      <c r="D15816" s="2"/>
      <c r="E15816" s="2"/>
      <c r="F15816" s="2"/>
      <c r="G15816" s="2">
        <f t="shared" si="247"/>
        <v>0</v>
      </c>
      <c r="H15816" t="s">
        <v>0</v>
      </c>
    </row>
    <row r="15817" spans="2:8" x14ac:dyDescent="0.2">
      <c r="B15817" s="3">
        <v>45944</v>
      </c>
      <c r="C15817" s="2"/>
      <c r="D15817" s="2"/>
      <c r="E15817" s="2"/>
      <c r="F15817" s="2"/>
      <c r="G15817" s="2">
        <f t="shared" si="247"/>
        <v>0</v>
      </c>
      <c r="H15817" t="s">
        <v>14</v>
      </c>
    </row>
    <row r="15818" spans="2:8" x14ac:dyDescent="0.2">
      <c r="B15818" s="3">
        <v>45944</v>
      </c>
      <c r="C15818" s="2"/>
      <c r="D15818" s="2"/>
      <c r="E15818" s="2"/>
      <c r="F15818" s="2"/>
      <c r="G15818" s="2">
        <f t="shared" si="247"/>
        <v>0</v>
      </c>
      <c r="H15818" t="s">
        <v>13</v>
      </c>
    </row>
    <row r="15819" spans="2:8" x14ac:dyDescent="0.2">
      <c r="B15819" s="3">
        <v>45944</v>
      </c>
      <c r="C15819" s="3"/>
      <c r="D15819" s="6"/>
      <c r="E15819" s="2"/>
      <c r="F15819" s="2"/>
      <c r="G15819" s="2">
        <f t="shared" si="247"/>
        <v>0</v>
      </c>
      <c r="H15819" t="s">
        <v>11</v>
      </c>
    </row>
    <row r="15820" spans="2:8" x14ac:dyDescent="0.2">
      <c r="B15820" s="3">
        <v>45944</v>
      </c>
      <c r="C15820" s="3"/>
      <c r="D15820" s="6"/>
      <c r="E15820" s="2"/>
      <c r="F15820" s="2"/>
      <c r="G15820" s="2">
        <f t="shared" si="247"/>
        <v>0</v>
      </c>
      <c r="H15820" t="s">
        <v>10</v>
      </c>
    </row>
    <row r="15821" spans="2:8" x14ac:dyDescent="0.2">
      <c r="B15821" s="3">
        <v>45944</v>
      </c>
      <c r="C15821" s="3"/>
      <c r="D15821" s="6"/>
      <c r="E15821" s="2"/>
      <c r="F15821" s="2"/>
      <c r="G15821" s="2">
        <f t="shared" si="247"/>
        <v>0</v>
      </c>
      <c r="H15821" t="s">
        <v>9</v>
      </c>
    </row>
    <row r="15822" spans="2:8" x14ac:dyDescent="0.2">
      <c r="B15822" s="3">
        <v>45944</v>
      </c>
      <c r="C15822" s="3"/>
      <c r="D15822" s="6"/>
      <c r="E15822" s="2"/>
      <c r="F15822" s="2"/>
      <c r="G15822" s="2">
        <f t="shared" si="247"/>
        <v>0</v>
      </c>
      <c r="H15822" t="s">
        <v>8</v>
      </c>
    </row>
    <row r="15823" spans="2:8" x14ac:dyDescent="0.2">
      <c r="B15823" s="3">
        <v>45944</v>
      </c>
      <c r="C15823" s="3"/>
      <c r="D15823" s="6"/>
      <c r="E15823" s="2"/>
      <c r="F15823" s="2"/>
      <c r="G15823" s="2">
        <f t="shared" si="247"/>
        <v>0</v>
      </c>
      <c r="H15823" t="s">
        <v>7</v>
      </c>
    </row>
    <row r="15824" spans="2:8" x14ac:dyDescent="0.2">
      <c r="B15824" s="3">
        <v>45944</v>
      </c>
      <c r="C15824" s="3"/>
      <c r="D15824" s="6"/>
      <c r="E15824" s="2"/>
      <c r="F15824" s="2"/>
      <c r="G15824" s="2">
        <f t="shared" si="247"/>
        <v>0</v>
      </c>
      <c r="H15824" t="s">
        <v>6</v>
      </c>
    </row>
    <row r="15825" spans="2:8" x14ac:dyDescent="0.2">
      <c r="B15825" s="3">
        <v>45944</v>
      </c>
      <c r="C15825" s="3"/>
      <c r="D15825" s="6"/>
      <c r="E15825" s="2"/>
      <c r="F15825" s="2"/>
      <c r="G15825" s="2">
        <f t="shared" si="247"/>
        <v>0</v>
      </c>
      <c r="H15825" t="s">
        <v>5</v>
      </c>
    </row>
    <row r="15826" spans="2:8" x14ac:dyDescent="0.2">
      <c r="B15826" s="3">
        <v>45944</v>
      </c>
      <c r="C15826" s="3"/>
      <c r="D15826" s="6"/>
      <c r="E15826" s="2"/>
      <c r="F15826" s="2"/>
      <c r="G15826" s="2">
        <f t="shared" si="247"/>
        <v>0</v>
      </c>
      <c r="H15826" s="1"/>
    </row>
    <row r="15827" spans="2:8" x14ac:dyDescent="0.2">
      <c r="B15827" s="3">
        <v>45944</v>
      </c>
      <c r="C15827" s="3"/>
      <c r="D15827" s="2"/>
      <c r="E15827" s="2"/>
      <c r="F15827" s="2"/>
      <c r="G15827" s="2">
        <f t="shared" si="247"/>
        <v>0</v>
      </c>
      <c r="H15827" t="s">
        <v>0</v>
      </c>
    </row>
    <row r="15828" spans="2:8" x14ac:dyDescent="0.2">
      <c r="B15828" s="3">
        <v>45945</v>
      </c>
      <c r="C15828" s="2"/>
      <c r="D15828" s="2"/>
      <c r="E15828" s="2"/>
      <c r="F15828" s="2"/>
      <c r="G15828" s="2">
        <f t="shared" si="247"/>
        <v>0</v>
      </c>
      <c r="H15828" t="s">
        <v>14</v>
      </c>
    </row>
    <row r="15829" spans="2:8" x14ac:dyDescent="0.2">
      <c r="B15829" s="3">
        <v>45945</v>
      </c>
      <c r="C15829" s="2"/>
      <c r="D15829" s="2"/>
      <c r="E15829" s="2"/>
      <c r="F15829" s="2"/>
      <c r="G15829" s="2">
        <f t="shared" si="247"/>
        <v>0</v>
      </c>
      <c r="H15829" t="s">
        <v>13</v>
      </c>
    </row>
    <row r="15830" spans="2:8" x14ac:dyDescent="0.2">
      <c r="B15830" s="3">
        <v>45945</v>
      </c>
      <c r="C15830" s="3"/>
      <c r="D15830" s="6"/>
      <c r="E15830" s="2"/>
      <c r="F15830" s="2"/>
      <c r="G15830" s="2">
        <f t="shared" si="247"/>
        <v>0</v>
      </c>
      <c r="H15830" t="s">
        <v>11</v>
      </c>
    </row>
    <row r="15831" spans="2:8" x14ac:dyDescent="0.2">
      <c r="B15831" s="3">
        <v>45945</v>
      </c>
      <c r="C15831" s="3"/>
      <c r="D15831" s="6"/>
      <c r="E15831" s="2"/>
      <c r="F15831" s="2"/>
      <c r="G15831" s="2">
        <f t="shared" si="247"/>
        <v>0</v>
      </c>
      <c r="H15831" t="s">
        <v>10</v>
      </c>
    </row>
    <row r="15832" spans="2:8" x14ac:dyDescent="0.2">
      <c r="B15832" s="3">
        <v>45945</v>
      </c>
      <c r="C15832" s="3"/>
      <c r="D15832" s="6"/>
      <c r="E15832" s="2"/>
      <c r="F15832" s="2"/>
      <c r="G15832" s="2">
        <f t="shared" si="247"/>
        <v>0</v>
      </c>
      <c r="H15832" t="s">
        <v>9</v>
      </c>
    </row>
    <row r="15833" spans="2:8" x14ac:dyDescent="0.2">
      <c r="B15833" s="3">
        <v>45945</v>
      </c>
      <c r="C15833" s="2">
        <v>133</v>
      </c>
      <c r="D15833" s="6">
        <v>18365</v>
      </c>
      <c r="E15833" s="2">
        <v>20500</v>
      </c>
      <c r="F15833" s="2"/>
      <c r="G15833" s="2">
        <f t="shared" si="247"/>
        <v>20500</v>
      </c>
      <c r="H15833" t="s">
        <v>8</v>
      </c>
    </row>
    <row r="15834" spans="2:8" x14ac:dyDescent="0.2">
      <c r="B15834" s="3">
        <v>45945</v>
      </c>
      <c r="C15834" s="3"/>
      <c r="D15834" s="6"/>
      <c r="E15834" s="2"/>
      <c r="F15834" s="2"/>
      <c r="G15834" s="2">
        <f t="shared" si="247"/>
        <v>0</v>
      </c>
      <c r="H15834" t="s">
        <v>7</v>
      </c>
    </row>
    <row r="15835" spans="2:8" x14ac:dyDescent="0.2">
      <c r="B15835" s="3">
        <v>45945</v>
      </c>
      <c r="C15835" s="3"/>
      <c r="D15835" s="6"/>
      <c r="E15835" s="2"/>
      <c r="F15835" s="2"/>
      <c r="G15835" s="2">
        <f t="shared" si="247"/>
        <v>0</v>
      </c>
      <c r="H15835" t="s">
        <v>6</v>
      </c>
    </row>
    <row r="15836" spans="2:8" x14ac:dyDescent="0.2">
      <c r="B15836" s="3">
        <v>45945</v>
      </c>
      <c r="C15836" s="3"/>
      <c r="D15836" s="6"/>
      <c r="E15836" s="2"/>
      <c r="F15836" s="2"/>
      <c r="G15836" s="2">
        <f t="shared" si="247"/>
        <v>0</v>
      </c>
      <c r="H15836" t="s">
        <v>5</v>
      </c>
    </row>
    <row r="15837" spans="2:8" x14ac:dyDescent="0.2">
      <c r="B15837" s="3">
        <v>45945</v>
      </c>
      <c r="C15837" s="2">
        <v>134</v>
      </c>
      <c r="D15837" s="6">
        <v>22701.27</v>
      </c>
      <c r="E15837" s="2">
        <v>26586.5</v>
      </c>
      <c r="F15837" s="2">
        <v>17866.5</v>
      </c>
      <c r="G15837" s="2">
        <f t="shared" si="247"/>
        <v>8720</v>
      </c>
      <c r="H15837" s="1" t="s">
        <v>84</v>
      </c>
    </row>
    <row r="15838" spans="2:8" x14ac:dyDescent="0.2">
      <c r="B15838" s="3">
        <v>45945</v>
      </c>
      <c r="C15838" s="3"/>
      <c r="D15838" s="2">
        <v>146530.06000000003</v>
      </c>
      <c r="E15838" s="2">
        <v>151549.49999999997</v>
      </c>
      <c r="F15838" s="2"/>
      <c r="G15838" s="2">
        <f t="shared" si="247"/>
        <v>151549.49999999997</v>
      </c>
      <c r="H15838" t="s">
        <v>0</v>
      </c>
    </row>
    <row r="15839" spans="2:8" x14ac:dyDescent="0.2">
      <c r="B15839" s="3">
        <v>45946</v>
      </c>
      <c r="C15839" s="2"/>
      <c r="D15839" s="2"/>
      <c r="E15839" s="2"/>
      <c r="F15839" s="2"/>
      <c r="G15839" s="2">
        <f t="shared" si="247"/>
        <v>0</v>
      </c>
      <c r="H15839" t="s">
        <v>14</v>
      </c>
    </row>
    <row r="15840" spans="2:8" x14ac:dyDescent="0.2">
      <c r="B15840" s="3">
        <v>45946</v>
      </c>
      <c r="C15840" s="2"/>
      <c r="D15840" s="2"/>
      <c r="E15840" s="2"/>
      <c r="F15840" s="2"/>
      <c r="G15840" s="2">
        <f t="shared" si="247"/>
        <v>0</v>
      </c>
      <c r="H15840" t="s">
        <v>13</v>
      </c>
    </row>
    <row r="15841" spans="2:8" x14ac:dyDescent="0.2">
      <c r="B15841" s="3">
        <v>45946</v>
      </c>
      <c r="C15841" s="3"/>
      <c r="D15841" s="6"/>
      <c r="E15841" s="2"/>
      <c r="F15841" s="2"/>
      <c r="G15841" s="2">
        <f t="shared" si="247"/>
        <v>0</v>
      </c>
      <c r="H15841" t="s">
        <v>11</v>
      </c>
    </row>
    <row r="15842" spans="2:8" x14ac:dyDescent="0.2">
      <c r="B15842" s="3">
        <v>45946</v>
      </c>
      <c r="C15842" s="3"/>
      <c r="D15842" s="6"/>
      <c r="E15842" s="2"/>
      <c r="F15842" s="2"/>
      <c r="G15842" s="2">
        <f t="shared" si="247"/>
        <v>0</v>
      </c>
      <c r="H15842" t="s">
        <v>10</v>
      </c>
    </row>
    <row r="15843" spans="2:8" x14ac:dyDescent="0.2">
      <c r="B15843" s="3">
        <v>45946</v>
      </c>
      <c r="C15843" s="3"/>
      <c r="D15843" s="6"/>
      <c r="E15843" s="2"/>
      <c r="F15843" s="2"/>
      <c r="G15843" s="2">
        <f t="shared" si="247"/>
        <v>0</v>
      </c>
      <c r="H15843" t="s">
        <v>9</v>
      </c>
    </row>
    <row r="15844" spans="2:8" x14ac:dyDescent="0.2">
      <c r="B15844" s="3">
        <v>45946</v>
      </c>
      <c r="C15844" s="3"/>
      <c r="D15844" s="6"/>
      <c r="E15844" s="2"/>
      <c r="F15844" s="2">
        <v>40000</v>
      </c>
      <c r="G15844" s="2">
        <f t="shared" si="247"/>
        <v>-40000</v>
      </c>
      <c r="H15844" t="s">
        <v>8</v>
      </c>
    </row>
    <row r="15845" spans="2:8" x14ac:dyDescent="0.2">
      <c r="B15845" s="3">
        <v>45946</v>
      </c>
      <c r="C15845" s="3"/>
      <c r="D15845" s="6"/>
      <c r="E15845" s="2"/>
      <c r="F15845" s="2"/>
      <c r="G15845" s="2">
        <f t="shared" si="247"/>
        <v>0</v>
      </c>
      <c r="H15845" t="s">
        <v>7</v>
      </c>
    </row>
    <row r="15846" spans="2:8" x14ac:dyDescent="0.2">
      <c r="B15846" s="3">
        <v>45946</v>
      </c>
      <c r="C15846" s="3"/>
      <c r="D15846" s="6"/>
      <c r="E15846" s="2"/>
      <c r="F15846" s="2">
        <v>10000</v>
      </c>
      <c r="G15846" s="2">
        <f t="shared" si="247"/>
        <v>-10000</v>
      </c>
      <c r="H15846" t="s">
        <v>6</v>
      </c>
    </row>
    <row r="15847" spans="2:8" x14ac:dyDescent="0.2">
      <c r="B15847" s="3">
        <v>45946</v>
      </c>
      <c r="C15847" s="3"/>
      <c r="D15847" s="6"/>
      <c r="E15847" s="2"/>
      <c r="F15847" s="2"/>
      <c r="G15847" s="2">
        <f t="shared" si="247"/>
        <v>0</v>
      </c>
      <c r="H15847" t="s">
        <v>5</v>
      </c>
    </row>
    <row r="15848" spans="2:8" x14ac:dyDescent="0.2">
      <c r="B15848" s="3">
        <v>45946</v>
      </c>
      <c r="C15848" s="3"/>
      <c r="D15848" s="6"/>
      <c r="E15848" s="2"/>
      <c r="F15848" s="2"/>
      <c r="G15848" s="2">
        <f t="shared" si="247"/>
        <v>0</v>
      </c>
      <c r="H15848" s="1"/>
    </row>
    <row r="15849" spans="2:8" x14ac:dyDescent="0.2">
      <c r="B15849" s="3">
        <v>45946</v>
      </c>
      <c r="C15849" s="3"/>
      <c r="D15849" s="2">
        <v>120238.51999999999</v>
      </c>
      <c r="E15849" s="2">
        <v>125693.30000000002</v>
      </c>
      <c r="F15849" s="2">
        <v>212000</v>
      </c>
      <c r="G15849" s="2">
        <f t="shared" si="247"/>
        <v>-86306.699999999983</v>
      </c>
      <c r="H15849" t="s">
        <v>0</v>
      </c>
    </row>
    <row r="15850" spans="2:8" x14ac:dyDescent="0.2">
      <c r="B15850" s="3">
        <v>45947</v>
      </c>
      <c r="C15850" s="2"/>
      <c r="D15850" s="2"/>
      <c r="E15850" s="2"/>
      <c r="F15850" s="2"/>
      <c r="G15850" s="2">
        <f t="shared" si="247"/>
        <v>0</v>
      </c>
      <c r="H15850" t="s">
        <v>14</v>
      </c>
    </row>
    <row r="15851" spans="2:8" x14ac:dyDescent="0.2">
      <c r="B15851" s="3">
        <v>45947</v>
      </c>
      <c r="C15851" s="2"/>
      <c r="D15851" s="2"/>
      <c r="E15851" s="2"/>
      <c r="F15851" s="2"/>
      <c r="G15851" s="2">
        <f t="shared" si="247"/>
        <v>0</v>
      </c>
      <c r="H15851" t="s">
        <v>13</v>
      </c>
    </row>
    <row r="15852" spans="2:8" x14ac:dyDescent="0.2">
      <c r="B15852" s="3">
        <v>45947</v>
      </c>
      <c r="C15852" s="3"/>
      <c r="D15852" s="6"/>
      <c r="E15852" s="2"/>
      <c r="F15852" s="2"/>
      <c r="G15852" s="2">
        <f t="shared" si="247"/>
        <v>0</v>
      </c>
      <c r="H15852" t="s">
        <v>11</v>
      </c>
    </row>
    <row r="15853" spans="2:8" x14ac:dyDescent="0.2">
      <c r="B15853" s="3">
        <v>45947</v>
      </c>
      <c r="C15853" s="3"/>
      <c r="D15853" s="6"/>
      <c r="E15853" s="2"/>
      <c r="F15853" s="9"/>
      <c r="G15853" s="2">
        <f t="shared" si="247"/>
        <v>0</v>
      </c>
      <c r="H15853" t="s">
        <v>10</v>
      </c>
    </row>
    <row r="15854" spans="2:8" x14ac:dyDescent="0.2">
      <c r="B15854" s="3">
        <v>45947</v>
      </c>
      <c r="C15854" s="3"/>
      <c r="D15854" s="6"/>
      <c r="E15854" s="2"/>
      <c r="F15854" s="2"/>
      <c r="G15854" s="2">
        <f t="shared" si="247"/>
        <v>0</v>
      </c>
      <c r="H15854" t="s">
        <v>9</v>
      </c>
    </row>
    <row r="15855" spans="2:8" x14ac:dyDescent="0.2">
      <c r="B15855" s="3">
        <v>45947</v>
      </c>
      <c r="C15855" s="3"/>
      <c r="D15855" s="6"/>
      <c r="E15855" s="2"/>
      <c r="F15855" s="2"/>
      <c r="G15855" s="2">
        <f t="shared" si="247"/>
        <v>0</v>
      </c>
      <c r="H15855" t="s">
        <v>8</v>
      </c>
    </row>
    <row r="15856" spans="2:8" x14ac:dyDescent="0.2">
      <c r="B15856" s="3">
        <v>45947</v>
      </c>
      <c r="C15856" s="3"/>
      <c r="D15856" s="6"/>
      <c r="E15856" s="2"/>
      <c r="F15856" s="2"/>
      <c r="G15856" s="2">
        <f t="shared" si="247"/>
        <v>0</v>
      </c>
      <c r="H15856" t="s">
        <v>7</v>
      </c>
    </row>
    <row r="15857" spans="2:8" x14ac:dyDescent="0.2">
      <c r="B15857" s="3">
        <v>45947</v>
      </c>
      <c r="C15857" s="3"/>
      <c r="D15857" s="6"/>
      <c r="E15857" s="2"/>
      <c r="F15857" s="2"/>
      <c r="G15857" s="2">
        <f t="shared" si="247"/>
        <v>0</v>
      </c>
      <c r="H15857" t="s">
        <v>6</v>
      </c>
    </row>
    <row r="15858" spans="2:8" x14ac:dyDescent="0.2">
      <c r="B15858" s="3">
        <v>45947</v>
      </c>
      <c r="C15858" s="3"/>
      <c r="D15858" s="6"/>
      <c r="E15858" s="2"/>
      <c r="F15858" s="2"/>
      <c r="G15858" s="2">
        <f t="shared" si="247"/>
        <v>0</v>
      </c>
      <c r="H15858" t="s">
        <v>5</v>
      </c>
    </row>
    <row r="15859" spans="2:8" x14ac:dyDescent="0.2">
      <c r="B15859" s="3">
        <v>45947</v>
      </c>
      <c r="C15859" s="3"/>
      <c r="D15859" s="6"/>
      <c r="E15859" s="2"/>
      <c r="F15859" s="2"/>
      <c r="G15859" s="2">
        <f t="shared" si="247"/>
        <v>0</v>
      </c>
      <c r="H15859" s="1"/>
    </row>
    <row r="15860" spans="2:8" x14ac:dyDescent="0.2">
      <c r="B15860" s="3">
        <v>45947</v>
      </c>
      <c r="C15860" s="3"/>
      <c r="D15860" s="2"/>
      <c r="E15860" s="2"/>
      <c r="F15860" s="2"/>
      <c r="G15860" s="2">
        <f t="shared" si="247"/>
        <v>0</v>
      </c>
      <c r="H15860" t="s">
        <v>0</v>
      </c>
    </row>
    <row r="15861" spans="2:8" x14ac:dyDescent="0.2">
      <c r="B15861" s="3">
        <v>45948</v>
      </c>
      <c r="C15861" s="2"/>
      <c r="D15861" s="2"/>
      <c r="E15861" s="2"/>
      <c r="F15861" s="2"/>
      <c r="G15861" s="2">
        <f t="shared" si="247"/>
        <v>0</v>
      </c>
      <c r="H15861" t="s">
        <v>14</v>
      </c>
    </row>
    <row r="15862" spans="2:8" x14ac:dyDescent="0.2">
      <c r="B15862" s="3">
        <v>45948</v>
      </c>
      <c r="C15862" s="2"/>
      <c r="D15862" s="2"/>
      <c r="E15862" s="2"/>
      <c r="F15862" s="2"/>
      <c r="G15862" s="2">
        <f t="shared" si="247"/>
        <v>0</v>
      </c>
      <c r="H15862" t="s">
        <v>13</v>
      </c>
    </row>
    <row r="15863" spans="2:8" x14ac:dyDescent="0.2">
      <c r="B15863" s="3">
        <v>45948</v>
      </c>
      <c r="C15863" s="3"/>
      <c r="D15863" s="6"/>
      <c r="E15863" s="2"/>
      <c r="F15863" s="2"/>
      <c r="G15863" s="2">
        <f t="shared" si="247"/>
        <v>0</v>
      </c>
      <c r="H15863" t="s">
        <v>11</v>
      </c>
    </row>
    <row r="15864" spans="2:8" x14ac:dyDescent="0.2">
      <c r="B15864" s="3">
        <v>45948</v>
      </c>
      <c r="C15864" s="3"/>
      <c r="D15864" s="6"/>
      <c r="E15864" s="2"/>
      <c r="F15864" s="2"/>
      <c r="G15864" s="2">
        <f t="shared" si="247"/>
        <v>0</v>
      </c>
      <c r="H15864" t="s">
        <v>10</v>
      </c>
    </row>
    <row r="15865" spans="2:8" x14ac:dyDescent="0.2">
      <c r="B15865" s="3">
        <v>45948</v>
      </c>
      <c r="C15865" s="3"/>
      <c r="D15865" s="6"/>
      <c r="E15865" s="2"/>
      <c r="F15865" s="2"/>
      <c r="G15865" s="2">
        <f t="shared" si="247"/>
        <v>0</v>
      </c>
      <c r="H15865" t="s">
        <v>9</v>
      </c>
    </row>
    <row r="15866" spans="2:8" x14ac:dyDescent="0.2">
      <c r="B15866" s="3">
        <v>45948</v>
      </c>
      <c r="C15866" s="3"/>
      <c r="D15866" s="6"/>
      <c r="E15866" s="2"/>
      <c r="F15866" s="2"/>
      <c r="G15866" s="2">
        <f t="shared" si="247"/>
        <v>0</v>
      </c>
      <c r="H15866" t="s">
        <v>8</v>
      </c>
    </row>
    <row r="15867" spans="2:8" x14ac:dyDescent="0.2">
      <c r="B15867" s="3">
        <v>45948</v>
      </c>
      <c r="C15867" s="3"/>
      <c r="D15867" s="6"/>
      <c r="E15867" s="2"/>
      <c r="F15867" s="2"/>
      <c r="G15867" s="2">
        <f t="shared" si="247"/>
        <v>0</v>
      </c>
      <c r="H15867" t="s">
        <v>7</v>
      </c>
    </row>
    <row r="15868" spans="2:8" x14ac:dyDescent="0.2">
      <c r="B15868" s="3">
        <v>45948</v>
      </c>
      <c r="C15868" s="3"/>
      <c r="D15868" s="6"/>
      <c r="E15868" s="2"/>
      <c r="F15868" s="2"/>
      <c r="G15868" s="2">
        <f t="shared" si="247"/>
        <v>0</v>
      </c>
      <c r="H15868" t="s">
        <v>6</v>
      </c>
    </row>
    <row r="15869" spans="2:8" x14ac:dyDescent="0.2">
      <c r="B15869" s="3">
        <v>45948</v>
      </c>
      <c r="C15869" s="3"/>
      <c r="D15869" s="6"/>
      <c r="E15869" s="2"/>
      <c r="F15869" s="2"/>
      <c r="G15869" s="2">
        <f t="shared" si="247"/>
        <v>0</v>
      </c>
      <c r="H15869" t="s">
        <v>5</v>
      </c>
    </row>
    <row r="15870" spans="2:8" x14ac:dyDescent="0.2">
      <c r="B15870" s="3">
        <v>45948</v>
      </c>
      <c r="C15870" s="3"/>
      <c r="D15870" s="6"/>
      <c r="E15870" s="2"/>
      <c r="F15870" s="2"/>
      <c r="G15870" s="2">
        <f t="shared" si="247"/>
        <v>0</v>
      </c>
      <c r="H15870" s="1"/>
    </row>
    <row r="15871" spans="2:8" x14ac:dyDescent="0.2">
      <c r="B15871" s="3">
        <v>45948</v>
      </c>
      <c r="C15871" s="3"/>
      <c r="D15871" s="2">
        <v>137732.79999999999</v>
      </c>
      <c r="E15871" s="2">
        <v>143845.44999999995</v>
      </c>
      <c r="F15871" s="2"/>
      <c r="G15871" s="2">
        <f t="shared" si="247"/>
        <v>143845.44999999995</v>
      </c>
      <c r="H15871" t="s">
        <v>0</v>
      </c>
    </row>
    <row r="15872" spans="2:8" x14ac:dyDescent="0.2">
      <c r="B15872" s="3">
        <v>45949</v>
      </c>
      <c r="C15872" s="2"/>
      <c r="D15872" s="2"/>
      <c r="E15872" s="2"/>
      <c r="F15872" s="2"/>
      <c r="G15872" s="2">
        <f t="shared" si="247"/>
        <v>0</v>
      </c>
      <c r="H15872" t="s">
        <v>14</v>
      </c>
    </row>
    <row r="15873" spans="2:8" x14ac:dyDescent="0.2">
      <c r="B15873" s="3">
        <v>45949</v>
      </c>
      <c r="C15873" s="2"/>
      <c r="D15873" s="2"/>
      <c r="E15873" s="2"/>
      <c r="F15873" s="2"/>
      <c r="G15873" s="2">
        <f t="shared" si="247"/>
        <v>0</v>
      </c>
      <c r="H15873" t="s">
        <v>13</v>
      </c>
    </row>
    <row r="15874" spans="2:8" x14ac:dyDescent="0.2">
      <c r="B15874" s="3">
        <v>45949</v>
      </c>
      <c r="C15874" s="3"/>
      <c r="D15874" s="6"/>
      <c r="E15874" s="2"/>
      <c r="F15874" s="2"/>
      <c r="G15874" s="2">
        <f t="shared" si="247"/>
        <v>0</v>
      </c>
      <c r="H15874" t="s">
        <v>11</v>
      </c>
    </row>
    <row r="15875" spans="2:8" x14ac:dyDescent="0.2">
      <c r="B15875" s="3">
        <v>45949</v>
      </c>
      <c r="C15875" s="3"/>
      <c r="D15875" s="6"/>
      <c r="E15875" s="2"/>
      <c r="F15875" s="2"/>
      <c r="G15875" s="2">
        <f t="shared" ref="G15875:G15938" si="248">E15875-F15875</f>
        <v>0</v>
      </c>
      <c r="H15875" t="s">
        <v>10</v>
      </c>
    </row>
    <row r="15876" spans="2:8" x14ac:dyDescent="0.2">
      <c r="B15876" s="3">
        <v>45949</v>
      </c>
      <c r="C15876" s="3"/>
      <c r="D15876" s="6"/>
      <c r="E15876" s="2"/>
      <c r="F15876" s="2"/>
      <c r="G15876" s="2">
        <f t="shared" si="248"/>
        <v>0</v>
      </c>
      <c r="H15876" t="s">
        <v>9</v>
      </c>
    </row>
    <row r="15877" spans="2:8" x14ac:dyDescent="0.2">
      <c r="B15877" s="3">
        <v>45949</v>
      </c>
      <c r="C15877" s="3"/>
      <c r="D15877" s="6"/>
      <c r="E15877" s="2"/>
      <c r="F15877" s="2"/>
      <c r="G15877" s="2">
        <f t="shared" si="248"/>
        <v>0</v>
      </c>
      <c r="H15877" t="s">
        <v>8</v>
      </c>
    </row>
    <row r="15878" spans="2:8" x14ac:dyDescent="0.2">
      <c r="B15878" s="3">
        <v>45949</v>
      </c>
      <c r="C15878" s="3"/>
      <c r="D15878" s="6"/>
      <c r="E15878" s="2"/>
      <c r="F15878" s="2"/>
      <c r="G15878" s="2">
        <f t="shared" si="248"/>
        <v>0</v>
      </c>
      <c r="H15878" t="s">
        <v>7</v>
      </c>
    </row>
    <row r="15879" spans="2:8" x14ac:dyDescent="0.2">
      <c r="B15879" s="3">
        <v>45949</v>
      </c>
      <c r="C15879" s="3"/>
      <c r="D15879" s="6"/>
      <c r="E15879" s="2"/>
      <c r="F15879" s="2"/>
      <c r="G15879" s="2">
        <f t="shared" si="248"/>
        <v>0</v>
      </c>
      <c r="H15879" t="s">
        <v>6</v>
      </c>
    </row>
    <row r="15880" spans="2:8" x14ac:dyDescent="0.2">
      <c r="B15880" s="3">
        <v>45949</v>
      </c>
      <c r="C15880" s="3"/>
      <c r="D15880" s="6"/>
      <c r="E15880" s="2"/>
      <c r="F15880" s="2"/>
      <c r="G15880" s="2">
        <f t="shared" si="248"/>
        <v>0</v>
      </c>
      <c r="H15880" t="s">
        <v>5</v>
      </c>
    </row>
    <row r="15881" spans="2:8" x14ac:dyDescent="0.2">
      <c r="B15881" s="3">
        <v>45949</v>
      </c>
      <c r="C15881" s="3"/>
      <c r="D15881" s="6"/>
      <c r="E15881" s="2"/>
      <c r="F15881" s="2"/>
      <c r="G15881" s="2">
        <f t="shared" si="248"/>
        <v>0</v>
      </c>
      <c r="H15881" s="1"/>
    </row>
    <row r="15882" spans="2:8" x14ac:dyDescent="0.2">
      <c r="B15882" s="3">
        <v>45949</v>
      </c>
      <c r="C15882" s="3"/>
      <c r="D15882" s="2">
        <v>80544.24000000002</v>
      </c>
      <c r="E15882" s="2">
        <v>84065.069999999992</v>
      </c>
      <c r="F15882" s="2"/>
      <c r="G15882" s="2">
        <f t="shared" si="248"/>
        <v>84065.069999999992</v>
      </c>
      <c r="H15882" t="s">
        <v>0</v>
      </c>
    </row>
    <row r="15883" spans="2:8" x14ac:dyDescent="0.2">
      <c r="B15883" s="3">
        <v>45950</v>
      </c>
      <c r="C15883" s="3" t="s">
        <v>90</v>
      </c>
      <c r="D15883" s="6">
        <v>27144.7</v>
      </c>
      <c r="E15883" s="2">
        <v>30894</v>
      </c>
      <c r="F15883" s="2"/>
      <c r="G15883" s="2">
        <f t="shared" si="248"/>
        <v>30894</v>
      </c>
      <c r="H15883" t="s">
        <v>14</v>
      </c>
    </row>
    <row r="15884" spans="2:8" x14ac:dyDescent="0.2">
      <c r="B15884" s="3">
        <v>45950</v>
      </c>
      <c r="C15884" s="2"/>
      <c r="D15884" s="2"/>
      <c r="E15884" s="2"/>
      <c r="F15884" s="2"/>
      <c r="G15884" s="2">
        <f t="shared" si="248"/>
        <v>0</v>
      </c>
      <c r="H15884" t="s">
        <v>13</v>
      </c>
    </row>
    <row r="15885" spans="2:8" x14ac:dyDescent="0.2">
      <c r="B15885" s="3">
        <v>45950</v>
      </c>
      <c r="C15885" s="3"/>
      <c r="D15885" s="6"/>
      <c r="E15885" s="2"/>
      <c r="F15885" s="2"/>
      <c r="G15885" s="2">
        <f t="shared" si="248"/>
        <v>0</v>
      </c>
      <c r="H15885" t="s">
        <v>11</v>
      </c>
    </row>
    <row r="15886" spans="2:8" x14ac:dyDescent="0.2">
      <c r="B15886" s="3">
        <v>45950</v>
      </c>
      <c r="C15886" s="3"/>
      <c r="D15886" s="6"/>
      <c r="E15886" s="2"/>
      <c r="F15886" s="2"/>
      <c r="G15886" s="2">
        <f t="shared" si="248"/>
        <v>0</v>
      </c>
      <c r="H15886" t="s">
        <v>10</v>
      </c>
    </row>
    <row r="15887" spans="2:8" x14ac:dyDescent="0.2">
      <c r="B15887" s="3">
        <v>45950</v>
      </c>
      <c r="C15887" s="3"/>
      <c r="D15887" s="6"/>
      <c r="E15887" s="2"/>
      <c r="F15887" s="2"/>
      <c r="G15887" s="2">
        <f t="shared" si="248"/>
        <v>0</v>
      </c>
      <c r="H15887" t="s">
        <v>9</v>
      </c>
    </row>
    <row r="15888" spans="2:8" x14ac:dyDescent="0.2">
      <c r="B15888" s="3">
        <v>45950</v>
      </c>
      <c r="C15888" s="3"/>
      <c r="D15888" s="6"/>
      <c r="E15888" s="2"/>
      <c r="F15888" s="2"/>
      <c r="G15888" s="2">
        <f t="shared" si="248"/>
        <v>0</v>
      </c>
      <c r="H15888" t="s">
        <v>8</v>
      </c>
    </row>
    <row r="15889" spans="2:8" x14ac:dyDescent="0.2">
      <c r="B15889" s="3">
        <v>45950</v>
      </c>
      <c r="C15889" s="3"/>
      <c r="D15889" s="6"/>
      <c r="E15889" s="2"/>
      <c r="F15889" s="2"/>
      <c r="G15889" s="2">
        <f t="shared" si="248"/>
        <v>0</v>
      </c>
      <c r="H15889" t="s">
        <v>7</v>
      </c>
    </row>
    <row r="15890" spans="2:8" x14ac:dyDescent="0.2">
      <c r="B15890" s="3">
        <v>45950</v>
      </c>
      <c r="C15890" s="3"/>
      <c r="D15890" s="6"/>
      <c r="E15890" s="2"/>
      <c r="F15890" s="2"/>
      <c r="G15890" s="2">
        <f t="shared" si="248"/>
        <v>0</v>
      </c>
      <c r="H15890" t="s">
        <v>6</v>
      </c>
    </row>
    <row r="15891" spans="2:8" x14ac:dyDescent="0.2">
      <c r="B15891" s="3">
        <v>45950</v>
      </c>
      <c r="C15891" s="3"/>
      <c r="D15891" s="6"/>
      <c r="E15891" s="2"/>
      <c r="F15891" s="2"/>
      <c r="G15891" s="2">
        <f t="shared" si="248"/>
        <v>0</v>
      </c>
      <c r="H15891" t="s">
        <v>5</v>
      </c>
    </row>
    <row r="15892" spans="2:8" x14ac:dyDescent="0.2">
      <c r="B15892" s="3">
        <v>45950</v>
      </c>
      <c r="C15892" s="3"/>
      <c r="D15892" s="6">
        <v>21115</v>
      </c>
      <c r="E15892" s="2">
        <v>24727.5</v>
      </c>
      <c r="F15892" s="2"/>
      <c r="G15892" s="2">
        <f t="shared" si="248"/>
        <v>24727.5</v>
      </c>
      <c r="H15892" s="1" t="s">
        <v>84</v>
      </c>
    </row>
    <row r="15893" spans="2:8" x14ac:dyDescent="0.2">
      <c r="B15893" s="3">
        <v>45950</v>
      </c>
      <c r="C15893" s="3"/>
      <c r="D15893" s="2"/>
      <c r="E15893" s="2"/>
      <c r="F15893" s="2"/>
      <c r="G15893" s="2">
        <f t="shared" si="248"/>
        <v>0</v>
      </c>
      <c r="H15893" t="s">
        <v>0</v>
      </c>
    </row>
    <row r="15894" spans="2:8" x14ac:dyDescent="0.2">
      <c r="B15894" s="3">
        <v>45951</v>
      </c>
      <c r="C15894" s="2"/>
      <c r="D15894" s="2"/>
      <c r="E15894" s="2"/>
      <c r="F15894" s="2"/>
      <c r="G15894" s="2">
        <f t="shared" si="248"/>
        <v>0</v>
      </c>
      <c r="H15894" t="s">
        <v>14</v>
      </c>
    </row>
    <row r="15895" spans="2:8" x14ac:dyDescent="0.2">
      <c r="B15895" s="3">
        <v>45951</v>
      </c>
      <c r="C15895" s="2"/>
      <c r="D15895" s="2"/>
      <c r="E15895" s="2"/>
      <c r="F15895" s="2"/>
      <c r="G15895" s="2">
        <f t="shared" si="248"/>
        <v>0</v>
      </c>
      <c r="H15895" t="s">
        <v>13</v>
      </c>
    </row>
    <row r="15896" spans="2:8" x14ac:dyDescent="0.2">
      <c r="B15896" s="3">
        <v>45951</v>
      </c>
      <c r="C15896" s="3"/>
      <c r="D15896" s="6"/>
      <c r="E15896" s="2"/>
      <c r="F15896" s="2"/>
      <c r="G15896" s="2">
        <f t="shared" si="248"/>
        <v>0</v>
      </c>
      <c r="H15896" t="s">
        <v>11</v>
      </c>
    </row>
    <row r="15897" spans="2:8" x14ac:dyDescent="0.2">
      <c r="B15897" s="3">
        <v>45951</v>
      </c>
      <c r="C15897" s="3"/>
      <c r="D15897" s="6"/>
      <c r="E15897" s="2"/>
      <c r="F15897" s="2"/>
      <c r="G15897" s="2">
        <f t="shared" si="248"/>
        <v>0</v>
      </c>
      <c r="H15897" t="s">
        <v>10</v>
      </c>
    </row>
    <row r="15898" spans="2:8" x14ac:dyDescent="0.2">
      <c r="B15898" s="3">
        <v>45951</v>
      </c>
      <c r="C15898" s="3"/>
      <c r="D15898" s="6"/>
      <c r="E15898" s="2"/>
      <c r="F15898" s="2"/>
      <c r="G15898" s="2">
        <f t="shared" si="248"/>
        <v>0</v>
      </c>
      <c r="H15898" t="s">
        <v>9</v>
      </c>
    </row>
    <row r="15899" spans="2:8" x14ac:dyDescent="0.2">
      <c r="B15899" s="3">
        <v>45951</v>
      </c>
      <c r="C15899" s="3"/>
      <c r="D15899" s="6"/>
      <c r="E15899" s="2"/>
      <c r="F15899" s="2"/>
      <c r="G15899" s="2">
        <f t="shared" si="248"/>
        <v>0</v>
      </c>
      <c r="H15899" t="s">
        <v>8</v>
      </c>
    </row>
    <row r="15900" spans="2:8" x14ac:dyDescent="0.2">
      <c r="B15900" s="3">
        <v>45951</v>
      </c>
      <c r="C15900" s="3"/>
      <c r="D15900" s="6"/>
      <c r="E15900" s="2"/>
      <c r="F15900" s="2"/>
      <c r="G15900" s="2">
        <f t="shared" si="248"/>
        <v>0</v>
      </c>
      <c r="H15900" t="s">
        <v>7</v>
      </c>
    </row>
    <row r="15901" spans="2:8" x14ac:dyDescent="0.2">
      <c r="B15901" s="3">
        <v>45951</v>
      </c>
      <c r="C15901" s="3"/>
      <c r="D15901" s="6"/>
      <c r="E15901" s="2"/>
      <c r="F15901" s="2"/>
      <c r="G15901" s="2">
        <f t="shared" si="248"/>
        <v>0</v>
      </c>
      <c r="H15901" t="s">
        <v>6</v>
      </c>
    </row>
    <row r="15902" spans="2:8" x14ac:dyDescent="0.2">
      <c r="B15902" s="3">
        <v>45951</v>
      </c>
      <c r="C15902" s="3"/>
      <c r="D15902" s="6"/>
      <c r="E15902" s="2"/>
      <c r="F15902" s="2"/>
      <c r="G15902" s="2">
        <f t="shared" si="248"/>
        <v>0</v>
      </c>
      <c r="H15902" t="s">
        <v>5</v>
      </c>
    </row>
    <row r="15903" spans="2:8" x14ac:dyDescent="0.2">
      <c r="B15903" s="3">
        <v>45951</v>
      </c>
      <c r="C15903" s="2">
        <v>135</v>
      </c>
      <c r="D15903" s="6">
        <v>260</v>
      </c>
      <c r="E15903" s="2">
        <v>300</v>
      </c>
      <c r="F15903" s="2"/>
      <c r="G15903" s="2">
        <f t="shared" si="248"/>
        <v>300</v>
      </c>
      <c r="H15903" s="1" t="s">
        <v>77</v>
      </c>
    </row>
    <row r="15904" spans="2:8" x14ac:dyDescent="0.2">
      <c r="B15904" s="3">
        <v>45951</v>
      </c>
      <c r="C15904" s="3"/>
      <c r="D15904" s="2"/>
      <c r="E15904" s="2"/>
      <c r="F15904" s="2"/>
      <c r="G15904" s="2">
        <f t="shared" si="248"/>
        <v>0</v>
      </c>
      <c r="H15904" t="s">
        <v>0</v>
      </c>
    </row>
    <row r="15905" spans="2:8" x14ac:dyDescent="0.2">
      <c r="B15905" s="3">
        <v>45952</v>
      </c>
      <c r="C15905" s="2"/>
      <c r="D15905" s="2"/>
      <c r="E15905" s="2"/>
      <c r="F15905" s="2"/>
      <c r="G15905" s="2">
        <f t="shared" si="248"/>
        <v>0</v>
      </c>
      <c r="H15905" t="s">
        <v>14</v>
      </c>
    </row>
    <row r="15906" spans="2:8" x14ac:dyDescent="0.2">
      <c r="B15906" s="3">
        <v>45952</v>
      </c>
      <c r="C15906" s="2"/>
      <c r="D15906" s="2"/>
      <c r="E15906" s="2"/>
      <c r="F15906" s="2"/>
      <c r="G15906" s="2">
        <f t="shared" si="248"/>
        <v>0</v>
      </c>
      <c r="H15906" t="s">
        <v>13</v>
      </c>
    </row>
    <row r="15907" spans="2:8" x14ac:dyDescent="0.2">
      <c r="B15907" s="3">
        <v>45952</v>
      </c>
      <c r="C15907" s="3"/>
      <c r="D15907" s="6"/>
      <c r="E15907" s="2"/>
      <c r="F15907" s="2"/>
      <c r="G15907" s="2">
        <f t="shared" si="248"/>
        <v>0</v>
      </c>
      <c r="H15907" t="s">
        <v>11</v>
      </c>
    </row>
    <row r="15908" spans="2:8" x14ac:dyDescent="0.2">
      <c r="B15908" s="3">
        <v>45952</v>
      </c>
      <c r="C15908" s="3"/>
      <c r="D15908" s="6"/>
      <c r="E15908" s="2"/>
      <c r="F15908" s="2"/>
      <c r="G15908" s="2">
        <f t="shared" si="248"/>
        <v>0</v>
      </c>
      <c r="H15908" t="s">
        <v>10</v>
      </c>
    </row>
    <row r="15909" spans="2:8" x14ac:dyDescent="0.2">
      <c r="B15909" s="3">
        <v>45952</v>
      </c>
      <c r="C15909" s="3"/>
      <c r="D15909" s="6"/>
      <c r="E15909" s="2"/>
      <c r="F15909" s="2"/>
      <c r="G15909" s="2">
        <f t="shared" si="248"/>
        <v>0</v>
      </c>
      <c r="H15909" t="s">
        <v>9</v>
      </c>
    </row>
    <row r="15910" spans="2:8" x14ac:dyDescent="0.2">
      <c r="B15910" s="3">
        <v>45952</v>
      </c>
      <c r="C15910" s="3"/>
      <c r="D15910" s="6"/>
      <c r="E15910" s="2"/>
      <c r="F15910" s="2"/>
      <c r="G15910" s="2">
        <f t="shared" si="248"/>
        <v>0</v>
      </c>
      <c r="H15910" t="s">
        <v>8</v>
      </c>
    </row>
    <row r="15911" spans="2:8" x14ac:dyDescent="0.2">
      <c r="B15911" s="3">
        <v>45952</v>
      </c>
      <c r="C15911" s="3"/>
      <c r="D15911" s="6"/>
      <c r="E15911" s="2"/>
      <c r="F15911" s="2"/>
      <c r="G15911" s="2">
        <f t="shared" si="248"/>
        <v>0</v>
      </c>
      <c r="H15911" t="s">
        <v>7</v>
      </c>
    </row>
    <row r="15912" spans="2:8" x14ac:dyDescent="0.2">
      <c r="B15912" s="3">
        <v>45952</v>
      </c>
      <c r="C15912" s="3"/>
      <c r="D15912" s="6"/>
      <c r="E15912" s="2"/>
      <c r="F15912" s="2"/>
      <c r="G15912" s="2">
        <f t="shared" si="248"/>
        <v>0</v>
      </c>
      <c r="H15912" t="s">
        <v>6</v>
      </c>
    </row>
    <row r="15913" spans="2:8" x14ac:dyDescent="0.2">
      <c r="B15913" s="3">
        <v>45952</v>
      </c>
      <c r="C15913" s="3"/>
      <c r="D15913" s="6"/>
      <c r="E15913" s="2"/>
      <c r="F15913" s="2"/>
      <c r="G15913" s="2">
        <f t="shared" si="248"/>
        <v>0</v>
      </c>
      <c r="H15913" t="s">
        <v>5</v>
      </c>
    </row>
    <row r="15914" spans="2:8" x14ac:dyDescent="0.2">
      <c r="B15914" s="3">
        <v>45952</v>
      </c>
      <c r="C15914" s="3"/>
      <c r="D15914" s="6"/>
      <c r="E15914" s="2"/>
      <c r="F15914" s="2">
        <v>22488</v>
      </c>
      <c r="G15914" s="2">
        <f t="shared" si="248"/>
        <v>-22488</v>
      </c>
      <c r="H15914" s="1" t="s">
        <v>1</v>
      </c>
    </row>
    <row r="15915" spans="2:8" x14ac:dyDescent="0.2">
      <c r="B15915" s="3">
        <v>45952</v>
      </c>
      <c r="C15915" s="3"/>
      <c r="D15915" s="2"/>
      <c r="E15915" s="2"/>
      <c r="F15915" s="2">
        <v>233694</v>
      </c>
      <c r="G15915" s="2">
        <f t="shared" si="248"/>
        <v>-233694</v>
      </c>
      <c r="H15915" t="s">
        <v>0</v>
      </c>
    </row>
    <row r="15916" spans="2:8" x14ac:dyDescent="0.2">
      <c r="B15916" s="3">
        <v>45953</v>
      </c>
      <c r="C15916" s="2"/>
      <c r="D15916" s="2"/>
      <c r="E15916" s="2"/>
      <c r="F15916" s="2">
        <v>30895</v>
      </c>
      <c r="G15916" s="2">
        <f t="shared" si="248"/>
        <v>-30895</v>
      </c>
      <c r="H15916" t="s">
        <v>14</v>
      </c>
    </row>
    <row r="15917" spans="2:8" x14ac:dyDescent="0.2">
      <c r="B15917" s="3">
        <v>45953</v>
      </c>
      <c r="C15917" s="2"/>
      <c r="D15917" s="2"/>
      <c r="E15917" s="2"/>
      <c r="F15917" s="2"/>
      <c r="G15917" s="2">
        <f t="shared" si="248"/>
        <v>0</v>
      </c>
      <c r="H15917" t="s">
        <v>13</v>
      </c>
    </row>
    <row r="15918" spans="2:8" x14ac:dyDescent="0.2">
      <c r="B15918" s="3">
        <v>45953</v>
      </c>
      <c r="C15918" s="3"/>
      <c r="D15918" s="6"/>
      <c r="E15918" s="2"/>
      <c r="F15918" s="2"/>
      <c r="G15918" s="2">
        <f t="shared" si="248"/>
        <v>0</v>
      </c>
      <c r="H15918" t="s">
        <v>11</v>
      </c>
    </row>
    <row r="15919" spans="2:8" x14ac:dyDescent="0.2">
      <c r="B15919" s="3">
        <v>45953</v>
      </c>
      <c r="C15919" s="3"/>
      <c r="D15919" s="6"/>
      <c r="E15919" s="2"/>
      <c r="F15919" s="2"/>
      <c r="G15919" s="2">
        <f t="shared" si="248"/>
        <v>0</v>
      </c>
      <c r="H15919" t="s">
        <v>10</v>
      </c>
    </row>
    <row r="15920" spans="2:8" x14ac:dyDescent="0.2">
      <c r="B15920" s="3">
        <v>45953</v>
      </c>
      <c r="C15920" s="3"/>
      <c r="D15920" s="6"/>
      <c r="E15920" s="2"/>
      <c r="F15920" s="2"/>
      <c r="G15920" s="2">
        <f t="shared" si="248"/>
        <v>0</v>
      </c>
      <c r="H15920" t="s">
        <v>9</v>
      </c>
    </row>
    <row r="15921" spans="2:8" x14ac:dyDescent="0.2">
      <c r="B15921" s="3">
        <v>45953</v>
      </c>
      <c r="C15921" s="3"/>
      <c r="D15921" s="6"/>
      <c r="E15921" s="2"/>
      <c r="F15921" s="2">
        <v>30000</v>
      </c>
      <c r="G15921" s="2">
        <f t="shared" si="248"/>
        <v>-30000</v>
      </c>
      <c r="H15921" t="s">
        <v>8</v>
      </c>
    </row>
    <row r="15922" spans="2:8" x14ac:dyDescent="0.2">
      <c r="B15922" s="3">
        <v>45953</v>
      </c>
      <c r="C15922" s="3"/>
      <c r="D15922" s="6"/>
      <c r="E15922" s="2"/>
      <c r="F15922" s="2"/>
      <c r="G15922" s="2">
        <f t="shared" si="248"/>
        <v>0</v>
      </c>
      <c r="H15922" t="s">
        <v>7</v>
      </c>
    </row>
    <row r="15923" spans="2:8" x14ac:dyDescent="0.2">
      <c r="B15923" s="3">
        <v>45953</v>
      </c>
      <c r="C15923" s="3"/>
      <c r="D15923" s="6"/>
      <c r="E15923" s="2"/>
      <c r="F15923" s="2"/>
      <c r="G15923" s="2">
        <f t="shared" si="248"/>
        <v>0</v>
      </c>
      <c r="H15923" t="s">
        <v>6</v>
      </c>
    </row>
    <row r="15924" spans="2:8" x14ac:dyDescent="0.2">
      <c r="B15924" s="3">
        <v>45953</v>
      </c>
      <c r="C15924" s="3"/>
      <c r="D15924" s="6"/>
      <c r="E15924" s="2"/>
      <c r="F15924" s="2"/>
      <c r="G15924" s="2">
        <f t="shared" si="248"/>
        <v>0</v>
      </c>
      <c r="H15924" t="s">
        <v>5</v>
      </c>
    </row>
    <row r="15925" spans="2:8" x14ac:dyDescent="0.2">
      <c r="B15925" s="3">
        <v>45953</v>
      </c>
      <c r="C15925" s="3"/>
      <c r="D15925" s="6"/>
      <c r="E15925" s="2"/>
      <c r="F15925" s="2">
        <v>2400</v>
      </c>
      <c r="G15925" s="2">
        <f t="shared" si="248"/>
        <v>-2400</v>
      </c>
      <c r="H15925" s="1" t="s">
        <v>1</v>
      </c>
    </row>
    <row r="15926" spans="2:8" x14ac:dyDescent="0.2">
      <c r="B15926" s="3">
        <v>45953</v>
      </c>
      <c r="C15926" s="3"/>
      <c r="D15926" s="2"/>
      <c r="E15926" s="2"/>
      <c r="F15926" s="2"/>
      <c r="G15926" s="2">
        <f t="shared" si="248"/>
        <v>0</v>
      </c>
      <c r="H15926" t="s">
        <v>0</v>
      </c>
    </row>
    <row r="15927" spans="2:8" x14ac:dyDescent="0.2">
      <c r="B15927" s="3">
        <v>45954</v>
      </c>
      <c r="C15927" s="2"/>
      <c r="D15927" s="2"/>
      <c r="E15927" s="2"/>
      <c r="F15927" s="2"/>
      <c r="G15927" s="2">
        <f t="shared" si="248"/>
        <v>0</v>
      </c>
      <c r="H15927" t="s">
        <v>14</v>
      </c>
    </row>
    <row r="15928" spans="2:8" x14ac:dyDescent="0.2">
      <c r="B15928" s="3">
        <v>45954</v>
      </c>
      <c r="C15928" s="2"/>
      <c r="D15928" s="2"/>
      <c r="E15928" s="2"/>
      <c r="F15928" s="2"/>
      <c r="G15928" s="2">
        <f t="shared" si="248"/>
        <v>0</v>
      </c>
      <c r="H15928" t="s">
        <v>13</v>
      </c>
    </row>
    <row r="15929" spans="2:8" x14ac:dyDescent="0.2">
      <c r="B15929" s="3">
        <v>45954</v>
      </c>
      <c r="C15929" s="3"/>
      <c r="D15929" s="6"/>
      <c r="E15929" s="2"/>
      <c r="F15929" s="2"/>
      <c r="G15929" s="2">
        <f t="shared" si="248"/>
        <v>0</v>
      </c>
      <c r="H15929" t="s">
        <v>11</v>
      </c>
    </row>
    <row r="15930" spans="2:8" x14ac:dyDescent="0.2">
      <c r="B15930" s="3">
        <v>45954</v>
      </c>
      <c r="C15930" s="3"/>
      <c r="D15930" s="6"/>
      <c r="E15930" s="2"/>
      <c r="F15930" s="2"/>
      <c r="G15930" s="2">
        <f t="shared" si="248"/>
        <v>0</v>
      </c>
      <c r="H15930" t="s">
        <v>10</v>
      </c>
    </row>
    <row r="15931" spans="2:8" x14ac:dyDescent="0.2">
      <c r="B15931" s="3">
        <v>45954</v>
      </c>
      <c r="C15931" s="3"/>
      <c r="D15931" s="6"/>
      <c r="E15931" s="2"/>
      <c r="F15931" s="2"/>
      <c r="G15931" s="2">
        <f t="shared" si="248"/>
        <v>0</v>
      </c>
      <c r="H15931" t="s">
        <v>9</v>
      </c>
    </row>
    <row r="15932" spans="2:8" x14ac:dyDescent="0.2">
      <c r="B15932" s="3">
        <v>45954</v>
      </c>
      <c r="C15932" s="3"/>
      <c r="D15932" s="6"/>
      <c r="E15932" s="2"/>
      <c r="F15932" s="2"/>
      <c r="G15932" s="2">
        <f t="shared" si="248"/>
        <v>0</v>
      </c>
      <c r="H15932" t="s">
        <v>8</v>
      </c>
    </row>
    <row r="15933" spans="2:8" x14ac:dyDescent="0.2">
      <c r="B15933" s="3">
        <v>45954</v>
      </c>
      <c r="C15933" s="3"/>
      <c r="D15933" s="6"/>
      <c r="E15933" s="2"/>
      <c r="F15933" s="2"/>
      <c r="G15933" s="2">
        <f t="shared" si="248"/>
        <v>0</v>
      </c>
      <c r="H15933" t="s">
        <v>7</v>
      </c>
    </row>
    <row r="15934" spans="2:8" x14ac:dyDescent="0.2">
      <c r="B15934" s="3">
        <v>45954</v>
      </c>
      <c r="C15934" s="3"/>
      <c r="D15934" s="6"/>
      <c r="E15934" s="2"/>
      <c r="F15934" s="2"/>
      <c r="G15934" s="2">
        <f t="shared" si="248"/>
        <v>0</v>
      </c>
      <c r="H15934" t="s">
        <v>6</v>
      </c>
    </row>
    <row r="15935" spans="2:8" x14ac:dyDescent="0.2">
      <c r="B15935" s="3">
        <v>45954</v>
      </c>
      <c r="C15935" s="3"/>
      <c r="D15935" s="6"/>
      <c r="E15935" s="2"/>
      <c r="F15935" s="2"/>
      <c r="G15935" s="2">
        <f t="shared" si="248"/>
        <v>0</v>
      </c>
      <c r="H15935" t="s">
        <v>5</v>
      </c>
    </row>
    <row r="15936" spans="2:8" x14ac:dyDescent="0.2">
      <c r="B15936" s="3">
        <v>45954</v>
      </c>
      <c r="C15936" s="3"/>
      <c r="D15936" s="6"/>
      <c r="E15936" s="2"/>
      <c r="F15936" s="2"/>
      <c r="G15936" s="2">
        <f t="shared" si="248"/>
        <v>0</v>
      </c>
      <c r="H15936" s="1"/>
    </row>
    <row r="15937" spans="2:8" x14ac:dyDescent="0.2">
      <c r="B15937" s="3">
        <v>45954</v>
      </c>
      <c r="C15937" s="3"/>
      <c r="D15937" s="2"/>
      <c r="E15937" s="2"/>
      <c r="F15937" s="2"/>
      <c r="G15937" s="2">
        <f t="shared" si="248"/>
        <v>0</v>
      </c>
      <c r="H15937" t="s">
        <v>0</v>
      </c>
    </row>
    <row r="15938" spans="2:8" x14ac:dyDescent="0.2">
      <c r="B15938" s="3">
        <v>45955</v>
      </c>
      <c r="C15938" s="3" t="s">
        <v>91</v>
      </c>
      <c r="D15938" s="6">
        <v>32592.15</v>
      </c>
      <c r="E15938" s="2">
        <v>39843</v>
      </c>
      <c r="F15938" s="2"/>
      <c r="G15938" s="2">
        <f t="shared" si="248"/>
        <v>39843</v>
      </c>
      <c r="H15938" t="s">
        <v>14</v>
      </c>
    </row>
    <row r="15939" spans="2:8" x14ac:dyDescent="0.2">
      <c r="B15939" s="3">
        <v>45955</v>
      </c>
      <c r="C15939" s="2"/>
      <c r="D15939" s="2"/>
      <c r="E15939" s="2"/>
      <c r="F15939" s="2"/>
      <c r="G15939" s="2">
        <f t="shared" ref="G15939:G16002" si="249">E15939-F15939</f>
        <v>0</v>
      </c>
      <c r="H15939" t="s">
        <v>13</v>
      </c>
    </row>
    <row r="15940" spans="2:8" x14ac:dyDescent="0.2">
      <c r="B15940" s="3">
        <v>45955</v>
      </c>
      <c r="C15940" s="3"/>
      <c r="D15940" s="6"/>
      <c r="E15940" s="2"/>
      <c r="F15940" s="2"/>
      <c r="G15940" s="2">
        <f t="shared" si="249"/>
        <v>0</v>
      </c>
      <c r="H15940" t="s">
        <v>11</v>
      </c>
    </row>
    <row r="15941" spans="2:8" x14ac:dyDescent="0.2">
      <c r="B15941" s="3">
        <v>45955</v>
      </c>
      <c r="C15941" s="3"/>
      <c r="D15941" s="6"/>
      <c r="E15941" s="2"/>
      <c r="F15941" s="2"/>
      <c r="G15941" s="2">
        <f t="shared" si="249"/>
        <v>0</v>
      </c>
      <c r="H15941" t="s">
        <v>10</v>
      </c>
    </row>
    <row r="15942" spans="2:8" x14ac:dyDescent="0.2">
      <c r="B15942" s="3">
        <v>45955</v>
      </c>
      <c r="C15942" s="3"/>
      <c r="D15942" s="6"/>
      <c r="E15942" s="2"/>
      <c r="F15942" s="2"/>
      <c r="G15942" s="2">
        <f t="shared" si="249"/>
        <v>0</v>
      </c>
      <c r="H15942" t="s">
        <v>9</v>
      </c>
    </row>
    <row r="15943" spans="2:8" x14ac:dyDescent="0.2">
      <c r="B15943" s="3">
        <v>45955</v>
      </c>
      <c r="C15943" s="2">
        <v>136</v>
      </c>
      <c r="D15943" s="6">
        <v>18600</v>
      </c>
      <c r="E15943" s="2">
        <v>23400</v>
      </c>
      <c r="F15943" s="2"/>
      <c r="G15943" s="2">
        <f t="shared" si="249"/>
        <v>23400</v>
      </c>
      <c r="H15943" t="s">
        <v>8</v>
      </c>
    </row>
    <row r="15944" spans="2:8" x14ac:dyDescent="0.2">
      <c r="B15944" s="3">
        <v>45955</v>
      </c>
      <c r="C15944" s="3"/>
      <c r="D15944" s="6"/>
      <c r="E15944" s="2"/>
      <c r="F15944" s="2"/>
      <c r="G15944" s="2">
        <f t="shared" si="249"/>
        <v>0</v>
      </c>
      <c r="H15944" t="s">
        <v>7</v>
      </c>
    </row>
    <row r="15945" spans="2:8" x14ac:dyDescent="0.2">
      <c r="B15945" s="3">
        <v>45955</v>
      </c>
      <c r="C15945" s="2">
        <v>137</v>
      </c>
      <c r="D15945" s="6">
        <v>11125</v>
      </c>
      <c r="E15945" s="2">
        <v>12950</v>
      </c>
      <c r="F15945" s="2">
        <v>10000</v>
      </c>
      <c r="G15945" s="2">
        <f t="shared" si="249"/>
        <v>2950</v>
      </c>
      <c r="H15945" t="s">
        <v>6</v>
      </c>
    </row>
    <row r="15946" spans="2:8" x14ac:dyDescent="0.2">
      <c r="B15946" s="3">
        <v>45955</v>
      </c>
      <c r="C15946" s="3"/>
      <c r="D15946" s="6"/>
      <c r="E15946" s="2"/>
      <c r="F15946" s="2"/>
      <c r="G15946" s="2">
        <f t="shared" si="249"/>
        <v>0</v>
      </c>
      <c r="H15946" t="s">
        <v>5</v>
      </c>
    </row>
    <row r="15947" spans="2:8" x14ac:dyDescent="0.2">
      <c r="B15947" s="3">
        <v>45955</v>
      </c>
      <c r="C15947" s="3"/>
      <c r="D15947" s="6"/>
      <c r="E15947" s="2"/>
      <c r="F15947" s="2"/>
      <c r="G15947" s="2">
        <f t="shared" si="249"/>
        <v>0</v>
      </c>
      <c r="H15947" s="1"/>
    </row>
    <row r="15948" spans="2:8" x14ac:dyDescent="0.2">
      <c r="B15948" s="3">
        <v>45955</v>
      </c>
      <c r="C15948" s="3"/>
      <c r="D15948" s="2">
        <v>144217.48999999996</v>
      </c>
      <c r="E15948" s="2">
        <v>150446.62000000005</v>
      </c>
      <c r="F15948" s="2"/>
      <c r="G15948" s="2">
        <f t="shared" si="249"/>
        <v>150446.62000000005</v>
      </c>
      <c r="H15948" t="s">
        <v>0</v>
      </c>
    </row>
    <row r="15949" spans="2:8" x14ac:dyDescent="0.2">
      <c r="B15949" s="3">
        <v>45956</v>
      </c>
      <c r="C15949" s="2"/>
      <c r="D15949" s="2"/>
      <c r="E15949" s="2"/>
      <c r="F15949" s="2"/>
      <c r="G15949" s="2">
        <f t="shared" si="249"/>
        <v>0</v>
      </c>
      <c r="H15949" t="s">
        <v>14</v>
      </c>
    </row>
    <row r="15950" spans="2:8" x14ac:dyDescent="0.2">
      <c r="B15950" s="3">
        <v>45956</v>
      </c>
      <c r="C15950" s="2"/>
      <c r="D15950" s="2"/>
      <c r="E15950" s="2"/>
      <c r="F15950" s="2"/>
      <c r="G15950" s="2">
        <f t="shared" si="249"/>
        <v>0</v>
      </c>
      <c r="H15950" t="s">
        <v>13</v>
      </c>
    </row>
    <row r="15951" spans="2:8" x14ac:dyDescent="0.2">
      <c r="B15951" s="3">
        <v>45956</v>
      </c>
      <c r="C15951" s="3"/>
      <c r="D15951" s="6"/>
      <c r="E15951" s="2"/>
      <c r="F15951" s="2">
        <v>10000</v>
      </c>
      <c r="G15951" s="2">
        <f t="shared" si="249"/>
        <v>-10000</v>
      </c>
      <c r="H15951" t="s">
        <v>11</v>
      </c>
    </row>
    <row r="15952" spans="2:8" x14ac:dyDescent="0.2">
      <c r="B15952" s="3">
        <v>45956</v>
      </c>
      <c r="C15952" s="3"/>
      <c r="D15952" s="6"/>
      <c r="E15952" s="2"/>
      <c r="F15952" s="2"/>
      <c r="G15952" s="2">
        <f t="shared" si="249"/>
        <v>0</v>
      </c>
      <c r="H15952" t="s">
        <v>10</v>
      </c>
    </row>
    <row r="15953" spans="2:8" x14ac:dyDescent="0.2">
      <c r="B15953" s="3">
        <v>45956</v>
      </c>
      <c r="C15953" s="3"/>
      <c r="D15953" s="6"/>
      <c r="E15953" s="2"/>
      <c r="F15953" s="2"/>
      <c r="G15953" s="2">
        <f t="shared" si="249"/>
        <v>0</v>
      </c>
      <c r="H15953" t="s">
        <v>9</v>
      </c>
    </row>
    <row r="15954" spans="2:8" x14ac:dyDescent="0.2">
      <c r="B15954" s="3">
        <v>45956</v>
      </c>
      <c r="C15954" s="3"/>
      <c r="D15954" s="6"/>
      <c r="E15954" s="2"/>
      <c r="F15954" s="2">
        <v>10000</v>
      </c>
      <c r="G15954" s="2">
        <f t="shared" si="249"/>
        <v>-10000</v>
      </c>
      <c r="H15954" t="s">
        <v>8</v>
      </c>
    </row>
    <row r="15955" spans="2:8" x14ac:dyDescent="0.2">
      <c r="B15955" s="3">
        <v>45956</v>
      </c>
      <c r="C15955" s="3"/>
      <c r="D15955" s="6"/>
      <c r="E15955" s="2"/>
      <c r="F15955" s="2"/>
      <c r="G15955" s="2">
        <f t="shared" si="249"/>
        <v>0</v>
      </c>
      <c r="H15955" t="s">
        <v>7</v>
      </c>
    </row>
    <row r="15956" spans="2:8" x14ac:dyDescent="0.2">
      <c r="B15956" s="3">
        <v>45956</v>
      </c>
      <c r="C15956" s="3"/>
      <c r="D15956" s="6"/>
      <c r="E15956" s="2"/>
      <c r="F15956" s="2"/>
      <c r="G15956" s="2">
        <f t="shared" si="249"/>
        <v>0</v>
      </c>
      <c r="H15956" t="s">
        <v>6</v>
      </c>
    </row>
    <row r="15957" spans="2:8" x14ac:dyDescent="0.2">
      <c r="B15957" s="3">
        <v>45956</v>
      </c>
      <c r="C15957" s="3"/>
      <c r="D15957" s="6"/>
      <c r="E15957" s="2"/>
      <c r="F15957" s="2"/>
      <c r="G15957" s="2">
        <f t="shared" si="249"/>
        <v>0</v>
      </c>
      <c r="H15957" t="s">
        <v>5</v>
      </c>
    </row>
    <row r="15958" spans="2:8" x14ac:dyDescent="0.2">
      <c r="B15958" s="3">
        <v>45956</v>
      </c>
      <c r="C15958" s="3"/>
      <c r="D15958" s="6"/>
      <c r="E15958" s="2"/>
      <c r="F15958" s="2"/>
      <c r="G15958" s="2">
        <f t="shared" si="249"/>
        <v>0</v>
      </c>
      <c r="H15958" s="1"/>
    </row>
    <row r="15959" spans="2:8" x14ac:dyDescent="0.2">
      <c r="B15959" s="3">
        <v>45956</v>
      </c>
      <c r="C15959" s="3"/>
      <c r="D15959" s="2"/>
      <c r="E15959" s="2"/>
      <c r="F15959" s="2"/>
      <c r="G15959" s="2">
        <f t="shared" si="249"/>
        <v>0</v>
      </c>
      <c r="H15959" t="s">
        <v>0</v>
      </c>
    </row>
    <row r="15960" spans="2:8" x14ac:dyDescent="0.2">
      <c r="B15960" s="3">
        <v>45957</v>
      </c>
      <c r="C15960" s="2"/>
      <c r="D15960" s="2"/>
      <c r="E15960" s="2"/>
      <c r="F15960" s="2"/>
      <c r="G15960" s="2">
        <f t="shared" si="249"/>
        <v>0</v>
      </c>
      <c r="H15960" t="s">
        <v>14</v>
      </c>
    </row>
    <row r="15961" spans="2:8" x14ac:dyDescent="0.2">
      <c r="B15961" s="3">
        <v>45957</v>
      </c>
      <c r="C15961" s="2"/>
      <c r="D15961" s="2"/>
      <c r="E15961" s="2"/>
      <c r="F15961" s="2"/>
      <c r="G15961" s="2">
        <f t="shared" si="249"/>
        <v>0</v>
      </c>
      <c r="H15961" t="s">
        <v>13</v>
      </c>
    </row>
    <row r="15962" spans="2:8" x14ac:dyDescent="0.2">
      <c r="B15962" s="3">
        <v>45957</v>
      </c>
      <c r="C15962" s="3"/>
      <c r="D15962" s="6"/>
      <c r="E15962" s="2"/>
      <c r="F15962" s="2"/>
      <c r="G15962" s="2">
        <f t="shared" si="249"/>
        <v>0</v>
      </c>
      <c r="H15962" t="s">
        <v>11</v>
      </c>
    </row>
    <row r="15963" spans="2:8" x14ac:dyDescent="0.2">
      <c r="B15963" s="3">
        <v>45957</v>
      </c>
      <c r="C15963" s="3"/>
      <c r="D15963" s="6"/>
      <c r="E15963" s="2"/>
      <c r="F15963" s="2"/>
      <c r="G15963" s="2">
        <f t="shared" si="249"/>
        <v>0</v>
      </c>
      <c r="H15963" t="s">
        <v>10</v>
      </c>
    </row>
    <row r="15964" spans="2:8" x14ac:dyDescent="0.2">
      <c r="B15964" s="3">
        <v>45957</v>
      </c>
      <c r="C15964" s="3">
        <v>138</v>
      </c>
      <c r="D15964" s="6">
        <v>33200</v>
      </c>
      <c r="E15964" s="2">
        <v>34800</v>
      </c>
      <c r="F15964" s="2"/>
      <c r="G15964" s="2">
        <f t="shared" si="249"/>
        <v>34800</v>
      </c>
      <c r="H15964" t="s">
        <v>9</v>
      </c>
    </row>
    <row r="15965" spans="2:8" x14ac:dyDescent="0.2">
      <c r="B15965" s="3">
        <v>45957</v>
      </c>
      <c r="C15965" s="3"/>
      <c r="D15965" s="6"/>
      <c r="E15965" s="2"/>
      <c r="F15965" s="9"/>
      <c r="G15965" s="2">
        <f t="shared" si="249"/>
        <v>0</v>
      </c>
      <c r="H15965" t="s">
        <v>8</v>
      </c>
    </row>
    <row r="15966" spans="2:8" x14ac:dyDescent="0.2">
      <c r="B15966" s="3">
        <v>45957</v>
      </c>
      <c r="C15966" s="3"/>
      <c r="D15966" s="6"/>
      <c r="E15966" s="2"/>
      <c r="F15966" s="2"/>
      <c r="G15966" s="2">
        <f t="shared" si="249"/>
        <v>0</v>
      </c>
      <c r="H15966" t="s">
        <v>7</v>
      </c>
    </row>
    <row r="15967" spans="2:8" x14ac:dyDescent="0.2">
      <c r="B15967" s="3">
        <v>45957</v>
      </c>
      <c r="C15967" s="3"/>
      <c r="D15967" s="6"/>
      <c r="E15967" s="2"/>
      <c r="F15967" s="2"/>
      <c r="G15967" s="2">
        <f t="shared" si="249"/>
        <v>0</v>
      </c>
      <c r="H15967" t="s">
        <v>6</v>
      </c>
    </row>
    <row r="15968" spans="2:8" x14ac:dyDescent="0.2">
      <c r="B15968" s="3">
        <v>45957</v>
      </c>
      <c r="C15968" s="3"/>
      <c r="D15968" s="6"/>
      <c r="E15968" s="2"/>
      <c r="F15968" s="2"/>
      <c r="G15968" s="2">
        <f t="shared" si="249"/>
        <v>0</v>
      </c>
      <c r="H15968" t="s">
        <v>5</v>
      </c>
    </row>
    <row r="15969" spans="2:8" x14ac:dyDescent="0.2">
      <c r="B15969" s="3">
        <v>45957</v>
      </c>
      <c r="C15969" s="3"/>
      <c r="D15969" s="6"/>
      <c r="E15969" s="2"/>
      <c r="F15969" s="2"/>
      <c r="G15969" s="2">
        <f t="shared" si="249"/>
        <v>0</v>
      </c>
      <c r="H15969" s="1"/>
    </row>
    <row r="15970" spans="2:8" x14ac:dyDescent="0.2">
      <c r="B15970" s="3">
        <v>45957</v>
      </c>
      <c r="C15970" s="3"/>
      <c r="D15970" s="2"/>
      <c r="E15970" s="2"/>
      <c r="F15970" s="2"/>
      <c r="G15970" s="2">
        <f t="shared" si="249"/>
        <v>0</v>
      </c>
      <c r="H15970" t="s">
        <v>0</v>
      </c>
    </row>
    <row r="15971" spans="2:8" x14ac:dyDescent="0.2">
      <c r="B15971" s="3">
        <v>45958</v>
      </c>
      <c r="C15971" s="2"/>
      <c r="D15971" s="2"/>
      <c r="E15971" s="2"/>
      <c r="F15971" s="2"/>
      <c r="G15971" s="2">
        <f t="shared" si="249"/>
        <v>0</v>
      </c>
      <c r="H15971" t="s">
        <v>14</v>
      </c>
    </row>
    <row r="15972" spans="2:8" x14ac:dyDescent="0.2">
      <c r="B15972" s="3">
        <v>45958</v>
      </c>
      <c r="C15972" s="2"/>
      <c r="D15972" s="2"/>
      <c r="E15972" s="2"/>
      <c r="F15972" s="2"/>
      <c r="G15972" s="2">
        <f t="shared" si="249"/>
        <v>0</v>
      </c>
      <c r="H15972" t="s">
        <v>13</v>
      </c>
    </row>
    <row r="15973" spans="2:8" x14ac:dyDescent="0.2">
      <c r="B15973" s="3">
        <v>45958</v>
      </c>
      <c r="C15973" s="3"/>
      <c r="D15973" s="6"/>
      <c r="E15973" s="2"/>
      <c r="F15973" s="2"/>
      <c r="G15973" s="2">
        <f t="shared" si="249"/>
        <v>0</v>
      </c>
      <c r="H15973" t="s">
        <v>11</v>
      </c>
    </row>
    <row r="15974" spans="2:8" x14ac:dyDescent="0.2">
      <c r="B15974" s="3">
        <v>45958</v>
      </c>
      <c r="C15974" s="3"/>
      <c r="D15974" s="6"/>
      <c r="E15974" s="2"/>
      <c r="F15974" s="2"/>
      <c r="G15974" s="2">
        <f t="shared" si="249"/>
        <v>0</v>
      </c>
      <c r="H15974" t="s">
        <v>10</v>
      </c>
    </row>
    <row r="15975" spans="2:8" x14ac:dyDescent="0.2">
      <c r="B15975" s="3">
        <v>45958</v>
      </c>
      <c r="C15975" s="3"/>
      <c r="D15975" s="6"/>
      <c r="E15975" s="2"/>
      <c r="F15975" s="2"/>
      <c r="G15975" s="2">
        <f t="shared" si="249"/>
        <v>0</v>
      </c>
      <c r="H15975" t="s">
        <v>9</v>
      </c>
    </row>
    <row r="15976" spans="2:8" x14ac:dyDescent="0.2">
      <c r="B15976" s="3">
        <v>45958</v>
      </c>
      <c r="C15976" s="3"/>
      <c r="D15976" s="6"/>
      <c r="E15976" s="2"/>
      <c r="F15976" s="2"/>
      <c r="G15976" s="2">
        <f t="shared" si="249"/>
        <v>0</v>
      </c>
      <c r="H15976" t="s">
        <v>8</v>
      </c>
    </row>
    <row r="15977" spans="2:8" x14ac:dyDescent="0.2">
      <c r="B15977" s="3">
        <v>45958</v>
      </c>
      <c r="C15977" s="3"/>
      <c r="D15977" s="6"/>
      <c r="E15977" s="2"/>
      <c r="F15977" s="2"/>
      <c r="G15977" s="2">
        <f t="shared" si="249"/>
        <v>0</v>
      </c>
      <c r="H15977" t="s">
        <v>7</v>
      </c>
    </row>
    <row r="15978" spans="2:8" x14ac:dyDescent="0.2">
      <c r="B15978" s="3">
        <v>45958</v>
      </c>
      <c r="C15978" s="3"/>
      <c r="D15978" s="6"/>
      <c r="E15978" s="2"/>
      <c r="F15978" s="2"/>
      <c r="G15978" s="2">
        <f t="shared" si="249"/>
        <v>0</v>
      </c>
      <c r="H15978" t="s">
        <v>6</v>
      </c>
    </row>
    <row r="15979" spans="2:8" x14ac:dyDescent="0.2">
      <c r="B15979" s="3">
        <v>45958</v>
      </c>
      <c r="C15979" s="3"/>
      <c r="D15979" s="6"/>
      <c r="E15979" s="2"/>
      <c r="F15979" s="2"/>
      <c r="G15979" s="2">
        <f t="shared" si="249"/>
        <v>0</v>
      </c>
      <c r="H15979" t="s">
        <v>5</v>
      </c>
    </row>
    <row r="15980" spans="2:8" x14ac:dyDescent="0.2">
      <c r="B15980" s="3">
        <v>45958</v>
      </c>
      <c r="C15980" s="3"/>
      <c r="D15980" s="6"/>
      <c r="E15980" s="2"/>
      <c r="F15980" s="2"/>
      <c r="G15980" s="2">
        <f t="shared" si="249"/>
        <v>0</v>
      </c>
      <c r="H15980" s="1"/>
    </row>
    <row r="15981" spans="2:8" x14ac:dyDescent="0.2">
      <c r="B15981" s="3">
        <v>45958</v>
      </c>
      <c r="C15981" s="3"/>
      <c r="D15981" s="2">
        <v>82756.81</v>
      </c>
      <c r="E15981" s="2">
        <v>86153.97</v>
      </c>
      <c r="F15981" s="2">
        <v>161865</v>
      </c>
      <c r="G15981" s="2">
        <f t="shared" si="249"/>
        <v>-75711.03</v>
      </c>
      <c r="H15981" t="s">
        <v>0</v>
      </c>
    </row>
    <row r="15982" spans="2:8" x14ac:dyDescent="0.2">
      <c r="B15982" s="3">
        <v>45959</v>
      </c>
      <c r="C15982" s="2"/>
      <c r="D15982" s="2"/>
      <c r="E15982" s="2"/>
      <c r="F15982" s="2"/>
      <c r="G15982" s="2">
        <f t="shared" si="249"/>
        <v>0</v>
      </c>
      <c r="H15982" t="s">
        <v>14</v>
      </c>
    </row>
    <row r="15983" spans="2:8" x14ac:dyDescent="0.2">
      <c r="B15983" s="3">
        <v>45959</v>
      </c>
      <c r="C15983" s="2"/>
      <c r="D15983" s="2"/>
      <c r="E15983" s="2"/>
      <c r="F15983" s="2"/>
      <c r="G15983" s="2">
        <f t="shared" si="249"/>
        <v>0</v>
      </c>
      <c r="H15983" t="s">
        <v>13</v>
      </c>
    </row>
    <row r="15984" spans="2:8" x14ac:dyDescent="0.2">
      <c r="B15984" s="3">
        <v>45959</v>
      </c>
      <c r="C15984" s="3"/>
      <c r="D15984" s="6"/>
      <c r="E15984" s="2"/>
      <c r="F15984" s="2"/>
      <c r="G15984" s="2">
        <f t="shared" si="249"/>
        <v>0</v>
      </c>
      <c r="H15984" t="s">
        <v>11</v>
      </c>
    </row>
    <row r="15985" spans="2:8" x14ac:dyDescent="0.2">
      <c r="B15985" s="3">
        <v>45959</v>
      </c>
      <c r="C15985" s="3"/>
      <c r="D15985" s="6"/>
      <c r="E15985" s="2"/>
      <c r="F15985" s="2"/>
      <c r="G15985" s="2">
        <f t="shared" si="249"/>
        <v>0</v>
      </c>
      <c r="H15985" t="s">
        <v>10</v>
      </c>
    </row>
    <row r="15986" spans="2:8" x14ac:dyDescent="0.2">
      <c r="B15986" s="3">
        <v>45959</v>
      </c>
      <c r="C15986" s="3"/>
      <c r="D15986" s="6"/>
      <c r="E15986" s="2"/>
      <c r="F15986" s="2"/>
      <c r="G15986" s="2">
        <f t="shared" si="249"/>
        <v>0</v>
      </c>
      <c r="H15986" t="s">
        <v>9</v>
      </c>
    </row>
    <row r="15987" spans="2:8" x14ac:dyDescent="0.2">
      <c r="B15987" s="3">
        <v>45959</v>
      </c>
      <c r="C15987" s="3"/>
      <c r="D15987" s="6"/>
      <c r="E15987" s="2"/>
      <c r="F15987" s="2"/>
      <c r="G15987" s="2">
        <f t="shared" si="249"/>
        <v>0</v>
      </c>
      <c r="H15987" t="s">
        <v>8</v>
      </c>
    </row>
    <row r="15988" spans="2:8" x14ac:dyDescent="0.2">
      <c r="B15988" s="3">
        <v>45959</v>
      </c>
      <c r="C15988" s="3"/>
      <c r="D15988" s="6"/>
      <c r="E15988" s="2"/>
      <c r="F15988" s="2"/>
      <c r="G15988" s="2">
        <f t="shared" si="249"/>
        <v>0</v>
      </c>
      <c r="H15988" t="s">
        <v>7</v>
      </c>
    </row>
    <row r="15989" spans="2:8" x14ac:dyDescent="0.2">
      <c r="B15989" s="3">
        <v>45959</v>
      </c>
      <c r="C15989" s="3"/>
      <c r="D15989" s="6"/>
      <c r="E15989" s="2"/>
      <c r="F15989" s="2"/>
      <c r="G15989" s="2">
        <f t="shared" si="249"/>
        <v>0</v>
      </c>
      <c r="H15989" t="s">
        <v>6</v>
      </c>
    </row>
    <row r="15990" spans="2:8" x14ac:dyDescent="0.2">
      <c r="B15990" s="3">
        <v>45959</v>
      </c>
      <c r="C15990" s="3"/>
      <c r="D15990" s="6"/>
      <c r="E15990" s="2"/>
      <c r="F15990" s="2"/>
      <c r="G15990" s="2">
        <f t="shared" si="249"/>
        <v>0</v>
      </c>
      <c r="H15990" t="s">
        <v>5</v>
      </c>
    </row>
    <row r="15991" spans="2:8" x14ac:dyDescent="0.2">
      <c r="B15991" s="3">
        <v>45959</v>
      </c>
      <c r="C15991" s="3"/>
      <c r="D15991" s="6"/>
      <c r="E15991" s="2"/>
      <c r="F15991" s="2"/>
      <c r="G15991" s="2">
        <f t="shared" si="249"/>
        <v>0</v>
      </c>
      <c r="H15991" s="1"/>
    </row>
    <row r="15992" spans="2:8" x14ac:dyDescent="0.2">
      <c r="B15992" s="3">
        <v>45959</v>
      </c>
      <c r="C15992" s="3"/>
      <c r="D15992" s="2">
        <v>160751.34000000003</v>
      </c>
      <c r="E15992" s="2">
        <v>167300.51999999999</v>
      </c>
      <c r="F15992" s="2"/>
      <c r="G15992" s="2">
        <f t="shared" si="249"/>
        <v>167300.51999999999</v>
      </c>
      <c r="H15992" t="s">
        <v>0</v>
      </c>
    </row>
    <row r="15993" spans="2:8" x14ac:dyDescent="0.2">
      <c r="B15993" s="3">
        <v>45960</v>
      </c>
      <c r="C15993" s="2"/>
      <c r="D15993" s="2"/>
      <c r="E15993" s="2"/>
      <c r="F15993" s="2"/>
      <c r="G15993" s="2">
        <f t="shared" si="249"/>
        <v>0</v>
      </c>
      <c r="H15993" t="s">
        <v>14</v>
      </c>
    </row>
    <row r="15994" spans="2:8" x14ac:dyDescent="0.2">
      <c r="B15994" s="3">
        <v>45960</v>
      </c>
      <c r="C15994" s="2"/>
      <c r="D15994" s="2"/>
      <c r="E15994" s="2"/>
      <c r="F15994" s="2"/>
      <c r="G15994" s="2">
        <f t="shared" si="249"/>
        <v>0</v>
      </c>
      <c r="H15994" t="s">
        <v>13</v>
      </c>
    </row>
    <row r="15995" spans="2:8" x14ac:dyDescent="0.2">
      <c r="B15995" s="3">
        <v>45960</v>
      </c>
      <c r="C15995" s="3"/>
      <c r="D15995" s="6"/>
      <c r="E15995" s="2"/>
      <c r="F15995" s="2"/>
      <c r="G15995" s="2">
        <f t="shared" si="249"/>
        <v>0</v>
      </c>
      <c r="H15995" t="s">
        <v>11</v>
      </c>
    </row>
    <row r="15996" spans="2:8" x14ac:dyDescent="0.2">
      <c r="B15996" s="3">
        <v>45960</v>
      </c>
      <c r="C15996" s="3"/>
      <c r="D15996" s="6"/>
      <c r="E15996" s="2"/>
      <c r="F15996" s="2"/>
      <c r="G15996" s="2">
        <f t="shared" si="249"/>
        <v>0</v>
      </c>
      <c r="H15996" t="s">
        <v>10</v>
      </c>
    </row>
    <row r="15997" spans="2:8" x14ac:dyDescent="0.2">
      <c r="B15997" s="3">
        <v>45960</v>
      </c>
      <c r="C15997" s="3"/>
      <c r="D15997" s="6"/>
      <c r="E15997" s="2"/>
      <c r="F15997" s="2">
        <v>10000</v>
      </c>
      <c r="G15997" s="2">
        <f t="shared" si="249"/>
        <v>-10000</v>
      </c>
      <c r="H15997" t="s">
        <v>9</v>
      </c>
    </row>
    <row r="15998" spans="2:8" x14ac:dyDescent="0.2">
      <c r="B15998" s="3">
        <v>45960</v>
      </c>
      <c r="C15998" s="3"/>
      <c r="D15998" s="6"/>
      <c r="E15998" s="2"/>
      <c r="F15998" s="2">
        <v>40000</v>
      </c>
      <c r="G15998" s="2">
        <f t="shared" si="249"/>
        <v>-40000</v>
      </c>
      <c r="H15998" t="s">
        <v>8</v>
      </c>
    </row>
    <row r="15999" spans="2:8" x14ac:dyDescent="0.2">
      <c r="B15999" s="3">
        <v>45960</v>
      </c>
      <c r="C15999" s="3"/>
      <c r="D15999" s="6"/>
      <c r="E15999" s="2"/>
      <c r="F15999" s="2"/>
      <c r="G15999" s="2">
        <f t="shared" si="249"/>
        <v>0</v>
      </c>
      <c r="H15999" t="s">
        <v>7</v>
      </c>
    </row>
    <row r="16000" spans="2:8" x14ac:dyDescent="0.2">
      <c r="B16000" s="3">
        <v>45960</v>
      </c>
      <c r="C16000" s="3"/>
      <c r="D16000" s="6"/>
      <c r="E16000" s="2"/>
      <c r="F16000" s="2"/>
      <c r="G16000" s="2">
        <f t="shared" si="249"/>
        <v>0</v>
      </c>
      <c r="H16000" t="s">
        <v>6</v>
      </c>
    </row>
    <row r="16001" spans="2:8" x14ac:dyDescent="0.2">
      <c r="B16001" s="3">
        <v>45960</v>
      </c>
      <c r="C16001" s="3"/>
      <c r="D16001" s="6"/>
      <c r="E16001" s="2"/>
      <c r="F16001" s="2"/>
      <c r="G16001" s="2">
        <f t="shared" si="249"/>
        <v>0</v>
      </c>
      <c r="H16001" t="s">
        <v>5</v>
      </c>
    </row>
    <row r="16002" spans="2:8" x14ac:dyDescent="0.2">
      <c r="B16002" s="3">
        <v>45960</v>
      </c>
      <c r="C16002" s="3"/>
      <c r="D16002" s="6"/>
      <c r="E16002" s="2"/>
      <c r="F16002" s="2"/>
      <c r="G16002" s="2">
        <f t="shared" si="249"/>
        <v>0</v>
      </c>
      <c r="H16002" s="1"/>
    </row>
    <row r="16003" spans="2:8" x14ac:dyDescent="0.2">
      <c r="B16003" s="3">
        <v>45960</v>
      </c>
      <c r="C16003" s="3"/>
      <c r="D16003" s="2"/>
      <c r="E16003" s="2"/>
      <c r="F16003" s="2"/>
      <c r="G16003" s="2">
        <f t="shared" ref="G16003:G16066" si="250">E16003-F16003</f>
        <v>0</v>
      </c>
      <c r="H16003" t="s">
        <v>0</v>
      </c>
    </row>
    <row r="16004" spans="2:8" x14ac:dyDescent="0.2">
      <c r="B16004" s="3">
        <v>45961</v>
      </c>
      <c r="C16004" s="2"/>
      <c r="D16004" s="2"/>
      <c r="E16004" s="2"/>
      <c r="F16004" s="2"/>
      <c r="G16004" s="2">
        <f t="shared" si="250"/>
        <v>0</v>
      </c>
      <c r="H16004" t="s">
        <v>14</v>
      </c>
    </row>
    <row r="16005" spans="2:8" x14ac:dyDescent="0.2">
      <c r="B16005" s="3">
        <v>45961</v>
      </c>
      <c r="C16005" s="2"/>
      <c r="D16005" s="2"/>
      <c r="E16005" s="2"/>
      <c r="F16005" s="2"/>
      <c r="G16005" s="2">
        <f t="shared" si="250"/>
        <v>0</v>
      </c>
      <c r="H16005" t="s">
        <v>13</v>
      </c>
    </row>
    <row r="16006" spans="2:8" x14ac:dyDescent="0.2">
      <c r="B16006" s="3">
        <v>45961</v>
      </c>
      <c r="C16006" s="3"/>
      <c r="D16006" s="6"/>
      <c r="E16006" s="2"/>
      <c r="F16006" s="2"/>
      <c r="G16006" s="2">
        <f t="shared" si="250"/>
        <v>0</v>
      </c>
      <c r="H16006" t="s">
        <v>11</v>
      </c>
    </row>
    <row r="16007" spans="2:8" x14ac:dyDescent="0.2">
      <c r="B16007" s="3">
        <v>45961</v>
      </c>
      <c r="C16007" s="3"/>
      <c r="D16007" s="6"/>
      <c r="E16007" s="2"/>
      <c r="F16007" s="2"/>
      <c r="G16007" s="2">
        <f t="shared" si="250"/>
        <v>0</v>
      </c>
      <c r="H16007" t="s">
        <v>10</v>
      </c>
    </row>
    <row r="16008" spans="2:8" x14ac:dyDescent="0.2">
      <c r="B16008" s="3">
        <v>45961</v>
      </c>
      <c r="C16008" s="3"/>
      <c r="D16008" s="6"/>
      <c r="E16008" s="2"/>
      <c r="F16008" s="2"/>
      <c r="G16008" s="2">
        <f t="shared" si="250"/>
        <v>0</v>
      </c>
      <c r="H16008" t="s">
        <v>9</v>
      </c>
    </row>
    <row r="16009" spans="2:8" x14ac:dyDescent="0.2">
      <c r="B16009" s="3">
        <v>45961</v>
      </c>
      <c r="C16009" s="3"/>
      <c r="D16009" s="6"/>
      <c r="E16009" s="2"/>
      <c r="F16009" s="2"/>
      <c r="G16009" s="2">
        <f t="shared" si="250"/>
        <v>0</v>
      </c>
      <c r="H16009" t="s">
        <v>8</v>
      </c>
    </row>
    <row r="16010" spans="2:8" x14ac:dyDescent="0.2">
      <c r="B16010" s="3">
        <v>45961</v>
      </c>
      <c r="C16010" s="3"/>
      <c r="D16010" s="6"/>
      <c r="E16010" s="2"/>
      <c r="F16010" s="2"/>
      <c r="G16010" s="2">
        <f t="shared" si="250"/>
        <v>0</v>
      </c>
      <c r="H16010" t="s">
        <v>7</v>
      </c>
    </row>
    <row r="16011" spans="2:8" x14ac:dyDescent="0.2">
      <c r="B16011" s="3">
        <v>45961</v>
      </c>
      <c r="C16011" s="3"/>
      <c r="D16011" s="6"/>
      <c r="E16011" s="2"/>
      <c r="F16011" s="2"/>
      <c r="G16011" s="2">
        <f t="shared" si="250"/>
        <v>0</v>
      </c>
      <c r="H16011" t="s">
        <v>6</v>
      </c>
    </row>
    <row r="16012" spans="2:8" x14ac:dyDescent="0.2">
      <c r="B16012" s="3">
        <v>45961</v>
      </c>
      <c r="C16012" s="3"/>
      <c r="D16012" s="6"/>
      <c r="E16012" s="2"/>
      <c r="F16012" s="2"/>
      <c r="G16012" s="2">
        <f t="shared" si="250"/>
        <v>0</v>
      </c>
      <c r="H16012" t="s">
        <v>5</v>
      </c>
    </row>
    <row r="16013" spans="2:8" x14ac:dyDescent="0.2">
      <c r="B16013" s="3">
        <v>45961</v>
      </c>
      <c r="C16013" s="3"/>
      <c r="D16013" s="6"/>
      <c r="E16013" s="2"/>
      <c r="F16013" s="2"/>
      <c r="G16013" s="2">
        <f t="shared" si="250"/>
        <v>0</v>
      </c>
      <c r="H16013" s="1"/>
    </row>
    <row r="16014" spans="2:8" x14ac:dyDescent="0.2">
      <c r="B16014" s="3">
        <v>45961</v>
      </c>
      <c r="C16014" s="3"/>
      <c r="D16014" s="2"/>
      <c r="E16014" s="2"/>
      <c r="F16014" s="2"/>
      <c r="G16014" s="2">
        <f t="shared" si="250"/>
        <v>0</v>
      </c>
      <c r="H16014" t="s">
        <v>0</v>
      </c>
    </row>
    <row r="16015" spans="2:8" x14ac:dyDescent="0.2">
      <c r="B16015" s="3">
        <v>45962</v>
      </c>
      <c r="C16015" s="3" t="s">
        <v>92</v>
      </c>
      <c r="D16015" s="6">
        <v>15812</v>
      </c>
      <c r="E16015" s="2">
        <v>18240</v>
      </c>
      <c r="F16015" s="2"/>
      <c r="G16015" s="2">
        <f t="shared" si="250"/>
        <v>18240</v>
      </c>
      <c r="H16015" t="s">
        <v>14</v>
      </c>
    </row>
    <row r="16016" spans="2:8" x14ac:dyDescent="0.2">
      <c r="B16016" s="3">
        <v>45962</v>
      </c>
      <c r="C16016" s="2"/>
      <c r="D16016" s="2"/>
      <c r="E16016" s="2"/>
      <c r="F16016" s="2"/>
      <c r="G16016" s="2">
        <f t="shared" si="250"/>
        <v>0</v>
      </c>
      <c r="H16016" t="s">
        <v>13</v>
      </c>
    </row>
    <row r="16017" spans="2:8" x14ac:dyDescent="0.2">
      <c r="B16017" s="3">
        <v>45962</v>
      </c>
      <c r="C16017" s="3"/>
      <c r="D16017" s="6"/>
      <c r="E16017" s="2"/>
      <c r="F16017" s="2"/>
      <c r="G16017" s="2">
        <f t="shared" si="250"/>
        <v>0</v>
      </c>
      <c r="H16017" t="s">
        <v>11</v>
      </c>
    </row>
    <row r="16018" spans="2:8" x14ac:dyDescent="0.2">
      <c r="B16018" s="3">
        <v>45962</v>
      </c>
      <c r="C16018" s="3"/>
      <c r="D16018" s="6"/>
      <c r="E16018" s="2"/>
      <c r="F16018" s="2"/>
      <c r="G16018" s="2">
        <f t="shared" si="250"/>
        <v>0</v>
      </c>
      <c r="H16018" t="s">
        <v>10</v>
      </c>
    </row>
    <row r="16019" spans="2:8" x14ac:dyDescent="0.2">
      <c r="B16019" s="3">
        <v>45962</v>
      </c>
      <c r="C16019" s="3"/>
      <c r="D16019" s="6"/>
      <c r="E16019" s="2"/>
      <c r="F16019" s="2"/>
      <c r="G16019" s="2">
        <f t="shared" si="250"/>
        <v>0</v>
      </c>
      <c r="H16019" t="s">
        <v>9</v>
      </c>
    </row>
    <row r="16020" spans="2:8" x14ac:dyDescent="0.2">
      <c r="B16020" s="3">
        <v>45962</v>
      </c>
      <c r="C16020" s="2">
        <v>139</v>
      </c>
      <c r="D16020" s="6">
        <v>22700</v>
      </c>
      <c r="E16020" s="2">
        <v>27200</v>
      </c>
      <c r="F16020" s="2"/>
      <c r="G16020" s="2">
        <f t="shared" si="250"/>
        <v>27200</v>
      </c>
      <c r="H16020" t="s">
        <v>8</v>
      </c>
    </row>
    <row r="16021" spans="2:8" x14ac:dyDescent="0.2">
      <c r="B16021" s="3">
        <v>45962</v>
      </c>
      <c r="C16021" s="3"/>
      <c r="D16021" s="6"/>
      <c r="E16021" s="2"/>
      <c r="F16021" s="2"/>
      <c r="G16021" s="2">
        <f t="shared" si="250"/>
        <v>0</v>
      </c>
      <c r="H16021" t="s">
        <v>7</v>
      </c>
    </row>
    <row r="16022" spans="2:8" x14ac:dyDescent="0.2">
      <c r="B16022" s="3">
        <v>45962</v>
      </c>
      <c r="C16022" s="3"/>
      <c r="D16022" s="6"/>
      <c r="E16022" s="2"/>
      <c r="F16022" s="2"/>
      <c r="G16022" s="2">
        <f t="shared" si="250"/>
        <v>0</v>
      </c>
      <c r="H16022" t="s">
        <v>6</v>
      </c>
    </row>
    <row r="16023" spans="2:8" x14ac:dyDescent="0.2">
      <c r="B16023" s="3">
        <v>45962</v>
      </c>
      <c r="C16023" s="3"/>
      <c r="D16023" s="6"/>
      <c r="E16023" s="2"/>
      <c r="F16023" s="2"/>
      <c r="G16023" s="2">
        <f t="shared" si="250"/>
        <v>0</v>
      </c>
      <c r="H16023" t="s">
        <v>5</v>
      </c>
    </row>
    <row r="16024" spans="2:8" x14ac:dyDescent="0.2">
      <c r="B16024" s="3">
        <v>45962</v>
      </c>
      <c r="C16024" s="3"/>
      <c r="D16024" s="6"/>
      <c r="E16024" s="2"/>
      <c r="F16024" s="2"/>
      <c r="G16024" s="2">
        <f t="shared" si="250"/>
        <v>0</v>
      </c>
      <c r="H16024" s="1"/>
    </row>
    <row r="16025" spans="2:8" x14ac:dyDescent="0.2">
      <c r="B16025" s="3">
        <v>45962</v>
      </c>
      <c r="C16025" s="3"/>
      <c r="D16025" s="2"/>
      <c r="E16025" s="2"/>
      <c r="F16025" s="2"/>
      <c r="G16025" s="2">
        <f t="shared" si="250"/>
        <v>0</v>
      </c>
      <c r="H16025" t="s">
        <v>0</v>
      </c>
    </row>
    <row r="16026" spans="2:8" x14ac:dyDescent="0.2">
      <c r="B16026" s="3">
        <v>45963</v>
      </c>
      <c r="C16026" s="2"/>
      <c r="D16026" s="2"/>
      <c r="E16026" s="2"/>
      <c r="F16026" s="2"/>
      <c r="G16026" s="2">
        <f t="shared" si="250"/>
        <v>0</v>
      </c>
      <c r="H16026" t="s">
        <v>14</v>
      </c>
    </row>
    <row r="16027" spans="2:8" x14ac:dyDescent="0.2">
      <c r="B16027" s="3">
        <v>45963</v>
      </c>
      <c r="C16027" s="2"/>
      <c r="D16027" s="2"/>
      <c r="E16027" s="2"/>
      <c r="F16027" s="2"/>
      <c r="G16027" s="2">
        <f t="shared" si="250"/>
        <v>0</v>
      </c>
      <c r="H16027" t="s">
        <v>13</v>
      </c>
    </row>
    <row r="16028" spans="2:8" x14ac:dyDescent="0.2">
      <c r="B16028" s="3">
        <v>45963</v>
      </c>
      <c r="C16028" s="3"/>
      <c r="D16028" s="6"/>
      <c r="E16028" s="2"/>
      <c r="F16028" s="2"/>
      <c r="G16028" s="2">
        <f t="shared" si="250"/>
        <v>0</v>
      </c>
      <c r="H16028" t="s">
        <v>11</v>
      </c>
    </row>
    <row r="16029" spans="2:8" x14ac:dyDescent="0.2">
      <c r="B16029" s="3">
        <v>45963</v>
      </c>
      <c r="C16029" s="3"/>
      <c r="D16029" s="6"/>
      <c r="E16029" s="2"/>
      <c r="F16029" s="2"/>
      <c r="G16029" s="2">
        <f t="shared" si="250"/>
        <v>0</v>
      </c>
      <c r="H16029" t="s">
        <v>10</v>
      </c>
    </row>
    <row r="16030" spans="2:8" x14ac:dyDescent="0.2">
      <c r="B16030" s="3">
        <v>45963</v>
      </c>
      <c r="C16030" s="3"/>
      <c r="D16030" s="6"/>
      <c r="E16030" s="2"/>
      <c r="F16030" s="2"/>
      <c r="G16030" s="2">
        <f t="shared" si="250"/>
        <v>0</v>
      </c>
      <c r="H16030" t="s">
        <v>9</v>
      </c>
    </row>
    <row r="16031" spans="2:8" x14ac:dyDescent="0.2">
      <c r="B16031" s="3">
        <v>45963</v>
      </c>
      <c r="C16031" s="3"/>
      <c r="D16031" s="6"/>
      <c r="E16031" s="2"/>
      <c r="F16031" s="2"/>
      <c r="G16031" s="2">
        <f t="shared" si="250"/>
        <v>0</v>
      </c>
      <c r="H16031" t="s">
        <v>8</v>
      </c>
    </row>
    <row r="16032" spans="2:8" x14ac:dyDescent="0.2">
      <c r="B16032" s="3">
        <v>45963</v>
      </c>
      <c r="C16032" s="3"/>
      <c r="D16032" s="6"/>
      <c r="E16032" s="2"/>
      <c r="F16032" s="2"/>
      <c r="G16032" s="2">
        <f t="shared" si="250"/>
        <v>0</v>
      </c>
      <c r="H16032" t="s">
        <v>7</v>
      </c>
    </row>
    <row r="16033" spans="2:9" x14ac:dyDescent="0.2">
      <c r="B16033" s="3">
        <v>45963</v>
      </c>
      <c r="C16033" s="3"/>
      <c r="D16033" s="6"/>
      <c r="E16033" s="2"/>
      <c r="F16033" s="2"/>
      <c r="G16033" s="2">
        <f t="shared" si="250"/>
        <v>0</v>
      </c>
      <c r="H16033" t="s">
        <v>6</v>
      </c>
    </row>
    <row r="16034" spans="2:9" x14ac:dyDescent="0.2">
      <c r="B16034" s="3">
        <v>45963</v>
      </c>
      <c r="C16034" s="3"/>
      <c r="D16034" s="6"/>
      <c r="E16034" s="2"/>
      <c r="F16034" s="2"/>
      <c r="G16034" s="2">
        <f t="shared" si="250"/>
        <v>0</v>
      </c>
      <c r="H16034" t="s">
        <v>5</v>
      </c>
    </row>
    <row r="16035" spans="2:9" x14ac:dyDescent="0.2">
      <c r="B16035" s="3">
        <v>45963</v>
      </c>
      <c r="C16035" s="2">
        <v>140</v>
      </c>
      <c r="D16035" s="6">
        <v>934</v>
      </c>
      <c r="E16035" s="2">
        <v>1050</v>
      </c>
      <c r="F16035" s="2"/>
      <c r="G16035" s="2">
        <f t="shared" si="250"/>
        <v>1050</v>
      </c>
      <c r="H16035" s="1" t="s">
        <v>77</v>
      </c>
    </row>
    <row r="16036" spans="2:9" x14ac:dyDescent="0.2">
      <c r="B16036" s="3">
        <v>45963</v>
      </c>
      <c r="C16036" s="3"/>
      <c r="D16036" s="2"/>
      <c r="E16036" s="2"/>
      <c r="F16036" s="2"/>
      <c r="G16036" s="2">
        <f t="shared" si="250"/>
        <v>0</v>
      </c>
      <c r="H16036" t="s">
        <v>0</v>
      </c>
    </row>
    <row r="16037" spans="2:9" ht="16" x14ac:dyDescent="0.2">
      <c r="B16037" s="3">
        <v>45964</v>
      </c>
      <c r="C16037" s="2"/>
      <c r="D16037" s="2"/>
      <c r="E16037" s="2"/>
      <c r="F16037" s="2"/>
      <c r="G16037" s="2">
        <f t="shared" si="250"/>
        <v>0</v>
      </c>
      <c r="H16037" t="s">
        <v>14</v>
      </c>
      <c r="I16037" s="27"/>
    </row>
    <row r="16038" spans="2:9" x14ac:dyDescent="0.2">
      <c r="B16038" s="3">
        <v>45964</v>
      </c>
      <c r="C16038" s="2"/>
      <c r="D16038" s="2"/>
      <c r="E16038" s="2"/>
      <c r="F16038" s="2"/>
      <c r="G16038" s="2">
        <f t="shared" si="250"/>
        <v>0</v>
      </c>
      <c r="H16038" t="s">
        <v>13</v>
      </c>
    </row>
    <row r="16039" spans="2:9" x14ac:dyDescent="0.2">
      <c r="B16039" s="3">
        <v>45964</v>
      </c>
      <c r="C16039" s="3"/>
      <c r="D16039" s="6"/>
      <c r="E16039" s="2"/>
      <c r="F16039" s="2"/>
      <c r="G16039" s="2">
        <f t="shared" si="250"/>
        <v>0</v>
      </c>
      <c r="H16039" t="s">
        <v>11</v>
      </c>
    </row>
    <row r="16040" spans="2:9" x14ac:dyDescent="0.2">
      <c r="B16040" s="3">
        <v>45964</v>
      </c>
      <c r="C16040" s="3"/>
      <c r="D16040" s="6"/>
      <c r="E16040" s="2"/>
      <c r="F16040" s="2"/>
      <c r="G16040" s="2">
        <f t="shared" si="250"/>
        <v>0</v>
      </c>
      <c r="H16040" t="s">
        <v>10</v>
      </c>
    </row>
    <row r="16041" spans="2:9" x14ac:dyDescent="0.2">
      <c r="B16041" s="3">
        <v>45964</v>
      </c>
      <c r="C16041" s="3"/>
      <c r="D16041" s="6"/>
      <c r="E16041" s="2"/>
      <c r="F16041" s="2"/>
      <c r="G16041" s="2">
        <f t="shared" si="250"/>
        <v>0</v>
      </c>
      <c r="H16041" t="s">
        <v>9</v>
      </c>
    </row>
    <row r="16042" spans="2:9" x14ac:dyDescent="0.2">
      <c r="B16042" s="3">
        <v>45964</v>
      </c>
      <c r="C16042" s="3"/>
      <c r="D16042" s="6"/>
      <c r="E16042" s="2"/>
      <c r="F16042" s="2"/>
      <c r="G16042" s="2">
        <f t="shared" si="250"/>
        <v>0</v>
      </c>
      <c r="H16042" t="s">
        <v>8</v>
      </c>
    </row>
    <row r="16043" spans="2:9" x14ac:dyDescent="0.2">
      <c r="B16043" s="3">
        <v>45964</v>
      </c>
      <c r="C16043" s="3"/>
      <c r="D16043" s="6"/>
      <c r="E16043" s="2"/>
      <c r="F16043" s="2"/>
      <c r="G16043" s="2">
        <f t="shared" si="250"/>
        <v>0</v>
      </c>
      <c r="H16043" t="s">
        <v>7</v>
      </c>
    </row>
    <row r="16044" spans="2:9" x14ac:dyDescent="0.2">
      <c r="B16044" s="3">
        <v>45964</v>
      </c>
      <c r="C16044" s="3"/>
      <c r="D16044" s="6"/>
      <c r="E16044" s="2"/>
      <c r="F16044" s="2"/>
      <c r="G16044" s="2">
        <f t="shared" si="250"/>
        <v>0</v>
      </c>
      <c r="H16044" t="s">
        <v>6</v>
      </c>
    </row>
    <row r="16045" spans="2:9" x14ac:dyDescent="0.2">
      <c r="B16045" s="3">
        <v>45964</v>
      </c>
      <c r="C16045" s="3"/>
      <c r="D16045" s="6"/>
      <c r="E16045" s="2"/>
      <c r="F16045" s="2"/>
      <c r="G16045" s="2">
        <f t="shared" si="250"/>
        <v>0</v>
      </c>
      <c r="H16045" t="s">
        <v>5</v>
      </c>
    </row>
    <row r="16046" spans="2:9" x14ac:dyDescent="0.2">
      <c r="B16046" s="3">
        <v>45964</v>
      </c>
      <c r="C16046" s="3"/>
      <c r="D16046" s="6"/>
      <c r="E16046" s="2"/>
      <c r="F16046" s="2"/>
      <c r="G16046" s="2">
        <f t="shared" si="250"/>
        <v>0</v>
      </c>
      <c r="H16046" s="1"/>
    </row>
    <row r="16047" spans="2:9" x14ac:dyDescent="0.2">
      <c r="B16047" s="3">
        <v>45964</v>
      </c>
      <c r="C16047" s="3"/>
      <c r="D16047" s="2"/>
      <c r="E16047" s="2"/>
      <c r="F16047" s="2"/>
      <c r="G16047" s="2">
        <f t="shared" si="250"/>
        <v>0</v>
      </c>
      <c r="H16047" t="s">
        <v>0</v>
      </c>
    </row>
    <row r="16048" spans="2:9" x14ac:dyDescent="0.2">
      <c r="B16048" s="3">
        <v>45965</v>
      </c>
      <c r="C16048" s="2"/>
      <c r="D16048" s="2"/>
      <c r="E16048" s="2"/>
      <c r="F16048" s="2"/>
      <c r="G16048" s="2">
        <f t="shared" si="250"/>
        <v>0</v>
      </c>
      <c r="H16048" t="s">
        <v>14</v>
      </c>
    </row>
    <row r="16049" spans="2:8" x14ac:dyDescent="0.2">
      <c r="B16049" s="3">
        <v>45965</v>
      </c>
      <c r="C16049" s="2"/>
      <c r="D16049" s="2"/>
      <c r="E16049" s="2"/>
      <c r="F16049" s="2"/>
      <c r="G16049" s="2">
        <f t="shared" si="250"/>
        <v>0</v>
      </c>
      <c r="H16049" t="s">
        <v>13</v>
      </c>
    </row>
    <row r="16050" spans="2:8" x14ac:dyDescent="0.2">
      <c r="B16050" s="3">
        <v>45965</v>
      </c>
      <c r="C16050" s="3"/>
      <c r="D16050" s="6"/>
      <c r="E16050" s="2"/>
      <c r="F16050" s="2"/>
      <c r="G16050" s="2">
        <f t="shared" si="250"/>
        <v>0</v>
      </c>
      <c r="H16050" t="s">
        <v>11</v>
      </c>
    </row>
    <row r="16051" spans="2:8" x14ac:dyDescent="0.2">
      <c r="B16051" s="3">
        <v>45965</v>
      </c>
      <c r="C16051" s="3"/>
      <c r="D16051" s="6"/>
      <c r="E16051" s="2"/>
      <c r="F16051" s="2"/>
      <c r="G16051" s="2">
        <f t="shared" si="250"/>
        <v>0</v>
      </c>
      <c r="H16051" t="s">
        <v>10</v>
      </c>
    </row>
    <row r="16052" spans="2:8" x14ac:dyDescent="0.2">
      <c r="B16052" s="3">
        <v>45965</v>
      </c>
      <c r="C16052" s="3"/>
      <c r="D16052" s="6"/>
      <c r="E16052" s="2"/>
      <c r="F16052" s="2"/>
      <c r="G16052" s="2">
        <f t="shared" si="250"/>
        <v>0</v>
      </c>
      <c r="H16052" t="s">
        <v>9</v>
      </c>
    </row>
    <row r="16053" spans="2:8" x14ac:dyDescent="0.2">
      <c r="B16053" s="3">
        <v>45965</v>
      </c>
      <c r="C16053" s="3"/>
      <c r="D16053" s="6"/>
      <c r="E16053" s="2"/>
      <c r="F16053" s="2"/>
      <c r="G16053" s="2">
        <f t="shared" si="250"/>
        <v>0</v>
      </c>
      <c r="H16053" t="s">
        <v>8</v>
      </c>
    </row>
    <row r="16054" spans="2:8" x14ac:dyDescent="0.2">
      <c r="B16054" s="3">
        <v>45965</v>
      </c>
      <c r="C16054" s="3"/>
      <c r="D16054" s="6"/>
      <c r="E16054" s="2"/>
      <c r="F16054" s="2"/>
      <c r="G16054" s="2">
        <f t="shared" si="250"/>
        <v>0</v>
      </c>
      <c r="H16054" t="s">
        <v>7</v>
      </c>
    </row>
    <row r="16055" spans="2:8" x14ac:dyDescent="0.2">
      <c r="B16055" s="3">
        <v>45965</v>
      </c>
      <c r="C16055" s="3"/>
      <c r="D16055" s="6"/>
      <c r="E16055" s="2"/>
      <c r="F16055" s="2"/>
      <c r="G16055" s="2">
        <f t="shared" si="250"/>
        <v>0</v>
      </c>
      <c r="H16055" t="s">
        <v>6</v>
      </c>
    </row>
    <row r="16056" spans="2:8" x14ac:dyDescent="0.2">
      <c r="B16056" s="3">
        <v>45965</v>
      </c>
      <c r="C16056" s="3"/>
      <c r="D16056" s="6"/>
      <c r="E16056" s="2"/>
      <c r="F16056" s="2"/>
      <c r="G16056" s="2">
        <f t="shared" si="250"/>
        <v>0</v>
      </c>
      <c r="H16056" t="s">
        <v>5</v>
      </c>
    </row>
    <row r="16057" spans="2:8" x14ac:dyDescent="0.2">
      <c r="B16057" s="3">
        <v>45965</v>
      </c>
      <c r="C16057" s="3"/>
      <c r="D16057" s="6"/>
      <c r="E16057" s="2"/>
      <c r="F16057" s="2"/>
      <c r="G16057" s="2">
        <f t="shared" si="250"/>
        <v>0</v>
      </c>
      <c r="H16057" s="1"/>
    </row>
    <row r="16058" spans="2:8" x14ac:dyDescent="0.2">
      <c r="B16058" s="3">
        <v>45965</v>
      </c>
      <c r="C16058" s="3"/>
      <c r="D16058" s="2"/>
      <c r="E16058" s="2"/>
      <c r="F16058" s="2"/>
      <c r="G16058" s="2">
        <f t="shared" si="250"/>
        <v>0</v>
      </c>
      <c r="H16058" t="s">
        <v>0</v>
      </c>
    </row>
    <row r="16059" spans="2:8" x14ac:dyDescent="0.2">
      <c r="B16059" s="3">
        <v>45966</v>
      </c>
      <c r="C16059" s="3" t="s">
        <v>93</v>
      </c>
      <c r="D16059" s="6">
        <v>7825.12</v>
      </c>
      <c r="E16059" s="2">
        <v>9302.4</v>
      </c>
      <c r="F16059" s="2"/>
      <c r="G16059" s="2">
        <f t="shared" si="250"/>
        <v>9302.4</v>
      </c>
      <c r="H16059" t="s">
        <v>14</v>
      </c>
    </row>
    <row r="16060" spans="2:8" x14ac:dyDescent="0.2">
      <c r="B16060" s="3">
        <v>45966</v>
      </c>
      <c r="C16060" s="2"/>
      <c r="D16060" s="2"/>
      <c r="E16060" s="2"/>
      <c r="F16060" s="2"/>
      <c r="G16060" s="2">
        <f t="shared" si="250"/>
        <v>0</v>
      </c>
      <c r="H16060" t="s">
        <v>13</v>
      </c>
    </row>
    <row r="16061" spans="2:8" x14ac:dyDescent="0.2">
      <c r="B16061" s="3">
        <v>45966</v>
      </c>
      <c r="C16061" s="3"/>
      <c r="D16061" s="6"/>
      <c r="E16061" s="2"/>
      <c r="F16061" s="2"/>
      <c r="G16061" s="2">
        <f t="shared" si="250"/>
        <v>0</v>
      </c>
      <c r="H16061" t="s">
        <v>11</v>
      </c>
    </row>
    <row r="16062" spans="2:8" x14ac:dyDescent="0.2">
      <c r="B16062" s="3">
        <v>45966</v>
      </c>
      <c r="C16062" s="3"/>
      <c r="D16062" s="6"/>
      <c r="E16062" s="2"/>
      <c r="F16062" s="2"/>
      <c r="G16062" s="2">
        <f t="shared" si="250"/>
        <v>0</v>
      </c>
      <c r="H16062" t="s">
        <v>10</v>
      </c>
    </row>
    <row r="16063" spans="2:8" x14ac:dyDescent="0.2">
      <c r="B16063" s="3">
        <v>45966</v>
      </c>
      <c r="C16063" s="3"/>
      <c r="D16063" s="6"/>
      <c r="E16063" s="2"/>
      <c r="F16063" s="2"/>
      <c r="G16063" s="2">
        <f t="shared" si="250"/>
        <v>0</v>
      </c>
      <c r="H16063" t="s">
        <v>9</v>
      </c>
    </row>
    <row r="16064" spans="2:8" x14ac:dyDescent="0.2">
      <c r="B16064" s="3">
        <v>45966</v>
      </c>
      <c r="C16064" s="3"/>
      <c r="D16064" s="6"/>
      <c r="E16064" s="2"/>
      <c r="F16064" s="2"/>
      <c r="G16064" s="2">
        <f t="shared" si="250"/>
        <v>0</v>
      </c>
      <c r="H16064" t="s">
        <v>8</v>
      </c>
    </row>
    <row r="16065" spans="2:8" x14ac:dyDescent="0.2">
      <c r="B16065" s="3">
        <v>45966</v>
      </c>
      <c r="C16065" s="3"/>
      <c r="D16065" s="6"/>
      <c r="E16065" s="2"/>
      <c r="F16065" s="2"/>
      <c r="G16065" s="2">
        <f t="shared" si="250"/>
        <v>0</v>
      </c>
      <c r="H16065" t="s">
        <v>7</v>
      </c>
    </row>
    <row r="16066" spans="2:8" x14ac:dyDescent="0.2">
      <c r="B16066" s="3">
        <v>45966</v>
      </c>
      <c r="C16066" s="3"/>
      <c r="D16066" s="6"/>
      <c r="E16066" s="2"/>
      <c r="F16066" s="2"/>
      <c r="G16066" s="2">
        <f t="shared" si="250"/>
        <v>0</v>
      </c>
      <c r="H16066" t="s">
        <v>6</v>
      </c>
    </row>
    <row r="16067" spans="2:8" x14ac:dyDescent="0.2">
      <c r="B16067" s="3">
        <v>45966</v>
      </c>
      <c r="C16067" s="3"/>
      <c r="D16067" s="6"/>
      <c r="E16067" s="2"/>
      <c r="F16067" s="2"/>
      <c r="G16067" s="2">
        <f t="shared" ref="G16067:G16130" si="251">E16067-F16067</f>
        <v>0</v>
      </c>
      <c r="H16067" t="s">
        <v>5</v>
      </c>
    </row>
    <row r="16068" spans="2:8" x14ac:dyDescent="0.2">
      <c r="B16068" s="3">
        <v>45966</v>
      </c>
      <c r="C16068" s="3"/>
      <c r="D16068" s="6"/>
      <c r="E16068" s="2"/>
      <c r="F16068" s="2">
        <v>5000</v>
      </c>
      <c r="G16068" s="2">
        <f t="shared" si="251"/>
        <v>-5000</v>
      </c>
      <c r="H16068" s="1" t="s">
        <v>77</v>
      </c>
    </row>
    <row r="16069" spans="2:8" x14ac:dyDescent="0.2">
      <c r="B16069" s="3">
        <v>45966</v>
      </c>
      <c r="C16069" s="3"/>
      <c r="D16069" s="2"/>
      <c r="E16069" s="2"/>
      <c r="F16069" s="2">
        <v>247068</v>
      </c>
      <c r="G16069" s="2">
        <f t="shared" si="251"/>
        <v>-247068</v>
      </c>
      <c r="H16069" t="s">
        <v>0</v>
      </c>
    </row>
    <row r="16070" spans="2:8" x14ac:dyDescent="0.2">
      <c r="B16070" s="3">
        <v>45967</v>
      </c>
      <c r="C16070" s="2"/>
      <c r="D16070" s="2"/>
      <c r="E16070" s="2"/>
      <c r="F16070" s="2"/>
      <c r="G16070" s="2">
        <f t="shared" si="251"/>
        <v>0</v>
      </c>
      <c r="H16070" t="s">
        <v>14</v>
      </c>
    </row>
    <row r="16071" spans="2:8" x14ac:dyDescent="0.2">
      <c r="B16071" s="3">
        <v>45967</v>
      </c>
      <c r="C16071" s="2"/>
      <c r="D16071" s="2"/>
      <c r="E16071" s="2"/>
      <c r="F16071" s="2"/>
      <c r="G16071" s="2">
        <f t="shared" si="251"/>
        <v>0</v>
      </c>
      <c r="H16071" t="s">
        <v>13</v>
      </c>
    </row>
    <row r="16072" spans="2:8" x14ac:dyDescent="0.2">
      <c r="B16072" s="3">
        <v>45967</v>
      </c>
      <c r="C16072" s="3"/>
      <c r="D16072" s="6"/>
      <c r="E16072" s="2"/>
      <c r="F16072" s="2"/>
      <c r="G16072" s="2">
        <f t="shared" si="251"/>
        <v>0</v>
      </c>
      <c r="H16072" t="s">
        <v>11</v>
      </c>
    </row>
    <row r="16073" spans="2:8" x14ac:dyDescent="0.2">
      <c r="B16073" s="3">
        <v>45967</v>
      </c>
      <c r="C16073" s="3"/>
      <c r="D16073" s="6"/>
      <c r="E16073" s="2"/>
      <c r="F16073" s="2"/>
      <c r="G16073" s="2">
        <f t="shared" si="251"/>
        <v>0</v>
      </c>
      <c r="H16073" t="s">
        <v>10</v>
      </c>
    </row>
    <row r="16074" spans="2:8" x14ac:dyDescent="0.2">
      <c r="B16074" s="3">
        <v>45967</v>
      </c>
      <c r="C16074" s="3"/>
      <c r="D16074" s="6"/>
      <c r="E16074" s="2"/>
      <c r="F16074" s="2"/>
      <c r="G16074" s="2">
        <f t="shared" si="251"/>
        <v>0</v>
      </c>
      <c r="H16074" t="s">
        <v>9</v>
      </c>
    </row>
    <row r="16075" spans="2:8" x14ac:dyDescent="0.2">
      <c r="B16075" s="3">
        <v>45967</v>
      </c>
      <c r="C16075" s="3"/>
      <c r="D16075" s="6"/>
      <c r="E16075" s="2"/>
      <c r="F16075" s="2">
        <v>20000</v>
      </c>
      <c r="G16075" s="2">
        <f t="shared" si="251"/>
        <v>-20000</v>
      </c>
      <c r="H16075" t="s">
        <v>8</v>
      </c>
    </row>
    <row r="16076" spans="2:8" x14ac:dyDescent="0.2">
      <c r="B16076" s="3">
        <v>45967</v>
      </c>
      <c r="C16076" s="3"/>
      <c r="D16076" s="6"/>
      <c r="E16076" s="2"/>
      <c r="F16076" s="2"/>
      <c r="G16076" s="2">
        <f t="shared" si="251"/>
        <v>0</v>
      </c>
      <c r="H16076" t="s">
        <v>7</v>
      </c>
    </row>
    <row r="16077" spans="2:8" x14ac:dyDescent="0.2">
      <c r="B16077" s="3">
        <v>45967</v>
      </c>
      <c r="C16077" s="3"/>
      <c r="D16077" s="6"/>
      <c r="E16077" s="2"/>
      <c r="F16077" s="2"/>
      <c r="G16077" s="2">
        <f t="shared" si="251"/>
        <v>0</v>
      </c>
      <c r="H16077" t="s">
        <v>6</v>
      </c>
    </row>
    <row r="16078" spans="2:8" x14ac:dyDescent="0.2">
      <c r="B16078" s="3">
        <v>45967</v>
      </c>
      <c r="C16078" s="3"/>
      <c r="D16078" s="6"/>
      <c r="E16078" s="2"/>
      <c r="F16078" s="2"/>
      <c r="G16078" s="2">
        <f t="shared" si="251"/>
        <v>0</v>
      </c>
      <c r="H16078" t="s">
        <v>5</v>
      </c>
    </row>
    <row r="16079" spans="2:8" x14ac:dyDescent="0.2">
      <c r="B16079" s="3">
        <v>45967</v>
      </c>
      <c r="C16079" s="3"/>
      <c r="D16079" s="6"/>
      <c r="E16079" s="2"/>
      <c r="F16079" s="2"/>
      <c r="G16079" s="2">
        <f t="shared" si="251"/>
        <v>0</v>
      </c>
      <c r="H16079" s="1"/>
    </row>
    <row r="16080" spans="2:8" x14ac:dyDescent="0.2">
      <c r="B16080" s="3">
        <v>45967</v>
      </c>
      <c r="C16080" s="3"/>
      <c r="D16080" s="2"/>
      <c r="E16080" s="2"/>
      <c r="F16080" s="2"/>
      <c r="G16080" s="2">
        <f t="shared" si="251"/>
        <v>0</v>
      </c>
      <c r="H16080" t="s">
        <v>0</v>
      </c>
    </row>
    <row r="16081" spans="2:8" x14ac:dyDescent="0.2">
      <c r="B16081" s="3">
        <v>45968</v>
      </c>
      <c r="C16081" s="2"/>
      <c r="D16081" s="2"/>
      <c r="E16081" s="2"/>
      <c r="F16081" s="2"/>
      <c r="G16081" s="2">
        <f t="shared" si="251"/>
        <v>0</v>
      </c>
      <c r="H16081" t="s">
        <v>14</v>
      </c>
    </row>
    <row r="16082" spans="2:8" x14ac:dyDescent="0.2">
      <c r="B16082" s="3">
        <v>45968</v>
      </c>
      <c r="C16082" s="2"/>
      <c r="D16082" s="2"/>
      <c r="E16082" s="2"/>
      <c r="F16082" s="2"/>
      <c r="G16082" s="2">
        <f t="shared" si="251"/>
        <v>0</v>
      </c>
      <c r="H16082" t="s">
        <v>13</v>
      </c>
    </row>
    <row r="16083" spans="2:8" x14ac:dyDescent="0.2">
      <c r="B16083" s="3">
        <v>45968</v>
      </c>
      <c r="C16083" s="3"/>
      <c r="D16083" s="6"/>
      <c r="E16083" s="2"/>
      <c r="F16083" s="2"/>
      <c r="G16083" s="2">
        <f t="shared" si="251"/>
        <v>0</v>
      </c>
      <c r="H16083" t="s">
        <v>11</v>
      </c>
    </row>
    <row r="16084" spans="2:8" x14ac:dyDescent="0.2">
      <c r="B16084" s="3">
        <v>45968</v>
      </c>
      <c r="C16084" s="3"/>
      <c r="D16084" s="6"/>
      <c r="E16084" s="2"/>
      <c r="F16084" s="2"/>
      <c r="G16084" s="2">
        <f t="shared" si="251"/>
        <v>0</v>
      </c>
      <c r="H16084" t="s">
        <v>10</v>
      </c>
    </row>
    <row r="16085" spans="2:8" x14ac:dyDescent="0.2">
      <c r="B16085" s="3">
        <v>45968</v>
      </c>
      <c r="C16085" s="3"/>
      <c r="D16085" s="6"/>
      <c r="E16085" s="2"/>
      <c r="F16085" s="2"/>
      <c r="G16085" s="2">
        <f t="shared" si="251"/>
        <v>0</v>
      </c>
      <c r="H16085" t="s">
        <v>9</v>
      </c>
    </row>
    <row r="16086" spans="2:8" x14ac:dyDescent="0.2">
      <c r="B16086" s="3">
        <v>45968</v>
      </c>
      <c r="C16086" s="3"/>
      <c r="D16086" s="6"/>
      <c r="E16086" s="2"/>
      <c r="F16086" s="2"/>
      <c r="G16086" s="2">
        <f t="shared" si="251"/>
        <v>0</v>
      </c>
      <c r="H16086" t="s">
        <v>8</v>
      </c>
    </row>
    <row r="16087" spans="2:8" x14ac:dyDescent="0.2">
      <c r="B16087" s="3">
        <v>45968</v>
      </c>
      <c r="C16087" s="3"/>
      <c r="D16087" s="6"/>
      <c r="E16087" s="2"/>
      <c r="F16087" s="2"/>
      <c r="G16087" s="2">
        <f t="shared" si="251"/>
        <v>0</v>
      </c>
      <c r="H16087" t="s">
        <v>7</v>
      </c>
    </row>
    <row r="16088" spans="2:8" x14ac:dyDescent="0.2">
      <c r="B16088" s="3">
        <v>45968</v>
      </c>
      <c r="C16088" s="3"/>
      <c r="D16088" s="6"/>
      <c r="E16088" s="2"/>
      <c r="F16088" s="2"/>
      <c r="G16088" s="2">
        <f t="shared" si="251"/>
        <v>0</v>
      </c>
      <c r="H16088" t="s">
        <v>6</v>
      </c>
    </row>
    <row r="16089" spans="2:8" x14ac:dyDescent="0.2">
      <c r="B16089" s="3">
        <v>45968</v>
      </c>
      <c r="C16089" s="3"/>
      <c r="D16089" s="6"/>
      <c r="E16089" s="2"/>
      <c r="F16089" s="2"/>
      <c r="G16089" s="2">
        <f t="shared" si="251"/>
        <v>0</v>
      </c>
      <c r="H16089" t="s">
        <v>5</v>
      </c>
    </row>
    <row r="16090" spans="2:8" x14ac:dyDescent="0.2">
      <c r="B16090" s="3">
        <v>45968</v>
      </c>
      <c r="C16090" s="3"/>
      <c r="D16090" s="6"/>
      <c r="E16090" s="2"/>
      <c r="F16090" s="2"/>
      <c r="G16090" s="2">
        <f t="shared" si="251"/>
        <v>0</v>
      </c>
      <c r="H16090" s="1"/>
    </row>
    <row r="16091" spans="2:8" x14ac:dyDescent="0.2">
      <c r="B16091" s="3">
        <v>45968</v>
      </c>
      <c r="C16091" s="3"/>
      <c r="D16091" s="2"/>
      <c r="E16091" s="2"/>
      <c r="F16091" s="2"/>
      <c r="G16091" s="2">
        <f t="shared" si="251"/>
        <v>0</v>
      </c>
      <c r="H16091" t="s">
        <v>0</v>
      </c>
    </row>
    <row r="16092" spans="2:8" x14ac:dyDescent="0.2">
      <c r="B16092" s="3">
        <v>45969</v>
      </c>
      <c r="C16092" s="2"/>
      <c r="D16092" s="2"/>
      <c r="E16092" s="2"/>
      <c r="F16092" s="2">
        <v>39840</v>
      </c>
      <c r="G16092" s="2">
        <f t="shared" si="251"/>
        <v>-39840</v>
      </c>
      <c r="H16092" t="s">
        <v>14</v>
      </c>
    </row>
    <row r="16093" spans="2:8" x14ac:dyDescent="0.2">
      <c r="B16093" s="3">
        <v>45969</v>
      </c>
      <c r="C16093" s="2"/>
      <c r="D16093" s="2"/>
      <c r="E16093" s="2"/>
      <c r="F16093" s="2"/>
      <c r="G16093" s="2">
        <f t="shared" si="251"/>
        <v>0</v>
      </c>
      <c r="H16093" t="s">
        <v>13</v>
      </c>
    </row>
    <row r="16094" spans="2:8" x14ac:dyDescent="0.2">
      <c r="B16094" s="3">
        <v>45969</v>
      </c>
      <c r="C16094" s="3"/>
      <c r="D16094" s="6"/>
      <c r="E16094" s="2"/>
      <c r="F16094" s="2"/>
      <c r="G16094" s="2">
        <f t="shared" si="251"/>
        <v>0</v>
      </c>
      <c r="H16094" t="s">
        <v>11</v>
      </c>
    </row>
    <row r="16095" spans="2:8" x14ac:dyDescent="0.2">
      <c r="B16095" s="3">
        <v>45969</v>
      </c>
      <c r="C16095" s="3"/>
      <c r="D16095" s="6"/>
      <c r="E16095" s="2"/>
      <c r="F16095" s="2"/>
      <c r="G16095" s="2">
        <f t="shared" si="251"/>
        <v>0</v>
      </c>
      <c r="H16095" t="s">
        <v>10</v>
      </c>
    </row>
    <row r="16096" spans="2:8" x14ac:dyDescent="0.2">
      <c r="B16096" s="3">
        <v>45969</v>
      </c>
      <c r="C16096" s="3"/>
      <c r="D16096" s="6"/>
      <c r="E16096" s="2"/>
      <c r="F16096" s="2"/>
      <c r="G16096" s="2">
        <f t="shared" si="251"/>
        <v>0</v>
      </c>
      <c r="H16096" t="s">
        <v>9</v>
      </c>
    </row>
    <row r="16097" spans="2:8" x14ac:dyDescent="0.2">
      <c r="B16097" s="3">
        <v>45969</v>
      </c>
      <c r="C16097" s="3"/>
      <c r="D16097" s="6"/>
      <c r="E16097" s="2"/>
      <c r="F16097" s="2"/>
      <c r="G16097" s="2">
        <f t="shared" si="251"/>
        <v>0</v>
      </c>
      <c r="H16097" t="s">
        <v>8</v>
      </c>
    </row>
    <row r="16098" spans="2:8" x14ac:dyDescent="0.2">
      <c r="B16098" s="3">
        <v>45969</v>
      </c>
      <c r="C16098" s="3"/>
      <c r="D16098" s="6"/>
      <c r="E16098" s="2"/>
      <c r="F16098" s="2"/>
      <c r="G16098" s="2">
        <f t="shared" si="251"/>
        <v>0</v>
      </c>
      <c r="H16098" t="s">
        <v>7</v>
      </c>
    </row>
    <row r="16099" spans="2:8" x14ac:dyDescent="0.2">
      <c r="B16099" s="3">
        <v>45969</v>
      </c>
      <c r="C16099" s="3"/>
      <c r="D16099" s="6"/>
      <c r="E16099" s="2"/>
      <c r="F16099" s="2"/>
      <c r="G16099" s="2">
        <f t="shared" si="251"/>
        <v>0</v>
      </c>
      <c r="H16099" t="s">
        <v>6</v>
      </c>
    </row>
    <row r="16100" spans="2:8" x14ac:dyDescent="0.2">
      <c r="B16100" s="3">
        <v>45969</v>
      </c>
      <c r="C16100" s="3"/>
      <c r="D16100" s="6"/>
      <c r="E16100" s="2"/>
      <c r="F16100" s="2"/>
      <c r="G16100" s="2">
        <f t="shared" si="251"/>
        <v>0</v>
      </c>
      <c r="H16100" t="s">
        <v>5</v>
      </c>
    </row>
    <row r="16101" spans="2:8" x14ac:dyDescent="0.2">
      <c r="B16101" s="3">
        <v>45969</v>
      </c>
      <c r="C16101" s="3"/>
      <c r="D16101" s="6"/>
      <c r="E16101" s="2"/>
      <c r="F16101" s="2"/>
      <c r="G16101" s="2">
        <f t="shared" si="251"/>
        <v>0</v>
      </c>
      <c r="H16101" s="1"/>
    </row>
    <row r="16102" spans="2:8" x14ac:dyDescent="0.2">
      <c r="B16102" s="3">
        <v>45969</v>
      </c>
      <c r="C16102" s="3"/>
      <c r="D16102" s="2"/>
      <c r="E16102" s="2"/>
      <c r="F16102" s="2"/>
      <c r="G16102" s="2">
        <f t="shared" si="251"/>
        <v>0</v>
      </c>
      <c r="H16102" t="s">
        <v>0</v>
      </c>
    </row>
    <row r="16103" spans="2:8" x14ac:dyDescent="0.2">
      <c r="B16103" s="3">
        <v>45970</v>
      </c>
      <c r="C16103" s="2"/>
      <c r="D16103" s="2"/>
      <c r="E16103" s="2"/>
      <c r="F16103" s="2"/>
      <c r="G16103" s="2">
        <f t="shared" si="251"/>
        <v>0</v>
      </c>
      <c r="H16103" t="s">
        <v>14</v>
      </c>
    </row>
    <row r="16104" spans="2:8" x14ac:dyDescent="0.2">
      <c r="B16104" s="3">
        <v>45970</v>
      </c>
      <c r="C16104" s="2"/>
      <c r="D16104" s="2"/>
      <c r="E16104" s="2"/>
      <c r="F16104" s="2"/>
      <c r="G16104" s="2">
        <f t="shared" si="251"/>
        <v>0</v>
      </c>
      <c r="H16104" t="s">
        <v>13</v>
      </c>
    </row>
    <row r="16105" spans="2:8" x14ac:dyDescent="0.2">
      <c r="B16105" s="3">
        <v>45970</v>
      </c>
      <c r="C16105" s="3"/>
      <c r="D16105" s="6"/>
      <c r="E16105" s="2"/>
      <c r="F16105" s="2"/>
      <c r="G16105" s="2">
        <f t="shared" si="251"/>
        <v>0</v>
      </c>
      <c r="H16105" t="s">
        <v>11</v>
      </c>
    </row>
    <row r="16106" spans="2:8" x14ac:dyDescent="0.2">
      <c r="B16106" s="3">
        <v>45970</v>
      </c>
      <c r="C16106" s="3"/>
      <c r="D16106" s="6"/>
      <c r="E16106" s="2"/>
      <c r="F16106" s="2"/>
      <c r="G16106" s="2">
        <f t="shared" si="251"/>
        <v>0</v>
      </c>
      <c r="H16106" t="s">
        <v>10</v>
      </c>
    </row>
    <row r="16107" spans="2:8" x14ac:dyDescent="0.2">
      <c r="B16107" s="3">
        <v>45970</v>
      </c>
      <c r="C16107" s="3"/>
      <c r="D16107" s="6"/>
      <c r="E16107" s="2"/>
      <c r="F16107" s="2"/>
      <c r="G16107" s="2">
        <f t="shared" si="251"/>
        <v>0</v>
      </c>
      <c r="H16107" t="s">
        <v>9</v>
      </c>
    </row>
    <row r="16108" spans="2:8" x14ac:dyDescent="0.2">
      <c r="B16108" s="3">
        <v>45970</v>
      </c>
      <c r="C16108" s="3"/>
      <c r="D16108" s="6"/>
      <c r="E16108" s="2"/>
      <c r="F16108" s="2"/>
      <c r="G16108" s="2">
        <f t="shared" si="251"/>
        <v>0</v>
      </c>
      <c r="H16108" t="s">
        <v>8</v>
      </c>
    </row>
    <row r="16109" spans="2:8" x14ac:dyDescent="0.2">
      <c r="B16109" s="3">
        <v>45970</v>
      </c>
      <c r="C16109" s="3"/>
      <c r="D16109" s="6"/>
      <c r="E16109" s="2"/>
      <c r="F16109" s="2"/>
      <c r="G16109" s="2">
        <f t="shared" si="251"/>
        <v>0</v>
      </c>
      <c r="H16109" t="s">
        <v>7</v>
      </c>
    </row>
    <row r="16110" spans="2:8" x14ac:dyDescent="0.2">
      <c r="B16110" s="3">
        <v>45970</v>
      </c>
      <c r="C16110" s="3"/>
      <c r="D16110" s="6"/>
      <c r="E16110" s="2"/>
      <c r="F16110" s="2"/>
      <c r="G16110" s="2">
        <f t="shared" si="251"/>
        <v>0</v>
      </c>
      <c r="H16110" t="s">
        <v>6</v>
      </c>
    </row>
    <row r="16111" spans="2:8" x14ac:dyDescent="0.2">
      <c r="B16111" s="3">
        <v>45970</v>
      </c>
      <c r="C16111" s="3"/>
      <c r="D16111" s="6"/>
      <c r="E16111" s="2"/>
      <c r="F16111" s="2"/>
      <c r="G16111" s="2">
        <f t="shared" si="251"/>
        <v>0</v>
      </c>
      <c r="H16111" t="s">
        <v>5</v>
      </c>
    </row>
    <row r="16112" spans="2:8" x14ac:dyDescent="0.2">
      <c r="B16112" s="3">
        <v>45970</v>
      </c>
      <c r="C16112" s="3"/>
      <c r="D16112" s="6"/>
      <c r="E16112" s="2"/>
      <c r="F16112" s="2"/>
      <c r="G16112" s="2">
        <f t="shared" si="251"/>
        <v>0</v>
      </c>
      <c r="H16112" s="1"/>
    </row>
    <row r="16113" spans="2:8" x14ac:dyDescent="0.2">
      <c r="B16113" s="3">
        <v>45970</v>
      </c>
      <c r="C16113" s="3"/>
      <c r="D16113" s="2"/>
      <c r="E16113" s="2"/>
      <c r="F16113" s="2"/>
      <c r="G16113" s="2">
        <f t="shared" si="251"/>
        <v>0</v>
      </c>
      <c r="H16113" t="s">
        <v>0</v>
      </c>
    </row>
    <row r="16114" spans="2:8" x14ac:dyDescent="0.2">
      <c r="B16114" s="3">
        <v>45971</v>
      </c>
      <c r="C16114" s="2"/>
      <c r="D16114" s="2"/>
      <c r="E16114" s="2"/>
      <c r="F16114" s="2"/>
      <c r="G16114" s="2">
        <f t="shared" si="251"/>
        <v>0</v>
      </c>
      <c r="H16114" t="s">
        <v>14</v>
      </c>
    </row>
    <row r="16115" spans="2:8" x14ac:dyDescent="0.2">
      <c r="B16115" s="3">
        <v>45971</v>
      </c>
      <c r="C16115" s="2"/>
      <c r="D16115" s="2"/>
      <c r="E16115" s="2"/>
      <c r="F16115" s="2"/>
      <c r="G16115" s="2">
        <f t="shared" si="251"/>
        <v>0</v>
      </c>
      <c r="H16115" t="s">
        <v>13</v>
      </c>
    </row>
    <row r="16116" spans="2:8" x14ac:dyDescent="0.2">
      <c r="B16116" s="3">
        <v>45971</v>
      </c>
      <c r="C16116" s="3"/>
      <c r="D16116" s="6"/>
      <c r="E16116" s="2"/>
      <c r="F16116" s="2">
        <v>10000</v>
      </c>
      <c r="G16116" s="2">
        <f t="shared" si="251"/>
        <v>-10000</v>
      </c>
      <c r="H16116" t="s">
        <v>11</v>
      </c>
    </row>
    <row r="16117" spans="2:8" x14ac:dyDescent="0.2">
      <c r="B16117" s="3">
        <v>45971</v>
      </c>
      <c r="C16117" s="3"/>
      <c r="D16117" s="6"/>
      <c r="E16117" s="2"/>
      <c r="F16117" s="2"/>
      <c r="G16117" s="2">
        <f t="shared" si="251"/>
        <v>0</v>
      </c>
      <c r="H16117" t="s">
        <v>10</v>
      </c>
    </row>
    <row r="16118" spans="2:8" x14ac:dyDescent="0.2">
      <c r="B16118" s="3">
        <v>45971</v>
      </c>
      <c r="C16118" s="3"/>
      <c r="D16118" s="6"/>
      <c r="E16118" s="2"/>
      <c r="F16118" s="2"/>
      <c r="G16118" s="2">
        <f t="shared" si="251"/>
        <v>0</v>
      </c>
      <c r="H16118" t="s">
        <v>9</v>
      </c>
    </row>
    <row r="16119" spans="2:8" x14ac:dyDescent="0.2">
      <c r="B16119" s="3">
        <v>45971</v>
      </c>
      <c r="C16119" s="2">
        <v>141</v>
      </c>
      <c r="D16119" s="6">
        <v>18900</v>
      </c>
      <c r="E16119" s="2">
        <v>22350</v>
      </c>
      <c r="F16119" s="2"/>
      <c r="G16119" s="2">
        <f t="shared" si="251"/>
        <v>22350</v>
      </c>
      <c r="H16119" t="s">
        <v>8</v>
      </c>
    </row>
    <row r="16120" spans="2:8" x14ac:dyDescent="0.2">
      <c r="B16120" s="3">
        <v>45971</v>
      </c>
      <c r="C16120" s="3"/>
      <c r="D16120" s="6"/>
      <c r="E16120" s="2"/>
      <c r="F16120" s="2"/>
      <c r="G16120" s="2">
        <f t="shared" si="251"/>
        <v>0</v>
      </c>
      <c r="H16120" t="s">
        <v>7</v>
      </c>
    </row>
    <row r="16121" spans="2:8" x14ac:dyDescent="0.2">
      <c r="B16121" s="3">
        <v>45971</v>
      </c>
      <c r="C16121" s="3"/>
      <c r="D16121" s="6"/>
      <c r="E16121" s="2"/>
      <c r="F16121" s="2"/>
      <c r="G16121" s="2">
        <f t="shared" si="251"/>
        <v>0</v>
      </c>
      <c r="H16121" t="s">
        <v>6</v>
      </c>
    </row>
    <row r="16122" spans="2:8" x14ac:dyDescent="0.2">
      <c r="B16122" s="3">
        <v>45971</v>
      </c>
      <c r="C16122" s="3"/>
      <c r="D16122" s="6"/>
      <c r="E16122" s="2"/>
      <c r="F16122" s="2"/>
      <c r="G16122" s="2">
        <f t="shared" si="251"/>
        <v>0</v>
      </c>
      <c r="H16122" t="s">
        <v>5</v>
      </c>
    </row>
    <row r="16123" spans="2:8" x14ac:dyDescent="0.2">
      <c r="B16123" s="3">
        <v>45971</v>
      </c>
      <c r="C16123" s="3"/>
      <c r="D16123" s="6"/>
      <c r="E16123" s="2"/>
      <c r="F16123" s="2"/>
      <c r="G16123" s="2">
        <f t="shared" si="251"/>
        <v>0</v>
      </c>
      <c r="H16123" s="1"/>
    </row>
    <row r="16124" spans="2:8" x14ac:dyDescent="0.2">
      <c r="B16124" s="3">
        <v>45971</v>
      </c>
      <c r="C16124" s="3"/>
      <c r="D16124" s="2"/>
      <c r="E16124" s="2"/>
      <c r="F16124" s="2"/>
      <c r="G16124" s="2">
        <f t="shared" si="251"/>
        <v>0</v>
      </c>
      <c r="H16124" t="s">
        <v>0</v>
      </c>
    </row>
    <row r="16125" spans="2:8" x14ac:dyDescent="0.2">
      <c r="B16125" s="3">
        <v>45972</v>
      </c>
      <c r="C16125" s="2"/>
      <c r="D16125" s="2"/>
      <c r="E16125" s="2"/>
      <c r="F16125" s="2"/>
      <c r="G16125" s="2">
        <f t="shared" si="251"/>
        <v>0</v>
      </c>
      <c r="H16125" t="s">
        <v>14</v>
      </c>
    </row>
    <row r="16126" spans="2:8" x14ac:dyDescent="0.2">
      <c r="B16126" s="3">
        <v>45972</v>
      </c>
      <c r="C16126" s="2"/>
      <c r="D16126" s="2"/>
      <c r="E16126" s="2"/>
      <c r="F16126" s="2"/>
      <c r="G16126" s="2">
        <f t="shared" si="251"/>
        <v>0</v>
      </c>
      <c r="H16126" t="s">
        <v>13</v>
      </c>
    </row>
    <row r="16127" spans="2:8" x14ac:dyDescent="0.2">
      <c r="B16127" s="3">
        <v>45972</v>
      </c>
      <c r="C16127" s="3"/>
      <c r="D16127" s="6"/>
      <c r="E16127" s="2"/>
      <c r="F16127" s="2"/>
      <c r="G16127" s="2">
        <f t="shared" si="251"/>
        <v>0</v>
      </c>
      <c r="H16127" t="s">
        <v>11</v>
      </c>
    </row>
    <row r="16128" spans="2:8" x14ac:dyDescent="0.2">
      <c r="B16128" s="3">
        <v>45972</v>
      </c>
      <c r="C16128" s="3"/>
      <c r="D16128" s="6"/>
      <c r="E16128" s="2"/>
      <c r="F16128" s="2"/>
      <c r="G16128" s="2">
        <f t="shared" si="251"/>
        <v>0</v>
      </c>
      <c r="H16128" t="s">
        <v>10</v>
      </c>
    </row>
    <row r="16129" spans="2:8" x14ac:dyDescent="0.2">
      <c r="B16129" s="3">
        <v>45972</v>
      </c>
      <c r="C16129" s="3"/>
      <c r="D16129" s="6"/>
      <c r="E16129" s="2"/>
      <c r="F16129" s="2"/>
      <c r="G16129" s="2">
        <f t="shared" si="251"/>
        <v>0</v>
      </c>
      <c r="H16129" t="s">
        <v>9</v>
      </c>
    </row>
    <row r="16130" spans="2:8" x14ac:dyDescent="0.2">
      <c r="B16130" s="3">
        <v>45972</v>
      </c>
      <c r="C16130" s="3"/>
      <c r="D16130" s="6"/>
      <c r="E16130" s="2"/>
      <c r="F16130" s="2"/>
      <c r="G16130" s="2">
        <f t="shared" si="251"/>
        <v>0</v>
      </c>
      <c r="H16130" t="s">
        <v>8</v>
      </c>
    </row>
    <row r="16131" spans="2:8" x14ac:dyDescent="0.2">
      <c r="B16131" s="3">
        <v>45972</v>
      </c>
      <c r="C16131" s="3"/>
      <c r="D16131" s="6"/>
      <c r="E16131" s="2"/>
      <c r="F16131" s="2"/>
      <c r="G16131" s="2">
        <f t="shared" ref="G16131:G16194" si="252">E16131-F16131</f>
        <v>0</v>
      </c>
      <c r="H16131" t="s">
        <v>7</v>
      </c>
    </row>
    <row r="16132" spans="2:8" x14ac:dyDescent="0.2">
      <c r="B16132" s="3">
        <v>45972</v>
      </c>
      <c r="C16132" s="3"/>
      <c r="D16132" s="6"/>
      <c r="E16132" s="2"/>
      <c r="F16132" s="2"/>
      <c r="G16132" s="2">
        <f t="shared" si="252"/>
        <v>0</v>
      </c>
      <c r="H16132" t="s">
        <v>6</v>
      </c>
    </row>
    <row r="16133" spans="2:8" x14ac:dyDescent="0.2">
      <c r="B16133" s="3">
        <v>45972</v>
      </c>
      <c r="C16133" s="3"/>
      <c r="D16133" s="6"/>
      <c r="E16133" s="2"/>
      <c r="F16133" s="2"/>
      <c r="G16133" s="2">
        <f t="shared" si="252"/>
        <v>0</v>
      </c>
      <c r="H16133" t="s">
        <v>5</v>
      </c>
    </row>
    <row r="16134" spans="2:8" x14ac:dyDescent="0.2">
      <c r="B16134" s="3">
        <v>45972</v>
      </c>
      <c r="C16134" s="3"/>
      <c r="D16134" s="6"/>
      <c r="E16134" s="2"/>
      <c r="F16134" s="2"/>
      <c r="G16134" s="2">
        <f t="shared" si="252"/>
        <v>0</v>
      </c>
      <c r="H16134" s="1"/>
    </row>
    <row r="16135" spans="2:8" x14ac:dyDescent="0.2">
      <c r="B16135" s="3">
        <v>45972</v>
      </c>
      <c r="C16135" s="3"/>
      <c r="D16135" s="2"/>
      <c r="E16135" s="2"/>
      <c r="F16135" s="2"/>
      <c r="G16135" s="2">
        <f t="shared" si="252"/>
        <v>0</v>
      </c>
      <c r="H16135" t="s">
        <v>0</v>
      </c>
    </row>
    <row r="16136" spans="2:8" x14ac:dyDescent="0.2">
      <c r="B16136" s="3">
        <v>45973</v>
      </c>
      <c r="C16136" s="2" t="s">
        <v>94</v>
      </c>
      <c r="D16136" s="2">
        <v>13058.1</v>
      </c>
      <c r="E16136" s="2">
        <v>15162</v>
      </c>
      <c r="F16136" s="2"/>
      <c r="G16136" s="2">
        <f t="shared" si="252"/>
        <v>15162</v>
      </c>
      <c r="H16136" t="s">
        <v>14</v>
      </c>
    </row>
    <row r="16137" spans="2:8" x14ac:dyDescent="0.2">
      <c r="B16137" s="3">
        <v>45973</v>
      </c>
      <c r="C16137" s="2"/>
      <c r="D16137" s="2"/>
      <c r="E16137" s="2"/>
      <c r="F16137" s="2"/>
      <c r="G16137" s="2">
        <f t="shared" si="252"/>
        <v>0</v>
      </c>
      <c r="H16137" t="s">
        <v>13</v>
      </c>
    </row>
    <row r="16138" spans="2:8" x14ac:dyDescent="0.2">
      <c r="B16138" s="3">
        <v>45973</v>
      </c>
      <c r="C16138" s="3"/>
      <c r="D16138" s="6"/>
      <c r="E16138" s="2"/>
      <c r="F16138" s="2"/>
      <c r="G16138" s="2">
        <f t="shared" si="252"/>
        <v>0</v>
      </c>
      <c r="H16138" t="s">
        <v>11</v>
      </c>
    </row>
    <row r="16139" spans="2:8" x14ac:dyDescent="0.2">
      <c r="B16139" s="3">
        <v>45973</v>
      </c>
      <c r="C16139" s="3"/>
      <c r="D16139" s="6"/>
      <c r="E16139" s="2"/>
      <c r="F16139" s="2"/>
      <c r="G16139" s="2">
        <f t="shared" si="252"/>
        <v>0</v>
      </c>
      <c r="H16139" t="s">
        <v>10</v>
      </c>
    </row>
    <row r="16140" spans="2:8" x14ac:dyDescent="0.2">
      <c r="B16140" s="3">
        <v>45973</v>
      </c>
      <c r="C16140" s="3"/>
      <c r="D16140" s="6"/>
      <c r="E16140" s="2"/>
      <c r="F16140" s="2"/>
      <c r="G16140" s="2">
        <f t="shared" si="252"/>
        <v>0</v>
      </c>
      <c r="H16140" t="s">
        <v>9</v>
      </c>
    </row>
    <row r="16141" spans="2:8" x14ac:dyDescent="0.2">
      <c r="B16141" s="3">
        <v>45973</v>
      </c>
      <c r="C16141" s="3"/>
      <c r="D16141" s="6"/>
      <c r="E16141" s="2"/>
      <c r="F16141" s="2">
        <v>40000</v>
      </c>
      <c r="G16141" s="2">
        <f t="shared" si="252"/>
        <v>-40000</v>
      </c>
      <c r="H16141" t="s">
        <v>8</v>
      </c>
    </row>
    <row r="16142" spans="2:8" x14ac:dyDescent="0.2">
      <c r="B16142" s="3">
        <v>45973</v>
      </c>
      <c r="C16142" s="3"/>
      <c r="D16142" s="6"/>
      <c r="E16142" s="2"/>
      <c r="F16142" s="2"/>
      <c r="G16142" s="2">
        <f t="shared" si="252"/>
        <v>0</v>
      </c>
      <c r="H16142" t="s">
        <v>7</v>
      </c>
    </row>
    <row r="16143" spans="2:8" x14ac:dyDescent="0.2">
      <c r="B16143" s="3">
        <v>45973</v>
      </c>
      <c r="C16143" s="3"/>
      <c r="D16143" s="6"/>
      <c r="E16143" s="2"/>
      <c r="F16143" s="2"/>
      <c r="G16143" s="2">
        <f t="shared" si="252"/>
        <v>0</v>
      </c>
      <c r="H16143" t="s">
        <v>6</v>
      </c>
    </row>
    <row r="16144" spans="2:8" x14ac:dyDescent="0.2">
      <c r="B16144" s="3">
        <v>45973</v>
      </c>
      <c r="C16144" s="3"/>
      <c r="D16144" s="6"/>
      <c r="E16144" s="2"/>
      <c r="F16144" s="2"/>
      <c r="G16144" s="2">
        <f t="shared" si="252"/>
        <v>0</v>
      </c>
      <c r="H16144" t="s">
        <v>5</v>
      </c>
    </row>
    <row r="16145" spans="2:8" x14ac:dyDescent="0.2">
      <c r="B16145" s="3">
        <v>45973</v>
      </c>
      <c r="C16145" s="3"/>
      <c r="D16145" s="6"/>
      <c r="E16145" s="2"/>
      <c r="F16145" s="2"/>
      <c r="G16145" s="2">
        <f t="shared" si="252"/>
        <v>0</v>
      </c>
      <c r="H16145" s="1"/>
    </row>
    <row r="16146" spans="2:8" x14ac:dyDescent="0.2">
      <c r="B16146" s="3">
        <v>45973</v>
      </c>
      <c r="C16146" s="3"/>
      <c r="D16146" s="2"/>
      <c r="E16146" s="2"/>
      <c r="F16146" s="2"/>
      <c r="G16146" s="2">
        <f t="shared" si="252"/>
        <v>0</v>
      </c>
      <c r="H16146" t="s">
        <v>0</v>
      </c>
    </row>
    <row r="16147" spans="2:8" x14ac:dyDescent="0.2">
      <c r="B16147" s="3">
        <v>45974</v>
      </c>
      <c r="C16147" s="2"/>
      <c r="D16147" s="2"/>
      <c r="E16147" s="2"/>
      <c r="F16147" s="2"/>
      <c r="G16147" s="2">
        <f t="shared" si="252"/>
        <v>0</v>
      </c>
      <c r="H16147" t="s">
        <v>14</v>
      </c>
    </row>
    <row r="16148" spans="2:8" x14ac:dyDescent="0.2">
      <c r="B16148" s="3">
        <v>45974</v>
      </c>
      <c r="C16148" s="2"/>
      <c r="D16148" s="2"/>
      <c r="E16148" s="2"/>
      <c r="F16148" s="2"/>
      <c r="G16148" s="2">
        <f t="shared" si="252"/>
        <v>0</v>
      </c>
      <c r="H16148" t="s">
        <v>13</v>
      </c>
    </row>
    <row r="16149" spans="2:8" x14ac:dyDescent="0.2">
      <c r="B16149" s="3">
        <v>45974</v>
      </c>
      <c r="C16149" s="3"/>
      <c r="D16149" s="6"/>
      <c r="E16149" s="2"/>
      <c r="F16149" s="2"/>
      <c r="G16149" s="2">
        <f t="shared" si="252"/>
        <v>0</v>
      </c>
      <c r="H16149" t="s">
        <v>11</v>
      </c>
    </row>
    <row r="16150" spans="2:8" x14ac:dyDescent="0.2">
      <c r="B16150" s="3">
        <v>45974</v>
      </c>
      <c r="C16150" s="3"/>
      <c r="D16150" s="6"/>
      <c r="E16150" s="2"/>
      <c r="F16150" s="2"/>
      <c r="G16150" s="2">
        <f t="shared" si="252"/>
        <v>0</v>
      </c>
      <c r="H16150" t="s">
        <v>10</v>
      </c>
    </row>
    <row r="16151" spans="2:8" x14ac:dyDescent="0.2">
      <c r="B16151" s="3">
        <v>45974</v>
      </c>
      <c r="C16151" s="3"/>
      <c r="D16151" s="6"/>
      <c r="E16151" s="2"/>
      <c r="F16151" s="2">
        <v>24800</v>
      </c>
      <c r="G16151" s="2">
        <f t="shared" si="252"/>
        <v>-24800</v>
      </c>
      <c r="H16151" t="s">
        <v>9</v>
      </c>
    </row>
    <row r="16152" spans="2:8" x14ac:dyDescent="0.2">
      <c r="B16152" s="3">
        <v>45974</v>
      </c>
      <c r="C16152" s="3"/>
      <c r="D16152" s="6"/>
      <c r="E16152" s="2"/>
      <c r="F16152" s="2"/>
      <c r="G16152" s="2">
        <f t="shared" si="252"/>
        <v>0</v>
      </c>
      <c r="H16152" t="s">
        <v>8</v>
      </c>
    </row>
    <row r="16153" spans="2:8" x14ac:dyDescent="0.2">
      <c r="B16153" s="3">
        <v>45974</v>
      </c>
      <c r="C16153" s="3"/>
      <c r="D16153" s="6"/>
      <c r="E16153" s="2"/>
      <c r="F16153" s="2"/>
      <c r="G16153" s="2">
        <f t="shared" si="252"/>
        <v>0</v>
      </c>
      <c r="H16153" t="s">
        <v>7</v>
      </c>
    </row>
    <row r="16154" spans="2:8" x14ac:dyDescent="0.2">
      <c r="B16154" s="3">
        <v>45974</v>
      </c>
      <c r="C16154" s="3"/>
      <c r="D16154" s="6"/>
      <c r="E16154" s="2"/>
      <c r="F16154" s="2"/>
      <c r="G16154" s="2">
        <f t="shared" si="252"/>
        <v>0</v>
      </c>
      <c r="H16154" t="s">
        <v>6</v>
      </c>
    </row>
    <row r="16155" spans="2:8" x14ac:dyDescent="0.2">
      <c r="B16155" s="3">
        <v>45974</v>
      </c>
      <c r="C16155" s="3"/>
      <c r="D16155" s="6"/>
      <c r="E16155" s="2"/>
      <c r="F16155" s="2"/>
      <c r="G16155" s="2">
        <f t="shared" si="252"/>
        <v>0</v>
      </c>
      <c r="H16155" t="s">
        <v>5</v>
      </c>
    </row>
    <row r="16156" spans="2:8" x14ac:dyDescent="0.2">
      <c r="B16156" s="3">
        <v>45974</v>
      </c>
      <c r="C16156" s="3"/>
      <c r="D16156" s="6"/>
      <c r="E16156" s="2"/>
      <c r="F16156" s="2"/>
      <c r="G16156" s="2">
        <f t="shared" si="252"/>
        <v>0</v>
      </c>
      <c r="H16156" s="1"/>
    </row>
    <row r="16157" spans="2:8" x14ac:dyDescent="0.2">
      <c r="B16157" s="3">
        <v>45974</v>
      </c>
      <c r="C16157" s="3"/>
      <c r="D16157" s="2"/>
      <c r="E16157" s="2"/>
      <c r="F16157" s="2">
        <v>250000</v>
      </c>
      <c r="G16157" s="2">
        <f t="shared" si="252"/>
        <v>-250000</v>
      </c>
      <c r="H16157" t="s">
        <v>0</v>
      </c>
    </row>
    <row r="16158" spans="2:8" x14ac:dyDescent="0.2">
      <c r="B16158" s="3">
        <v>45975</v>
      </c>
      <c r="C16158" s="2"/>
      <c r="D16158" s="2"/>
      <c r="E16158" s="2"/>
      <c r="F16158" s="2"/>
      <c r="G16158" s="2">
        <f t="shared" si="252"/>
        <v>0</v>
      </c>
      <c r="H16158" t="s">
        <v>14</v>
      </c>
    </row>
    <row r="16159" spans="2:8" x14ac:dyDescent="0.2">
      <c r="B16159" s="3">
        <v>45975</v>
      </c>
      <c r="C16159" s="2"/>
      <c r="D16159" s="2"/>
      <c r="E16159" s="2"/>
      <c r="F16159" s="2"/>
      <c r="G16159" s="2">
        <f t="shared" si="252"/>
        <v>0</v>
      </c>
      <c r="H16159" t="s">
        <v>13</v>
      </c>
    </row>
    <row r="16160" spans="2:8" x14ac:dyDescent="0.2">
      <c r="B16160" s="3">
        <v>45975</v>
      </c>
      <c r="C16160" s="3"/>
      <c r="D16160" s="6"/>
      <c r="E16160" s="2"/>
      <c r="F16160" s="2"/>
      <c r="G16160" s="2">
        <f t="shared" si="252"/>
        <v>0</v>
      </c>
      <c r="H16160" t="s">
        <v>11</v>
      </c>
    </row>
    <row r="16161" spans="2:8" x14ac:dyDescent="0.2">
      <c r="B16161" s="3">
        <v>45975</v>
      </c>
      <c r="C16161" s="3"/>
      <c r="D16161" s="6"/>
      <c r="E16161" s="2"/>
      <c r="F16161" s="2"/>
      <c r="G16161" s="2">
        <f t="shared" si="252"/>
        <v>0</v>
      </c>
      <c r="H16161" t="s">
        <v>10</v>
      </c>
    </row>
    <row r="16162" spans="2:8" x14ac:dyDescent="0.2">
      <c r="B16162" s="3">
        <v>45975</v>
      </c>
      <c r="C16162" s="3"/>
      <c r="D16162" s="6"/>
      <c r="E16162" s="2"/>
      <c r="F16162" s="2"/>
      <c r="G16162" s="2">
        <f t="shared" si="252"/>
        <v>0</v>
      </c>
      <c r="H16162" t="s">
        <v>9</v>
      </c>
    </row>
    <row r="16163" spans="2:8" x14ac:dyDescent="0.2">
      <c r="B16163" s="3">
        <v>45975</v>
      </c>
      <c r="C16163" s="3"/>
      <c r="D16163" s="6"/>
      <c r="E16163" s="2"/>
      <c r="F16163" s="2"/>
      <c r="G16163" s="2">
        <f t="shared" si="252"/>
        <v>0</v>
      </c>
      <c r="H16163" t="s">
        <v>8</v>
      </c>
    </row>
    <row r="16164" spans="2:8" x14ac:dyDescent="0.2">
      <c r="B16164" s="3">
        <v>45975</v>
      </c>
      <c r="C16164" s="3"/>
      <c r="D16164" s="6"/>
      <c r="E16164" s="2"/>
      <c r="F16164" s="2"/>
      <c r="G16164" s="2">
        <f t="shared" si="252"/>
        <v>0</v>
      </c>
      <c r="H16164" t="s">
        <v>7</v>
      </c>
    </row>
    <row r="16165" spans="2:8" x14ac:dyDescent="0.2">
      <c r="B16165" s="3">
        <v>45975</v>
      </c>
      <c r="C16165" s="3"/>
      <c r="D16165" s="6"/>
      <c r="E16165" s="2"/>
      <c r="F16165" s="2"/>
      <c r="G16165" s="2">
        <f t="shared" si="252"/>
        <v>0</v>
      </c>
      <c r="H16165" t="s">
        <v>6</v>
      </c>
    </row>
    <row r="16166" spans="2:8" x14ac:dyDescent="0.2">
      <c r="B16166" s="3">
        <v>45975</v>
      </c>
      <c r="C16166" s="3"/>
      <c r="D16166" s="6"/>
      <c r="E16166" s="2"/>
      <c r="F16166" s="2"/>
      <c r="G16166" s="2">
        <f t="shared" si="252"/>
        <v>0</v>
      </c>
      <c r="H16166" t="s">
        <v>5</v>
      </c>
    </row>
    <row r="16167" spans="2:8" x14ac:dyDescent="0.2">
      <c r="B16167" s="3">
        <v>45975</v>
      </c>
      <c r="C16167" s="3"/>
      <c r="D16167" s="6"/>
      <c r="E16167" s="2"/>
      <c r="F16167" s="2"/>
      <c r="G16167" s="2">
        <f t="shared" si="252"/>
        <v>0</v>
      </c>
      <c r="H16167" s="1"/>
    </row>
    <row r="16168" spans="2:8" x14ac:dyDescent="0.2">
      <c r="B16168" s="3">
        <v>45975</v>
      </c>
      <c r="C16168" s="3"/>
      <c r="D16168" s="2"/>
      <c r="E16168" s="2"/>
      <c r="F16168" s="2"/>
      <c r="G16168" s="2">
        <f t="shared" si="252"/>
        <v>0</v>
      </c>
      <c r="H16168" t="s">
        <v>0</v>
      </c>
    </row>
    <row r="16169" spans="2:8" x14ac:dyDescent="0.2">
      <c r="B16169" s="3">
        <v>45976</v>
      </c>
      <c r="C16169" s="2"/>
      <c r="D16169" s="2"/>
      <c r="E16169" s="2"/>
      <c r="F16169" s="2"/>
      <c r="G16169" s="2">
        <f t="shared" si="252"/>
        <v>0</v>
      </c>
      <c r="H16169" t="s">
        <v>14</v>
      </c>
    </row>
    <row r="16170" spans="2:8" x14ac:dyDescent="0.2">
      <c r="B16170" s="3">
        <v>45976</v>
      </c>
      <c r="C16170" s="2"/>
      <c r="D16170" s="2"/>
      <c r="E16170" s="2"/>
      <c r="F16170" s="2"/>
      <c r="G16170" s="2">
        <f t="shared" si="252"/>
        <v>0</v>
      </c>
      <c r="H16170" t="s">
        <v>13</v>
      </c>
    </row>
    <row r="16171" spans="2:8" x14ac:dyDescent="0.2">
      <c r="B16171" s="3">
        <v>45976</v>
      </c>
      <c r="C16171" s="3"/>
      <c r="D16171" s="6"/>
      <c r="E16171" s="2"/>
      <c r="F16171" s="2"/>
      <c r="G16171" s="2">
        <f t="shared" si="252"/>
        <v>0</v>
      </c>
      <c r="H16171" t="s">
        <v>11</v>
      </c>
    </row>
    <row r="16172" spans="2:8" x14ac:dyDescent="0.2">
      <c r="B16172" s="3">
        <v>45976</v>
      </c>
      <c r="C16172" s="3"/>
      <c r="D16172" s="6"/>
      <c r="E16172" s="2"/>
      <c r="F16172" s="2"/>
      <c r="G16172" s="2">
        <f t="shared" si="252"/>
        <v>0</v>
      </c>
      <c r="H16172" t="s">
        <v>10</v>
      </c>
    </row>
    <row r="16173" spans="2:8" x14ac:dyDescent="0.2">
      <c r="B16173" s="3">
        <v>45976</v>
      </c>
      <c r="C16173" s="3"/>
      <c r="D16173" s="6"/>
      <c r="E16173" s="2"/>
      <c r="F16173" s="2"/>
      <c r="G16173" s="2">
        <f t="shared" si="252"/>
        <v>0</v>
      </c>
      <c r="H16173" t="s">
        <v>9</v>
      </c>
    </row>
    <row r="16174" spans="2:8" x14ac:dyDescent="0.2">
      <c r="B16174" s="3">
        <v>45976</v>
      </c>
      <c r="C16174" s="3"/>
      <c r="D16174" s="6"/>
      <c r="E16174" s="2"/>
      <c r="F16174" s="2"/>
      <c r="G16174" s="2">
        <f t="shared" si="252"/>
        <v>0</v>
      </c>
      <c r="H16174" t="s">
        <v>8</v>
      </c>
    </row>
    <row r="16175" spans="2:8" x14ac:dyDescent="0.2">
      <c r="B16175" s="3">
        <v>45976</v>
      </c>
      <c r="C16175" s="3"/>
      <c r="D16175" s="6"/>
      <c r="E16175" s="2"/>
      <c r="F16175" s="2"/>
      <c r="G16175" s="2">
        <f t="shared" si="252"/>
        <v>0</v>
      </c>
      <c r="H16175" t="s">
        <v>7</v>
      </c>
    </row>
    <row r="16176" spans="2:8" x14ac:dyDescent="0.2">
      <c r="B16176" s="3">
        <v>45976</v>
      </c>
      <c r="C16176" s="3"/>
      <c r="D16176" s="6"/>
      <c r="E16176" s="2"/>
      <c r="F16176" s="2"/>
      <c r="G16176" s="2">
        <f t="shared" si="252"/>
        <v>0</v>
      </c>
      <c r="H16176" t="s">
        <v>6</v>
      </c>
    </row>
    <row r="16177" spans="2:8" x14ac:dyDescent="0.2">
      <c r="B16177" s="3">
        <v>45976</v>
      </c>
      <c r="C16177" s="3"/>
      <c r="D16177" s="6"/>
      <c r="E16177" s="2"/>
      <c r="F16177" s="2"/>
      <c r="G16177" s="2">
        <f t="shared" si="252"/>
        <v>0</v>
      </c>
      <c r="H16177" t="s">
        <v>5</v>
      </c>
    </row>
    <row r="16178" spans="2:8" x14ac:dyDescent="0.2">
      <c r="B16178" s="3">
        <v>45976</v>
      </c>
      <c r="C16178" s="3"/>
      <c r="D16178" s="6"/>
      <c r="E16178" s="2"/>
      <c r="F16178" s="2"/>
      <c r="G16178" s="2">
        <f t="shared" si="252"/>
        <v>0</v>
      </c>
      <c r="H16178" s="1"/>
    </row>
    <row r="16179" spans="2:8" x14ac:dyDescent="0.2">
      <c r="B16179" s="3">
        <v>45976</v>
      </c>
      <c r="C16179" s="3"/>
      <c r="D16179" s="2"/>
      <c r="E16179" s="2"/>
      <c r="F16179" s="2"/>
      <c r="G16179" s="2">
        <f t="shared" si="252"/>
        <v>0</v>
      </c>
      <c r="H16179" t="s">
        <v>0</v>
      </c>
    </row>
    <row r="16180" spans="2:8" x14ac:dyDescent="0.2">
      <c r="B16180" s="3">
        <v>45977</v>
      </c>
      <c r="C16180" s="2" t="s">
        <v>95</v>
      </c>
      <c r="D16180" s="2">
        <v>43412.275000000001</v>
      </c>
      <c r="E16180" s="2">
        <v>50245.5</v>
      </c>
      <c r="F16180" s="2"/>
      <c r="G16180" s="2">
        <f t="shared" si="252"/>
        <v>50245.5</v>
      </c>
      <c r="H16180" t="s">
        <v>14</v>
      </c>
    </row>
    <row r="16181" spans="2:8" x14ac:dyDescent="0.2">
      <c r="B16181" s="3">
        <v>45977</v>
      </c>
      <c r="C16181" s="2"/>
      <c r="D16181" s="2"/>
      <c r="E16181" s="2"/>
      <c r="F16181" s="2"/>
      <c r="G16181" s="2">
        <f t="shared" si="252"/>
        <v>0</v>
      </c>
      <c r="H16181" t="s">
        <v>13</v>
      </c>
    </row>
    <row r="16182" spans="2:8" x14ac:dyDescent="0.2">
      <c r="B16182" s="3">
        <v>45977</v>
      </c>
      <c r="C16182" s="3"/>
      <c r="D16182" s="6"/>
      <c r="E16182" s="2"/>
      <c r="F16182" s="2"/>
      <c r="G16182" s="2">
        <f t="shared" si="252"/>
        <v>0</v>
      </c>
      <c r="H16182" t="s">
        <v>11</v>
      </c>
    </row>
    <row r="16183" spans="2:8" x14ac:dyDescent="0.2">
      <c r="B16183" s="3">
        <v>45977</v>
      </c>
      <c r="C16183" s="3"/>
      <c r="D16183" s="6"/>
      <c r="E16183" s="2"/>
      <c r="F16183" s="2"/>
      <c r="G16183" s="2">
        <f t="shared" si="252"/>
        <v>0</v>
      </c>
      <c r="H16183" t="s">
        <v>10</v>
      </c>
    </row>
    <row r="16184" spans="2:8" x14ac:dyDescent="0.2">
      <c r="B16184" s="3">
        <v>45977</v>
      </c>
      <c r="C16184" s="3"/>
      <c r="D16184" s="6"/>
      <c r="E16184" s="2"/>
      <c r="F16184" s="2"/>
      <c r="G16184" s="2">
        <f t="shared" si="252"/>
        <v>0</v>
      </c>
      <c r="H16184" t="s">
        <v>9</v>
      </c>
    </row>
    <row r="16185" spans="2:8" x14ac:dyDescent="0.2">
      <c r="B16185" s="3">
        <v>45977</v>
      </c>
      <c r="C16185" s="3"/>
      <c r="D16185" s="6"/>
      <c r="E16185" s="2"/>
      <c r="F16185" s="2"/>
      <c r="G16185" s="2">
        <f t="shared" si="252"/>
        <v>0</v>
      </c>
      <c r="H16185" t="s">
        <v>8</v>
      </c>
    </row>
    <row r="16186" spans="2:8" x14ac:dyDescent="0.2">
      <c r="B16186" s="3">
        <v>45977</v>
      </c>
      <c r="C16186" s="3"/>
      <c r="D16186" s="6"/>
      <c r="E16186" s="2"/>
      <c r="F16186" s="2"/>
      <c r="G16186" s="2">
        <f t="shared" si="252"/>
        <v>0</v>
      </c>
      <c r="H16186" t="s">
        <v>7</v>
      </c>
    </row>
    <row r="16187" spans="2:8" x14ac:dyDescent="0.2">
      <c r="B16187" s="3">
        <v>45977</v>
      </c>
      <c r="C16187" s="3"/>
      <c r="D16187" s="6"/>
      <c r="E16187" s="2"/>
      <c r="F16187" s="2"/>
      <c r="G16187" s="2">
        <f t="shared" si="252"/>
        <v>0</v>
      </c>
      <c r="H16187" t="s">
        <v>6</v>
      </c>
    </row>
    <row r="16188" spans="2:8" x14ac:dyDescent="0.2">
      <c r="B16188" s="3">
        <v>45977</v>
      </c>
      <c r="C16188" s="3"/>
      <c r="D16188" s="6"/>
      <c r="E16188" s="2"/>
      <c r="F16188" s="2"/>
      <c r="G16188" s="2">
        <f t="shared" si="252"/>
        <v>0</v>
      </c>
      <c r="H16188" t="s">
        <v>5</v>
      </c>
    </row>
    <row r="16189" spans="2:8" x14ac:dyDescent="0.2">
      <c r="B16189" s="3">
        <v>45977</v>
      </c>
      <c r="C16189" s="3"/>
      <c r="D16189" s="6"/>
      <c r="E16189" s="2"/>
      <c r="F16189" s="2"/>
      <c r="G16189" s="2">
        <f t="shared" si="252"/>
        <v>0</v>
      </c>
      <c r="H16189" s="1"/>
    </row>
    <row r="16190" spans="2:8" x14ac:dyDescent="0.2">
      <c r="B16190" s="3">
        <v>45977</v>
      </c>
      <c r="C16190" s="3"/>
      <c r="D16190" s="2">
        <v>39919.949999999997</v>
      </c>
      <c r="E16190" s="2">
        <v>41242.800000000003</v>
      </c>
      <c r="F16190" s="2"/>
      <c r="G16190" s="2">
        <f t="shared" si="252"/>
        <v>41242.800000000003</v>
      </c>
      <c r="H16190" t="s">
        <v>0</v>
      </c>
    </row>
    <row r="16191" spans="2:8" x14ac:dyDescent="0.2">
      <c r="B16191" s="3">
        <v>45978</v>
      </c>
      <c r="C16191" s="2"/>
      <c r="D16191" s="2"/>
      <c r="E16191" s="2"/>
      <c r="F16191" s="2"/>
      <c r="G16191" s="2">
        <f t="shared" si="252"/>
        <v>0</v>
      </c>
      <c r="H16191" t="s">
        <v>14</v>
      </c>
    </row>
    <row r="16192" spans="2:8" x14ac:dyDescent="0.2">
      <c r="B16192" s="3">
        <v>45978</v>
      </c>
      <c r="C16192" s="2"/>
      <c r="D16192" s="2"/>
      <c r="E16192" s="2"/>
      <c r="F16192" s="2"/>
      <c r="G16192" s="2">
        <f t="shared" si="252"/>
        <v>0</v>
      </c>
      <c r="H16192" t="s">
        <v>13</v>
      </c>
    </row>
    <row r="16193" spans="2:8" x14ac:dyDescent="0.2">
      <c r="B16193" s="3">
        <v>45978</v>
      </c>
      <c r="C16193" s="3"/>
      <c r="D16193" s="6"/>
      <c r="E16193" s="2"/>
      <c r="F16193" s="2"/>
      <c r="G16193" s="2">
        <f t="shared" si="252"/>
        <v>0</v>
      </c>
      <c r="H16193" t="s">
        <v>11</v>
      </c>
    </row>
    <row r="16194" spans="2:8" x14ac:dyDescent="0.2">
      <c r="B16194" s="3">
        <v>45978</v>
      </c>
      <c r="C16194" s="3"/>
      <c r="D16194" s="6"/>
      <c r="E16194" s="2"/>
      <c r="F16194" s="2"/>
      <c r="G16194" s="2">
        <f t="shared" si="252"/>
        <v>0</v>
      </c>
      <c r="H16194" t="s">
        <v>10</v>
      </c>
    </row>
    <row r="16195" spans="2:8" x14ac:dyDescent="0.2">
      <c r="B16195" s="3">
        <v>45978</v>
      </c>
      <c r="C16195" s="3"/>
      <c r="D16195" s="6"/>
      <c r="E16195" s="2"/>
      <c r="F16195" s="2"/>
      <c r="G16195" s="2">
        <f t="shared" ref="G16195:G16258" si="253">E16195-F16195</f>
        <v>0</v>
      </c>
      <c r="H16195" t="s">
        <v>9</v>
      </c>
    </row>
    <row r="16196" spans="2:8" x14ac:dyDescent="0.2">
      <c r="B16196" s="3">
        <v>45978</v>
      </c>
      <c r="C16196" s="3"/>
      <c r="D16196" s="6"/>
      <c r="E16196" s="2"/>
      <c r="F16196" s="2"/>
      <c r="G16196" s="2">
        <f t="shared" si="253"/>
        <v>0</v>
      </c>
      <c r="H16196" t="s">
        <v>8</v>
      </c>
    </row>
    <row r="16197" spans="2:8" x14ac:dyDescent="0.2">
      <c r="B16197" s="3">
        <v>45978</v>
      </c>
      <c r="C16197" s="3"/>
      <c r="D16197" s="6"/>
      <c r="E16197" s="2"/>
      <c r="F16197" s="2"/>
      <c r="G16197" s="2">
        <f t="shared" si="253"/>
        <v>0</v>
      </c>
      <c r="H16197" t="s">
        <v>7</v>
      </c>
    </row>
    <row r="16198" spans="2:8" x14ac:dyDescent="0.2">
      <c r="B16198" s="3">
        <v>45978</v>
      </c>
      <c r="C16198" s="3"/>
      <c r="D16198" s="6"/>
      <c r="E16198" s="2"/>
      <c r="F16198" s="2"/>
      <c r="G16198" s="2">
        <f t="shared" si="253"/>
        <v>0</v>
      </c>
      <c r="H16198" t="s">
        <v>6</v>
      </c>
    </row>
    <row r="16199" spans="2:8" x14ac:dyDescent="0.2">
      <c r="B16199" s="3">
        <v>45978</v>
      </c>
      <c r="C16199" s="3"/>
      <c r="D16199" s="6"/>
      <c r="E16199" s="2"/>
      <c r="F16199" s="2"/>
      <c r="G16199" s="2">
        <f t="shared" si="253"/>
        <v>0</v>
      </c>
      <c r="H16199" t="s">
        <v>5</v>
      </c>
    </row>
    <row r="16200" spans="2:8" x14ac:dyDescent="0.2">
      <c r="B16200" s="3">
        <v>45978</v>
      </c>
      <c r="C16200" s="3"/>
      <c r="D16200" s="6"/>
      <c r="E16200" s="2"/>
      <c r="F16200" s="2"/>
      <c r="G16200" s="2">
        <f t="shared" si="253"/>
        <v>0</v>
      </c>
      <c r="H16200" s="1"/>
    </row>
    <row r="16201" spans="2:8" x14ac:dyDescent="0.2">
      <c r="B16201" s="3">
        <v>45978</v>
      </c>
      <c r="C16201" s="3"/>
      <c r="D16201" s="2">
        <v>82368.05</v>
      </c>
      <c r="E16201" s="2">
        <v>85692.940000000017</v>
      </c>
      <c r="F16201" s="2"/>
      <c r="G16201" s="2">
        <f t="shared" si="253"/>
        <v>85692.940000000017</v>
      </c>
      <c r="H16201" t="s">
        <v>0</v>
      </c>
    </row>
    <row r="16202" spans="2:8" x14ac:dyDescent="0.2">
      <c r="B16202" s="3">
        <v>45979</v>
      </c>
      <c r="C16202" s="2"/>
      <c r="D16202" s="2"/>
      <c r="E16202" s="2"/>
      <c r="F16202" s="2"/>
      <c r="G16202" s="2">
        <f t="shared" si="253"/>
        <v>0</v>
      </c>
      <c r="H16202" t="s">
        <v>14</v>
      </c>
    </row>
    <row r="16203" spans="2:8" x14ac:dyDescent="0.2">
      <c r="B16203" s="3">
        <v>45979</v>
      </c>
      <c r="C16203" s="2"/>
      <c r="D16203" s="2"/>
      <c r="E16203" s="2"/>
      <c r="F16203" s="2"/>
      <c r="G16203" s="2">
        <f t="shared" si="253"/>
        <v>0</v>
      </c>
      <c r="H16203" t="s">
        <v>13</v>
      </c>
    </row>
    <row r="16204" spans="2:8" x14ac:dyDescent="0.2">
      <c r="B16204" s="3">
        <v>45979</v>
      </c>
      <c r="C16204" s="3"/>
      <c r="D16204" s="6"/>
      <c r="E16204" s="2"/>
      <c r="F16204" s="2"/>
      <c r="G16204" s="2">
        <f t="shared" si="253"/>
        <v>0</v>
      </c>
      <c r="H16204" t="s">
        <v>11</v>
      </c>
    </row>
    <row r="16205" spans="2:8" x14ac:dyDescent="0.2">
      <c r="B16205" s="3">
        <v>45979</v>
      </c>
      <c r="C16205" s="3"/>
      <c r="D16205" s="6"/>
      <c r="E16205" s="2"/>
      <c r="F16205" s="2"/>
      <c r="G16205" s="2">
        <f t="shared" si="253"/>
        <v>0</v>
      </c>
      <c r="H16205" t="s">
        <v>10</v>
      </c>
    </row>
    <row r="16206" spans="2:8" x14ac:dyDescent="0.2">
      <c r="B16206" s="3">
        <v>45979</v>
      </c>
      <c r="C16206" s="3"/>
      <c r="D16206" s="6"/>
      <c r="E16206" s="2"/>
      <c r="F16206" s="2"/>
      <c r="G16206" s="2">
        <f t="shared" si="253"/>
        <v>0</v>
      </c>
      <c r="H16206" t="s">
        <v>9</v>
      </c>
    </row>
    <row r="16207" spans="2:8" x14ac:dyDescent="0.2">
      <c r="B16207" s="3">
        <v>45979</v>
      </c>
      <c r="C16207" s="3"/>
      <c r="D16207" s="6"/>
      <c r="E16207" s="2"/>
      <c r="F16207" s="2"/>
      <c r="G16207" s="2">
        <f t="shared" si="253"/>
        <v>0</v>
      </c>
      <c r="H16207" t="s">
        <v>8</v>
      </c>
    </row>
    <row r="16208" spans="2:8" x14ac:dyDescent="0.2">
      <c r="B16208" s="3">
        <v>45979</v>
      </c>
      <c r="C16208" s="3"/>
      <c r="D16208" s="6"/>
      <c r="E16208" s="2"/>
      <c r="F16208" s="2"/>
      <c r="G16208" s="2">
        <f t="shared" si="253"/>
        <v>0</v>
      </c>
      <c r="H16208" t="s">
        <v>7</v>
      </c>
    </row>
    <row r="16209" spans="2:8" x14ac:dyDescent="0.2">
      <c r="B16209" s="3">
        <v>45979</v>
      </c>
      <c r="C16209" s="3"/>
      <c r="D16209" s="6"/>
      <c r="E16209" s="2"/>
      <c r="F16209" s="2"/>
      <c r="G16209" s="2">
        <f t="shared" si="253"/>
        <v>0</v>
      </c>
      <c r="H16209" t="s">
        <v>6</v>
      </c>
    </row>
    <row r="16210" spans="2:8" x14ac:dyDescent="0.2">
      <c r="B16210" s="3">
        <v>45979</v>
      </c>
      <c r="C16210" s="3"/>
      <c r="D16210" s="6"/>
      <c r="E16210" s="2"/>
      <c r="F16210" s="2"/>
      <c r="G16210" s="2">
        <f t="shared" si="253"/>
        <v>0</v>
      </c>
      <c r="H16210" t="s">
        <v>5</v>
      </c>
    </row>
    <row r="16211" spans="2:8" x14ac:dyDescent="0.2">
      <c r="B16211" s="3">
        <v>45979</v>
      </c>
      <c r="C16211" s="3"/>
      <c r="D16211" s="6"/>
      <c r="E16211" s="2"/>
      <c r="F16211" s="2"/>
      <c r="G16211" s="2">
        <f t="shared" si="253"/>
        <v>0</v>
      </c>
      <c r="H16211" s="1"/>
    </row>
    <row r="16212" spans="2:8" x14ac:dyDescent="0.2">
      <c r="B16212" s="3">
        <v>45979</v>
      </c>
      <c r="C16212" s="3"/>
      <c r="D16212" s="2"/>
      <c r="E16212" s="2"/>
      <c r="F16212" s="2"/>
      <c r="G16212" s="2">
        <f t="shared" si="253"/>
        <v>0</v>
      </c>
      <c r="H16212" t="s">
        <v>0</v>
      </c>
    </row>
    <row r="16213" spans="2:8" x14ac:dyDescent="0.2">
      <c r="B16213" s="3">
        <v>45980</v>
      </c>
      <c r="C16213" s="2">
        <v>142</v>
      </c>
      <c r="D16213" s="2">
        <v>4000</v>
      </c>
      <c r="E16213" s="2">
        <v>4500</v>
      </c>
      <c r="F16213" s="2">
        <v>29895</v>
      </c>
      <c r="G16213" s="2">
        <f t="shared" si="253"/>
        <v>-25395</v>
      </c>
      <c r="H16213" t="s">
        <v>14</v>
      </c>
    </row>
    <row r="16214" spans="2:8" x14ac:dyDescent="0.2">
      <c r="B16214" s="3">
        <v>45980</v>
      </c>
      <c r="C16214" s="2"/>
      <c r="D16214" s="2"/>
      <c r="E16214" s="2"/>
      <c r="F16214" s="2"/>
      <c r="G16214" s="2">
        <f t="shared" si="253"/>
        <v>0</v>
      </c>
      <c r="H16214" t="s">
        <v>13</v>
      </c>
    </row>
    <row r="16215" spans="2:8" x14ac:dyDescent="0.2">
      <c r="B16215" s="3">
        <v>45980</v>
      </c>
      <c r="C16215" s="3"/>
      <c r="D16215" s="6"/>
      <c r="E16215" s="2"/>
      <c r="F16215" s="2"/>
      <c r="G16215" s="2">
        <f t="shared" si="253"/>
        <v>0</v>
      </c>
      <c r="H16215" t="s">
        <v>11</v>
      </c>
    </row>
    <row r="16216" spans="2:8" x14ac:dyDescent="0.2">
      <c r="B16216" s="3">
        <v>45980</v>
      </c>
      <c r="C16216" s="3"/>
      <c r="D16216" s="6"/>
      <c r="E16216" s="2"/>
      <c r="F16216" s="2"/>
      <c r="G16216" s="2">
        <f t="shared" si="253"/>
        <v>0</v>
      </c>
      <c r="H16216" t="s">
        <v>10</v>
      </c>
    </row>
    <row r="16217" spans="2:8" x14ac:dyDescent="0.2">
      <c r="B16217" s="3">
        <v>45980</v>
      </c>
      <c r="C16217" s="3"/>
      <c r="D16217" s="6"/>
      <c r="E16217" s="2"/>
      <c r="F16217" s="2"/>
      <c r="G16217" s="2">
        <f t="shared" si="253"/>
        <v>0</v>
      </c>
      <c r="H16217" t="s">
        <v>9</v>
      </c>
    </row>
    <row r="16218" spans="2:8" x14ac:dyDescent="0.2">
      <c r="B16218" s="3">
        <v>45980</v>
      </c>
      <c r="C16218" s="3"/>
      <c r="D16218" s="6"/>
      <c r="E16218" s="2"/>
      <c r="F16218" s="2"/>
      <c r="G16218" s="2">
        <f t="shared" si="253"/>
        <v>0</v>
      </c>
      <c r="H16218" t="s">
        <v>8</v>
      </c>
    </row>
    <row r="16219" spans="2:8" x14ac:dyDescent="0.2">
      <c r="B16219" s="3">
        <v>45980</v>
      </c>
      <c r="C16219" s="3"/>
      <c r="D16219" s="6"/>
      <c r="E16219" s="2"/>
      <c r="F16219" s="2"/>
      <c r="G16219" s="2">
        <f t="shared" si="253"/>
        <v>0</v>
      </c>
      <c r="H16219" t="s">
        <v>7</v>
      </c>
    </row>
    <row r="16220" spans="2:8" x14ac:dyDescent="0.2">
      <c r="B16220" s="3">
        <v>45980</v>
      </c>
      <c r="C16220" s="3"/>
      <c r="D16220" s="6"/>
      <c r="E16220" s="2"/>
      <c r="F16220" s="2"/>
      <c r="G16220" s="2">
        <f t="shared" si="253"/>
        <v>0</v>
      </c>
      <c r="H16220" t="s">
        <v>6</v>
      </c>
    </row>
    <row r="16221" spans="2:8" x14ac:dyDescent="0.2">
      <c r="B16221" s="3">
        <v>45980</v>
      </c>
      <c r="C16221" s="3"/>
      <c r="D16221" s="6"/>
      <c r="E16221" s="2"/>
      <c r="F16221" s="2"/>
      <c r="G16221" s="2">
        <f t="shared" si="253"/>
        <v>0</v>
      </c>
      <c r="H16221" t="s">
        <v>5</v>
      </c>
    </row>
    <row r="16222" spans="2:8" x14ac:dyDescent="0.2">
      <c r="B16222" s="3">
        <v>45980</v>
      </c>
      <c r="C16222" s="3"/>
      <c r="D16222" s="6"/>
      <c r="E16222" s="2"/>
      <c r="F16222" s="2"/>
      <c r="G16222" s="2">
        <f t="shared" si="253"/>
        <v>0</v>
      </c>
      <c r="H16222" s="1"/>
    </row>
    <row r="16223" spans="2:8" x14ac:dyDescent="0.2">
      <c r="B16223" s="3">
        <v>45980</v>
      </c>
      <c r="C16223" s="3"/>
      <c r="D16223" s="2"/>
      <c r="E16223" s="2"/>
      <c r="F16223" s="2"/>
      <c r="G16223" s="2">
        <f t="shared" si="253"/>
        <v>0</v>
      </c>
      <c r="H16223" t="s">
        <v>0</v>
      </c>
    </row>
    <row r="16224" spans="2:8" x14ac:dyDescent="0.2">
      <c r="B16224" s="3">
        <v>45981</v>
      </c>
      <c r="C16224" s="2"/>
      <c r="D16224" s="2"/>
      <c r="E16224" s="2"/>
      <c r="F16224" s="2"/>
      <c r="G16224" s="2">
        <f t="shared" si="253"/>
        <v>0</v>
      </c>
      <c r="H16224" t="s">
        <v>14</v>
      </c>
    </row>
    <row r="16225" spans="2:8" x14ac:dyDescent="0.2">
      <c r="B16225" s="3">
        <v>45981</v>
      </c>
      <c r="C16225" s="2"/>
      <c r="D16225" s="2"/>
      <c r="E16225" s="2"/>
      <c r="F16225" s="2"/>
      <c r="G16225" s="2">
        <f t="shared" si="253"/>
        <v>0</v>
      </c>
      <c r="H16225" t="s">
        <v>13</v>
      </c>
    </row>
    <row r="16226" spans="2:8" x14ac:dyDescent="0.2">
      <c r="B16226" s="3">
        <v>45981</v>
      </c>
      <c r="C16226" s="3"/>
      <c r="D16226" s="6"/>
      <c r="E16226" s="2"/>
      <c r="F16226" s="2"/>
      <c r="G16226" s="2">
        <f t="shared" si="253"/>
        <v>0</v>
      </c>
      <c r="H16226" t="s">
        <v>11</v>
      </c>
    </row>
    <row r="16227" spans="2:8" x14ac:dyDescent="0.2">
      <c r="B16227" s="3">
        <v>45981</v>
      </c>
      <c r="C16227" s="3"/>
      <c r="D16227" s="6"/>
      <c r="E16227" s="2"/>
      <c r="F16227" s="2"/>
      <c r="G16227" s="2">
        <f t="shared" si="253"/>
        <v>0</v>
      </c>
      <c r="H16227" t="s">
        <v>10</v>
      </c>
    </row>
    <row r="16228" spans="2:8" x14ac:dyDescent="0.2">
      <c r="B16228" s="3">
        <v>45981</v>
      </c>
      <c r="C16228" s="3"/>
      <c r="D16228" s="6"/>
      <c r="E16228" s="2"/>
      <c r="F16228" s="2"/>
      <c r="G16228" s="2">
        <f t="shared" si="253"/>
        <v>0</v>
      </c>
      <c r="H16228" t="s">
        <v>9</v>
      </c>
    </row>
    <row r="16229" spans="2:8" x14ac:dyDescent="0.2">
      <c r="B16229" s="3">
        <v>45981</v>
      </c>
      <c r="C16229" s="2">
        <v>143</v>
      </c>
      <c r="D16229" s="6">
        <v>16850</v>
      </c>
      <c r="E16229" s="2">
        <v>19800</v>
      </c>
      <c r="F16229" s="2">
        <v>35000</v>
      </c>
      <c r="G16229" s="2">
        <f t="shared" si="253"/>
        <v>-15200</v>
      </c>
      <c r="H16229" t="s">
        <v>8</v>
      </c>
    </row>
    <row r="16230" spans="2:8" x14ac:dyDescent="0.2">
      <c r="B16230" s="3">
        <v>45981</v>
      </c>
      <c r="C16230" s="3"/>
      <c r="D16230" s="6"/>
      <c r="E16230" s="2"/>
      <c r="F16230" s="2"/>
      <c r="G16230" s="2">
        <f t="shared" si="253"/>
        <v>0</v>
      </c>
      <c r="H16230" t="s">
        <v>7</v>
      </c>
    </row>
    <row r="16231" spans="2:8" x14ac:dyDescent="0.2">
      <c r="B16231" s="3">
        <v>45981</v>
      </c>
      <c r="C16231" s="3"/>
      <c r="D16231" s="6"/>
      <c r="E16231" s="2"/>
      <c r="F16231" s="2"/>
      <c r="G16231" s="2">
        <f t="shared" si="253"/>
        <v>0</v>
      </c>
      <c r="H16231" t="s">
        <v>6</v>
      </c>
    </row>
    <row r="16232" spans="2:8" x14ac:dyDescent="0.2">
      <c r="B16232" s="3">
        <v>45981</v>
      </c>
      <c r="C16232" s="3"/>
      <c r="D16232" s="6"/>
      <c r="E16232" s="2"/>
      <c r="F16232" s="2"/>
      <c r="G16232" s="2">
        <f t="shared" si="253"/>
        <v>0</v>
      </c>
      <c r="H16232" t="s">
        <v>5</v>
      </c>
    </row>
    <row r="16233" spans="2:8" x14ac:dyDescent="0.2">
      <c r="B16233" s="3">
        <v>45981</v>
      </c>
      <c r="C16233" s="3"/>
      <c r="D16233" s="6"/>
      <c r="E16233" s="2"/>
      <c r="F16233" s="2"/>
      <c r="G16233" s="2">
        <f t="shared" si="253"/>
        <v>0</v>
      </c>
      <c r="H16233" s="1"/>
    </row>
    <row r="16234" spans="2:8" x14ac:dyDescent="0.2">
      <c r="B16234" s="3">
        <v>45981</v>
      </c>
      <c r="C16234" s="3"/>
      <c r="D16234" s="2"/>
      <c r="E16234" s="2"/>
      <c r="F16234" s="2"/>
      <c r="G16234" s="2">
        <f t="shared" si="253"/>
        <v>0</v>
      </c>
      <c r="H16234" t="s">
        <v>0</v>
      </c>
    </row>
    <row r="16235" spans="2:8" x14ac:dyDescent="0.2">
      <c r="B16235" s="3">
        <v>45982</v>
      </c>
      <c r="C16235" s="2"/>
      <c r="D16235" s="2"/>
      <c r="E16235" s="2"/>
      <c r="F16235" s="2"/>
      <c r="G16235" s="2">
        <f t="shared" si="253"/>
        <v>0</v>
      </c>
      <c r="H16235" t="s">
        <v>14</v>
      </c>
    </row>
    <row r="16236" spans="2:8" x14ac:dyDescent="0.2">
      <c r="B16236" s="3">
        <v>45982</v>
      </c>
      <c r="C16236" s="2"/>
      <c r="D16236" s="2"/>
      <c r="E16236" s="2"/>
      <c r="F16236" s="2"/>
      <c r="G16236" s="2">
        <f t="shared" si="253"/>
        <v>0</v>
      </c>
      <c r="H16236" t="s">
        <v>13</v>
      </c>
    </row>
    <row r="16237" spans="2:8" x14ac:dyDescent="0.2">
      <c r="B16237" s="3">
        <v>45982</v>
      </c>
      <c r="C16237" s="3"/>
      <c r="D16237" s="6"/>
      <c r="E16237" s="2"/>
      <c r="F16237" s="2"/>
      <c r="G16237" s="2">
        <f t="shared" si="253"/>
        <v>0</v>
      </c>
      <c r="H16237" t="s">
        <v>11</v>
      </c>
    </row>
    <row r="16238" spans="2:8" x14ac:dyDescent="0.2">
      <c r="B16238" s="3">
        <v>45982</v>
      </c>
      <c r="C16238" s="3"/>
      <c r="D16238" s="6"/>
      <c r="E16238" s="2"/>
      <c r="F16238" s="2"/>
      <c r="G16238" s="2">
        <f t="shared" si="253"/>
        <v>0</v>
      </c>
      <c r="H16238" t="s">
        <v>10</v>
      </c>
    </row>
    <row r="16239" spans="2:8" x14ac:dyDescent="0.2">
      <c r="B16239" s="3">
        <v>45982</v>
      </c>
      <c r="C16239" s="3"/>
      <c r="D16239" s="6"/>
      <c r="E16239" s="2"/>
      <c r="F16239" s="2"/>
      <c r="G16239" s="2">
        <f t="shared" si="253"/>
        <v>0</v>
      </c>
      <c r="H16239" t="s">
        <v>9</v>
      </c>
    </row>
    <row r="16240" spans="2:8" x14ac:dyDescent="0.2">
      <c r="B16240" s="3">
        <v>45982</v>
      </c>
      <c r="C16240" s="3"/>
      <c r="D16240" s="6"/>
      <c r="E16240" s="2"/>
      <c r="F16240" s="2"/>
      <c r="G16240" s="2">
        <f t="shared" si="253"/>
        <v>0</v>
      </c>
      <c r="H16240" t="s">
        <v>8</v>
      </c>
    </row>
    <row r="16241" spans="2:8" x14ac:dyDescent="0.2">
      <c r="B16241" s="3">
        <v>45982</v>
      </c>
      <c r="C16241" s="3"/>
      <c r="D16241" s="6"/>
      <c r="E16241" s="2"/>
      <c r="F16241" s="2"/>
      <c r="G16241" s="2">
        <f t="shared" si="253"/>
        <v>0</v>
      </c>
      <c r="H16241" t="s">
        <v>7</v>
      </c>
    </row>
    <row r="16242" spans="2:8" x14ac:dyDescent="0.2">
      <c r="B16242" s="3">
        <v>45982</v>
      </c>
      <c r="C16242" s="3"/>
      <c r="D16242" s="6"/>
      <c r="E16242" s="2"/>
      <c r="F16242" s="2"/>
      <c r="G16242" s="2">
        <f t="shared" si="253"/>
        <v>0</v>
      </c>
      <c r="H16242" t="s">
        <v>6</v>
      </c>
    </row>
    <row r="16243" spans="2:8" x14ac:dyDescent="0.2">
      <c r="B16243" s="3">
        <v>45982</v>
      </c>
      <c r="C16243" s="3"/>
      <c r="D16243" s="6"/>
      <c r="E16243" s="2"/>
      <c r="F16243" s="2"/>
      <c r="G16243" s="2">
        <f t="shared" si="253"/>
        <v>0</v>
      </c>
      <c r="H16243" t="s">
        <v>5</v>
      </c>
    </row>
    <row r="16244" spans="2:8" x14ac:dyDescent="0.2">
      <c r="B16244" s="3">
        <v>45982</v>
      </c>
      <c r="C16244" s="3"/>
      <c r="D16244" s="6"/>
      <c r="E16244" s="2"/>
      <c r="F16244" s="2"/>
      <c r="G16244" s="2">
        <f t="shared" si="253"/>
        <v>0</v>
      </c>
      <c r="H16244" s="1"/>
    </row>
    <row r="16245" spans="2:8" x14ac:dyDescent="0.2">
      <c r="B16245" s="3">
        <v>45982</v>
      </c>
      <c r="C16245" s="3"/>
      <c r="D16245" s="2"/>
      <c r="E16245" s="2"/>
      <c r="F16245" s="2"/>
      <c r="G16245" s="2">
        <f t="shared" si="253"/>
        <v>0</v>
      </c>
      <c r="H16245" t="s">
        <v>0</v>
      </c>
    </row>
    <row r="16246" spans="2:8" x14ac:dyDescent="0.2">
      <c r="B16246" s="3">
        <v>45983</v>
      </c>
      <c r="C16246" s="2"/>
      <c r="D16246" s="2"/>
      <c r="E16246" s="2"/>
      <c r="F16246" s="2"/>
      <c r="G16246" s="2">
        <f t="shared" si="253"/>
        <v>0</v>
      </c>
      <c r="H16246" t="s">
        <v>14</v>
      </c>
    </row>
    <row r="16247" spans="2:8" x14ac:dyDescent="0.2">
      <c r="B16247" s="3">
        <v>45983</v>
      </c>
      <c r="C16247" s="2"/>
      <c r="D16247" s="2"/>
      <c r="E16247" s="2"/>
      <c r="F16247" s="2"/>
      <c r="G16247" s="2">
        <f t="shared" si="253"/>
        <v>0</v>
      </c>
      <c r="H16247" t="s">
        <v>13</v>
      </c>
    </row>
    <row r="16248" spans="2:8" x14ac:dyDescent="0.2">
      <c r="B16248" s="3">
        <v>45983</v>
      </c>
      <c r="C16248" s="3"/>
      <c r="D16248" s="6"/>
      <c r="E16248" s="2"/>
      <c r="F16248" s="2"/>
      <c r="G16248" s="2">
        <f t="shared" si="253"/>
        <v>0</v>
      </c>
      <c r="H16248" t="s">
        <v>11</v>
      </c>
    </row>
    <row r="16249" spans="2:8" x14ac:dyDescent="0.2">
      <c r="B16249" s="3">
        <v>45983</v>
      </c>
      <c r="C16249" s="3"/>
      <c r="D16249" s="6"/>
      <c r="E16249" s="2"/>
      <c r="F16249" s="2"/>
      <c r="G16249" s="2">
        <f t="shared" si="253"/>
        <v>0</v>
      </c>
      <c r="H16249" t="s">
        <v>10</v>
      </c>
    </row>
    <row r="16250" spans="2:8" x14ac:dyDescent="0.2">
      <c r="B16250" s="3">
        <v>45983</v>
      </c>
      <c r="C16250" s="3"/>
      <c r="D16250" s="6"/>
      <c r="E16250" s="2"/>
      <c r="F16250" s="2"/>
      <c r="G16250" s="2">
        <f t="shared" si="253"/>
        <v>0</v>
      </c>
      <c r="H16250" t="s">
        <v>9</v>
      </c>
    </row>
    <row r="16251" spans="2:8" x14ac:dyDescent="0.2">
      <c r="B16251" s="3">
        <v>45983</v>
      </c>
      <c r="C16251" s="3"/>
      <c r="D16251" s="6"/>
      <c r="E16251" s="2"/>
      <c r="F16251" s="2"/>
      <c r="G16251" s="2">
        <f t="shared" si="253"/>
        <v>0</v>
      </c>
      <c r="H16251" t="s">
        <v>8</v>
      </c>
    </row>
    <row r="16252" spans="2:8" x14ac:dyDescent="0.2">
      <c r="B16252" s="3">
        <v>45983</v>
      </c>
      <c r="C16252" s="3"/>
      <c r="D16252" s="6"/>
      <c r="E16252" s="2"/>
      <c r="F16252" s="2"/>
      <c r="G16252" s="2">
        <f t="shared" si="253"/>
        <v>0</v>
      </c>
      <c r="H16252" t="s">
        <v>7</v>
      </c>
    </row>
    <row r="16253" spans="2:8" x14ac:dyDescent="0.2">
      <c r="B16253" s="3">
        <v>45983</v>
      </c>
      <c r="C16253" s="3"/>
      <c r="D16253" s="6"/>
      <c r="E16253" s="2"/>
      <c r="F16253" s="2"/>
      <c r="G16253" s="2">
        <f t="shared" si="253"/>
        <v>0</v>
      </c>
      <c r="H16253" t="s">
        <v>6</v>
      </c>
    </row>
    <row r="16254" spans="2:8" x14ac:dyDescent="0.2">
      <c r="B16254" s="3">
        <v>45983</v>
      </c>
      <c r="C16254" s="3"/>
      <c r="D16254" s="6"/>
      <c r="E16254" s="2"/>
      <c r="F16254" s="2"/>
      <c r="G16254" s="2">
        <f t="shared" si="253"/>
        <v>0</v>
      </c>
      <c r="H16254" t="s">
        <v>5</v>
      </c>
    </row>
    <row r="16255" spans="2:8" x14ac:dyDescent="0.2">
      <c r="B16255" s="3">
        <v>45983</v>
      </c>
      <c r="C16255" s="3"/>
      <c r="D16255" s="6"/>
      <c r="E16255" s="2"/>
      <c r="F16255" s="2"/>
      <c r="G16255" s="2">
        <f t="shared" si="253"/>
        <v>0</v>
      </c>
      <c r="H16255" s="1"/>
    </row>
    <row r="16256" spans="2:8" x14ac:dyDescent="0.2">
      <c r="B16256" s="3">
        <v>45983</v>
      </c>
      <c r="C16256" s="3"/>
      <c r="D16256" s="2"/>
      <c r="E16256" s="2"/>
      <c r="F16256" s="2"/>
      <c r="G16256" s="2">
        <f t="shared" si="253"/>
        <v>0</v>
      </c>
      <c r="H16256" t="s">
        <v>0</v>
      </c>
    </row>
    <row r="16257" spans="2:8" x14ac:dyDescent="0.2">
      <c r="B16257" s="3">
        <v>45984</v>
      </c>
      <c r="C16257" s="2"/>
      <c r="D16257" s="2"/>
      <c r="E16257" s="2"/>
      <c r="F16257" s="2"/>
      <c r="G16257" s="2">
        <f t="shared" si="253"/>
        <v>0</v>
      </c>
      <c r="H16257" t="s">
        <v>14</v>
      </c>
    </row>
    <row r="16258" spans="2:8" x14ac:dyDescent="0.2">
      <c r="B16258" s="3">
        <v>45984</v>
      </c>
      <c r="C16258" s="2"/>
      <c r="D16258" s="2"/>
      <c r="E16258" s="2"/>
      <c r="F16258" s="2"/>
      <c r="G16258" s="2">
        <f t="shared" si="253"/>
        <v>0</v>
      </c>
      <c r="H16258" t="s">
        <v>13</v>
      </c>
    </row>
    <row r="16259" spans="2:8" x14ac:dyDescent="0.2">
      <c r="B16259" s="3">
        <v>45984</v>
      </c>
      <c r="C16259" s="3"/>
      <c r="D16259" s="6"/>
      <c r="E16259" s="2"/>
      <c r="F16259" s="2"/>
      <c r="G16259" s="2">
        <f t="shared" ref="G16259:G16322" si="254">E16259-F16259</f>
        <v>0</v>
      </c>
      <c r="H16259" t="s">
        <v>11</v>
      </c>
    </row>
    <row r="16260" spans="2:8" x14ac:dyDescent="0.2">
      <c r="B16260" s="3">
        <v>45984</v>
      </c>
      <c r="C16260" s="3"/>
      <c r="D16260" s="6"/>
      <c r="E16260" s="2"/>
      <c r="F16260" s="2"/>
      <c r="G16260" s="2">
        <f t="shared" si="254"/>
        <v>0</v>
      </c>
      <c r="H16260" t="s">
        <v>10</v>
      </c>
    </row>
    <row r="16261" spans="2:8" x14ac:dyDescent="0.2">
      <c r="B16261" s="3">
        <v>45984</v>
      </c>
      <c r="C16261" s="3"/>
      <c r="D16261" s="6"/>
      <c r="E16261" s="2"/>
      <c r="F16261" s="2"/>
      <c r="G16261" s="2">
        <f t="shared" si="254"/>
        <v>0</v>
      </c>
      <c r="H16261" t="s">
        <v>9</v>
      </c>
    </row>
    <row r="16262" spans="2:8" x14ac:dyDescent="0.2">
      <c r="B16262" s="3">
        <v>45984</v>
      </c>
      <c r="C16262" s="3"/>
      <c r="D16262" s="6"/>
      <c r="E16262" s="2"/>
      <c r="F16262" s="2"/>
      <c r="G16262" s="2">
        <f t="shared" si="254"/>
        <v>0</v>
      </c>
      <c r="H16262" t="s">
        <v>8</v>
      </c>
    </row>
    <row r="16263" spans="2:8" x14ac:dyDescent="0.2">
      <c r="B16263" s="3">
        <v>45984</v>
      </c>
      <c r="C16263" s="3"/>
      <c r="D16263" s="6"/>
      <c r="E16263" s="2"/>
      <c r="F16263" s="2"/>
      <c r="G16263" s="2">
        <f t="shared" si="254"/>
        <v>0</v>
      </c>
      <c r="H16263" t="s">
        <v>7</v>
      </c>
    </row>
    <row r="16264" spans="2:8" x14ac:dyDescent="0.2">
      <c r="B16264" s="3">
        <v>45984</v>
      </c>
      <c r="C16264" s="3"/>
      <c r="D16264" s="6"/>
      <c r="E16264" s="2"/>
      <c r="F16264" s="2"/>
      <c r="G16264" s="2">
        <f t="shared" si="254"/>
        <v>0</v>
      </c>
      <c r="H16264" t="s">
        <v>6</v>
      </c>
    </row>
    <row r="16265" spans="2:8" x14ac:dyDescent="0.2">
      <c r="B16265" s="3">
        <v>45984</v>
      </c>
      <c r="C16265" s="3"/>
      <c r="D16265" s="6"/>
      <c r="E16265" s="2"/>
      <c r="F16265" s="2"/>
      <c r="G16265" s="2">
        <f t="shared" si="254"/>
        <v>0</v>
      </c>
      <c r="H16265" t="s">
        <v>5</v>
      </c>
    </row>
    <row r="16266" spans="2:8" x14ac:dyDescent="0.2">
      <c r="B16266" s="3">
        <v>45984</v>
      </c>
      <c r="C16266" s="3"/>
      <c r="D16266" s="6"/>
      <c r="E16266" s="2"/>
      <c r="F16266" s="2">
        <v>5000</v>
      </c>
      <c r="G16266" s="2">
        <f t="shared" si="254"/>
        <v>-5000</v>
      </c>
      <c r="H16266" s="1" t="s">
        <v>77</v>
      </c>
    </row>
    <row r="16267" spans="2:8" x14ac:dyDescent="0.2">
      <c r="B16267" s="3">
        <v>45984</v>
      </c>
      <c r="C16267" s="3"/>
      <c r="D16267" s="2"/>
      <c r="E16267" s="2"/>
      <c r="F16267" s="2"/>
      <c r="G16267" s="2">
        <f t="shared" si="254"/>
        <v>0</v>
      </c>
      <c r="H16267" t="s">
        <v>0</v>
      </c>
    </row>
    <row r="16268" spans="2:8" x14ac:dyDescent="0.2">
      <c r="B16268" s="3">
        <v>45985</v>
      </c>
      <c r="C16268" s="2"/>
      <c r="D16268" s="2"/>
      <c r="E16268" s="2"/>
      <c r="F16268" s="2"/>
      <c r="G16268" s="2">
        <f t="shared" si="254"/>
        <v>0</v>
      </c>
      <c r="H16268" t="s">
        <v>14</v>
      </c>
    </row>
    <row r="16269" spans="2:8" x14ac:dyDescent="0.2">
      <c r="B16269" s="3">
        <v>45985</v>
      </c>
      <c r="C16269" s="2"/>
      <c r="D16269" s="2"/>
      <c r="E16269" s="2"/>
      <c r="F16269" s="2"/>
      <c r="G16269" s="2">
        <f t="shared" si="254"/>
        <v>0</v>
      </c>
      <c r="H16269" t="s">
        <v>13</v>
      </c>
    </row>
    <row r="16270" spans="2:8" x14ac:dyDescent="0.2">
      <c r="B16270" s="3">
        <v>45985</v>
      </c>
      <c r="C16270" s="3"/>
      <c r="D16270" s="6"/>
      <c r="E16270" s="2"/>
      <c r="F16270" s="2"/>
      <c r="G16270" s="2">
        <f t="shared" si="254"/>
        <v>0</v>
      </c>
      <c r="H16270" t="s">
        <v>11</v>
      </c>
    </row>
    <row r="16271" spans="2:8" x14ac:dyDescent="0.2">
      <c r="B16271" s="3">
        <v>45985</v>
      </c>
      <c r="C16271" s="3"/>
      <c r="D16271" s="6"/>
      <c r="E16271" s="2"/>
      <c r="F16271" s="2"/>
      <c r="G16271" s="2">
        <f t="shared" si="254"/>
        <v>0</v>
      </c>
      <c r="H16271" t="s">
        <v>10</v>
      </c>
    </row>
    <row r="16272" spans="2:8" x14ac:dyDescent="0.2">
      <c r="B16272" s="3">
        <v>45985</v>
      </c>
      <c r="C16272" s="3"/>
      <c r="D16272" s="6"/>
      <c r="E16272" s="2"/>
      <c r="F16272" s="2"/>
      <c r="G16272" s="2">
        <f t="shared" si="254"/>
        <v>0</v>
      </c>
      <c r="H16272" t="s">
        <v>9</v>
      </c>
    </row>
    <row r="16273" spans="2:8" x14ac:dyDescent="0.2">
      <c r="B16273" s="3">
        <v>45985</v>
      </c>
      <c r="C16273" s="3"/>
      <c r="D16273" s="6"/>
      <c r="E16273" s="2"/>
      <c r="F16273" s="2"/>
      <c r="G16273" s="2">
        <f t="shared" si="254"/>
        <v>0</v>
      </c>
      <c r="H16273" t="s">
        <v>8</v>
      </c>
    </row>
    <row r="16274" spans="2:8" x14ac:dyDescent="0.2">
      <c r="B16274" s="3">
        <v>45985</v>
      </c>
      <c r="C16274" s="3"/>
      <c r="D16274" s="6"/>
      <c r="E16274" s="2"/>
      <c r="F16274" s="2"/>
      <c r="G16274" s="2">
        <f t="shared" si="254"/>
        <v>0</v>
      </c>
      <c r="H16274" t="s">
        <v>7</v>
      </c>
    </row>
    <row r="16275" spans="2:8" x14ac:dyDescent="0.2">
      <c r="B16275" s="3">
        <v>45985</v>
      </c>
      <c r="C16275" s="3"/>
      <c r="D16275" s="6"/>
      <c r="E16275" s="2"/>
      <c r="F16275" s="2"/>
      <c r="G16275" s="2">
        <f t="shared" si="254"/>
        <v>0</v>
      </c>
      <c r="H16275" t="s">
        <v>6</v>
      </c>
    </row>
    <row r="16276" spans="2:8" x14ac:dyDescent="0.2">
      <c r="B16276" s="3">
        <v>45985</v>
      </c>
      <c r="C16276" s="3"/>
      <c r="D16276" s="6"/>
      <c r="E16276" s="2"/>
      <c r="F16276" s="2"/>
      <c r="G16276" s="2">
        <f t="shared" si="254"/>
        <v>0</v>
      </c>
      <c r="H16276" t="s">
        <v>5</v>
      </c>
    </row>
    <row r="16277" spans="2:8" x14ac:dyDescent="0.2">
      <c r="B16277" s="3">
        <v>45985</v>
      </c>
      <c r="C16277" s="3"/>
      <c r="D16277" s="6"/>
      <c r="E16277" s="2"/>
      <c r="F16277" s="2"/>
      <c r="G16277" s="2">
        <f t="shared" si="254"/>
        <v>0</v>
      </c>
      <c r="H16277" s="1"/>
    </row>
    <row r="16278" spans="2:8" x14ac:dyDescent="0.2">
      <c r="B16278" s="3">
        <v>45985</v>
      </c>
      <c r="C16278" s="3"/>
      <c r="D16278" s="2"/>
      <c r="E16278" s="2"/>
      <c r="F16278" s="2"/>
      <c r="G16278" s="2">
        <f t="shared" si="254"/>
        <v>0</v>
      </c>
      <c r="H16278" t="s">
        <v>0</v>
      </c>
    </row>
    <row r="16279" spans="2:8" x14ac:dyDescent="0.2">
      <c r="B16279" s="3">
        <v>45986</v>
      </c>
      <c r="C16279" s="2"/>
      <c r="D16279" s="2"/>
      <c r="E16279" s="2"/>
      <c r="F16279" s="2"/>
      <c r="G16279" s="2">
        <f t="shared" si="254"/>
        <v>0</v>
      </c>
      <c r="H16279" t="s">
        <v>14</v>
      </c>
    </row>
    <row r="16280" spans="2:8" x14ac:dyDescent="0.2">
      <c r="B16280" s="3">
        <v>45986</v>
      </c>
      <c r="C16280" s="2"/>
      <c r="D16280" s="2"/>
      <c r="E16280" s="2"/>
      <c r="F16280" s="2"/>
      <c r="G16280" s="2">
        <f t="shared" si="254"/>
        <v>0</v>
      </c>
      <c r="H16280" t="s">
        <v>13</v>
      </c>
    </row>
    <row r="16281" spans="2:8" x14ac:dyDescent="0.2">
      <c r="B16281" s="3">
        <v>45986</v>
      </c>
      <c r="C16281" s="3"/>
      <c r="D16281" s="6"/>
      <c r="E16281" s="2"/>
      <c r="F16281" s="2"/>
      <c r="G16281" s="2">
        <f t="shared" si="254"/>
        <v>0</v>
      </c>
      <c r="H16281" t="s">
        <v>11</v>
      </c>
    </row>
    <row r="16282" spans="2:8" x14ac:dyDescent="0.2">
      <c r="B16282" s="3">
        <v>45986</v>
      </c>
      <c r="C16282" s="3"/>
      <c r="D16282" s="6"/>
      <c r="E16282" s="2"/>
      <c r="F16282" s="2"/>
      <c r="G16282" s="2">
        <f t="shared" si="254"/>
        <v>0</v>
      </c>
      <c r="H16282" t="s">
        <v>10</v>
      </c>
    </row>
    <row r="16283" spans="2:8" x14ac:dyDescent="0.2">
      <c r="B16283" s="3">
        <v>45986</v>
      </c>
      <c r="C16283" s="3"/>
      <c r="D16283" s="6"/>
      <c r="E16283" s="2"/>
      <c r="F16283" s="2"/>
      <c r="G16283" s="2">
        <f t="shared" si="254"/>
        <v>0</v>
      </c>
      <c r="H16283" t="s">
        <v>9</v>
      </c>
    </row>
    <row r="16284" spans="2:8" x14ac:dyDescent="0.2">
      <c r="B16284" s="3">
        <v>45986</v>
      </c>
      <c r="C16284" s="2">
        <v>144</v>
      </c>
      <c r="D16284" s="6">
        <v>18600</v>
      </c>
      <c r="E16284" s="2">
        <v>23400</v>
      </c>
      <c r="F16284" s="2"/>
      <c r="G16284" s="2">
        <f t="shared" si="254"/>
        <v>23400</v>
      </c>
      <c r="H16284" t="s">
        <v>8</v>
      </c>
    </row>
    <row r="16285" spans="2:8" x14ac:dyDescent="0.2">
      <c r="B16285" s="3">
        <v>45986</v>
      </c>
      <c r="C16285" s="3"/>
      <c r="D16285" s="6"/>
      <c r="E16285" s="2"/>
      <c r="F16285" s="2"/>
      <c r="G16285" s="2">
        <f t="shared" si="254"/>
        <v>0</v>
      </c>
      <c r="H16285" t="s">
        <v>7</v>
      </c>
    </row>
    <row r="16286" spans="2:8" x14ac:dyDescent="0.2">
      <c r="B16286" s="3">
        <v>45986</v>
      </c>
      <c r="C16286" s="3"/>
      <c r="D16286" s="6"/>
      <c r="E16286" s="2"/>
      <c r="F16286" s="2"/>
      <c r="G16286" s="2">
        <f t="shared" si="254"/>
        <v>0</v>
      </c>
      <c r="H16286" t="s">
        <v>6</v>
      </c>
    </row>
    <row r="16287" spans="2:8" x14ac:dyDescent="0.2">
      <c r="B16287" s="3">
        <v>45986</v>
      </c>
      <c r="C16287" s="3"/>
      <c r="D16287" s="6"/>
      <c r="E16287" s="2"/>
      <c r="F16287" s="2"/>
      <c r="G16287" s="2">
        <f t="shared" si="254"/>
        <v>0</v>
      </c>
      <c r="H16287" t="s">
        <v>5</v>
      </c>
    </row>
    <row r="16288" spans="2:8" x14ac:dyDescent="0.2">
      <c r="B16288" s="3">
        <v>45986</v>
      </c>
      <c r="C16288" s="2">
        <v>145</v>
      </c>
      <c r="D16288" s="6">
        <v>4486.25</v>
      </c>
      <c r="E16288" s="2">
        <v>4860</v>
      </c>
      <c r="F16288" s="2"/>
      <c r="G16288" s="2">
        <f t="shared" si="254"/>
        <v>4860</v>
      </c>
      <c r="H16288" s="1" t="s">
        <v>77</v>
      </c>
    </row>
    <row r="16289" spans="2:8" x14ac:dyDescent="0.2">
      <c r="B16289" s="3">
        <v>45986</v>
      </c>
      <c r="C16289" s="3"/>
      <c r="D16289" s="2"/>
      <c r="E16289" s="2"/>
      <c r="F16289" s="2"/>
      <c r="G16289" s="2">
        <f t="shared" si="254"/>
        <v>0</v>
      </c>
      <c r="H16289" t="s">
        <v>0</v>
      </c>
    </row>
    <row r="16290" spans="2:8" x14ac:dyDescent="0.2">
      <c r="B16290" s="3">
        <v>45987</v>
      </c>
      <c r="C16290" s="2"/>
      <c r="D16290" s="2"/>
      <c r="E16290" s="2"/>
      <c r="F16290" s="2"/>
      <c r="G16290" s="2">
        <f t="shared" si="254"/>
        <v>0</v>
      </c>
      <c r="H16290" t="s">
        <v>14</v>
      </c>
    </row>
    <row r="16291" spans="2:8" x14ac:dyDescent="0.2">
      <c r="B16291" s="3">
        <v>45987</v>
      </c>
      <c r="C16291" s="2"/>
      <c r="D16291" s="2"/>
      <c r="E16291" s="2"/>
      <c r="F16291" s="2"/>
      <c r="G16291" s="2">
        <f t="shared" si="254"/>
        <v>0</v>
      </c>
      <c r="H16291" t="s">
        <v>13</v>
      </c>
    </row>
    <row r="16292" spans="2:8" x14ac:dyDescent="0.2">
      <c r="B16292" s="3">
        <v>45987</v>
      </c>
      <c r="C16292" s="3"/>
      <c r="D16292" s="6"/>
      <c r="E16292" s="2"/>
      <c r="F16292" s="2"/>
      <c r="G16292" s="2">
        <f t="shared" si="254"/>
        <v>0</v>
      </c>
      <c r="H16292" t="s">
        <v>11</v>
      </c>
    </row>
    <row r="16293" spans="2:8" x14ac:dyDescent="0.2">
      <c r="B16293" s="3">
        <v>45987</v>
      </c>
      <c r="C16293" s="3"/>
      <c r="D16293" s="6"/>
      <c r="E16293" s="2"/>
      <c r="F16293" s="2"/>
      <c r="G16293" s="2">
        <f t="shared" si="254"/>
        <v>0</v>
      </c>
      <c r="H16293" t="s">
        <v>10</v>
      </c>
    </row>
    <row r="16294" spans="2:8" x14ac:dyDescent="0.2">
      <c r="B16294" s="3">
        <v>45987</v>
      </c>
      <c r="C16294" s="3"/>
      <c r="D16294" s="6"/>
      <c r="E16294" s="2"/>
      <c r="F16294" s="2"/>
      <c r="G16294" s="2">
        <f t="shared" si="254"/>
        <v>0</v>
      </c>
      <c r="H16294" t="s">
        <v>9</v>
      </c>
    </row>
    <row r="16295" spans="2:8" x14ac:dyDescent="0.2">
      <c r="B16295" s="3">
        <v>45987</v>
      </c>
      <c r="C16295" s="3"/>
      <c r="D16295" s="6"/>
      <c r="E16295" s="2"/>
      <c r="F16295" s="2"/>
      <c r="G16295" s="2">
        <f t="shared" si="254"/>
        <v>0</v>
      </c>
      <c r="H16295" t="s">
        <v>8</v>
      </c>
    </row>
    <row r="16296" spans="2:8" x14ac:dyDescent="0.2">
      <c r="B16296" s="3">
        <v>45987</v>
      </c>
      <c r="C16296" s="3"/>
      <c r="D16296" s="6"/>
      <c r="E16296" s="2"/>
      <c r="F16296" s="2"/>
      <c r="G16296" s="2">
        <f t="shared" si="254"/>
        <v>0</v>
      </c>
      <c r="H16296" t="s">
        <v>7</v>
      </c>
    </row>
    <row r="16297" spans="2:8" x14ac:dyDescent="0.2">
      <c r="B16297" s="3">
        <v>45987</v>
      </c>
      <c r="C16297" s="3"/>
      <c r="D16297" s="6"/>
      <c r="E16297" s="2"/>
      <c r="F16297" s="2"/>
      <c r="G16297" s="2">
        <f t="shared" si="254"/>
        <v>0</v>
      </c>
      <c r="H16297" t="s">
        <v>6</v>
      </c>
    </row>
    <row r="16298" spans="2:8" x14ac:dyDescent="0.2">
      <c r="B16298" s="3">
        <v>45987</v>
      </c>
      <c r="C16298" s="3"/>
      <c r="D16298" s="6"/>
      <c r="E16298" s="2"/>
      <c r="F16298" s="2"/>
      <c r="G16298" s="2">
        <f t="shared" si="254"/>
        <v>0</v>
      </c>
      <c r="H16298" t="s">
        <v>5</v>
      </c>
    </row>
    <row r="16299" spans="2:8" x14ac:dyDescent="0.2">
      <c r="B16299" s="3">
        <v>45987</v>
      </c>
      <c r="C16299" s="3"/>
      <c r="D16299" s="6"/>
      <c r="E16299" s="2"/>
      <c r="F16299" s="2"/>
      <c r="G16299" s="2">
        <f t="shared" si="254"/>
        <v>0</v>
      </c>
      <c r="H16299" s="1"/>
    </row>
    <row r="16300" spans="2:8" x14ac:dyDescent="0.2">
      <c r="B16300" s="3">
        <v>45987</v>
      </c>
      <c r="C16300" s="3"/>
      <c r="D16300" s="2"/>
      <c r="E16300" s="2"/>
      <c r="F16300" s="2"/>
      <c r="G16300" s="2">
        <f t="shared" si="254"/>
        <v>0</v>
      </c>
      <c r="H16300" t="s">
        <v>0</v>
      </c>
    </row>
    <row r="16301" spans="2:8" x14ac:dyDescent="0.2">
      <c r="B16301" s="3">
        <v>45988</v>
      </c>
      <c r="C16301" s="2"/>
      <c r="D16301" s="2"/>
      <c r="E16301" s="2"/>
      <c r="F16301" s="2"/>
      <c r="G16301" s="2">
        <f t="shared" si="254"/>
        <v>0</v>
      </c>
      <c r="H16301" t="s">
        <v>14</v>
      </c>
    </row>
    <row r="16302" spans="2:8" x14ac:dyDescent="0.2">
      <c r="B16302" s="3">
        <v>45988</v>
      </c>
      <c r="C16302" s="2"/>
      <c r="D16302" s="2"/>
      <c r="E16302" s="2"/>
      <c r="F16302" s="2">
        <v>23543.179999999935</v>
      </c>
      <c r="G16302" s="2">
        <f t="shared" si="254"/>
        <v>-23543.179999999935</v>
      </c>
      <c r="H16302" t="s">
        <v>13</v>
      </c>
    </row>
    <row r="16303" spans="2:8" x14ac:dyDescent="0.2">
      <c r="B16303" s="3">
        <v>45988</v>
      </c>
      <c r="C16303" s="3"/>
      <c r="D16303" s="6"/>
      <c r="E16303" s="2"/>
      <c r="F16303" s="2"/>
      <c r="G16303" s="2">
        <f t="shared" si="254"/>
        <v>0</v>
      </c>
      <c r="H16303" t="s">
        <v>11</v>
      </c>
    </row>
    <row r="16304" spans="2:8" x14ac:dyDescent="0.2">
      <c r="B16304" s="3">
        <v>45988</v>
      </c>
      <c r="C16304" s="3"/>
      <c r="D16304" s="6"/>
      <c r="E16304" s="2"/>
      <c r="F16304" s="2"/>
      <c r="G16304" s="2">
        <f t="shared" si="254"/>
        <v>0</v>
      </c>
      <c r="H16304" t="s">
        <v>10</v>
      </c>
    </row>
    <row r="16305" spans="2:8" x14ac:dyDescent="0.2">
      <c r="B16305" s="3">
        <v>45988</v>
      </c>
      <c r="C16305" s="3"/>
      <c r="D16305" s="6"/>
      <c r="E16305" s="2"/>
      <c r="F16305" s="2"/>
      <c r="G16305" s="2">
        <f t="shared" si="254"/>
        <v>0</v>
      </c>
      <c r="H16305" t="s">
        <v>9</v>
      </c>
    </row>
    <row r="16306" spans="2:8" x14ac:dyDescent="0.2">
      <c r="B16306" s="3">
        <v>45988</v>
      </c>
      <c r="C16306" s="3"/>
      <c r="D16306" s="6"/>
      <c r="E16306" s="2"/>
      <c r="F16306" s="2"/>
      <c r="G16306" s="2">
        <f t="shared" si="254"/>
        <v>0</v>
      </c>
      <c r="H16306" t="s">
        <v>8</v>
      </c>
    </row>
    <row r="16307" spans="2:8" x14ac:dyDescent="0.2">
      <c r="B16307" s="3">
        <v>45988</v>
      </c>
      <c r="C16307" s="3"/>
      <c r="D16307" s="6"/>
      <c r="E16307" s="2"/>
      <c r="F16307" s="2"/>
      <c r="G16307" s="2">
        <f t="shared" si="254"/>
        <v>0</v>
      </c>
      <c r="H16307" t="s">
        <v>7</v>
      </c>
    </row>
    <row r="16308" spans="2:8" x14ac:dyDescent="0.2">
      <c r="B16308" s="3">
        <v>45988</v>
      </c>
      <c r="C16308" s="3"/>
      <c r="D16308" s="6"/>
      <c r="E16308" s="2"/>
      <c r="F16308" s="2"/>
      <c r="G16308" s="2">
        <f t="shared" si="254"/>
        <v>0</v>
      </c>
      <c r="H16308" t="s">
        <v>6</v>
      </c>
    </row>
    <row r="16309" spans="2:8" x14ac:dyDescent="0.2">
      <c r="B16309" s="3">
        <v>45988</v>
      </c>
      <c r="C16309" s="3"/>
      <c r="D16309" s="6"/>
      <c r="E16309" s="2"/>
      <c r="F16309" s="2"/>
      <c r="G16309" s="2">
        <f t="shared" si="254"/>
        <v>0</v>
      </c>
      <c r="H16309" t="s">
        <v>5</v>
      </c>
    </row>
    <row r="16310" spans="2:8" x14ac:dyDescent="0.2">
      <c r="B16310" s="3">
        <v>45988</v>
      </c>
      <c r="C16310" s="3"/>
      <c r="D16310" s="6"/>
      <c r="E16310" s="2"/>
      <c r="F16310" s="2"/>
      <c r="G16310" s="2">
        <f t="shared" si="254"/>
        <v>0</v>
      </c>
      <c r="H16310" s="1"/>
    </row>
    <row r="16311" spans="2:8" x14ac:dyDescent="0.2">
      <c r="B16311" s="3">
        <v>45988</v>
      </c>
      <c r="C16311" s="3"/>
      <c r="D16311" s="2"/>
      <c r="E16311" s="2"/>
      <c r="F16311" s="2"/>
      <c r="G16311" s="2">
        <f t="shared" si="254"/>
        <v>0</v>
      </c>
      <c r="H16311" t="s">
        <v>0</v>
      </c>
    </row>
    <row r="16312" spans="2:8" x14ac:dyDescent="0.2">
      <c r="B16312" s="3">
        <v>45989</v>
      </c>
      <c r="C16312" s="2"/>
      <c r="D16312" s="2"/>
      <c r="E16312" s="2"/>
      <c r="F16312" s="2"/>
      <c r="G16312" s="2">
        <f t="shared" si="254"/>
        <v>0</v>
      </c>
      <c r="H16312" t="s">
        <v>14</v>
      </c>
    </row>
    <row r="16313" spans="2:8" x14ac:dyDescent="0.2">
      <c r="B16313" s="3">
        <v>45989</v>
      </c>
      <c r="C16313" s="2"/>
      <c r="D16313" s="2"/>
      <c r="E16313" s="2"/>
      <c r="F16313" s="2"/>
      <c r="G16313" s="2">
        <f t="shared" si="254"/>
        <v>0</v>
      </c>
      <c r="H16313" t="s">
        <v>13</v>
      </c>
    </row>
    <row r="16314" spans="2:8" x14ac:dyDescent="0.2">
      <c r="B16314" s="3">
        <v>45989</v>
      </c>
      <c r="C16314" s="3"/>
      <c r="D16314" s="6"/>
      <c r="E16314" s="2"/>
      <c r="F16314" s="2"/>
      <c r="G16314" s="2">
        <f t="shared" si="254"/>
        <v>0</v>
      </c>
      <c r="H16314" t="s">
        <v>11</v>
      </c>
    </row>
    <row r="16315" spans="2:8" x14ac:dyDescent="0.2">
      <c r="B16315" s="3">
        <v>45989</v>
      </c>
      <c r="C16315" s="3"/>
      <c r="D16315" s="6"/>
      <c r="E16315" s="2"/>
      <c r="F16315" s="2"/>
      <c r="G16315" s="2">
        <f t="shared" si="254"/>
        <v>0</v>
      </c>
      <c r="H16315" t="s">
        <v>10</v>
      </c>
    </row>
    <row r="16316" spans="2:8" x14ac:dyDescent="0.2">
      <c r="B16316" s="3">
        <v>45989</v>
      </c>
      <c r="C16316" s="3"/>
      <c r="D16316" s="6"/>
      <c r="E16316" s="2"/>
      <c r="F16316" s="2"/>
      <c r="G16316" s="2">
        <f t="shared" si="254"/>
        <v>0</v>
      </c>
      <c r="H16316" t="s">
        <v>9</v>
      </c>
    </row>
    <row r="16317" spans="2:8" x14ac:dyDescent="0.2">
      <c r="B16317" s="3">
        <v>45989</v>
      </c>
      <c r="C16317" s="3"/>
      <c r="D16317" s="6"/>
      <c r="E16317" s="2"/>
      <c r="F16317" s="2"/>
      <c r="G16317" s="2">
        <f t="shared" si="254"/>
        <v>0</v>
      </c>
      <c r="H16317" t="s">
        <v>8</v>
      </c>
    </row>
    <row r="16318" spans="2:8" x14ac:dyDescent="0.2">
      <c r="B16318" s="3">
        <v>45989</v>
      </c>
      <c r="C16318" s="3"/>
      <c r="D16318" s="6"/>
      <c r="E16318" s="2"/>
      <c r="F16318" s="2"/>
      <c r="G16318" s="2">
        <f t="shared" si="254"/>
        <v>0</v>
      </c>
      <c r="H16318" t="s">
        <v>7</v>
      </c>
    </row>
    <row r="16319" spans="2:8" x14ac:dyDescent="0.2">
      <c r="B16319" s="3">
        <v>45989</v>
      </c>
      <c r="C16319" s="3"/>
      <c r="D16319" s="6"/>
      <c r="E16319" s="2"/>
      <c r="F16319" s="2"/>
      <c r="G16319" s="2">
        <f t="shared" si="254"/>
        <v>0</v>
      </c>
      <c r="H16319" t="s">
        <v>6</v>
      </c>
    </row>
    <row r="16320" spans="2:8" x14ac:dyDescent="0.2">
      <c r="B16320" s="3">
        <v>45989</v>
      </c>
      <c r="C16320" s="3"/>
      <c r="D16320" s="6"/>
      <c r="E16320" s="2"/>
      <c r="F16320" s="2"/>
      <c r="G16320" s="2">
        <f t="shared" si="254"/>
        <v>0</v>
      </c>
      <c r="H16320" t="s">
        <v>5</v>
      </c>
    </row>
    <row r="16321" spans="2:8" x14ac:dyDescent="0.2">
      <c r="B16321" s="3">
        <v>45989</v>
      </c>
      <c r="C16321" s="3"/>
      <c r="D16321" s="28"/>
      <c r="E16321" s="2"/>
      <c r="F16321" s="2"/>
      <c r="G16321" s="2">
        <f t="shared" si="254"/>
        <v>0</v>
      </c>
      <c r="H16321" s="1"/>
    </row>
    <row r="16322" spans="2:8" x14ac:dyDescent="0.2">
      <c r="B16322" s="3">
        <v>45989</v>
      </c>
      <c r="C16322" s="3"/>
      <c r="E16322" s="2"/>
      <c r="F16322" s="2"/>
      <c r="G16322" s="2">
        <f t="shared" si="254"/>
        <v>0</v>
      </c>
      <c r="H16322" t="s">
        <v>0</v>
      </c>
    </row>
    <row r="16323" spans="2:8" x14ac:dyDescent="0.2">
      <c r="B16323" s="3">
        <v>45990</v>
      </c>
      <c r="C16323" s="2"/>
      <c r="E16323" s="2"/>
      <c r="F16323" s="2">
        <v>24465</v>
      </c>
      <c r="G16323" s="2">
        <f t="shared" ref="G16323:G16386" si="255">E16323-F16323</f>
        <v>-24465</v>
      </c>
      <c r="H16323" t="s">
        <v>14</v>
      </c>
    </row>
    <row r="16324" spans="2:8" x14ac:dyDescent="0.2">
      <c r="B16324" s="3">
        <v>45990</v>
      </c>
      <c r="C16324" s="2"/>
      <c r="E16324" s="2"/>
      <c r="F16324" s="2"/>
      <c r="G16324" s="2">
        <f t="shared" si="255"/>
        <v>0</v>
      </c>
      <c r="H16324" t="s">
        <v>13</v>
      </c>
    </row>
    <row r="16325" spans="2:8" x14ac:dyDescent="0.2">
      <c r="B16325" s="3">
        <v>45990</v>
      </c>
      <c r="C16325" s="3"/>
      <c r="D16325" s="28"/>
      <c r="E16325" s="2"/>
      <c r="F16325" s="2"/>
      <c r="G16325" s="2">
        <f t="shared" si="255"/>
        <v>0</v>
      </c>
      <c r="H16325" t="s">
        <v>11</v>
      </c>
    </row>
    <row r="16326" spans="2:8" x14ac:dyDescent="0.2">
      <c r="B16326" s="3">
        <v>45990</v>
      </c>
      <c r="C16326" s="3"/>
      <c r="D16326" s="28"/>
      <c r="E16326" s="2"/>
      <c r="F16326" s="2"/>
      <c r="G16326" s="2">
        <f t="shared" si="255"/>
        <v>0</v>
      </c>
      <c r="H16326" t="s">
        <v>10</v>
      </c>
    </row>
    <row r="16327" spans="2:8" x14ac:dyDescent="0.2">
      <c r="B16327" s="3">
        <v>45990</v>
      </c>
      <c r="C16327" s="3"/>
      <c r="D16327" s="28"/>
      <c r="E16327" s="2"/>
      <c r="F16327" s="2"/>
      <c r="G16327" s="2">
        <f t="shared" si="255"/>
        <v>0</v>
      </c>
      <c r="H16327" t="s">
        <v>9</v>
      </c>
    </row>
    <row r="16328" spans="2:8" x14ac:dyDescent="0.2">
      <c r="B16328" s="3">
        <v>45990</v>
      </c>
      <c r="C16328" s="3"/>
      <c r="D16328" s="28"/>
      <c r="E16328" s="2"/>
      <c r="F16328" s="2">
        <v>20000</v>
      </c>
      <c r="G16328" s="2">
        <f t="shared" si="255"/>
        <v>-20000</v>
      </c>
      <c r="H16328" t="s">
        <v>8</v>
      </c>
    </row>
    <row r="16329" spans="2:8" x14ac:dyDescent="0.2">
      <c r="B16329" s="3">
        <v>45990</v>
      </c>
      <c r="C16329" s="3"/>
      <c r="D16329" s="28"/>
      <c r="E16329" s="2"/>
      <c r="F16329" s="2"/>
      <c r="G16329" s="2">
        <f t="shared" si="255"/>
        <v>0</v>
      </c>
      <c r="H16329" t="s">
        <v>7</v>
      </c>
    </row>
    <row r="16330" spans="2:8" x14ac:dyDescent="0.2">
      <c r="B16330" s="3">
        <v>45990</v>
      </c>
      <c r="C16330" s="3"/>
      <c r="D16330" s="28"/>
      <c r="E16330" s="2"/>
      <c r="F16330" s="2"/>
      <c r="G16330" s="2">
        <f t="shared" si="255"/>
        <v>0</v>
      </c>
      <c r="H16330" t="s">
        <v>6</v>
      </c>
    </row>
    <row r="16331" spans="2:8" x14ac:dyDescent="0.2">
      <c r="B16331" s="3">
        <v>45990</v>
      </c>
      <c r="C16331" s="3"/>
      <c r="D16331" s="28"/>
      <c r="E16331" s="2"/>
      <c r="F16331" s="2"/>
      <c r="G16331" s="2">
        <f t="shared" si="255"/>
        <v>0</v>
      </c>
      <c r="H16331" t="s">
        <v>5</v>
      </c>
    </row>
    <row r="16332" spans="2:8" x14ac:dyDescent="0.2">
      <c r="B16332" s="3">
        <v>45990</v>
      </c>
      <c r="C16332" s="3"/>
      <c r="D16332" s="28"/>
      <c r="E16332" s="2"/>
      <c r="F16332" s="2"/>
      <c r="G16332" s="2">
        <f t="shared" si="255"/>
        <v>0</v>
      </c>
      <c r="H16332" s="1"/>
    </row>
    <row r="16333" spans="2:8" x14ac:dyDescent="0.2">
      <c r="B16333" s="3">
        <v>45990</v>
      </c>
      <c r="C16333" s="3"/>
      <c r="E16333" s="2"/>
      <c r="F16333" s="2"/>
      <c r="G16333" s="2">
        <f t="shared" si="255"/>
        <v>0</v>
      </c>
      <c r="H16333" t="s">
        <v>0</v>
      </c>
    </row>
    <row r="16334" spans="2:8" x14ac:dyDescent="0.2">
      <c r="B16334" s="3">
        <v>45991</v>
      </c>
      <c r="C16334" s="2"/>
      <c r="E16334" s="2"/>
      <c r="F16334" s="2"/>
      <c r="G16334" s="2">
        <f t="shared" si="255"/>
        <v>0</v>
      </c>
      <c r="H16334" t="s">
        <v>14</v>
      </c>
    </row>
    <row r="16335" spans="2:8" x14ac:dyDescent="0.2">
      <c r="B16335" s="3">
        <v>45991</v>
      </c>
      <c r="C16335" s="2"/>
      <c r="E16335" s="2"/>
      <c r="F16335" s="2"/>
      <c r="G16335" s="2">
        <f t="shared" si="255"/>
        <v>0</v>
      </c>
      <c r="H16335" t="s">
        <v>13</v>
      </c>
    </row>
    <row r="16336" spans="2:8" x14ac:dyDescent="0.2">
      <c r="B16336" s="3">
        <v>45991</v>
      </c>
      <c r="C16336" s="3"/>
      <c r="D16336" s="28"/>
      <c r="E16336" s="2"/>
      <c r="F16336" s="2"/>
      <c r="G16336" s="2">
        <f t="shared" si="255"/>
        <v>0</v>
      </c>
      <c r="H16336" t="s">
        <v>11</v>
      </c>
    </row>
    <row r="16337" spans="2:8" x14ac:dyDescent="0.2">
      <c r="B16337" s="3">
        <v>45991</v>
      </c>
      <c r="C16337" s="3"/>
      <c r="D16337" s="28"/>
      <c r="E16337" s="2"/>
      <c r="F16337" s="2"/>
      <c r="G16337" s="2">
        <f t="shared" si="255"/>
        <v>0</v>
      </c>
      <c r="H16337" t="s">
        <v>10</v>
      </c>
    </row>
    <row r="16338" spans="2:8" x14ac:dyDescent="0.2">
      <c r="B16338" s="3">
        <v>45991</v>
      </c>
      <c r="C16338" s="3"/>
      <c r="D16338" s="28"/>
      <c r="E16338" s="2"/>
      <c r="F16338" s="2"/>
      <c r="G16338" s="2">
        <f t="shared" si="255"/>
        <v>0</v>
      </c>
      <c r="H16338" t="s">
        <v>9</v>
      </c>
    </row>
    <row r="16339" spans="2:8" x14ac:dyDescent="0.2">
      <c r="B16339" s="3">
        <v>45991</v>
      </c>
      <c r="C16339" s="2">
        <v>146</v>
      </c>
      <c r="D16339" s="6">
        <v>24700</v>
      </c>
      <c r="E16339" s="2">
        <v>30150</v>
      </c>
      <c r="F16339" s="2"/>
      <c r="G16339" s="2">
        <f t="shared" si="255"/>
        <v>30150</v>
      </c>
      <c r="H16339" t="s">
        <v>8</v>
      </c>
    </row>
    <row r="16340" spans="2:8" x14ac:dyDescent="0.2">
      <c r="B16340" s="3">
        <v>45991</v>
      </c>
      <c r="C16340" s="3"/>
      <c r="D16340" s="28"/>
      <c r="E16340" s="2"/>
      <c r="F16340" s="2"/>
      <c r="G16340" s="2">
        <f t="shared" si="255"/>
        <v>0</v>
      </c>
      <c r="H16340" t="s">
        <v>7</v>
      </c>
    </row>
    <row r="16341" spans="2:8" x14ac:dyDescent="0.2">
      <c r="B16341" s="3">
        <v>45991</v>
      </c>
      <c r="C16341" s="3"/>
      <c r="D16341" s="28"/>
      <c r="E16341" s="2"/>
      <c r="F16341" s="2"/>
      <c r="G16341" s="2">
        <f t="shared" si="255"/>
        <v>0</v>
      </c>
      <c r="H16341" t="s">
        <v>6</v>
      </c>
    </row>
    <row r="16342" spans="2:8" x14ac:dyDescent="0.2">
      <c r="B16342" s="3">
        <v>45991</v>
      </c>
      <c r="C16342" s="3"/>
      <c r="D16342" s="28"/>
      <c r="E16342" s="2"/>
      <c r="F16342" s="2"/>
      <c r="G16342" s="2">
        <f t="shared" si="255"/>
        <v>0</v>
      </c>
      <c r="H16342" t="s">
        <v>5</v>
      </c>
    </row>
    <row r="16343" spans="2:8" x14ac:dyDescent="0.2">
      <c r="B16343" s="3">
        <v>45991</v>
      </c>
      <c r="C16343" s="3"/>
      <c r="D16343" s="28"/>
      <c r="E16343" s="2"/>
      <c r="F16343" s="2"/>
      <c r="G16343" s="2">
        <f t="shared" si="255"/>
        <v>0</v>
      </c>
      <c r="H16343" s="1"/>
    </row>
    <row r="16344" spans="2:8" x14ac:dyDescent="0.2">
      <c r="B16344" s="3">
        <v>45991</v>
      </c>
      <c r="C16344" s="3"/>
      <c r="E16344" s="2"/>
      <c r="F16344" s="2"/>
      <c r="G16344" s="2">
        <f t="shared" si="255"/>
        <v>0</v>
      </c>
      <c r="H16344" t="s">
        <v>0</v>
      </c>
    </row>
    <row r="16345" spans="2:8" x14ac:dyDescent="0.2">
      <c r="B16345" s="3">
        <v>45992</v>
      </c>
      <c r="C16345" s="2"/>
      <c r="E16345" s="2"/>
      <c r="F16345" s="2"/>
      <c r="G16345" s="2">
        <f t="shared" si="255"/>
        <v>0</v>
      </c>
      <c r="H16345" t="s">
        <v>14</v>
      </c>
    </row>
    <row r="16346" spans="2:8" x14ac:dyDescent="0.2">
      <c r="B16346" s="3">
        <v>45992</v>
      </c>
      <c r="C16346" s="2"/>
      <c r="E16346" s="2"/>
      <c r="F16346" s="2"/>
      <c r="G16346" s="2">
        <f t="shared" si="255"/>
        <v>0</v>
      </c>
      <c r="H16346" t="s">
        <v>13</v>
      </c>
    </row>
    <row r="16347" spans="2:8" x14ac:dyDescent="0.2">
      <c r="B16347" s="3">
        <v>45992</v>
      </c>
      <c r="C16347" s="3"/>
      <c r="D16347" s="28"/>
      <c r="E16347" s="2"/>
      <c r="F16347" s="2"/>
      <c r="G16347" s="2">
        <f t="shared" si="255"/>
        <v>0</v>
      </c>
      <c r="H16347" t="s">
        <v>11</v>
      </c>
    </row>
    <row r="16348" spans="2:8" x14ac:dyDescent="0.2">
      <c r="B16348" s="3">
        <v>45992</v>
      </c>
      <c r="C16348" s="3"/>
      <c r="D16348" s="28"/>
      <c r="E16348" s="2"/>
      <c r="F16348" s="2"/>
      <c r="G16348" s="2">
        <f t="shared" si="255"/>
        <v>0</v>
      </c>
      <c r="H16348" t="s">
        <v>10</v>
      </c>
    </row>
    <row r="16349" spans="2:8" x14ac:dyDescent="0.2">
      <c r="B16349" s="3">
        <v>45992</v>
      </c>
      <c r="C16349" s="3"/>
      <c r="D16349" s="28"/>
      <c r="E16349" s="2"/>
      <c r="F16349" s="2"/>
      <c r="G16349" s="2">
        <f t="shared" si="255"/>
        <v>0</v>
      </c>
      <c r="H16349" t="s">
        <v>9</v>
      </c>
    </row>
    <row r="16350" spans="2:8" x14ac:dyDescent="0.2">
      <c r="B16350" s="3">
        <v>45992</v>
      </c>
      <c r="C16350" s="3"/>
      <c r="D16350" s="28"/>
      <c r="E16350" s="2"/>
      <c r="F16350" s="2"/>
      <c r="G16350" s="2">
        <f t="shared" si="255"/>
        <v>0</v>
      </c>
      <c r="H16350" t="s">
        <v>8</v>
      </c>
    </row>
    <row r="16351" spans="2:8" x14ac:dyDescent="0.2">
      <c r="B16351" s="3">
        <v>45992</v>
      </c>
      <c r="C16351" s="3"/>
      <c r="D16351" s="28"/>
      <c r="E16351" s="2"/>
      <c r="F16351" s="2"/>
      <c r="G16351" s="2">
        <f t="shared" si="255"/>
        <v>0</v>
      </c>
      <c r="H16351" t="s">
        <v>7</v>
      </c>
    </row>
    <row r="16352" spans="2:8" x14ac:dyDescent="0.2">
      <c r="B16352" s="3">
        <v>45992</v>
      </c>
      <c r="C16352" s="3"/>
      <c r="D16352" s="28"/>
      <c r="E16352" s="2"/>
      <c r="F16352" s="2"/>
      <c r="G16352" s="2">
        <f t="shared" si="255"/>
        <v>0</v>
      </c>
      <c r="H16352" t="s">
        <v>6</v>
      </c>
    </row>
    <row r="16353" spans="2:8" x14ac:dyDescent="0.2">
      <c r="B16353" s="3">
        <v>45992</v>
      </c>
      <c r="C16353" s="3"/>
      <c r="D16353" s="28"/>
      <c r="E16353" s="2"/>
      <c r="F16353" s="2"/>
      <c r="G16353" s="2">
        <f t="shared" si="255"/>
        <v>0</v>
      </c>
      <c r="H16353" t="s">
        <v>5</v>
      </c>
    </row>
    <row r="16354" spans="2:8" x14ac:dyDescent="0.2">
      <c r="B16354" s="3">
        <v>45992</v>
      </c>
      <c r="C16354" s="3"/>
      <c r="D16354" s="28"/>
      <c r="E16354" s="2"/>
      <c r="F16354" s="2"/>
      <c r="G16354" s="2">
        <f t="shared" si="255"/>
        <v>0</v>
      </c>
      <c r="H16354" s="1"/>
    </row>
    <row r="16355" spans="2:8" x14ac:dyDescent="0.2">
      <c r="B16355" s="3">
        <v>45992</v>
      </c>
      <c r="C16355" s="3"/>
      <c r="E16355" s="2"/>
      <c r="F16355" s="2"/>
      <c r="G16355" s="2">
        <f t="shared" si="255"/>
        <v>0</v>
      </c>
      <c r="H16355" t="s">
        <v>0</v>
      </c>
    </row>
    <row r="16356" spans="2:8" x14ac:dyDescent="0.2">
      <c r="B16356" s="3">
        <v>45993</v>
      </c>
      <c r="C16356" s="2"/>
      <c r="E16356" s="2"/>
      <c r="F16356" s="2"/>
      <c r="G16356" s="2">
        <f t="shared" si="255"/>
        <v>0</v>
      </c>
      <c r="H16356" t="s">
        <v>14</v>
      </c>
    </row>
    <row r="16357" spans="2:8" x14ac:dyDescent="0.2">
      <c r="B16357" s="3">
        <v>45993</v>
      </c>
      <c r="C16357" s="2"/>
      <c r="E16357" s="2"/>
      <c r="F16357" s="2"/>
      <c r="G16357" s="2">
        <f t="shared" si="255"/>
        <v>0</v>
      </c>
      <c r="H16357" t="s">
        <v>13</v>
      </c>
    </row>
    <row r="16358" spans="2:8" x14ac:dyDescent="0.2">
      <c r="B16358" s="3">
        <v>45993</v>
      </c>
      <c r="C16358" s="3"/>
      <c r="D16358" s="28"/>
      <c r="E16358" s="2"/>
      <c r="F16358" s="2">
        <v>10000</v>
      </c>
      <c r="G16358" s="2">
        <f t="shared" si="255"/>
        <v>-10000</v>
      </c>
      <c r="H16358" t="s">
        <v>11</v>
      </c>
    </row>
    <row r="16359" spans="2:8" x14ac:dyDescent="0.2">
      <c r="B16359" s="3">
        <v>45993</v>
      </c>
      <c r="C16359" s="3"/>
      <c r="D16359" s="28"/>
      <c r="E16359" s="2"/>
      <c r="F16359" s="2"/>
      <c r="G16359" s="2">
        <f t="shared" si="255"/>
        <v>0</v>
      </c>
      <c r="H16359" t="s">
        <v>10</v>
      </c>
    </row>
    <row r="16360" spans="2:8" x14ac:dyDescent="0.2">
      <c r="B16360" s="3">
        <v>45993</v>
      </c>
      <c r="C16360" s="3"/>
      <c r="D16360" s="28"/>
      <c r="E16360" s="2"/>
      <c r="F16360" s="2"/>
      <c r="G16360" s="2">
        <f t="shared" si="255"/>
        <v>0</v>
      </c>
      <c r="H16360" t="s">
        <v>9</v>
      </c>
    </row>
    <row r="16361" spans="2:8" x14ac:dyDescent="0.2">
      <c r="B16361" s="3">
        <v>45993</v>
      </c>
      <c r="C16361" s="3"/>
      <c r="D16361" s="28"/>
      <c r="E16361" s="2"/>
      <c r="F16361" s="2"/>
      <c r="G16361" s="2">
        <f t="shared" si="255"/>
        <v>0</v>
      </c>
      <c r="H16361" t="s">
        <v>8</v>
      </c>
    </row>
    <row r="16362" spans="2:8" x14ac:dyDescent="0.2">
      <c r="B16362" s="3">
        <v>45993</v>
      </c>
      <c r="C16362" s="3"/>
      <c r="D16362" s="28"/>
      <c r="E16362" s="2"/>
      <c r="F16362" s="2"/>
      <c r="G16362" s="2">
        <f t="shared" si="255"/>
        <v>0</v>
      </c>
      <c r="H16362" t="s">
        <v>7</v>
      </c>
    </row>
    <row r="16363" spans="2:8" x14ac:dyDescent="0.2">
      <c r="B16363" s="3">
        <v>45993</v>
      </c>
      <c r="C16363" s="3"/>
      <c r="D16363" s="28"/>
      <c r="E16363" s="2"/>
      <c r="F16363" s="2"/>
      <c r="G16363" s="2">
        <f t="shared" si="255"/>
        <v>0</v>
      </c>
      <c r="H16363" t="s">
        <v>6</v>
      </c>
    </row>
    <row r="16364" spans="2:8" x14ac:dyDescent="0.2">
      <c r="B16364" s="3">
        <v>45993</v>
      </c>
      <c r="C16364" s="3"/>
      <c r="D16364" s="28"/>
      <c r="E16364" s="2"/>
      <c r="F16364" s="2"/>
      <c r="G16364" s="2">
        <f t="shared" si="255"/>
        <v>0</v>
      </c>
      <c r="H16364" t="s">
        <v>5</v>
      </c>
    </row>
    <row r="16365" spans="2:8" x14ac:dyDescent="0.2">
      <c r="B16365" s="3">
        <v>45993</v>
      </c>
      <c r="C16365" s="3"/>
      <c r="D16365" s="28"/>
      <c r="E16365" s="2"/>
      <c r="F16365" s="2"/>
      <c r="G16365" s="2">
        <f t="shared" si="255"/>
        <v>0</v>
      </c>
      <c r="H16365" s="1"/>
    </row>
    <row r="16366" spans="2:8" x14ac:dyDescent="0.2">
      <c r="B16366" s="3">
        <v>45993</v>
      </c>
      <c r="C16366" s="3"/>
      <c r="E16366" s="2"/>
      <c r="F16366" s="2"/>
      <c r="G16366" s="2">
        <f t="shared" si="255"/>
        <v>0</v>
      </c>
      <c r="H16366" t="s">
        <v>0</v>
      </c>
    </row>
    <row r="16367" spans="2:8" x14ac:dyDescent="0.2">
      <c r="B16367" s="3">
        <v>45994</v>
      </c>
      <c r="C16367" s="2"/>
      <c r="E16367" s="2"/>
      <c r="F16367" s="2"/>
      <c r="G16367" s="2">
        <f t="shared" si="255"/>
        <v>0</v>
      </c>
      <c r="H16367" t="s">
        <v>14</v>
      </c>
    </row>
    <row r="16368" spans="2:8" x14ac:dyDescent="0.2">
      <c r="B16368" s="3">
        <v>45994</v>
      </c>
      <c r="C16368" s="2"/>
      <c r="E16368" s="2"/>
      <c r="F16368" s="2"/>
      <c r="G16368" s="2">
        <f t="shared" si="255"/>
        <v>0</v>
      </c>
      <c r="H16368" t="s">
        <v>13</v>
      </c>
    </row>
    <row r="16369" spans="2:8" x14ac:dyDescent="0.2">
      <c r="B16369" s="3">
        <v>45994</v>
      </c>
      <c r="C16369" s="3"/>
      <c r="D16369" s="28"/>
      <c r="E16369" s="2"/>
      <c r="F16369" s="2"/>
      <c r="G16369" s="2">
        <f t="shared" si="255"/>
        <v>0</v>
      </c>
      <c r="H16369" t="s">
        <v>11</v>
      </c>
    </row>
    <row r="16370" spans="2:8" x14ac:dyDescent="0.2">
      <c r="B16370" s="3">
        <v>45994</v>
      </c>
      <c r="C16370" s="3"/>
      <c r="D16370" s="28"/>
      <c r="E16370" s="2"/>
      <c r="F16370" s="2"/>
      <c r="G16370" s="2">
        <f t="shared" si="255"/>
        <v>0</v>
      </c>
      <c r="H16370" t="s">
        <v>10</v>
      </c>
    </row>
    <row r="16371" spans="2:8" x14ac:dyDescent="0.2">
      <c r="B16371" s="3">
        <v>45994</v>
      </c>
      <c r="C16371" s="3"/>
      <c r="D16371" s="28"/>
      <c r="E16371" s="2"/>
      <c r="F16371" s="2"/>
      <c r="G16371" s="2">
        <f t="shared" si="255"/>
        <v>0</v>
      </c>
      <c r="H16371" t="s">
        <v>9</v>
      </c>
    </row>
    <row r="16372" spans="2:8" x14ac:dyDescent="0.2">
      <c r="B16372" s="3">
        <v>45994</v>
      </c>
      <c r="C16372" s="3"/>
      <c r="D16372" s="28"/>
      <c r="E16372" s="2"/>
      <c r="F16372" s="2"/>
      <c r="G16372" s="2">
        <f t="shared" si="255"/>
        <v>0</v>
      </c>
      <c r="H16372" t="s">
        <v>8</v>
      </c>
    </row>
    <row r="16373" spans="2:8" x14ac:dyDescent="0.2">
      <c r="B16373" s="3">
        <v>45994</v>
      </c>
      <c r="C16373" s="3"/>
      <c r="D16373" s="28"/>
      <c r="E16373" s="2"/>
      <c r="F16373" s="2"/>
      <c r="G16373" s="2">
        <f t="shared" si="255"/>
        <v>0</v>
      </c>
      <c r="H16373" t="s">
        <v>7</v>
      </c>
    </row>
    <row r="16374" spans="2:8" x14ac:dyDescent="0.2">
      <c r="B16374" s="3">
        <v>45994</v>
      </c>
      <c r="C16374" s="3"/>
      <c r="D16374" s="28"/>
      <c r="E16374" s="2"/>
      <c r="F16374" s="2"/>
      <c r="G16374" s="2">
        <f t="shared" si="255"/>
        <v>0</v>
      </c>
      <c r="H16374" t="s">
        <v>6</v>
      </c>
    </row>
    <row r="16375" spans="2:8" x14ac:dyDescent="0.2">
      <c r="B16375" s="3">
        <v>45994</v>
      </c>
      <c r="C16375" s="3"/>
      <c r="D16375" s="28"/>
      <c r="E16375" s="2"/>
      <c r="F16375" s="2"/>
      <c r="G16375" s="2">
        <f t="shared" si="255"/>
        <v>0</v>
      </c>
      <c r="H16375" t="s">
        <v>5</v>
      </c>
    </row>
    <row r="16376" spans="2:8" x14ac:dyDescent="0.2">
      <c r="B16376" s="3">
        <v>45994</v>
      </c>
      <c r="C16376" s="2">
        <v>147</v>
      </c>
      <c r="D16376" s="6">
        <v>2100</v>
      </c>
      <c r="E16376" s="2">
        <v>2125</v>
      </c>
      <c r="F16376" s="2">
        <v>2125</v>
      </c>
      <c r="G16376" s="2">
        <f t="shared" si="255"/>
        <v>0</v>
      </c>
      <c r="H16376" s="1" t="s">
        <v>98</v>
      </c>
    </row>
    <row r="16377" spans="2:8" x14ac:dyDescent="0.2">
      <c r="B16377" s="3">
        <v>45994</v>
      </c>
      <c r="C16377" s="3"/>
      <c r="D16377" s="2"/>
      <c r="E16377" s="2"/>
      <c r="F16377" s="2"/>
      <c r="G16377" s="2">
        <f t="shared" si="255"/>
        <v>0</v>
      </c>
      <c r="H16377" t="s">
        <v>0</v>
      </c>
    </row>
    <row r="16378" spans="2:8" x14ac:dyDescent="0.2">
      <c r="B16378" s="3">
        <v>45995</v>
      </c>
      <c r="C16378" s="2"/>
      <c r="E16378" s="2"/>
      <c r="F16378" s="2"/>
      <c r="G16378" s="2">
        <f t="shared" si="255"/>
        <v>0</v>
      </c>
      <c r="H16378" t="s">
        <v>14</v>
      </c>
    </row>
    <row r="16379" spans="2:8" x14ac:dyDescent="0.2">
      <c r="B16379" s="3">
        <v>45995</v>
      </c>
      <c r="C16379" s="2"/>
      <c r="E16379" s="2"/>
      <c r="G16379" s="2">
        <f t="shared" si="255"/>
        <v>0</v>
      </c>
      <c r="H16379" t="s">
        <v>13</v>
      </c>
    </row>
    <row r="16380" spans="2:8" x14ac:dyDescent="0.2">
      <c r="B16380" s="3">
        <v>45995</v>
      </c>
      <c r="C16380" s="3">
        <v>148</v>
      </c>
      <c r="D16380" s="28">
        <v>14010</v>
      </c>
      <c r="E16380" s="2">
        <v>14171</v>
      </c>
      <c r="F16380" s="2"/>
      <c r="G16380" s="2">
        <f t="shared" si="255"/>
        <v>14171</v>
      </c>
      <c r="H16380" t="s">
        <v>11</v>
      </c>
    </row>
    <row r="16381" spans="2:8" x14ac:dyDescent="0.2">
      <c r="B16381" s="3">
        <v>45995</v>
      </c>
      <c r="C16381" s="3"/>
      <c r="D16381" s="28"/>
      <c r="E16381" s="2"/>
      <c r="F16381" s="2"/>
      <c r="G16381" s="2">
        <f t="shared" si="255"/>
        <v>0</v>
      </c>
      <c r="H16381" t="s">
        <v>10</v>
      </c>
    </row>
    <row r="16382" spans="2:8" x14ac:dyDescent="0.2">
      <c r="B16382" s="3">
        <v>45995</v>
      </c>
      <c r="C16382" s="3"/>
      <c r="D16382" s="28"/>
      <c r="E16382" s="2"/>
      <c r="F16382" s="2"/>
      <c r="G16382" s="2">
        <f t="shared" si="255"/>
        <v>0</v>
      </c>
      <c r="H16382" t="s">
        <v>9</v>
      </c>
    </row>
    <row r="16383" spans="2:8" x14ac:dyDescent="0.2">
      <c r="B16383" s="3">
        <v>45995</v>
      </c>
      <c r="C16383" s="3"/>
      <c r="D16383" s="28"/>
      <c r="E16383" s="2"/>
      <c r="F16383" s="2"/>
      <c r="G16383" s="2">
        <f t="shared" si="255"/>
        <v>0</v>
      </c>
      <c r="H16383" t="s">
        <v>8</v>
      </c>
    </row>
    <row r="16384" spans="2:8" x14ac:dyDescent="0.2">
      <c r="B16384" s="3">
        <v>45995</v>
      </c>
      <c r="C16384" s="3"/>
      <c r="D16384" s="28"/>
      <c r="E16384" s="2"/>
      <c r="F16384" s="2"/>
      <c r="G16384" s="2">
        <f t="shared" si="255"/>
        <v>0</v>
      </c>
      <c r="H16384" t="s">
        <v>7</v>
      </c>
    </row>
    <row r="16385" spans="2:8" x14ac:dyDescent="0.2">
      <c r="B16385" s="3">
        <v>45995</v>
      </c>
      <c r="C16385" s="3"/>
      <c r="D16385" s="28"/>
      <c r="E16385" s="2"/>
      <c r="F16385" s="2"/>
      <c r="G16385" s="2">
        <f t="shared" si="255"/>
        <v>0</v>
      </c>
      <c r="H16385" t="s">
        <v>6</v>
      </c>
    </row>
    <row r="16386" spans="2:8" x14ac:dyDescent="0.2">
      <c r="B16386" s="3">
        <v>45995</v>
      </c>
      <c r="C16386" s="3"/>
      <c r="D16386" s="28"/>
      <c r="E16386" s="2"/>
      <c r="F16386" s="2"/>
      <c r="G16386" s="2">
        <f t="shared" si="255"/>
        <v>0</v>
      </c>
      <c r="H16386" t="s">
        <v>5</v>
      </c>
    </row>
    <row r="16387" spans="2:8" x14ac:dyDescent="0.2">
      <c r="B16387" s="3">
        <v>45995</v>
      </c>
      <c r="C16387" s="3"/>
      <c r="D16387" s="28"/>
      <c r="E16387" s="2"/>
      <c r="F16387" s="2"/>
      <c r="G16387" s="2">
        <f t="shared" ref="G16387:G16450" si="256">E16387-F16387</f>
        <v>0</v>
      </c>
      <c r="H16387" s="1"/>
    </row>
    <row r="16388" spans="2:8" x14ac:dyDescent="0.2">
      <c r="B16388" s="3">
        <v>45995</v>
      </c>
      <c r="C16388" s="3"/>
      <c r="D16388" s="2"/>
      <c r="E16388" s="2"/>
      <c r="F16388" s="2">
        <v>141224</v>
      </c>
      <c r="G16388" s="2">
        <f t="shared" si="256"/>
        <v>-141224</v>
      </c>
      <c r="H16388" t="s">
        <v>0</v>
      </c>
    </row>
    <row r="16389" spans="2:8" x14ac:dyDescent="0.2">
      <c r="B16389" s="3">
        <v>45996</v>
      </c>
      <c r="C16389" s="2"/>
      <c r="E16389" s="2"/>
      <c r="F16389" s="2"/>
      <c r="G16389" s="2">
        <f t="shared" si="256"/>
        <v>0</v>
      </c>
      <c r="H16389" t="s">
        <v>14</v>
      </c>
    </row>
    <row r="16390" spans="2:8" x14ac:dyDescent="0.2">
      <c r="B16390" s="3">
        <v>45996</v>
      </c>
      <c r="C16390" s="2"/>
      <c r="E16390" s="2"/>
      <c r="F16390" s="2"/>
      <c r="G16390" s="2">
        <f t="shared" si="256"/>
        <v>0</v>
      </c>
      <c r="H16390" t="s">
        <v>13</v>
      </c>
    </row>
    <row r="16391" spans="2:8" x14ac:dyDescent="0.2">
      <c r="B16391" s="3">
        <v>45996</v>
      </c>
      <c r="C16391" s="3"/>
      <c r="D16391" s="28"/>
      <c r="E16391" s="2"/>
      <c r="F16391" s="2"/>
      <c r="G16391" s="2">
        <f t="shared" si="256"/>
        <v>0</v>
      </c>
      <c r="H16391" t="s">
        <v>11</v>
      </c>
    </row>
    <row r="16392" spans="2:8" x14ac:dyDescent="0.2">
      <c r="B16392" s="3">
        <v>45996</v>
      </c>
      <c r="C16392" s="3"/>
      <c r="D16392" s="28"/>
      <c r="E16392" s="2"/>
      <c r="F16392" s="2"/>
      <c r="G16392" s="2">
        <f t="shared" si="256"/>
        <v>0</v>
      </c>
      <c r="H16392" t="s">
        <v>10</v>
      </c>
    </row>
    <row r="16393" spans="2:8" x14ac:dyDescent="0.2">
      <c r="B16393" s="3">
        <v>45996</v>
      </c>
      <c r="C16393" s="3"/>
      <c r="D16393" s="28"/>
      <c r="E16393" s="2"/>
      <c r="F16393" s="2"/>
      <c r="G16393" s="2">
        <f t="shared" si="256"/>
        <v>0</v>
      </c>
      <c r="H16393" t="s">
        <v>9</v>
      </c>
    </row>
    <row r="16394" spans="2:8" x14ac:dyDescent="0.2">
      <c r="B16394" s="3">
        <v>45996</v>
      </c>
      <c r="C16394" s="3"/>
      <c r="D16394" s="28"/>
      <c r="E16394" s="2"/>
      <c r="F16394" s="2"/>
      <c r="G16394" s="2">
        <f t="shared" si="256"/>
        <v>0</v>
      </c>
      <c r="H16394" t="s">
        <v>8</v>
      </c>
    </row>
    <row r="16395" spans="2:8" x14ac:dyDescent="0.2">
      <c r="B16395" s="3">
        <v>45996</v>
      </c>
      <c r="C16395" s="3"/>
      <c r="D16395" s="28"/>
      <c r="E16395" s="2"/>
      <c r="F16395" s="2"/>
      <c r="G16395" s="2">
        <f t="shared" si="256"/>
        <v>0</v>
      </c>
      <c r="H16395" t="s">
        <v>7</v>
      </c>
    </row>
    <row r="16396" spans="2:8" x14ac:dyDescent="0.2">
      <c r="B16396" s="3">
        <v>45996</v>
      </c>
      <c r="C16396" s="3"/>
      <c r="D16396" s="28"/>
      <c r="E16396" s="2"/>
      <c r="F16396" s="2"/>
      <c r="G16396" s="2">
        <f t="shared" si="256"/>
        <v>0</v>
      </c>
      <c r="H16396" t="s">
        <v>6</v>
      </c>
    </row>
    <row r="16397" spans="2:8" x14ac:dyDescent="0.2">
      <c r="B16397" s="3">
        <v>45996</v>
      </c>
      <c r="C16397" s="3"/>
      <c r="D16397" s="28"/>
      <c r="E16397" s="2"/>
      <c r="F16397" s="2"/>
      <c r="G16397" s="2">
        <f t="shared" si="256"/>
        <v>0</v>
      </c>
      <c r="H16397" t="s">
        <v>5</v>
      </c>
    </row>
    <row r="16398" spans="2:8" x14ac:dyDescent="0.2">
      <c r="B16398" s="3">
        <v>45996</v>
      </c>
      <c r="C16398" s="3"/>
      <c r="D16398" s="28"/>
      <c r="E16398" s="2"/>
      <c r="F16398" s="2"/>
      <c r="G16398" s="2">
        <f t="shared" si="256"/>
        <v>0</v>
      </c>
      <c r="H16398" s="1"/>
    </row>
    <row r="16399" spans="2:8" x14ac:dyDescent="0.2">
      <c r="B16399" s="3">
        <v>45996</v>
      </c>
      <c r="C16399" s="3"/>
      <c r="D16399" s="2"/>
      <c r="E16399" s="2"/>
      <c r="F16399" s="2"/>
      <c r="G16399" s="2">
        <f t="shared" si="256"/>
        <v>0</v>
      </c>
      <c r="H16399" t="s">
        <v>0</v>
      </c>
    </row>
    <row r="16400" spans="2:8" x14ac:dyDescent="0.2">
      <c r="B16400" s="3">
        <v>45997</v>
      </c>
      <c r="C16400" s="2"/>
      <c r="E16400" s="2"/>
      <c r="F16400" s="2"/>
      <c r="G16400" s="2">
        <f t="shared" si="256"/>
        <v>0</v>
      </c>
      <c r="H16400" t="s">
        <v>14</v>
      </c>
    </row>
    <row r="16401" spans="2:8" x14ac:dyDescent="0.2">
      <c r="B16401" s="3">
        <v>45997</v>
      </c>
      <c r="C16401" s="2"/>
      <c r="E16401" s="2"/>
      <c r="F16401" s="2"/>
      <c r="G16401" s="2">
        <f t="shared" si="256"/>
        <v>0</v>
      </c>
      <c r="H16401" t="s">
        <v>13</v>
      </c>
    </row>
    <row r="16402" spans="2:8" x14ac:dyDescent="0.2">
      <c r="B16402" s="3">
        <v>45997</v>
      </c>
      <c r="C16402" s="3"/>
      <c r="D16402" s="28"/>
      <c r="E16402" s="2"/>
      <c r="F16402" s="2"/>
      <c r="G16402" s="2">
        <f t="shared" si="256"/>
        <v>0</v>
      </c>
      <c r="H16402" t="s">
        <v>11</v>
      </c>
    </row>
    <row r="16403" spans="2:8" x14ac:dyDescent="0.2">
      <c r="B16403" s="3">
        <v>45997</v>
      </c>
      <c r="C16403" s="3"/>
      <c r="D16403" s="28"/>
      <c r="E16403" s="2"/>
      <c r="F16403" s="2"/>
      <c r="G16403" s="2">
        <f t="shared" si="256"/>
        <v>0</v>
      </c>
      <c r="H16403" t="s">
        <v>10</v>
      </c>
    </row>
    <row r="16404" spans="2:8" x14ac:dyDescent="0.2">
      <c r="B16404" s="3">
        <v>45997</v>
      </c>
      <c r="C16404" s="3"/>
      <c r="D16404" s="28"/>
      <c r="E16404" s="2"/>
      <c r="F16404" s="2"/>
      <c r="G16404" s="2">
        <f t="shared" si="256"/>
        <v>0</v>
      </c>
      <c r="H16404" t="s">
        <v>9</v>
      </c>
    </row>
    <row r="16405" spans="2:8" x14ac:dyDescent="0.2">
      <c r="B16405" s="3">
        <v>45997</v>
      </c>
      <c r="C16405" s="3"/>
      <c r="D16405" s="28"/>
      <c r="E16405" s="2"/>
      <c r="F16405" s="2"/>
      <c r="G16405" s="2">
        <f t="shared" si="256"/>
        <v>0</v>
      </c>
      <c r="H16405" t="s">
        <v>8</v>
      </c>
    </row>
    <row r="16406" spans="2:8" x14ac:dyDescent="0.2">
      <c r="B16406" s="3">
        <v>45997</v>
      </c>
      <c r="C16406" s="3"/>
      <c r="D16406" s="28"/>
      <c r="E16406" s="2"/>
      <c r="F16406" s="2"/>
      <c r="G16406" s="2">
        <f t="shared" si="256"/>
        <v>0</v>
      </c>
      <c r="H16406" t="s">
        <v>7</v>
      </c>
    </row>
    <row r="16407" spans="2:8" x14ac:dyDescent="0.2">
      <c r="B16407" s="3">
        <v>45997</v>
      </c>
      <c r="C16407" s="3"/>
      <c r="D16407" s="28"/>
      <c r="E16407" s="2"/>
      <c r="F16407" s="2"/>
      <c r="G16407" s="2">
        <f t="shared" si="256"/>
        <v>0</v>
      </c>
      <c r="H16407" t="s">
        <v>6</v>
      </c>
    </row>
    <row r="16408" spans="2:8" x14ac:dyDescent="0.2">
      <c r="B16408" s="3">
        <v>45997</v>
      </c>
      <c r="C16408" s="3"/>
      <c r="D16408" s="28"/>
      <c r="E16408" s="2"/>
      <c r="F16408" s="2"/>
      <c r="G16408" s="2">
        <f t="shared" si="256"/>
        <v>0</v>
      </c>
      <c r="H16408" t="s">
        <v>5</v>
      </c>
    </row>
    <row r="16409" spans="2:8" x14ac:dyDescent="0.2">
      <c r="B16409" s="3">
        <v>45997</v>
      </c>
      <c r="C16409" s="3"/>
      <c r="D16409" s="28"/>
      <c r="E16409" s="2"/>
      <c r="F16409" s="2"/>
      <c r="G16409" s="2">
        <f t="shared" si="256"/>
        <v>0</v>
      </c>
      <c r="H16409" s="1"/>
    </row>
    <row r="16410" spans="2:8" x14ac:dyDescent="0.2">
      <c r="B16410" s="3">
        <v>45997</v>
      </c>
      <c r="C16410" s="3"/>
      <c r="D16410" s="2">
        <v>429355.77000000014</v>
      </c>
      <c r="E16410" s="2">
        <v>446270</v>
      </c>
      <c r="F16410" s="2"/>
      <c r="G16410" s="2">
        <f t="shared" si="256"/>
        <v>446270</v>
      </c>
      <c r="H16410" t="s">
        <v>0</v>
      </c>
    </row>
    <row r="16411" spans="2:8" x14ac:dyDescent="0.2">
      <c r="B16411" s="3">
        <v>45998</v>
      </c>
      <c r="C16411" s="2"/>
      <c r="E16411" s="2"/>
      <c r="F16411" s="2"/>
      <c r="G16411" s="2">
        <f t="shared" si="256"/>
        <v>0</v>
      </c>
      <c r="H16411" t="s">
        <v>14</v>
      </c>
    </row>
    <row r="16412" spans="2:8" x14ac:dyDescent="0.2">
      <c r="B16412" s="3">
        <v>45998</v>
      </c>
      <c r="C16412" s="2"/>
      <c r="E16412" s="2"/>
      <c r="F16412" s="2"/>
      <c r="G16412" s="2">
        <f t="shared" si="256"/>
        <v>0</v>
      </c>
      <c r="H16412" t="s">
        <v>13</v>
      </c>
    </row>
    <row r="16413" spans="2:8" x14ac:dyDescent="0.2">
      <c r="B16413" s="3">
        <v>45998</v>
      </c>
      <c r="C16413" s="3"/>
      <c r="D16413" s="28"/>
      <c r="E16413" s="2"/>
      <c r="F16413" s="2"/>
      <c r="G16413" s="2">
        <f t="shared" si="256"/>
        <v>0</v>
      </c>
      <c r="H16413" t="s">
        <v>11</v>
      </c>
    </row>
    <row r="16414" spans="2:8" x14ac:dyDescent="0.2">
      <c r="B16414" s="3">
        <v>45998</v>
      </c>
      <c r="C16414" s="3"/>
      <c r="D16414" s="28"/>
      <c r="E16414" s="2"/>
      <c r="F16414" s="2"/>
      <c r="G16414" s="2">
        <f t="shared" si="256"/>
        <v>0</v>
      </c>
      <c r="H16414" t="s">
        <v>10</v>
      </c>
    </row>
    <row r="16415" spans="2:8" x14ac:dyDescent="0.2">
      <c r="B16415" s="3">
        <v>45998</v>
      </c>
      <c r="C16415" s="3"/>
      <c r="D16415" s="28"/>
      <c r="E16415" s="2"/>
      <c r="F16415" s="2"/>
      <c r="G16415" s="2">
        <f t="shared" si="256"/>
        <v>0</v>
      </c>
      <c r="H16415" t="s">
        <v>9</v>
      </c>
    </row>
    <row r="16416" spans="2:8" x14ac:dyDescent="0.2">
      <c r="B16416" s="3">
        <v>45998</v>
      </c>
      <c r="C16416" s="3"/>
      <c r="D16416" s="28"/>
      <c r="E16416" s="2"/>
      <c r="F16416" s="2"/>
      <c r="G16416" s="2">
        <f t="shared" si="256"/>
        <v>0</v>
      </c>
      <c r="H16416" t="s">
        <v>8</v>
      </c>
    </row>
    <row r="16417" spans="2:8" x14ac:dyDescent="0.2">
      <c r="B16417" s="3">
        <v>45998</v>
      </c>
      <c r="C16417" s="3"/>
      <c r="D16417" s="28"/>
      <c r="E16417" s="2"/>
      <c r="F16417" s="2"/>
      <c r="G16417" s="2">
        <f t="shared" si="256"/>
        <v>0</v>
      </c>
      <c r="H16417" t="s">
        <v>7</v>
      </c>
    </row>
    <row r="16418" spans="2:8" x14ac:dyDescent="0.2">
      <c r="B16418" s="3">
        <v>45998</v>
      </c>
      <c r="C16418" s="3"/>
      <c r="D16418" s="28"/>
      <c r="E16418" s="2"/>
      <c r="F16418" s="2"/>
      <c r="G16418" s="2">
        <f t="shared" si="256"/>
        <v>0</v>
      </c>
      <c r="H16418" t="s">
        <v>6</v>
      </c>
    </row>
    <row r="16419" spans="2:8" x14ac:dyDescent="0.2">
      <c r="B16419" s="3">
        <v>45998</v>
      </c>
      <c r="C16419" s="3"/>
      <c r="D16419" s="28"/>
      <c r="E16419" s="2"/>
      <c r="F16419" s="2"/>
      <c r="G16419" s="2">
        <f t="shared" si="256"/>
        <v>0</v>
      </c>
      <c r="H16419" t="s">
        <v>5</v>
      </c>
    </row>
    <row r="16420" spans="2:8" x14ac:dyDescent="0.2">
      <c r="B16420" s="3">
        <v>45998</v>
      </c>
      <c r="C16420" s="2">
        <v>149</v>
      </c>
      <c r="D16420" s="6">
        <v>8600</v>
      </c>
      <c r="E16420" s="2">
        <v>8800</v>
      </c>
      <c r="F16420" s="2"/>
      <c r="G16420" s="2">
        <f t="shared" si="256"/>
        <v>8800</v>
      </c>
      <c r="H16420" s="1" t="s">
        <v>99</v>
      </c>
    </row>
    <row r="16421" spans="2:8" x14ac:dyDescent="0.2">
      <c r="B16421" s="3">
        <v>45998</v>
      </c>
      <c r="C16421" s="3"/>
      <c r="D16421" s="2"/>
      <c r="E16421" s="2"/>
      <c r="F16421" s="2"/>
      <c r="G16421" s="2">
        <f t="shared" si="256"/>
        <v>0</v>
      </c>
      <c r="H16421" t="s">
        <v>0</v>
      </c>
    </row>
    <row r="16422" spans="2:8" x14ac:dyDescent="0.2">
      <c r="B16422" s="3">
        <v>45999</v>
      </c>
      <c r="C16422" s="2"/>
      <c r="E16422" s="2"/>
      <c r="F16422" s="2"/>
      <c r="G16422" s="2">
        <f t="shared" si="256"/>
        <v>0</v>
      </c>
      <c r="H16422" t="s">
        <v>14</v>
      </c>
    </row>
    <row r="16423" spans="2:8" x14ac:dyDescent="0.2">
      <c r="B16423" s="3">
        <v>45999</v>
      </c>
      <c r="C16423" s="2"/>
      <c r="E16423" s="2"/>
      <c r="F16423" s="2"/>
      <c r="G16423" s="2">
        <f t="shared" si="256"/>
        <v>0</v>
      </c>
      <c r="H16423" t="s">
        <v>13</v>
      </c>
    </row>
    <row r="16424" spans="2:8" x14ac:dyDescent="0.2">
      <c r="B16424" s="3">
        <v>45999</v>
      </c>
      <c r="C16424" s="3"/>
      <c r="D16424" s="28"/>
      <c r="E16424" s="2"/>
      <c r="F16424" s="2"/>
      <c r="G16424" s="2">
        <f t="shared" si="256"/>
        <v>0</v>
      </c>
      <c r="H16424" t="s">
        <v>11</v>
      </c>
    </row>
    <row r="16425" spans="2:8" x14ac:dyDescent="0.2">
      <c r="B16425" s="3">
        <v>45999</v>
      </c>
      <c r="C16425" s="3"/>
      <c r="D16425" s="28"/>
      <c r="E16425" s="2"/>
      <c r="F16425" s="2"/>
      <c r="G16425" s="2">
        <f t="shared" si="256"/>
        <v>0</v>
      </c>
      <c r="H16425" t="s">
        <v>10</v>
      </c>
    </row>
    <row r="16426" spans="2:8" x14ac:dyDescent="0.2">
      <c r="B16426" s="3">
        <v>45999</v>
      </c>
      <c r="C16426" s="3"/>
      <c r="D16426" s="28"/>
      <c r="E16426" s="2"/>
      <c r="F16426" s="2"/>
      <c r="G16426" s="2">
        <f t="shared" si="256"/>
        <v>0</v>
      </c>
      <c r="H16426" t="s">
        <v>9</v>
      </c>
    </row>
    <row r="16427" spans="2:8" x14ac:dyDescent="0.2">
      <c r="B16427" s="3">
        <v>45999</v>
      </c>
      <c r="C16427" s="3"/>
      <c r="D16427" s="28"/>
      <c r="E16427" s="2"/>
      <c r="F16427" s="2"/>
      <c r="G16427" s="2">
        <f t="shared" si="256"/>
        <v>0</v>
      </c>
      <c r="H16427" t="s">
        <v>8</v>
      </c>
    </row>
    <row r="16428" spans="2:8" x14ac:dyDescent="0.2">
      <c r="B16428" s="3">
        <v>45999</v>
      </c>
      <c r="C16428" s="3"/>
      <c r="D16428" s="28"/>
      <c r="E16428" s="2"/>
      <c r="F16428" s="2"/>
      <c r="G16428" s="2">
        <f t="shared" si="256"/>
        <v>0</v>
      </c>
      <c r="H16428" t="s">
        <v>7</v>
      </c>
    </row>
    <row r="16429" spans="2:8" x14ac:dyDescent="0.2">
      <c r="B16429" s="3">
        <v>45999</v>
      </c>
      <c r="C16429" s="3"/>
      <c r="D16429" s="28"/>
      <c r="E16429" s="2"/>
      <c r="F16429" s="2"/>
      <c r="G16429" s="2">
        <f t="shared" si="256"/>
        <v>0</v>
      </c>
      <c r="H16429" t="s">
        <v>6</v>
      </c>
    </row>
    <row r="16430" spans="2:8" x14ac:dyDescent="0.2">
      <c r="B16430" s="3">
        <v>45999</v>
      </c>
      <c r="C16430" s="3"/>
      <c r="D16430" s="28"/>
      <c r="E16430" s="2"/>
      <c r="F16430" s="2"/>
      <c r="G16430" s="2">
        <f t="shared" si="256"/>
        <v>0</v>
      </c>
      <c r="H16430" t="s">
        <v>5</v>
      </c>
    </row>
    <row r="16431" spans="2:8" x14ac:dyDescent="0.2">
      <c r="B16431" s="3">
        <v>45999</v>
      </c>
      <c r="C16431" s="3"/>
      <c r="D16431" s="28"/>
      <c r="E16431" s="2"/>
      <c r="F16431" s="2"/>
      <c r="G16431" s="2">
        <f t="shared" si="256"/>
        <v>0</v>
      </c>
      <c r="H16431" s="1"/>
    </row>
    <row r="16432" spans="2:8" x14ac:dyDescent="0.2">
      <c r="B16432" s="3">
        <v>45999</v>
      </c>
      <c r="C16432" s="3"/>
      <c r="D16432" s="2"/>
      <c r="E16432" s="2"/>
      <c r="F16432" s="2"/>
      <c r="G16432" s="2">
        <f t="shared" si="256"/>
        <v>0</v>
      </c>
      <c r="H16432" t="s">
        <v>0</v>
      </c>
    </row>
    <row r="16433" spans="2:8" x14ac:dyDescent="0.2">
      <c r="B16433" s="3">
        <v>46000</v>
      </c>
      <c r="C16433" s="2"/>
      <c r="E16433" s="2"/>
      <c r="F16433" s="2"/>
      <c r="G16433" s="2">
        <f t="shared" si="256"/>
        <v>0</v>
      </c>
      <c r="H16433" t="s">
        <v>14</v>
      </c>
    </row>
    <row r="16434" spans="2:8" x14ac:dyDescent="0.2">
      <c r="B16434" s="3">
        <v>46000</v>
      </c>
      <c r="C16434" s="2"/>
      <c r="E16434" s="2"/>
      <c r="F16434" s="2"/>
      <c r="G16434" s="2">
        <f t="shared" si="256"/>
        <v>0</v>
      </c>
      <c r="H16434" t="s">
        <v>13</v>
      </c>
    </row>
    <row r="16435" spans="2:8" x14ac:dyDescent="0.2">
      <c r="B16435" s="3">
        <v>46000</v>
      </c>
      <c r="C16435" s="3"/>
      <c r="D16435" s="28"/>
      <c r="E16435" s="2"/>
      <c r="F16435" s="2"/>
      <c r="G16435" s="2">
        <f t="shared" si="256"/>
        <v>0</v>
      </c>
      <c r="H16435" t="s">
        <v>11</v>
      </c>
    </row>
    <row r="16436" spans="2:8" x14ac:dyDescent="0.2">
      <c r="B16436" s="3">
        <v>46000</v>
      </c>
      <c r="C16436" s="3"/>
      <c r="D16436" s="28"/>
      <c r="E16436" s="2"/>
      <c r="F16436" s="2"/>
      <c r="G16436" s="2">
        <f t="shared" si="256"/>
        <v>0</v>
      </c>
      <c r="H16436" t="s">
        <v>10</v>
      </c>
    </row>
    <row r="16437" spans="2:8" x14ac:dyDescent="0.2">
      <c r="B16437" s="3">
        <v>46000</v>
      </c>
      <c r="C16437" s="3"/>
      <c r="D16437" s="28"/>
      <c r="E16437" s="2"/>
      <c r="F16437" s="2"/>
      <c r="G16437" s="2">
        <f t="shared" si="256"/>
        <v>0</v>
      </c>
      <c r="H16437" t="s">
        <v>9</v>
      </c>
    </row>
    <row r="16438" spans="2:8" x14ac:dyDescent="0.2">
      <c r="B16438" s="3">
        <v>46000</v>
      </c>
      <c r="C16438" s="3"/>
      <c r="D16438" s="28"/>
      <c r="E16438" s="2"/>
      <c r="F16438" s="2"/>
      <c r="G16438" s="2">
        <f t="shared" si="256"/>
        <v>0</v>
      </c>
      <c r="H16438" t="s">
        <v>8</v>
      </c>
    </row>
    <row r="16439" spans="2:8" x14ac:dyDescent="0.2">
      <c r="B16439" s="3">
        <v>46000</v>
      </c>
      <c r="C16439" s="3"/>
      <c r="D16439" s="28"/>
      <c r="E16439" s="2"/>
      <c r="F16439" s="2"/>
      <c r="G16439" s="2">
        <f t="shared" si="256"/>
        <v>0</v>
      </c>
      <c r="H16439" t="s">
        <v>7</v>
      </c>
    </row>
    <row r="16440" spans="2:8" x14ac:dyDescent="0.2">
      <c r="B16440" s="3">
        <v>46000</v>
      </c>
      <c r="C16440" s="3"/>
      <c r="D16440" s="28"/>
      <c r="E16440" s="2"/>
      <c r="F16440" s="2"/>
      <c r="G16440" s="2">
        <f t="shared" si="256"/>
        <v>0</v>
      </c>
      <c r="H16440" t="s">
        <v>6</v>
      </c>
    </row>
    <row r="16441" spans="2:8" x14ac:dyDescent="0.2">
      <c r="B16441" s="3">
        <v>46000</v>
      </c>
      <c r="C16441" s="3"/>
      <c r="D16441" s="28"/>
      <c r="E16441" s="2"/>
      <c r="F16441" s="2"/>
      <c r="G16441" s="2">
        <f t="shared" si="256"/>
        <v>0</v>
      </c>
      <c r="H16441" t="s">
        <v>5</v>
      </c>
    </row>
    <row r="16442" spans="2:8" x14ac:dyDescent="0.2">
      <c r="B16442" s="3">
        <v>46000</v>
      </c>
      <c r="C16442" s="3"/>
      <c r="D16442" s="28"/>
      <c r="E16442" s="2"/>
      <c r="F16442" s="2"/>
      <c r="G16442" s="2">
        <f t="shared" si="256"/>
        <v>0</v>
      </c>
      <c r="H16442" s="1"/>
    </row>
    <row r="16443" spans="2:8" x14ac:dyDescent="0.2">
      <c r="B16443" s="3">
        <v>46000</v>
      </c>
      <c r="C16443" s="3"/>
      <c r="D16443" s="2"/>
      <c r="E16443" s="2"/>
      <c r="F16443" s="2"/>
      <c r="G16443" s="2">
        <f t="shared" si="256"/>
        <v>0</v>
      </c>
      <c r="H16443" t="s">
        <v>0</v>
      </c>
    </row>
    <row r="16444" spans="2:8" x14ac:dyDescent="0.2">
      <c r="B16444" s="3">
        <v>46001</v>
      </c>
      <c r="C16444" s="2"/>
      <c r="E16444" s="2"/>
      <c r="F16444" s="2">
        <v>18240</v>
      </c>
      <c r="G16444" s="2">
        <f t="shared" si="256"/>
        <v>-18240</v>
      </c>
      <c r="H16444" t="s">
        <v>14</v>
      </c>
    </row>
    <row r="16445" spans="2:8" x14ac:dyDescent="0.2">
      <c r="B16445" s="3">
        <v>46001</v>
      </c>
      <c r="C16445" s="2"/>
      <c r="E16445" s="2"/>
      <c r="F16445" s="2"/>
      <c r="G16445" s="2">
        <f t="shared" si="256"/>
        <v>0</v>
      </c>
      <c r="H16445" t="s">
        <v>13</v>
      </c>
    </row>
    <row r="16446" spans="2:8" x14ac:dyDescent="0.2">
      <c r="B16446" s="3">
        <v>46001</v>
      </c>
      <c r="C16446" s="3"/>
      <c r="D16446" s="28"/>
      <c r="E16446" s="2"/>
      <c r="F16446" s="2"/>
      <c r="G16446" s="2">
        <f t="shared" si="256"/>
        <v>0</v>
      </c>
      <c r="H16446" t="s">
        <v>11</v>
      </c>
    </row>
    <row r="16447" spans="2:8" x14ac:dyDescent="0.2">
      <c r="B16447" s="3">
        <v>46001</v>
      </c>
      <c r="C16447" s="3"/>
      <c r="D16447" s="28"/>
      <c r="E16447" s="2"/>
      <c r="F16447" s="2"/>
      <c r="G16447" s="2">
        <f t="shared" si="256"/>
        <v>0</v>
      </c>
      <c r="H16447" t="s">
        <v>10</v>
      </c>
    </row>
    <row r="16448" spans="2:8" x14ac:dyDescent="0.2">
      <c r="B16448" s="3">
        <v>46001</v>
      </c>
      <c r="C16448" s="3"/>
      <c r="D16448" s="28"/>
      <c r="E16448" s="2"/>
      <c r="F16448" s="2"/>
      <c r="G16448" s="2">
        <f t="shared" si="256"/>
        <v>0</v>
      </c>
      <c r="H16448" t="s">
        <v>9</v>
      </c>
    </row>
    <row r="16449" spans="2:8" x14ac:dyDescent="0.2">
      <c r="B16449" s="3">
        <v>46001</v>
      </c>
      <c r="C16449" s="3"/>
      <c r="D16449" s="28"/>
      <c r="E16449" s="2"/>
      <c r="F16449" s="2"/>
      <c r="G16449" s="2">
        <f t="shared" si="256"/>
        <v>0</v>
      </c>
      <c r="H16449" t="s">
        <v>8</v>
      </c>
    </row>
    <row r="16450" spans="2:8" x14ac:dyDescent="0.2">
      <c r="B16450" s="3">
        <v>46001</v>
      </c>
      <c r="C16450" s="3"/>
      <c r="D16450" s="28"/>
      <c r="E16450" s="2"/>
      <c r="F16450" s="2"/>
      <c r="G16450" s="2">
        <f t="shared" si="256"/>
        <v>0</v>
      </c>
      <c r="H16450" t="s">
        <v>7</v>
      </c>
    </row>
    <row r="16451" spans="2:8" x14ac:dyDescent="0.2">
      <c r="B16451" s="3">
        <v>46001</v>
      </c>
      <c r="C16451" s="3"/>
      <c r="D16451" s="28"/>
      <c r="E16451" s="2"/>
      <c r="F16451" s="2"/>
      <c r="G16451" s="2">
        <f t="shared" ref="G16451:G16514" si="257">E16451-F16451</f>
        <v>0</v>
      </c>
      <c r="H16451" t="s">
        <v>6</v>
      </c>
    </row>
    <row r="16452" spans="2:8" x14ac:dyDescent="0.2">
      <c r="B16452" s="3">
        <v>46001</v>
      </c>
      <c r="C16452" s="3"/>
      <c r="D16452" s="28"/>
      <c r="E16452" s="2"/>
      <c r="F16452" s="2"/>
      <c r="G16452" s="2">
        <f t="shared" si="257"/>
        <v>0</v>
      </c>
      <c r="H16452" t="s">
        <v>5</v>
      </c>
    </row>
    <row r="16453" spans="2:8" x14ac:dyDescent="0.2">
      <c r="B16453" s="3">
        <v>46001</v>
      </c>
      <c r="C16453" s="3"/>
      <c r="D16453" s="28"/>
      <c r="E16453" s="2"/>
      <c r="F16453" s="2"/>
      <c r="G16453" s="2">
        <f t="shared" si="257"/>
        <v>0</v>
      </c>
      <c r="H16453" s="1"/>
    </row>
    <row r="16454" spans="2:8" x14ac:dyDescent="0.2">
      <c r="B16454" s="3">
        <v>46001</v>
      </c>
      <c r="C16454" s="3"/>
      <c r="D16454" s="2"/>
      <c r="E16454" s="2"/>
      <c r="F16454" s="2"/>
      <c r="G16454" s="2">
        <f t="shared" si="257"/>
        <v>0</v>
      </c>
      <c r="H16454" t="s">
        <v>0</v>
      </c>
    </row>
    <row r="16455" spans="2:8" x14ac:dyDescent="0.2">
      <c r="B16455" s="3">
        <v>46002</v>
      </c>
      <c r="C16455" s="2"/>
      <c r="E16455" s="2"/>
      <c r="F16455" s="2"/>
      <c r="G16455" s="2">
        <f t="shared" si="257"/>
        <v>0</v>
      </c>
      <c r="H16455" t="s">
        <v>14</v>
      </c>
    </row>
    <row r="16456" spans="2:8" x14ac:dyDescent="0.2">
      <c r="B16456" s="3">
        <v>46002</v>
      </c>
      <c r="C16456" s="2"/>
      <c r="E16456" s="2"/>
      <c r="F16456" s="2"/>
      <c r="G16456" s="2">
        <f t="shared" si="257"/>
        <v>0</v>
      </c>
      <c r="H16456" t="s">
        <v>13</v>
      </c>
    </row>
    <row r="16457" spans="2:8" x14ac:dyDescent="0.2">
      <c r="B16457" s="3">
        <v>46002</v>
      </c>
      <c r="C16457" s="3"/>
      <c r="D16457" s="28"/>
      <c r="E16457" s="2"/>
      <c r="F16457" s="2"/>
      <c r="G16457" s="2">
        <f t="shared" si="257"/>
        <v>0</v>
      </c>
      <c r="H16457" t="s">
        <v>11</v>
      </c>
    </row>
    <row r="16458" spans="2:8" x14ac:dyDescent="0.2">
      <c r="B16458" s="3">
        <v>46002</v>
      </c>
      <c r="C16458" s="3"/>
      <c r="D16458" s="28"/>
      <c r="E16458" s="2"/>
      <c r="F16458" s="2"/>
      <c r="G16458" s="2">
        <f t="shared" si="257"/>
        <v>0</v>
      </c>
      <c r="H16458" t="s">
        <v>10</v>
      </c>
    </row>
    <row r="16459" spans="2:8" x14ac:dyDescent="0.2">
      <c r="B16459" s="3">
        <v>46002</v>
      </c>
      <c r="C16459" s="3"/>
      <c r="D16459" s="28"/>
      <c r="E16459" s="2"/>
      <c r="F16459" s="2"/>
      <c r="G16459" s="2">
        <f t="shared" si="257"/>
        <v>0</v>
      </c>
      <c r="H16459" t="s">
        <v>9</v>
      </c>
    </row>
    <row r="16460" spans="2:8" x14ac:dyDescent="0.2">
      <c r="B16460" s="3">
        <v>46002</v>
      </c>
      <c r="C16460" s="3"/>
      <c r="D16460" s="28"/>
      <c r="E16460" s="2"/>
      <c r="F16460" s="2">
        <v>35000</v>
      </c>
      <c r="G16460" s="2">
        <f t="shared" si="257"/>
        <v>-35000</v>
      </c>
      <c r="H16460" t="s">
        <v>8</v>
      </c>
    </row>
    <row r="16461" spans="2:8" x14ac:dyDescent="0.2">
      <c r="B16461" s="3">
        <v>46002</v>
      </c>
      <c r="C16461" s="3"/>
      <c r="D16461" s="28"/>
      <c r="E16461" s="2"/>
      <c r="F16461" s="2"/>
      <c r="G16461" s="2">
        <f t="shared" si="257"/>
        <v>0</v>
      </c>
      <c r="H16461" t="s">
        <v>7</v>
      </c>
    </row>
    <row r="16462" spans="2:8" x14ac:dyDescent="0.2">
      <c r="B16462" s="3">
        <v>46002</v>
      </c>
      <c r="C16462" s="3"/>
      <c r="D16462" s="28"/>
      <c r="E16462" s="2"/>
      <c r="F16462" s="2"/>
      <c r="G16462" s="2">
        <f t="shared" si="257"/>
        <v>0</v>
      </c>
      <c r="H16462" t="s">
        <v>6</v>
      </c>
    </row>
    <row r="16463" spans="2:8" x14ac:dyDescent="0.2">
      <c r="B16463" s="3">
        <v>46002</v>
      </c>
      <c r="C16463" s="3"/>
      <c r="D16463" s="28"/>
      <c r="E16463" s="2"/>
      <c r="F16463" s="2"/>
      <c r="G16463" s="2">
        <f t="shared" si="257"/>
        <v>0</v>
      </c>
      <c r="H16463" t="s">
        <v>5</v>
      </c>
    </row>
    <row r="16464" spans="2:8" x14ac:dyDescent="0.2">
      <c r="B16464" s="3">
        <v>46002</v>
      </c>
      <c r="C16464" s="2">
        <v>150</v>
      </c>
      <c r="D16464" s="6">
        <v>425</v>
      </c>
      <c r="E16464" s="2">
        <v>425</v>
      </c>
      <c r="F16464" s="2"/>
      <c r="G16464" s="2">
        <f t="shared" si="257"/>
        <v>425</v>
      </c>
      <c r="H16464" s="1" t="s">
        <v>3</v>
      </c>
    </row>
    <row r="16465" spans="2:8" x14ac:dyDescent="0.2">
      <c r="B16465" s="3">
        <v>46002</v>
      </c>
      <c r="C16465" s="3"/>
      <c r="D16465" s="2"/>
      <c r="E16465" s="2"/>
      <c r="F16465" s="2">
        <v>150000</v>
      </c>
      <c r="G16465" s="2">
        <f t="shared" si="257"/>
        <v>-150000</v>
      </c>
      <c r="H16465" t="s">
        <v>0</v>
      </c>
    </row>
    <row r="16466" spans="2:8" x14ac:dyDescent="0.2">
      <c r="B16466" s="3">
        <v>46003</v>
      </c>
      <c r="C16466" s="2"/>
      <c r="E16466" s="2"/>
      <c r="F16466" s="2"/>
      <c r="G16466" s="2">
        <f t="shared" si="257"/>
        <v>0</v>
      </c>
      <c r="H16466" t="s">
        <v>14</v>
      </c>
    </row>
    <row r="16467" spans="2:8" x14ac:dyDescent="0.2">
      <c r="B16467" s="3">
        <v>46003</v>
      </c>
      <c r="C16467" s="2"/>
      <c r="E16467" s="2"/>
      <c r="F16467" s="2"/>
      <c r="G16467" s="2">
        <f t="shared" si="257"/>
        <v>0</v>
      </c>
      <c r="H16467" t="s">
        <v>13</v>
      </c>
    </row>
    <row r="16468" spans="2:8" x14ac:dyDescent="0.2">
      <c r="B16468" s="3">
        <v>46003</v>
      </c>
      <c r="C16468" s="3"/>
      <c r="D16468" s="28"/>
      <c r="E16468" s="2"/>
      <c r="F16468" s="2"/>
      <c r="G16468" s="2">
        <f t="shared" si="257"/>
        <v>0</v>
      </c>
      <c r="H16468" t="s">
        <v>11</v>
      </c>
    </row>
    <row r="16469" spans="2:8" x14ac:dyDescent="0.2">
      <c r="B16469" s="3">
        <v>46003</v>
      </c>
      <c r="C16469" s="3"/>
      <c r="D16469" s="28"/>
      <c r="E16469" s="2"/>
      <c r="F16469" s="2"/>
      <c r="G16469" s="2">
        <f t="shared" si="257"/>
        <v>0</v>
      </c>
      <c r="H16469" t="s">
        <v>10</v>
      </c>
    </row>
    <row r="16470" spans="2:8" x14ac:dyDescent="0.2">
      <c r="B16470" s="3">
        <v>46003</v>
      </c>
      <c r="C16470" s="3"/>
      <c r="D16470" s="28"/>
      <c r="E16470" s="2"/>
      <c r="F16470" s="2"/>
      <c r="G16470" s="2">
        <f t="shared" si="257"/>
        <v>0</v>
      </c>
      <c r="H16470" t="s">
        <v>9</v>
      </c>
    </row>
    <row r="16471" spans="2:8" x14ac:dyDescent="0.2">
      <c r="B16471" s="3">
        <v>46003</v>
      </c>
      <c r="C16471" s="3"/>
      <c r="D16471" s="28"/>
      <c r="E16471" s="2"/>
      <c r="F16471" s="2"/>
      <c r="G16471" s="2">
        <f t="shared" si="257"/>
        <v>0</v>
      </c>
      <c r="H16471" t="s">
        <v>8</v>
      </c>
    </row>
    <row r="16472" spans="2:8" x14ac:dyDescent="0.2">
      <c r="B16472" s="3">
        <v>46003</v>
      </c>
      <c r="C16472" s="3"/>
      <c r="D16472" s="28"/>
      <c r="E16472" s="2"/>
      <c r="F16472" s="2"/>
      <c r="G16472" s="2">
        <f t="shared" si="257"/>
        <v>0</v>
      </c>
      <c r="H16472" t="s">
        <v>7</v>
      </c>
    </row>
    <row r="16473" spans="2:8" x14ac:dyDescent="0.2">
      <c r="B16473" s="3">
        <v>46003</v>
      </c>
      <c r="C16473" s="3"/>
      <c r="D16473" s="28"/>
      <c r="E16473" s="2"/>
      <c r="F16473" s="2"/>
      <c r="G16473" s="2">
        <f t="shared" si="257"/>
        <v>0</v>
      </c>
      <c r="H16473" t="s">
        <v>6</v>
      </c>
    </row>
    <row r="16474" spans="2:8" x14ac:dyDescent="0.2">
      <c r="B16474" s="3">
        <v>46003</v>
      </c>
      <c r="C16474" s="3"/>
      <c r="D16474" s="28"/>
      <c r="E16474" s="2"/>
      <c r="F16474" s="2"/>
      <c r="G16474" s="2">
        <f t="shared" si="257"/>
        <v>0</v>
      </c>
      <c r="H16474" t="s">
        <v>5</v>
      </c>
    </row>
    <row r="16475" spans="2:8" x14ac:dyDescent="0.2">
      <c r="B16475" s="3">
        <v>46003</v>
      </c>
      <c r="C16475" s="3"/>
      <c r="D16475" s="28"/>
      <c r="E16475" s="2"/>
      <c r="F16475" s="2"/>
      <c r="G16475" s="2">
        <f t="shared" si="257"/>
        <v>0</v>
      </c>
      <c r="H16475" s="1"/>
    </row>
    <row r="16476" spans="2:8" x14ac:dyDescent="0.2">
      <c r="B16476" s="3">
        <v>46003</v>
      </c>
      <c r="C16476" s="3"/>
      <c r="D16476" s="2"/>
      <c r="E16476" s="2"/>
      <c r="F16476" s="2"/>
      <c r="G16476" s="2">
        <f t="shared" si="257"/>
        <v>0</v>
      </c>
      <c r="H16476" t="s">
        <v>0</v>
      </c>
    </row>
    <row r="16477" spans="2:8" x14ac:dyDescent="0.2">
      <c r="B16477" s="3">
        <v>46004</v>
      </c>
      <c r="C16477" s="2"/>
      <c r="E16477" s="2"/>
      <c r="F16477" s="2"/>
      <c r="G16477" s="2">
        <f t="shared" si="257"/>
        <v>0</v>
      </c>
      <c r="H16477" t="s">
        <v>14</v>
      </c>
    </row>
    <row r="16478" spans="2:8" x14ac:dyDescent="0.2">
      <c r="B16478" s="3">
        <v>46004</v>
      </c>
      <c r="C16478" s="2"/>
      <c r="E16478" s="2"/>
      <c r="F16478" s="2"/>
      <c r="G16478" s="2">
        <f t="shared" si="257"/>
        <v>0</v>
      </c>
      <c r="H16478" t="s">
        <v>13</v>
      </c>
    </row>
    <row r="16479" spans="2:8" x14ac:dyDescent="0.2">
      <c r="B16479" s="3">
        <v>46004</v>
      </c>
      <c r="C16479" s="3"/>
      <c r="D16479" s="28"/>
      <c r="E16479" s="2"/>
      <c r="F16479" s="2"/>
      <c r="G16479" s="2">
        <f t="shared" si="257"/>
        <v>0</v>
      </c>
      <c r="H16479" t="s">
        <v>11</v>
      </c>
    </row>
    <row r="16480" spans="2:8" x14ac:dyDescent="0.2">
      <c r="B16480" s="3">
        <v>46004</v>
      </c>
      <c r="C16480" s="3"/>
      <c r="D16480" s="28"/>
      <c r="E16480" s="2"/>
      <c r="F16480" s="2"/>
      <c r="G16480" s="2">
        <f t="shared" si="257"/>
        <v>0</v>
      </c>
      <c r="H16480" t="s">
        <v>10</v>
      </c>
    </row>
    <row r="16481" spans="2:8" x14ac:dyDescent="0.2">
      <c r="B16481" s="3">
        <v>46004</v>
      </c>
      <c r="C16481" s="3"/>
      <c r="D16481" s="28"/>
      <c r="E16481" s="2"/>
      <c r="F16481" s="2"/>
      <c r="G16481" s="2">
        <f t="shared" si="257"/>
        <v>0</v>
      </c>
      <c r="H16481" t="s">
        <v>9</v>
      </c>
    </row>
    <row r="16482" spans="2:8" x14ac:dyDescent="0.2">
      <c r="B16482" s="3">
        <v>46004</v>
      </c>
      <c r="C16482" s="3"/>
      <c r="D16482" s="28"/>
      <c r="E16482" s="2"/>
      <c r="F16482" s="2"/>
      <c r="G16482" s="2">
        <f t="shared" si="257"/>
        <v>0</v>
      </c>
      <c r="H16482" t="s">
        <v>8</v>
      </c>
    </row>
    <row r="16483" spans="2:8" x14ac:dyDescent="0.2">
      <c r="B16483" s="3">
        <v>46004</v>
      </c>
      <c r="C16483" s="3"/>
      <c r="D16483" s="28"/>
      <c r="E16483" s="2"/>
      <c r="F16483" s="2"/>
      <c r="G16483" s="2">
        <f t="shared" si="257"/>
        <v>0</v>
      </c>
      <c r="H16483" t="s">
        <v>7</v>
      </c>
    </row>
    <row r="16484" spans="2:8" x14ac:dyDescent="0.2">
      <c r="B16484" s="3">
        <v>46004</v>
      </c>
      <c r="C16484" s="3"/>
      <c r="D16484" s="28"/>
      <c r="E16484" s="2"/>
      <c r="F16484" s="2"/>
      <c r="G16484" s="2">
        <f t="shared" si="257"/>
        <v>0</v>
      </c>
      <c r="H16484" t="s">
        <v>6</v>
      </c>
    </row>
    <row r="16485" spans="2:8" x14ac:dyDescent="0.2">
      <c r="B16485" s="3">
        <v>46004</v>
      </c>
      <c r="C16485" s="3"/>
      <c r="D16485" s="28"/>
      <c r="E16485" s="2"/>
      <c r="F16485" s="2"/>
      <c r="G16485" s="2">
        <f t="shared" si="257"/>
        <v>0</v>
      </c>
      <c r="H16485" t="s">
        <v>5</v>
      </c>
    </row>
    <row r="16486" spans="2:8" x14ac:dyDescent="0.2">
      <c r="B16486" s="3">
        <v>46004</v>
      </c>
      <c r="C16486" s="3"/>
      <c r="D16486" s="28"/>
      <c r="E16486" s="2"/>
      <c r="F16486" s="2"/>
      <c r="G16486" s="2">
        <f t="shared" si="257"/>
        <v>0</v>
      </c>
      <c r="H16486" s="1"/>
    </row>
    <row r="16487" spans="2:8" x14ac:dyDescent="0.2">
      <c r="B16487" s="3">
        <v>46004</v>
      </c>
      <c r="C16487" s="3"/>
      <c r="D16487" s="2">
        <v>203362.78999999998</v>
      </c>
      <c r="E16487" s="2">
        <v>211471.45999999996</v>
      </c>
      <c r="F16487" s="2"/>
      <c r="G16487" s="2">
        <f t="shared" si="257"/>
        <v>211471.45999999996</v>
      </c>
      <c r="H16487" t="s">
        <v>0</v>
      </c>
    </row>
    <row r="16488" spans="2:8" x14ac:dyDescent="0.2">
      <c r="B16488" s="3">
        <v>46005</v>
      </c>
      <c r="C16488" s="2" t="s">
        <v>96</v>
      </c>
      <c r="D16488" s="1">
        <v>31275.48</v>
      </c>
      <c r="E16488" s="2">
        <v>37209.599999999999</v>
      </c>
      <c r="F16488" s="2"/>
      <c r="G16488" s="2">
        <f t="shared" si="257"/>
        <v>37209.599999999999</v>
      </c>
      <c r="H16488" t="s">
        <v>14</v>
      </c>
    </row>
    <row r="16489" spans="2:8" x14ac:dyDescent="0.2">
      <c r="B16489" s="3">
        <v>46005</v>
      </c>
      <c r="C16489" s="2"/>
      <c r="E16489" s="2"/>
      <c r="F16489" s="2"/>
      <c r="G16489" s="2">
        <f t="shared" si="257"/>
        <v>0</v>
      </c>
      <c r="H16489" t="s">
        <v>13</v>
      </c>
    </row>
    <row r="16490" spans="2:8" x14ac:dyDescent="0.2">
      <c r="B16490" s="3">
        <v>46005</v>
      </c>
      <c r="C16490" s="3"/>
      <c r="D16490" s="28"/>
      <c r="E16490" s="2"/>
      <c r="F16490" s="2"/>
      <c r="G16490" s="2">
        <f t="shared" si="257"/>
        <v>0</v>
      </c>
      <c r="H16490" t="s">
        <v>11</v>
      </c>
    </row>
    <row r="16491" spans="2:8" x14ac:dyDescent="0.2">
      <c r="B16491" s="3">
        <v>46005</v>
      </c>
      <c r="C16491" s="3"/>
      <c r="D16491" s="28"/>
      <c r="E16491" s="2"/>
      <c r="F16491" s="2"/>
      <c r="G16491" s="2">
        <f t="shared" si="257"/>
        <v>0</v>
      </c>
      <c r="H16491" t="s">
        <v>10</v>
      </c>
    </row>
    <row r="16492" spans="2:8" x14ac:dyDescent="0.2">
      <c r="B16492" s="3">
        <v>46005</v>
      </c>
      <c r="C16492" s="3"/>
      <c r="D16492" s="28"/>
      <c r="E16492" s="2"/>
      <c r="F16492" s="2"/>
      <c r="G16492" s="2">
        <f t="shared" si="257"/>
        <v>0</v>
      </c>
      <c r="H16492" t="s">
        <v>9</v>
      </c>
    </row>
    <row r="16493" spans="2:8" x14ac:dyDescent="0.2">
      <c r="B16493" s="3">
        <v>46005</v>
      </c>
      <c r="C16493" s="2">
        <v>151</v>
      </c>
      <c r="D16493" s="6">
        <v>35450</v>
      </c>
      <c r="E16493" s="2">
        <v>40150</v>
      </c>
      <c r="F16493" s="2"/>
      <c r="G16493" s="2">
        <f t="shared" si="257"/>
        <v>40150</v>
      </c>
      <c r="H16493" t="s">
        <v>8</v>
      </c>
    </row>
    <row r="16494" spans="2:8" x14ac:dyDescent="0.2">
      <c r="B16494" s="3">
        <v>46005</v>
      </c>
      <c r="C16494" s="3"/>
      <c r="D16494" s="28"/>
      <c r="E16494" s="2"/>
      <c r="F16494" s="2"/>
      <c r="G16494" s="2">
        <f t="shared" si="257"/>
        <v>0</v>
      </c>
      <c r="H16494" t="s">
        <v>7</v>
      </c>
    </row>
    <row r="16495" spans="2:8" x14ac:dyDescent="0.2">
      <c r="B16495" s="3">
        <v>46005</v>
      </c>
      <c r="C16495" s="3"/>
      <c r="D16495" s="28"/>
      <c r="E16495" s="2"/>
      <c r="F16495" s="2"/>
      <c r="G16495" s="2">
        <f t="shared" si="257"/>
        <v>0</v>
      </c>
      <c r="H16495" t="s">
        <v>6</v>
      </c>
    </row>
    <row r="16496" spans="2:8" x14ac:dyDescent="0.2">
      <c r="B16496" s="3">
        <v>46005</v>
      </c>
      <c r="C16496" s="3"/>
      <c r="D16496" s="28"/>
      <c r="E16496" s="2"/>
      <c r="F16496" s="2"/>
      <c r="G16496" s="2">
        <f t="shared" si="257"/>
        <v>0</v>
      </c>
      <c r="H16496" t="s">
        <v>5</v>
      </c>
    </row>
    <row r="16497" spans="2:8" x14ac:dyDescent="0.2">
      <c r="B16497" s="3">
        <v>46005</v>
      </c>
      <c r="C16497" s="2">
        <v>152</v>
      </c>
      <c r="D16497" s="6">
        <v>1400</v>
      </c>
      <c r="E16497" s="2">
        <v>1700</v>
      </c>
      <c r="F16497" s="2"/>
      <c r="G16497" s="2">
        <f t="shared" si="257"/>
        <v>1700</v>
      </c>
      <c r="H16497" s="1" t="s">
        <v>77</v>
      </c>
    </row>
    <row r="16498" spans="2:8" x14ac:dyDescent="0.2">
      <c r="B16498" s="3">
        <v>46005</v>
      </c>
      <c r="C16498" s="3"/>
      <c r="D16498" s="2"/>
      <c r="E16498" s="2"/>
      <c r="F16498" s="2"/>
      <c r="G16498" s="2">
        <f t="shared" si="257"/>
        <v>0</v>
      </c>
      <c r="H16498" t="s">
        <v>0</v>
      </c>
    </row>
    <row r="16499" spans="2:8" x14ac:dyDescent="0.2">
      <c r="B16499" s="3">
        <v>46006</v>
      </c>
      <c r="C16499" s="2"/>
      <c r="E16499" s="2"/>
      <c r="F16499" s="2">
        <v>30000</v>
      </c>
      <c r="G16499" s="2">
        <f t="shared" si="257"/>
        <v>-30000</v>
      </c>
      <c r="H16499" t="s">
        <v>14</v>
      </c>
    </row>
    <row r="16500" spans="2:8" x14ac:dyDescent="0.2">
      <c r="B16500" s="3">
        <v>46006</v>
      </c>
      <c r="C16500" s="2"/>
      <c r="E16500" s="2"/>
      <c r="F16500" s="2"/>
      <c r="G16500" s="2">
        <f t="shared" si="257"/>
        <v>0</v>
      </c>
      <c r="H16500" t="s">
        <v>13</v>
      </c>
    </row>
    <row r="16501" spans="2:8" x14ac:dyDescent="0.2">
      <c r="B16501" s="3">
        <v>46006</v>
      </c>
      <c r="C16501" s="3"/>
      <c r="D16501" s="28"/>
      <c r="E16501" s="2"/>
      <c r="F16501" s="2"/>
      <c r="G16501" s="2">
        <f t="shared" si="257"/>
        <v>0</v>
      </c>
      <c r="H16501" t="s">
        <v>11</v>
      </c>
    </row>
    <row r="16502" spans="2:8" x14ac:dyDescent="0.2">
      <c r="B16502" s="3">
        <v>46006</v>
      </c>
      <c r="C16502" s="3"/>
      <c r="D16502" s="28"/>
      <c r="E16502" s="2"/>
      <c r="F16502" s="2"/>
      <c r="G16502" s="2">
        <f t="shared" si="257"/>
        <v>0</v>
      </c>
      <c r="H16502" t="s">
        <v>10</v>
      </c>
    </row>
    <row r="16503" spans="2:8" x14ac:dyDescent="0.2">
      <c r="B16503" s="3">
        <v>46006</v>
      </c>
      <c r="C16503" s="3"/>
      <c r="D16503" s="28"/>
      <c r="E16503" s="2"/>
      <c r="F16503" s="2"/>
      <c r="G16503" s="2">
        <f t="shared" si="257"/>
        <v>0</v>
      </c>
      <c r="H16503" t="s">
        <v>9</v>
      </c>
    </row>
    <row r="16504" spans="2:8" x14ac:dyDescent="0.2">
      <c r="B16504" s="3">
        <v>46006</v>
      </c>
      <c r="C16504" s="3"/>
      <c r="D16504" s="28"/>
      <c r="E16504" s="2"/>
      <c r="F16504" s="2"/>
      <c r="G16504" s="2">
        <f t="shared" si="257"/>
        <v>0</v>
      </c>
      <c r="H16504" t="s">
        <v>8</v>
      </c>
    </row>
    <row r="16505" spans="2:8" x14ac:dyDescent="0.2">
      <c r="B16505" s="3">
        <v>46006</v>
      </c>
      <c r="C16505" s="3"/>
      <c r="D16505" s="28"/>
      <c r="E16505" s="2"/>
      <c r="F16505" s="2"/>
      <c r="G16505" s="2">
        <f t="shared" si="257"/>
        <v>0</v>
      </c>
      <c r="H16505" t="s">
        <v>7</v>
      </c>
    </row>
    <row r="16506" spans="2:8" x14ac:dyDescent="0.2">
      <c r="B16506" s="3">
        <v>46006</v>
      </c>
      <c r="C16506" s="3"/>
      <c r="D16506" s="28"/>
      <c r="E16506" s="2"/>
      <c r="F16506" s="2"/>
      <c r="G16506" s="2">
        <f t="shared" si="257"/>
        <v>0</v>
      </c>
      <c r="H16506" t="s">
        <v>6</v>
      </c>
    </row>
    <row r="16507" spans="2:8" x14ac:dyDescent="0.2">
      <c r="B16507" s="3">
        <v>46006</v>
      </c>
      <c r="C16507" s="3"/>
      <c r="D16507" s="28"/>
      <c r="E16507" s="2"/>
      <c r="F16507" s="2"/>
      <c r="G16507" s="2">
        <f t="shared" si="257"/>
        <v>0</v>
      </c>
      <c r="H16507" t="s">
        <v>5</v>
      </c>
    </row>
    <row r="16508" spans="2:8" x14ac:dyDescent="0.2">
      <c r="B16508" s="3">
        <v>46006</v>
      </c>
      <c r="C16508" s="3"/>
      <c r="D16508" s="28"/>
      <c r="E16508" s="2"/>
      <c r="F16508" s="2"/>
      <c r="G16508" s="2">
        <f t="shared" si="257"/>
        <v>0</v>
      </c>
      <c r="H16508" s="1"/>
    </row>
    <row r="16509" spans="2:8" x14ac:dyDescent="0.2">
      <c r="B16509" s="3">
        <v>46006</v>
      </c>
      <c r="C16509" s="3"/>
      <c r="D16509" s="2"/>
      <c r="E16509" s="2"/>
      <c r="F16509" s="2"/>
      <c r="G16509" s="2">
        <f t="shared" si="257"/>
        <v>0</v>
      </c>
      <c r="H16509" t="s">
        <v>0</v>
      </c>
    </row>
    <row r="16510" spans="2:8" x14ac:dyDescent="0.2">
      <c r="B16510" s="3">
        <v>46007</v>
      </c>
      <c r="C16510" s="2"/>
      <c r="E16510" s="2"/>
      <c r="F16510" s="2"/>
      <c r="G16510" s="2">
        <f t="shared" si="257"/>
        <v>0</v>
      </c>
      <c r="H16510" t="s">
        <v>14</v>
      </c>
    </row>
    <row r="16511" spans="2:8" x14ac:dyDescent="0.2">
      <c r="B16511" s="3">
        <v>46007</v>
      </c>
      <c r="C16511" s="2"/>
      <c r="E16511" s="2"/>
      <c r="F16511" s="2"/>
      <c r="G16511" s="2">
        <f t="shared" si="257"/>
        <v>0</v>
      </c>
      <c r="H16511" t="s">
        <v>13</v>
      </c>
    </row>
    <row r="16512" spans="2:8" x14ac:dyDescent="0.2">
      <c r="B16512" s="3">
        <v>46007</v>
      </c>
      <c r="C16512" s="3"/>
      <c r="D16512" s="28"/>
      <c r="E16512" s="2"/>
      <c r="F16512" s="2"/>
      <c r="G16512" s="2">
        <f t="shared" si="257"/>
        <v>0</v>
      </c>
      <c r="H16512" t="s">
        <v>11</v>
      </c>
    </row>
    <row r="16513" spans="2:8" x14ac:dyDescent="0.2">
      <c r="B16513" s="3">
        <v>46007</v>
      </c>
      <c r="C16513" s="3"/>
      <c r="D16513" s="28"/>
      <c r="E16513" s="2"/>
      <c r="F16513" s="2"/>
      <c r="G16513" s="2">
        <f t="shared" si="257"/>
        <v>0</v>
      </c>
      <c r="H16513" t="s">
        <v>10</v>
      </c>
    </row>
    <row r="16514" spans="2:8" x14ac:dyDescent="0.2">
      <c r="B16514" s="3">
        <v>46007</v>
      </c>
      <c r="C16514" s="3"/>
      <c r="D16514" s="28"/>
      <c r="E16514" s="2"/>
      <c r="F16514" s="2"/>
      <c r="G16514" s="2">
        <f t="shared" si="257"/>
        <v>0</v>
      </c>
      <c r="H16514" t="s">
        <v>9</v>
      </c>
    </row>
    <row r="16515" spans="2:8" x14ac:dyDescent="0.2">
      <c r="B16515" s="3">
        <v>46007</v>
      </c>
      <c r="C16515" s="3"/>
      <c r="D16515" s="28"/>
      <c r="E16515" s="2"/>
      <c r="F16515" s="2"/>
      <c r="G16515" s="2">
        <f t="shared" ref="G16515:G16578" si="258">E16515-F16515</f>
        <v>0</v>
      </c>
      <c r="H16515" t="s">
        <v>8</v>
      </c>
    </row>
    <row r="16516" spans="2:8" x14ac:dyDescent="0.2">
      <c r="B16516" s="3">
        <v>46007</v>
      </c>
      <c r="C16516" s="3"/>
      <c r="D16516" s="28"/>
      <c r="E16516" s="2"/>
      <c r="F16516" s="2"/>
      <c r="G16516" s="2">
        <f t="shared" si="258"/>
        <v>0</v>
      </c>
      <c r="H16516" t="s">
        <v>7</v>
      </c>
    </row>
    <row r="16517" spans="2:8" x14ac:dyDescent="0.2">
      <c r="B16517" s="3">
        <v>46007</v>
      </c>
      <c r="C16517" s="3"/>
      <c r="D16517" s="28"/>
      <c r="E16517" s="2"/>
      <c r="F16517" s="2"/>
      <c r="G16517" s="2">
        <f t="shared" si="258"/>
        <v>0</v>
      </c>
      <c r="H16517" t="s">
        <v>6</v>
      </c>
    </row>
    <row r="16518" spans="2:8" x14ac:dyDescent="0.2">
      <c r="B16518" s="3">
        <v>46007</v>
      </c>
      <c r="C16518" s="3"/>
      <c r="D16518" s="28"/>
      <c r="E16518" s="2"/>
      <c r="F16518" s="2"/>
      <c r="G16518" s="2">
        <f t="shared" si="258"/>
        <v>0</v>
      </c>
      <c r="H16518" t="s">
        <v>5</v>
      </c>
    </row>
    <row r="16519" spans="2:8" x14ac:dyDescent="0.2">
      <c r="B16519" s="3">
        <v>46007</v>
      </c>
      <c r="C16519" s="3"/>
      <c r="D16519" s="28"/>
      <c r="E16519" s="2"/>
      <c r="F16519" s="2"/>
      <c r="G16519" s="2">
        <f t="shared" si="258"/>
        <v>0</v>
      </c>
      <c r="H16519" s="1"/>
    </row>
    <row r="16520" spans="2:8" x14ac:dyDescent="0.2">
      <c r="B16520" s="3">
        <v>46007</v>
      </c>
      <c r="C16520" s="3"/>
      <c r="D16520" s="2"/>
      <c r="E16520" s="2"/>
      <c r="F16520" s="2"/>
      <c r="G16520" s="2">
        <f t="shared" si="258"/>
        <v>0</v>
      </c>
      <c r="H16520" t="s">
        <v>0</v>
      </c>
    </row>
    <row r="16521" spans="2:8" x14ac:dyDescent="0.2">
      <c r="B16521" s="3">
        <v>46008</v>
      </c>
      <c r="C16521" s="2"/>
      <c r="E16521" s="2"/>
      <c r="F16521" s="2"/>
      <c r="G16521" s="2">
        <f t="shared" si="258"/>
        <v>0</v>
      </c>
      <c r="H16521" t="s">
        <v>14</v>
      </c>
    </row>
    <row r="16522" spans="2:8" x14ac:dyDescent="0.2">
      <c r="B16522" s="3">
        <v>46008</v>
      </c>
      <c r="C16522" s="2"/>
      <c r="E16522" s="2"/>
      <c r="F16522" s="2"/>
      <c r="G16522" s="2">
        <f t="shared" si="258"/>
        <v>0</v>
      </c>
      <c r="H16522" t="s">
        <v>13</v>
      </c>
    </row>
    <row r="16523" spans="2:8" x14ac:dyDescent="0.2">
      <c r="B16523" s="3">
        <v>46008</v>
      </c>
      <c r="C16523" s="3"/>
      <c r="D16523" s="28"/>
      <c r="E16523" s="2"/>
      <c r="F16523" s="2"/>
      <c r="G16523" s="2">
        <f t="shared" si="258"/>
        <v>0</v>
      </c>
      <c r="H16523" t="s">
        <v>11</v>
      </c>
    </row>
    <row r="16524" spans="2:8" x14ac:dyDescent="0.2">
      <c r="B16524" s="3">
        <v>46008</v>
      </c>
      <c r="C16524" s="3"/>
      <c r="D16524" s="28"/>
      <c r="E16524" s="2"/>
      <c r="F16524" s="2"/>
      <c r="G16524" s="2">
        <f t="shared" si="258"/>
        <v>0</v>
      </c>
      <c r="H16524" t="s">
        <v>10</v>
      </c>
    </row>
    <row r="16525" spans="2:8" x14ac:dyDescent="0.2">
      <c r="B16525" s="3">
        <v>46008</v>
      </c>
      <c r="C16525" s="3"/>
      <c r="D16525" s="28"/>
      <c r="E16525" s="2"/>
      <c r="F16525" s="2"/>
      <c r="G16525" s="2">
        <f t="shared" si="258"/>
        <v>0</v>
      </c>
      <c r="H16525" t="s">
        <v>9</v>
      </c>
    </row>
    <row r="16526" spans="2:8" x14ac:dyDescent="0.2">
      <c r="B16526" s="3">
        <v>46008</v>
      </c>
      <c r="C16526" s="3"/>
      <c r="D16526" s="28"/>
      <c r="E16526" s="2"/>
      <c r="F16526" s="2"/>
      <c r="G16526" s="2">
        <f t="shared" si="258"/>
        <v>0</v>
      </c>
      <c r="H16526" t="s">
        <v>8</v>
      </c>
    </row>
    <row r="16527" spans="2:8" x14ac:dyDescent="0.2">
      <c r="B16527" s="3">
        <v>46008</v>
      </c>
      <c r="C16527" s="3"/>
      <c r="D16527" s="28"/>
      <c r="E16527" s="2"/>
      <c r="F16527" s="2"/>
      <c r="G16527" s="2">
        <f t="shared" si="258"/>
        <v>0</v>
      </c>
      <c r="H16527" t="s">
        <v>7</v>
      </c>
    </row>
    <row r="16528" spans="2:8" x14ac:dyDescent="0.2">
      <c r="B16528" s="3">
        <v>46008</v>
      </c>
      <c r="C16528" s="3"/>
      <c r="D16528" s="28"/>
      <c r="E16528" s="2"/>
      <c r="F16528" s="2"/>
      <c r="G16528" s="2">
        <f t="shared" si="258"/>
        <v>0</v>
      </c>
      <c r="H16528" t="s">
        <v>6</v>
      </c>
    </row>
    <row r="16529" spans="2:8" x14ac:dyDescent="0.2">
      <c r="B16529" s="3">
        <v>46008</v>
      </c>
      <c r="C16529" s="3"/>
      <c r="D16529" s="28"/>
      <c r="E16529" s="2"/>
      <c r="F16529" s="2"/>
      <c r="G16529" s="2">
        <f t="shared" si="258"/>
        <v>0</v>
      </c>
      <c r="H16529" t="s">
        <v>5</v>
      </c>
    </row>
    <row r="16530" spans="2:8" x14ac:dyDescent="0.2">
      <c r="B16530" s="3">
        <v>46008</v>
      </c>
      <c r="C16530" s="3"/>
      <c r="D16530" s="28"/>
      <c r="E16530" s="2"/>
      <c r="F16530" s="2"/>
      <c r="G16530" s="2">
        <f t="shared" si="258"/>
        <v>0</v>
      </c>
      <c r="H16530" s="1"/>
    </row>
    <row r="16531" spans="2:8" x14ac:dyDescent="0.2">
      <c r="B16531" s="3">
        <v>46008</v>
      </c>
      <c r="C16531" s="3"/>
      <c r="D16531" s="2"/>
      <c r="E16531" s="2"/>
      <c r="F16531" s="2"/>
      <c r="G16531" s="2">
        <f t="shared" si="258"/>
        <v>0</v>
      </c>
      <c r="H16531" t="s">
        <v>0</v>
      </c>
    </row>
    <row r="16532" spans="2:8" x14ac:dyDescent="0.2">
      <c r="B16532" s="3">
        <v>46009</v>
      </c>
      <c r="C16532" s="2"/>
      <c r="E16532" s="2"/>
      <c r="F16532" s="2"/>
      <c r="G16532" s="2">
        <f t="shared" si="258"/>
        <v>0</v>
      </c>
      <c r="H16532" t="s">
        <v>14</v>
      </c>
    </row>
    <row r="16533" spans="2:8" x14ac:dyDescent="0.2">
      <c r="B16533" s="3">
        <v>46009</v>
      </c>
      <c r="C16533" s="2"/>
      <c r="E16533" s="2"/>
      <c r="F16533" s="2"/>
      <c r="G16533" s="2">
        <f t="shared" si="258"/>
        <v>0</v>
      </c>
      <c r="H16533" t="s">
        <v>13</v>
      </c>
    </row>
    <row r="16534" spans="2:8" x14ac:dyDescent="0.2">
      <c r="B16534" s="3">
        <v>46009</v>
      </c>
      <c r="C16534" s="3"/>
      <c r="D16534" s="28"/>
      <c r="E16534" s="2"/>
      <c r="F16534" s="2"/>
      <c r="G16534" s="2">
        <f t="shared" si="258"/>
        <v>0</v>
      </c>
      <c r="H16534" t="s">
        <v>11</v>
      </c>
    </row>
    <row r="16535" spans="2:8" x14ac:dyDescent="0.2">
      <c r="B16535" s="3">
        <v>46009</v>
      </c>
      <c r="C16535" s="3"/>
      <c r="D16535" s="28"/>
      <c r="E16535" s="2"/>
      <c r="F16535" s="2"/>
      <c r="G16535" s="2">
        <f t="shared" si="258"/>
        <v>0</v>
      </c>
      <c r="H16535" t="s">
        <v>10</v>
      </c>
    </row>
    <row r="16536" spans="2:8" x14ac:dyDescent="0.2">
      <c r="B16536" s="3">
        <v>46009</v>
      </c>
      <c r="C16536" s="3"/>
      <c r="D16536" s="28"/>
      <c r="E16536" s="2"/>
      <c r="F16536" s="2"/>
      <c r="G16536" s="2">
        <f t="shared" si="258"/>
        <v>0</v>
      </c>
      <c r="H16536" t="s">
        <v>9</v>
      </c>
    </row>
    <row r="16537" spans="2:8" x14ac:dyDescent="0.2">
      <c r="B16537" s="3">
        <v>46009</v>
      </c>
      <c r="C16537" s="3"/>
      <c r="D16537" s="28"/>
      <c r="E16537" s="2"/>
      <c r="F16537" s="2">
        <v>35000</v>
      </c>
      <c r="G16537" s="2">
        <f t="shared" si="258"/>
        <v>-35000</v>
      </c>
      <c r="H16537" t="s">
        <v>8</v>
      </c>
    </row>
    <row r="16538" spans="2:8" x14ac:dyDescent="0.2">
      <c r="B16538" s="3">
        <v>46009</v>
      </c>
      <c r="C16538" s="3"/>
      <c r="D16538" s="28"/>
      <c r="E16538" s="2"/>
      <c r="F16538" s="2"/>
      <c r="G16538" s="2">
        <f t="shared" si="258"/>
        <v>0</v>
      </c>
      <c r="H16538" t="s">
        <v>7</v>
      </c>
    </row>
    <row r="16539" spans="2:8" x14ac:dyDescent="0.2">
      <c r="B16539" s="3">
        <v>46009</v>
      </c>
      <c r="C16539" s="3"/>
      <c r="D16539" s="28"/>
      <c r="E16539" s="2"/>
      <c r="F16539" s="2"/>
      <c r="G16539" s="2">
        <f t="shared" si="258"/>
        <v>0</v>
      </c>
      <c r="H16539" t="s">
        <v>6</v>
      </c>
    </row>
    <row r="16540" spans="2:8" x14ac:dyDescent="0.2">
      <c r="B16540" s="3">
        <v>46009</v>
      </c>
      <c r="C16540" s="3"/>
      <c r="D16540" s="28"/>
      <c r="E16540" s="2"/>
      <c r="F16540" s="2"/>
      <c r="G16540" s="2">
        <f t="shared" si="258"/>
        <v>0</v>
      </c>
      <c r="H16540" t="s">
        <v>5</v>
      </c>
    </row>
    <row r="16541" spans="2:8" x14ac:dyDescent="0.2">
      <c r="B16541" s="3">
        <v>46009</v>
      </c>
      <c r="C16541" s="3"/>
      <c r="D16541" s="28"/>
      <c r="E16541" s="2"/>
      <c r="F16541" s="2"/>
      <c r="G16541" s="2">
        <f t="shared" si="258"/>
        <v>0</v>
      </c>
      <c r="H16541" s="1"/>
    </row>
    <row r="16542" spans="2:8" x14ac:dyDescent="0.2">
      <c r="B16542" s="3">
        <v>46009</v>
      </c>
      <c r="C16542" s="3"/>
      <c r="D16542" s="2"/>
      <c r="E16542" s="2"/>
      <c r="F16542" s="2"/>
      <c r="G16542" s="2">
        <f t="shared" si="258"/>
        <v>0</v>
      </c>
      <c r="H16542" t="s">
        <v>0</v>
      </c>
    </row>
    <row r="16543" spans="2:8" x14ac:dyDescent="0.2">
      <c r="B16543" s="3">
        <v>46010</v>
      </c>
      <c r="C16543" s="2"/>
      <c r="E16543" s="2"/>
      <c r="F16543" s="2"/>
      <c r="G16543" s="2">
        <f t="shared" si="258"/>
        <v>0</v>
      </c>
      <c r="H16543" t="s">
        <v>14</v>
      </c>
    </row>
    <row r="16544" spans="2:8" x14ac:dyDescent="0.2">
      <c r="B16544" s="3">
        <v>46010</v>
      </c>
      <c r="C16544" s="2"/>
      <c r="E16544" s="2"/>
      <c r="F16544" s="2"/>
      <c r="G16544" s="2">
        <f t="shared" si="258"/>
        <v>0</v>
      </c>
      <c r="H16544" t="s">
        <v>13</v>
      </c>
    </row>
    <row r="16545" spans="2:8" x14ac:dyDescent="0.2">
      <c r="B16545" s="3">
        <v>46010</v>
      </c>
      <c r="C16545" s="3"/>
      <c r="D16545" s="28"/>
      <c r="E16545" s="2"/>
      <c r="F16545" s="2"/>
      <c r="G16545" s="2">
        <f t="shared" si="258"/>
        <v>0</v>
      </c>
      <c r="H16545" t="s">
        <v>11</v>
      </c>
    </row>
    <row r="16546" spans="2:8" x14ac:dyDescent="0.2">
      <c r="B16546" s="3">
        <v>46010</v>
      </c>
      <c r="C16546" s="3"/>
      <c r="D16546" s="28"/>
      <c r="E16546" s="2"/>
      <c r="F16546" s="2"/>
      <c r="G16546" s="2">
        <f t="shared" si="258"/>
        <v>0</v>
      </c>
      <c r="H16546" t="s">
        <v>10</v>
      </c>
    </row>
    <row r="16547" spans="2:8" x14ac:dyDescent="0.2">
      <c r="B16547" s="3">
        <v>46010</v>
      </c>
      <c r="C16547" s="3"/>
      <c r="D16547" s="28"/>
      <c r="E16547" s="2"/>
      <c r="F16547" s="2"/>
      <c r="G16547" s="2">
        <f t="shared" si="258"/>
        <v>0</v>
      </c>
      <c r="H16547" t="s">
        <v>9</v>
      </c>
    </row>
    <row r="16548" spans="2:8" x14ac:dyDescent="0.2">
      <c r="B16548" s="3">
        <v>46010</v>
      </c>
      <c r="C16548" s="3"/>
      <c r="D16548" s="28"/>
      <c r="E16548" s="2"/>
      <c r="F16548" s="2"/>
      <c r="G16548" s="2">
        <f t="shared" si="258"/>
        <v>0</v>
      </c>
      <c r="H16548" t="s">
        <v>8</v>
      </c>
    </row>
    <row r="16549" spans="2:8" x14ac:dyDescent="0.2">
      <c r="B16549" s="3">
        <v>46010</v>
      </c>
      <c r="C16549" s="3"/>
      <c r="D16549" s="28"/>
      <c r="E16549" s="2"/>
      <c r="F16549" s="2"/>
      <c r="G16549" s="2">
        <f t="shared" si="258"/>
        <v>0</v>
      </c>
      <c r="H16549" t="s">
        <v>7</v>
      </c>
    </row>
    <row r="16550" spans="2:8" x14ac:dyDescent="0.2">
      <c r="B16550" s="3">
        <v>46010</v>
      </c>
      <c r="C16550" s="3"/>
      <c r="D16550" s="28"/>
      <c r="E16550" s="2"/>
      <c r="F16550" s="2"/>
      <c r="G16550" s="2">
        <f t="shared" si="258"/>
        <v>0</v>
      </c>
      <c r="H16550" t="s">
        <v>6</v>
      </c>
    </row>
    <row r="16551" spans="2:8" x14ac:dyDescent="0.2">
      <c r="B16551" s="3">
        <v>46010</v>
      </c>
      <c r="C16551" s="3"/>
      <c r="D16551" s="28"/>
      <c r="E16551" s="2"/>
      <c r="F16551" s="2"/>
      <c r="G16551" s="2">
        <f t="shared" si="258"/>
        <v>0</v>
      </c>
      <c r="H16551" t="s">
        <v>5</v>
      </c>
    </row>
    <row r="16552" spans="2:8" x14ac:dyDescent="0.2">
      <c r="B16552" s="3">
        <v>46010</v>
      </c>
      <c r="C16552" s="3"/>
      <c r="D16552" s="28"/>
      <c r="E16552" s="2"/>
      <c r="F16552" s="2"/>
      <c r="G16552" s="2">
        <f t="shared" si="258"/>
        <v>0</v>
      </c>
      <c r="H16552" s="1"/>
    </row>
    <row r="16553" spans="2:8" x14ac:dyDescent="0.2">
      <c r="B16553" s="3">
        <v>46010</v>
      </c>
      <c r="C16553" s="3"/>
      <c r="D16553" s="2"/>
      <c r="E16553" s="2"/>
      <c r="F16553" s="2"/>
      <c r="G16553" s="2">
        <f t="shared" si="258"/>
        <v>0</v>
      </c>
      <c r="H16553" t="s">
        <v>0</v>
      </c>
    </row>
    <row r="16554" spans="2:8" x14ac:dyDescent="0.2">
      <c r="B16554" s="3">
        <v>46011</v>
      </c>
      <c r="C16554" s="2" t="s">
        <v>97</v>
      </c>
      <c r="D16554" s="1">
        <v>7079.7</v>
      </c>
      <c r="E16554" s="2">
        <v>8094</v>
      </c>
      <c r="F16554" s="2">
        <v>23540</v>
      </c>
      <c r="G16554" s="2">
        <f t="shared" si="258"/>
        <v>-15446</v>
      </c>
      <c r="H16554" t="s">
        <v>14</v>
      </c>
    </row>
    <row r="16555" spans="2:8" x14ac:dyDescent="0.2">
      <c r="B16555" s="3">
        <v>46011</v>
      </c>
      <c r="C16555" s="2"/>
      <c r="E16555" s="2"/>
      <c r="F16555" s="2"/>
      <c r="G16555" s="2">
        <f t="shared" si="258"/>
        <v>0</v>
      </c>
      <c r="H16555" t="s">
        <v>13</v>
      </c>
    </row>
    <row r="16556" spans="2:8" x14ac:dyDescent="0.2">
      <c r="B16556" s="3">
        <v>46011</v>
      </c>
      <c r="C16556" s="3"/>
      <c r="D16556" s="28"/>
      <c r="E16556" s="2"/>
      <c r="F16556" s="2"/>
      <c r="G16556" s="2">
        <f t="shared" si="258"/>
        <v>0</v>
      </c>
      <c r="H16556" t="s">
        <v>11</v>
      </c>
    </row>
    <row r="16557" spans="2:8" x14ac:dyDescent="0.2">
      <c r="B16557" s="3">
        <v>46011</v>
      </c>
      <c r="C16557" s="3"/>
      <c r="D16557" s="28"/>
      <c r="E16557" s="2"/>
      <c r="F16557" s="2"/>
      <c r="G16557" s="2">
        <f t="shared" si="258"/>
        <v>0</v>
      </c>
      <c r="H16557" t="s">
        <v>10</v>
      </c>
    </row>
    <row r="16558" spans="2:8" x14ac:dyDescent="0.2">
      <c r="B16558" s="3">
        <v>46011</v>
      </c>
      <c r="C16558" s="3"/>
      <c r="D16558" s="28"/>
      <c r="E16558" s="2"/>
      <c r="F16558" s="2"/>
      <c r="G16558" s="2">
        <f t="shared" si="258"/>
        <v>0</v>
      </c>
      <c r="H16558" t="s">
        <v>9</v>
      </c>
    </row>
    <row r="16559" spans="2:8" x14ac:dyDescent="0.2">
      <c r="B16559" s="3">
        <v>46011</v>
      </c>
      <c r="C16559" s="3"/>
      <c r="D16559" s="28"/>
      <c r="E16559" s="2"/>
      <c r="F16559" s="2"/>
      <c r="G16559" s="2">
        <f t="shared" si="258"/>
        <v>0</v>
      </c>
      <c r="H16559" t="s">
        <v>8</v>
      </c>
    </row>
    <row r="16560" spans="2:8" x14ac:dyDescent="0.2">
      <c r="B16560" s="3">
        <v>46011</v>
      </c>
      <c r="C16560" s="3"/>
      <c r="D16560" s="28"/>
      <c r="E16560" s="2"/>
      <c r="F16560" s="2"/>
      <c r="G16560" s="2">
        <f t="shared" si="258"/>
        <v>0</v>
      </c>
      <c r="H16560" t="s">
        <v>7</v>
      </c>
    </row>
    <row r="16561" spans="2:8" x14ac:dyDescent="0.2">
      <c r="B16561" s="3">
        <v>46011</v>
      </c>
      <c r="C16561" s="3"/>
      <c r="D16561" s="28"/>
      <c r="E16561" s="2"/>
      <c r="F16561" s="2"/>
      <c r="G16561" s="2">
        <f t="shared" si="258"/>
        <v>0</v>
      </c>
      <c r="H16561" t="s">
        <v>6</v>
      </c>
    </row>
    <row r="16562" spans="2:8" x14ac:dyDescent="0.2">
      <c r="B16562" s="3">
        <v>46011</v>
      </c>
      <c r="C16562" s="3"/>
      <c r="D16562" s="28"/>
      <c r="E16562" s="2"/>
      <c r="F16562" s="2"/>
      <c r="G16562" s="2">
        <f t="shared" si="258"/>
        <v>0</v>
      </c>
      <c r="H16562" t="s">
        <v>5</v>
      </c>
    </row>
    <row r="16563" spans="2:8" x14ac:dyDescent="0.2">
      <c r="B16563" s="3">
        <v>46011</v>
      </c>
      <c r="C16563" s="3"/>
      <c r="D16563" s="28"/>
      <c r="E16563" s="2"/>
      <c r="F16563" s="2">
        <v>425</v>
      </c>
      <c r="G16563" s="2">
        <f t="shared" si="258"/>
        <v>-425</v>
      </c>
      <c r="H16563" s="1" t="s">
        <v>3</v>
      </c>
    </row>
    <row r="16564" spans="2:8" x14ac:dyDescent="0.2">
      <c r="B16564" s="3">
        <v>46011</v>
      </c>
      <c r="C16564" s="3"/>
      <c r="D16564" s="2"/>
      <c r="E16564" s="2"/>
      <c r="F16564" s="2"/>
      <c r="G16564" s="2">
        <f t="shared" si="258"/>
        <v>0</v>
      </c>
      <c r="H16564" t="s">
        <v>0</v>
      </c>
    </row>
    <row r="16565" spans="2:8" x14ac:dyDescent="0.2">
      <c r="B16565" s="3">
        <v>46012</v>
      </c>
      <c r="C16565" s="2"/>
      <c r="E16565" s="2"/>
      <c r="F16565" s="2"/>
      <c r="G16565" s="2">
        <f t="shared" si="258"/>
        <v>0</v>
      </c>
      <c r="H16565" t="s">
        <v>14</v>
      </c>
    </row>
    <row r="16566" spans="2:8" x14ac:dyDescent="0.2">
      <c r="B16566" s="3">
        <v>46012</v>
      </c>
      <c r="C16566" s="2"/>
      <c r="E16566" s="2"/>
      <c r="F16566" s="2"/>
      <c r="G16566" s="2">
        <f t="shared" si="258"/>
        <v>0</v>
      </c>
      <c r="H16566" t="s">
        <v>13</v>
      </c>
    </row>
    <row r="16567" spans="2:8" x14ac:dyDescent="0.2">
      <c r="B16567" s="3">
        <v>46012</v>
      </c>
      <c r="C16567" s="3"/>
      <c r="D16567" s="28"/>
      <c r="E16567" s="2"/>
      <c r="F16567" s="2"/>
      <c r="G16567" s="2">
        <f t="shared" si="258"/>
        <v>0</v>
      </c>
      <c r="H16567" t="s">
        <v>11</v>
      </c>
    </row>
    <row r="16568" spans="2:8" x14ac:dyDescent="0.2">
      <c r="B16568" s="3">
        <v>46012</v>
      </c>
      <c r="C16568" s="3"/>
      <c r="D16568" s="28"/>
      <c r="E16568" s="2"/>
      <c r="F16568" s="2"/>
      <c r="G16568" s="2">
        <f t="shared" si="258"/>
        <v>0</v>
      </c>
      <c r="H16568" t="s">
        <v>10</v>
      </c>
    </row>
    <row r="16569" spans="2:8" x14ac:dyDescent="0.2">
      <c r="B16569" s="3">
        <v>46012</v>
      </c>
      <c r="C16569" s="3"/>
      <c r="D16569" s="28"/>
      <c r="E16569" s="2"/>
      <c r="F16569" s="2"/>
      <c r="G16569" s="2">
        <f t="shared" si="258"/>
        <v>0</v>
      </c>
      <c r="H16569" t="s">
        <v>9</v>
      </c>
    </row>
    <row r="16570" spans="2:8" x14ac:dyDescent="0.2">
      <c r="B16570" s="3">
        <v>46012</v>
      </c>
      <c r="C16570" s="3"/>
      <c r="D16570" s="28"/>
      <c r="E16570" s="2"/>
      <c r="F16570" s="2"/>
      <c r="G16570" s="2">
        <f t="shared" si="258"/>
        <v>0</v>
      </c>
      <c r="H16570" t="s">
        <v>8</v>
      </c>
    </row>
    <row r="16571" spans="2:8" x14ac:dyDescent="0.2">
      <c r="B16571" s="3">
        <v>46012</v>
      </c>
      <c r="C16571" s="3"/>
      <c r="D16571" s="28"/>
      <c r="E16571" s="2"/>
      <c r="F16571" s="2"/>
      <c r="G16571" s="2">
        <f t="shared" si="258"/>
        <v>0</v>
      </c>
      <c r="H16571" t="s">
        <v>7</v>
      </c>
    </row>
    <row r="16572" spans="2:8" x14ac:dyDescent="0.2">
      <c r="B16572" s="3">
        <v>46012</v>
      </c>
      <c r="C16572" s="3"/>
      <c r="D16572" s="28"/>
      <c r="E16572" s="2"/>
      <c r="F16572" s="2"/>
      <c r="G16572" s="2">
        <f t="shared" si="258"/>
        <v>0</v>
      </c>
      <c r="H16572" t="s">
        <v>6</v>
      </c>
    </row>
    <row r="16573" spans="2:8" x14ac:dyDescent="0.2">
      <c r="B16573" s="3">
        <v>46012</v>
      </c>
      <c r="C16573" s="3"/>
      <c r="D16573" s="28"/>
      <c r="E16573" s="2"/>
      <c r="F16573" s="2"/>
      <c r="G16573" s="2">
        <f t="shared" si="258"/>
        <v>0</v>
      </c>
      <c r="H16573" t="s">
        <v>5</v>
      </c>
    </row>
    <row r="16574" spans="2:8" x14ac:dyDescent="0.2">
      <c r="B16574" s="3">
        <v>46012</v>
      </c>
      <c r="C16574" s="3"/>
      <c r="D16574" s="28"/>
      <c r="E16574" s="2"/>
      <c r="F16574" s="2"/>
      <c r="G16574" s="2">
        <f t="shared" si="258"/>
        <v>0</v>
      </c>
      <c r="H16574" s="1"/>
    </row>
    <row r="16575" spans="2:8" x14ac:dyDescent="0.2">
      <c r="B16575" s="3">
        <v>46012</v>
      </c>
      <c r="C16575" s="3"/>
      <c r="D16575" s="2"/>
      <c r="E16575" s="2"/>
      <c r="F16575" s="2">
        <v>237514</v>
      </c>
      <c r="G16575" s="2">
        <f t="shared" si="258"/>
        <v>-237514</v>
      </c>
      <c r="H16575" t="s">
        <v>0</v>
      </c>
    </row>
    <row r="16576" spans="2:8" x14ac:dyDescent="0.2">
      <c r="B16576" s="3">
        <v>46013</v>
      </c>
      <c r="C16576" s="2"/>
      <c r="E16576" s="2"/>
      <c r="F16576" s="2"/>
      <c r="G16576" s="2">
        <f t="shared" si="258"/>
        <v>0</v>
      </c>
      <c r="H16576" t="s">
        <v>14</v>
      </c>
    </row>
    <row r="16577" spans="2:8" x14ac:dyDescent="0.2">
      <c r="B16577" s="3">
        <v>46013</v>
      </c>
      <c r="C16577" s="2"/>
      <c r="E16577" s="2"/>
      <c r="F16577" s="2"/>
      <c r="G16577" s="2">
        <f t="shared" si="258"/>
        <v>0</v>
      </c>
      <c r="H16577" t="s">
        <v>13</v>
      </c>
    </row>
    <row r="16578" spans="2:8" x14ac:dyDescent="0.2">
      <c r="B16578" s="3">
        <v>46013</v>
      </c>
      <c r="C16578" s="3"/>
      <c r="D16578" s="28"/>
      <c r="E16578" s="2"/>
      <c r="F16578" s="2"/>
      <c r="G16578" s="2">
        <f t="shared" si="258"/>
        <v>0</v>
      </c>
      <c r="H16578" t="s">
        <v>11</v>
      </c>
    </row>
    <row r="16579" spans="2:8" x14ac:dyDescent="0.2">
      <c r="B16579" s="3">
        <v>46013</v>
      </c>
      <c r="C16579" s="3"/>
      <c r="D16579" s="28"/>
      <c r="E16579" s="2"/>
      <c r="F16579" s="2"/>
      <c r="G16579" s="2">
        <f t="shared" ref="G16579:G16642" si="259">E16579-F16579</f>
        <v>0</v>
      </c>
      <c r="H16579" t="s">
        <v>10</v>
      </c>
    </row>
    <row r="16580" spans="2:8" x14ac:dyDescent="0.2">
      <c r="B16580" s="3">
        <v>46013</v>
      </c>
      <c r="C16580" s="3"/>
      <c r="D16580" s="28"/>
      <c r="E16580" s="2"/>
      <c r="F16580" s="2"/>
      <c r="G16580" s="2">
        <f t="shared" si="259"/>
        <v>0</v>
      </c>
      <c r="H16580" t="s">
        <v>9</v>
      </c>
    </row>
    <row r="16581" spans="2:8" x14ac:dyDescent="0.2">
      <c r="B16581" s="3">
        <v>46013</v>
      </c>
      <c r="C16581" s="3"/>
      <c r="D16581" s="28"/>
      <c r="E16581" s="2"/>
      <c r="F16581" s="2"/>
      <c r="G16581" s="2">
        <f t="shared" si="259"/>
        <v>0</v>
      </c>
      <c r="H16581" t="s">
        <v>8</v>
      </c>
    </row>
    <row r="16582" spans="2:8" x14ac:dyDescent="0.2">
      <c r="B16582" s="3">
        <v>46013</v>
      </c>
      <c r="C16582" s="3"/>
      <c r="D16582" s="28"/>
      <c r="E16582" s="2"/>
      <c r="F16582" s="2"/>
      <c r="G16582" s="2">
        <f t="shared" si="259"/>
        <v>0</v>
      </c>
      <c r="H16582" t="s">
        <v>7</v>
      </c>
    </row>
    <row r="16583" spans="2:8" x14ac:dyDescent="0.2">
      <c r="B16583" s="3">
        <v>46013</v>
      </c>
      <c r="C16583" s="3"/>
      <c r="D16583" s="28"/>
      <c r="E16583" s="2"/>
      <c r="F16583" s="2"/>
      <c r="G16583" s="2">
        <f t="shared" si="259"/>
        <v>0</v>
      </c>
      <c r="H16583" t="s">
        <v>6</v>
      </c>
    </row>
    <row r="16584" spans="2:8" x14ac:dyDescent="0.2">
      <c r="B16584" s="3">
        <v>46013</v>
      </c>
      <c r="C16584" s="3"/>
      <c r="D16584" s="28"/>
      <c r="E16584" s="2"/>
      <c r="F16584" s="2"/>
      <c r="G16584" s="2">
        <f t="shared" si="259"/>
        <v>0</v>
      </c>
      <c r="H16584" t="s">
        <v>5</v>
      </c>
    </row>
    <row r="16585" spans="2:8" x14ac:dyDescent="0.2">
      <c r="B16585" s="3">
        <v>46013</v>
      </c>
      <c r="C16585" s="3"/>
      <c r="D16585" s="28"/>
      <c r="E16585" s="2"/>
      <c r="F16585" s="2"/>
      <c r="G16585" s="2">
        <f t="shared" si="259"/>
        <v>0</v>
      </c>
      <c r="H16585" s="1"/>
    </row>
    <row r="16586" spans="2:8" x14ac:dyDescent="0.2">
      <c r="B16586" s="3">
        <v>46013</v>
      </c>
      <c r="C16586" s="3"/>
      <c r="E16586" s="2"/>
      <c r="F16586" s="2"/>
      <c r="G16586" s="2">
        <f t="shared" si="259"/>
        <v>0</v>
      </c>
      <c r="H16586" t="s">
        <v>0</v>
      </c>
    </row>
    <row r="16587" spans="2:8" x14ac:dyDescent="0.2">
      <c r="B16587" s="3">
        <v>46014</v>
      </c>
      <c r="C16587" s="2"/>
      <c r="E16587" s="2"/>
      <c r="F16587" s="2"/>
      <c r="G16587" s="2">
        <f t="shared" si="259"/>
        <v>0</v>
      </c>
      <c r="H16587" t="s">
        <v>14</v>
      </c>
    </row>
    <row r="16588" spans="2:8" x14ac:dyDescent="0.2">
      <c r="B16588" s="3">
        <v>46014</v>
      </c>
      <c r="C16588" s="2"/>
      <c r="E16588" s="2"/>
      <c r="F16588" s="2"/>
      <c r="G16588" s="2">
        <f t="shared" si="259"/>
        <v>0</v>
      </c>
      <c r="H16588" t="s">
        <v>13</v>
      </c>
    </row>
    <row r="16589" spans="2:8" x14ac:dyDescent="0.2">
      <c r="B16589" s="3">
        <v>46014</v>
      </c>
      <c r="C16589" s="3"/>
      <c r="D16589" s="28"/>
      <c r="E16589" s="2"/>
      <c r="F16589" s="2"/>
      <c r="G16589" s="2">
        <f t="shared" si="259"/>
        <v>0</v>
      </c>
      <c r="H16589" t="s">
        <v>11</v>
      </c>
    </row>
    <row r="16590" spans="2:8" x14ac:dyDescent="0.2">
      <c r="B16590" s="3">
        <v>46014</v>
      </c>
      <c r="C16590" s="3"/>
      <c r="D16590" s="28"/>
      <c r="E16590" s="2"/>
      <c r="F16590" s="2"/>
      <c r="G16590" s="2">
        <f t="shared" si="259"/>
        <v>0</v>
      </c>
      <c r="H16590" t="s">
        <v>10</v>
      </c>
    </row>
    <row r="16591" spans="2:8" x14ac:dyDescent="0.2">
      <c r="B16591" s="3">
        <v>46014</v>
      </c>
      <c r="C16591" s="3"/>
      <c r="D16591" s="28"/>
      <c r="E16591" s="2"/>
      <c r="F16591" s="2"/>
      <c r="G16591" s="2">
        <f t="shared" si="259"/>
        <v>0</v>
      </c>
      <c r="H16591" t="s">
        <v>9</v>
      </c>
    </row>
    <row r="16592" spans="2:8" x14ac:dyDescent="0.2">
      <c r="B16592" s="3">
        <v>46014</v>
      </c>
      <c r="C16592" s="3"/>
      <c r="D16592" s="28"/>
      <c r="E16592" s="2"/>
      <c r="F16592" s="2"/>
      <c r="G16592" s="2">
        <f t="shared" si="259"/>
        <v>0</v>
      </c>
      <c r="H16592" t="s">
        <v>8</v>
      </c>
    </row>
    <row r="16593" spans="2:8" x14ac:dyDescent="0.2">
      <c r="B16593" s="3">
        <v>46014</v>
      </c>
      <c r="C16593" s="3"/>
      <c r="D16593" s="28"/>
      <c r="E16593" s="2"/>
      <c r="F16593" s="2"/>
      <c r="G16593" s="2">
        <f t="shared" si="259"/>
        <v>0</v>
      </c>
      <c r="H16593" t="s">
        <v>7</v>
      </c>
    </row>
    <row r="16594" spans="2:8" x14ac:dyDescent="0.2">
      <c r="B16594" s="3">
        <v>46014</v>
      </c>
      <c r="C16594" s="3"/>
      <c r="D16594" s="28"/>
      <c r="E16594" s="2"/>
      <c r="F16594" s="2"/>
      <c r="G16594" s="2">
        <f t="shared" si="259"/>
        <v>0</v>
      </c>
      <c r="H16594" t="s">
        <v>6</v>
      </c>
    </row>
    <row r="16595" spans="2:8" x14ac:dyDescent="0.2">
      <c r="B16595" s="3">
        <v>46014</v>
      </c>
      <c r="C16595" s="3"/>
      <c r="D16595" s="28"/>
      <c r="E16595" s="2"/>
      <c r="F16595" s="2"/>
      <c r="G16595" s="2">
        <f t="shared" si="259"/>
        <v>0</v>
      </c>
      <c r="H16595" t="s">
        <v>5</v>
      </c>
    </row>
    <row r="16596" spans="2:8" x14ac:dyDescent="0.2">
      <c r="B16596" s="3">
        <v>46014</v>
      </c>
      <c r="C16596" s="3"/>
      <c r="D16596" s="28"/>
      <c r="E16596" s="2"/>
      <c r="F16596" s="7"/>
      <c r="G16596" s="2">
        <f t="shared" si="259"/>
        <v>0</v>
      </c>
      <c r="H16596" s="1"/>
    </row>
    <row r="16597" spans="2:8" x14ac:dyDescent="0.2">
      <c r="B16597" s="3">
        <v>46014</v>
      </c>
      <c r="C16597" s="3"/>
      <c r="E16597" s="2"/>
      <c r="F16597" s="2"/>
      <c r="G16597" s="2">
        <f t="shared" si="259"/>
        <v>0</v>
      </c>
      <c r="H16597" t="s">
        <v>0</v>
      </c>
    </row>
    <row r="16598" spans="2:8" x14ac:dyDescent="0.2">
      <c r="B16598" s="3">
        <v>46015</v>
      </c>
      <c r="C16598" s="2"/>
      <c r="E16598" s="2"/>
      <c r="F16598" s="2"/>
      <c r="G16598" s="2">
        <f t="shared" si="259"/>
        <v>0</v>
      </c>
      <c r="H16598" t="s">
        <v>14</v>
      </c>
    </row>
    <row r="16599" spans="2:8" x14ac:dyDescent="0.2">
      <c r="B16599" s="3">
        <v>46015</v>
      </c>
      <c r="C16599" s="2"/>
      <c r="E16599" s="2"/>
      <c r="F16599" s="2"/>
      <c r="G16599" s="2">
        <f t="shared" si="259"/>
        <v>0</v>
      </c>
      <c r="H16599" t="s">
        <v>13</v>
      </c>
    </row>
    <row r="16600" spans="2:8" x14ac:dyDescent="0.2">
      <c r="B16600" s="3">
        <v>46015</v>
      </c>
      <c r="C16600" s="3"/>
      <c r="D16600" s="28"/>
      <c r="E16600" s="2"/>
      <c r="F16600" s="2"/>
      <c r="G16600" s="2">
        <f t="shared" si="259"/>
        <v>0</v>
      </c>
      <c r="H16600" t="s">
        <v>11</v>
      </c>
    </row>
    <row r="16601" spans="2:8" x14ac:dyDescent="0.2">
      <c r="B16601" s="3">
        <v>46015</v>
      </c>
      <c r="C16601" s="3"/>
      <c r="D16601" s="28"/>
      <c r="E16601" s="2"/>
      <c r="F16601" s="2"/>
      <c r="G16601" s="2">
        <f t="shared" si="259"/>
        <v>0</v>
      </c>
      <c r="H16601" t="s">
        <v>10</v>
      </c>
    </row>
    <row r="16602" spans="2:8" x14ac:dyDescent="0.2">
      <c r="B16602" s="3">
        <v>46015</v>
      </c>
      <c r="C16602" s="3"/>
      <c r="D16602" s="28"/>
      <c r="E16602" s="2"/>
      <c r="F16602" s="2"/>
      <c r="G16602" s="2">
        <f t="shared" si="259"/>
        <v>0</v>
      </c>
      <c r="H16602" t="s">
        <v>9</v>
      </c>
    </row>
    <row r="16603" spans="2:8" x14ac:dyDescent="0.2">
      <c r="B16603" s="3">
        <v>46015</v>
      </c>
      <c r="C16603" s="3"/>
      <c r="D16603" s="28"/>
      <c r="E16603" s="2"/>
      <c r="F16603" s="2"/>
      <c r="G16603" s="2">
        <f t="shared" si="259"/>
        <v>0</v>
      </c>
      <c r="H16603" t="s">
        <v>8</v>
      </c>
    </row>
    <row r="16604" spans="2:8" x14ac:dyDescent="0.2">
      <c r="B16604" s="3">
        <v>46015</v>
      </c>
      <c r="C16604" s="3"/>
      <c r="D16604" s="28"/>
      <c r="E16604" s="2"/>
      <c r="F16604" s="2"/>
      <c r="G16604" s="2">
        <f t="shared" si="259"/>
        <v>0</v>
      </c>
      <c r="H16604" t="s">
        <v>7</v>
      </c>
    </row>
    <row r="16605" spans="2:8" x14ac:dyDescent="0.2">
      <c r="B16605" s="3">
        <v>46015</v>
      </c>
      <c r="C16605" s="3"/>
      <c r="D16605" s="28"/>
      <c r="E16605" s="2"/>
      <c r="F16605" s="2"/>
      <c r="G16605" s="2">
        <f t="shared" si="259"/>
        <v>0</v>
      </c>
      <c r="H16605" t="s">
        <v>6</v>
      </c>
    </row>
    <row r="16606" spans="2:8" x14ac:dyDescent="0.2">
      <c r="B16606" s="3">
        <v>46015</v>
      </c>
      <c r="C16606" s="3"/>
      <c r="D16606" s="28"/>
      <c r="E16606" s="2"/>
      <c r="F16606" s="2"/>
      <c r="G16606" s="2">
        <f t="shared" si="259"/>
        <v>0</v>
      </c>
      <c r="H16606" t="s">
        <v>5</v>
      </c>
    </row>
    <row r="16607" spans="2:8" x14ac:dyDescent="0.2">
      <c r="B16607" s="3">
        <v>46015</v>
      </c>
      <c r="C16607" s="3"/>
      <c r="D16607" s="28"/>
      <c r="E16607" s="2"/>
      <c r="F16607" s="2"/>
      <c r="G16607" s="2">
        <f t="shared" si="259"/>
        <v>0</v>
      </c>
      <c r="H16607" s="1"/>
    </row>
    <row r="16608" spans="2:8" x14ac:dyDescent="0.2">
      <c r="B16608" s="3">
        <v>46015</v>
      </c>
      <c r="C16608" s="3"/>
      <c r="E16608" s="2"/>
      <c r="F16608" s="2"/>
      <c r="G16608" s="2">
        <f t="shared" si="259"/>
        <v>0</v>
      </c>
      <c r="H16608" t="s">
        <v>0</v>
      </c>
    </row>
    <row r="16609" spans="2:8" x14ac:dyDescent="0.2">
      <c r="B16609" s="3">
        <v>46016</v>
      </c>
      <c r="C16609" s="2"/>
      <c r="E16609" s="2"/>
      <c r="F16609" s="2"/>
      <c r="G16609" s="2">
        <f t="shared" si="259"/>
        <v>0</v>
      </c>
      <c r="H16609" t="s">
        <v>14</v>
      </c>
    </row>
    <row r="16610" spans="2:8" x14ac:dyDescent="0.2">
      <c r="B16610" s="3">
        <v>46016</v>
      </c>
      <c r="C16610" s="2"/>
      <c r="E16610" s="2"/>
      <c r="F16610" s="2"/>
      <c r="G16610" s="2">
        <f t="shared" si="259"/>
        <v>0</v>
      </c>
      <c r="H16610" t="s">
        <v>13</v>
      </c>
    </row>
    <row r="16611" spans="2:8" x14ac:dyDescent="0.2">
      <c r="B16611" s="3">
        <v>46016</v>
      </c>
      <c r="C16611" s="3"/>
      <c r="D16611" s="28"/>
      <c r="E16611" s="2"/>
      <c r="F16611" s="2"/>
      <c r="G16611" s="2">
        <f t="shared" si="259"/>
        <v>0</v>
      </c>
      <c r="H16611" t="s">
        <v>11</v>
      </c>
    </row>
    <row r="16612" spans="2:8" x14ac:dyDescent="0.2">
      <c r="B16612" s="3">
        <v>46016</v>
      </c>
      <c r="C16612" s="3"/>
      <c r="D16612" s="28"/>
      <c r="E16612" s="2"/>
      <c r="F16612" s="2"/>
      <c r="G16612" s="2">
        <f t="shared" si="259"/>
        <v>0</v>
      </c>
      <c r="H16612" t="s">
        <v>10</v>
      </c>
    </row>
    <row r="16613" spans="2:8" x14ac:dyDescent="0.2">
      <c r="B16613" s="3">
        <v>46016</v>
      </c>
      <c r="C16613" s="3"/>
      <c r="D16613" s="28"/>
      <c r="E16613" s="2"/>
      <c r="F16613" s="2"/>
      <c r="G16613" s="2">
        <f t="shared" si="259"/>
        <v>0</v>
      </c>
      <c r="H16613" t="s">
        <v>9</v>
      </c>
    </row>
    <row r="16614" spans="2:8" x14ac:dyDescent="0.2">
      <c r="B16614" s="3">
        <v>46016</v>
      </c>
      <c r="C16614" s="3"/>
      <c r="D16614" s="28"/>
      <c r="E16614" s="2"/>
      <c r="F16614" s="2"/>
      <c r="G16614" s="2">
        <f t="shared" si="259"/>
        <v>0</v>
      </c>
      <c r="H16614" t="s">
        <v>8</v>
      </c>
    </row>
    <row r="16615" spans="2:8" x14ac:dyDescent="0.2">
      <c r="B16615" s="3">
        <v>46016</v>
      </c>
      <c r="C16615" s="3"/>
      <c r="D16615" s="28"/>
      <c r="E16615" s="2"/>
      <c r="F16615" s="2"/>
      <c r="G16615" s="2">
        <f t="shared" si="259"/>
        <v>0</v>
      </c>
      <c r="H16615" t="s">
        <v>7</v>
      </c>
    </row>
    <row r="16616" spans="2:8" x14ac:dyDescent="0.2">
      <c r="B16616" s="3">
        <v>46016</v>
      </c>
      <c r="C16616" s="3"/>
      <c r="D16616" s="28"/>
      <c r="E16616" s="2"/>
      <c r="F16616" s="2"/>
      <c r="G16616" s="2">
        <f t="shared" si="259"/>
        <v>0</v>
      </c>
      <c r="H16616" t="s">
        <v>6</v>
      </c>
    </row>
    <row r="16617" spans="2:8" x14ac:dyDescent="0.2">
      <c r="B16617" s="3">
        <v>46016</v>
      </c>
      <c r="C16617" s="3"/>
      <c r="D16617" s="28"/>
      <c r="E16617" s="2"/>
      <c r="F16617" s="2"/>
      <c r="G16617" s="2">
        <f t="shared" si="259"/>
        <v>0</v>
      </c>
      <c r="H16617" t="s">
        <v>5</v>
      </c>
    </row>
    <row r="16618" spans="2:8" x14ac:dyDescent="0.2">
      <c r="B16618" s="3">
        <v>46016</v>
      </c>
      <c r="C16618" s="3"/>
      <c r="D16618" s="28"/>
      <c r="E16618" s="2"/>
      <c r="F16618" s="2"/>
      <c r="G16618" s="2">
        <f t="shared" si="259"/>
        <v>0</v>
      </c>
      <c r="H16618" s="1"/>
    </row>
    <row r="16619" spans="2:8" x14ac:dyDescent="0.2">
      <c r="B16619" s="3">
        <v>46016</v>
      </c>
      <c r="C16619" s="3"/>
      <c r="E16619" s="2"/>
      <c r="F16619" s="2"/>
      <c r="G16619" s="2">
        <f t="shared" si="259"/>
        <v>0</v>
      </c>
      <c r="H16619" t="s">
        <v>0</v>
      </c>
    </row>
    <row r="16620" spans="2:8" x14ac:dyDescent="0.2">
      <c r="B16620" s="3">
        <v>46017</v>
      </c>
      <c r="C16620" s="2"/>
      <c r="E16620" s="2"/>
      <c r="F16620" s="2"/>
      <c r="G16620" s="2">
        <f t="shared" si="259"/>
        <v>0</v>
      </c>
      <c r="H16620" t="s">
        <v>14</v>
      </c>
    </row>
    <row r="16621" spans="2:8" x14ac:dyDescent="0.2">
      <c r="B16621" s="3">
        <v>46017</v>
      </c>
      <c r="C16621" s="2"/>
      <c r="E16621" s="2"/>
      <c r="F16621" s="2"/>
      <c r="G16621" s="2">
        <f t="shared" si="259"/>
        <v>0</v>
      </c>
      <c r="H16621" t="s">
        <v>13</v>
      </c>
    </row>
    <row r="16622" spans="2:8" x14ac:dyDescent="0.2">
      <c r="B16622" s="3">
        <v>46017</v>
      </c>
      <c r="C16622" s="3"/>
      <c r="D16622" s="28"/>
      <c r="E16622" s="2"/>
      <c r="F16622" s="2"/>
      <c r="G16622" s="2">
        <f t="shared" si="259"/>
        <v>0</v>
      </c>
      <c r="H16622" t="s">
        <v>11</v>
      </c>
    </row>
    <row r="16623" spans="2:8" x14ac:dyDescent="0.2">
      <c r="B16623" s="3">
        <v>46017</v>
      </c>
      <c r="C16623" s="3"/>
      <c r="D16623" s="28"/>
      <c r="E16623" s="2"/>
      <c r="F16623" s="2"/>
      <c r="G16623" s="2">
        <f t="shared" si="259"/>
        <v>0</v>
      </c>
      <c r="H16623" t="s">
        <v>10</v>
      </c>
    </row>
    <row r="16624" spans="2:8" x14ac:dyDescent="0.2">
      <c r="B16624" s="3">
        <v>46017</v>
      </c>
      <c r="C16624" s="3"/>
      <c r="D16624" s="28"/>
      <c r="E16624" s="2"/>
      <c r="F16624" s="2"/>
      <c r="G16624" s="2">
        <f t="shared" si="259"/>
        <v>0</v>
      </c>
      <c r="H16624" t="s">
        <v>9</v>
      </c>
    </row>
    <row r="16625" spans="2:8" x14ac:dyDescent="0.2">
      <c r="B16625" s="3">
        <v>46017</v>
      </c>
      <c r="C16625" s="3"/>
      <c r="D16625" s="28"/>
      <c r="E16625" s="2"/>
      <c r="F16625" s="2"/>
      <c r="G16625" s="2">
        <f t="shared" si="259"/>
        <v>0</v>
      </c>
      <c r="H16625" t="s">
        <v>8</v>
      </c>
    </row>
    <row r="16626" spans="2:8" x14ac:dyDescent="0.2">
      <c r="B16626" s="3">
        <v>46017</v>
      </c>
      <c r="C16626" s="3"/>
      <c r="D16626" s="28"/>
      <c r="E16626" s="2"/>
      <c r="F16626" s="2"/>
      <c r="G16626" s="2">
        <f t="shared" si="259"/>
        <v>0</v>
      </c>
      <c r="H16626" t="s">
        <v>7</v>
      </c>
    </row>
    <row r="16627" spans="2:8" x14ac:dyDescent="0.2">
      <c r="B16627" s="3">
        <v>46017</v>
      </c>
      <c r="C16627" s="3"/>
      <c r="D16627" s="28"/>
      <c r="E16627" s="2"/>
      <c r="F16627" s="2"/>
      <c r="G16627" s="2">
        <f t="shared" si="259"/>
        <v>0</v>
      </c>
      <c r="H16627" t="s">
        <v>6</v>
      </c>
    </row>
    <row r="16628" spans="2:8" x14ac:dyDescent="0.2">
      <c r="B16628" s="3">
        <v>46017</v>
      </c>
      <c r="C16628" s="3"/>
      <c r="D16628" s="28"/>
      <c r="E16628" s="2"/>
      <c r="F16628" s="2"/>
      <c r="G16628" s="2">
        <f t="shared" si="259"/>
        <v>0</v>
      </c>
      <c r="H16628" t="s">
        <v>5</v>
      </c>
    </row>
    <row r="16629" spans="2:8" x14ac:dyDescent="0.2">
      <c r="B16629" s="3">
        <v>46017</v>
      </c>
      <c r="C16629" s="3"/>
      <c r="D16629" s="28"/>
      <c r="E16629" s="2"/>
      <c r="F16629" s="2"/>
      <c r="G16629" s="2">
        <f t="shared" si="259"/>
        <v>0</v>
      </c>
      <c r="H16629" s="1"/>
    </row>
    <row r="16630" spans="2:8" x14ac:dyDescent="0.2">
      <c r="B16630" s="3">
        <v>46017</v>
      </c>
      <c r="C16630" s="3"/>
      <c r="E16630" s="2"/>
      <c r="F16630" s="2"/>
      <c r="G16630" s="2">
        <f t="shared" si="259"/>
        <v>0</v>
      </c>
      <c r="H16630" t="s">
        <v>0</v>
      </c>
    </row>
    <row r="16631" spans="2:8" x14ac:dyDescent="0.2">
      <c r="B16631" s="3">
        <v>46018</v>
      </c>
      <c r="C16631" s="2"/>
      <c r="E16631" s="2"/>
      <c r="F16631" s="2"/>
      <c r="G16631" s="2">
        <f t="shared" si="259"/>
        <v>0</v>
      </c>
      <c r="H16631" t="s">
        <v>14</v>
      </c>
    </row>
    <row r="16632" spans="2:8" x14ac:dyDescent="0.2">
      <c r="B16632" s="3">
        <v>46018</v>
      </c>
      <c r="C16632" s="2"/>
      <c r="E16632" s="2"/>
      <c r="F16632" s="2"/>
      <c r="G16632" s="2">
        <f t="shared" si="259"/>
        <v>0</v>
      </c>
      <c r="H16632" t="s">
        <v>13</v>
      </c>
    </row>
    <row r="16633" spans="2:8" x14ac:dyDescent="0.2">
      <c r="B16633" s="3">
        <v>46018</v>
      </c>
      <c r="C16633" s="3"/>
      <c r="D16633" s="28"/>
      <c r="E16633" s="2"/>
      <c r="F16633" s="2"/>
      <c r="G16633" s="2">
        <f t="shared" si="259"/>
        <v>0</v>
      </c>
      <c r="H16633" t="s">
        <v>11</v>
      </c>
    </row>
    <row r="16634" spans="2:8" x14ac:dyDescent="0.2">
      <c r="B16634" s="3">
        <v>46018</v>
      </c>
      <c r="C16634" s="3"/>
      <c r="D16634" s="28"/>
      <c r="E16634" s="2"/>
      <c r="F16634" s="2"/>
      <c r="G16634" s="2">
        <f t="shared" si="259"/>
        <v>0</v>
      </c>
      <c r="H16634" t="s">
        <v>10</v>
      </c>
    </row>
    <row r="16635" spans="2:8" x14ac:dyDescent="0.2">
      <c r="B16635" s="3">
        <v>46018</v>
      </c>
      <c r="C16635" s="3"/>
      <c r="D16635" s="28"/>
      <c r="E16635" s="2"/>
      <c r="F16635" s="2"/>
      <c r="G16635" s="2">
        <f t="shared" si="259"/>
        <v>0</v>
      </c>
      <c r="H16635" t="s">
        <v>9</v>
      </c>
    </row>
    <row r="16636" spans="2:8" x14ac:dyDescent="0.2">
      <c r="B16636" s="3">
        <v>46018</v>
      </c>
      <c r="C16636" s="3"/>
      <c r="D16636" s="28"/>
      <c r="E16636" s="2"/>
      <c r="F16636" s="2"/>
      <c r="G16636" s="2">
        <f t="shared" si="259"/>
        <v>0</v>
      </c>
      <c r="H16636" t="s">
        <v>8</v>
      </c>
    </row>
    <row r="16637" spans="2:8" x14ac:dyDescent="0.2">
      <c r="B16637" s="3">
        <v>46018</v>
      </c>
      <c r="C16637" s="3"/>
      <c r="D16637" s="28"/>
      <c r="E16637" s="2"/>
      <c r="F16637" s="2"/>
      <c r="G16637" s="2">
        <f t="shared" si="259"/>
        <v>0</v>
      </c>
      <c r="H16637" t="s">
        <v>7</v>
      </c>
    </row>
    <row r="16638" spans="2:8" x14ac:dyDescent="0.2">
      <c r="B16638" s="3">
        <v>46018</v>
      </c>
      <c r="C16638" s="3"/>
      <c r="D16638" s="28"/>
      <c r="E16638" s="2"/>
      <c r="F16638" s="2"/>
      <c r="G16638" s="2">
        <f t="shared" si="259"/>
        <v>0</v>
      </c>
      <c r="H16638" t="s">
        <v>6</v>
      </c>
    </row>
    <row r="16639" spans="2:8" x14ac:dyDescent="0.2">
      <c r="B16639" s="3">
        <v>46018</v>
      </c>
      <c r="C16639" s="3"/>
      <c r="D16639" s="28"/>
      <c r="E16639" s="2"/>
      <c r="F16639" s="2"/>
      <c r="G16639" s="2">
        <f t="shared" si="259"/>
        <v>0</v>
      </c>
      <c r="H16639" t="s">
        <v>5</v>
      </c>
    </row>
    <row r="16640" spans="2:8" x14ac:dyDescent="0.2">
      <c r="B16640" s="3">
        <v>46018</v>
      </c>
      <c r="C16640" s="3"/>
      <c r="D16640" s="28"/>
      <c r="E16640" s="2"/>
      <c r="F16640" s="2"/>
      <c r="G16640" s="2">
        <f t="shared" si="259"/>
        <v>0</v>
      </c>
      <c r="H16640" s="1"/>
    </row>
    <row r="16641" spans="2:8" x14ac:dyDescent="0.2">
      <c r="B16641" s="3">
        <v>46018</v>
      </c>
      <c r="C16641" s="3"/>
      <c r="E16641" s="2"/>
      <c r="F16641" s="2"/>
      <c r="G16641" s="2">
        <f t="shared" si="259"/>
        <v>0</v>
      </c>
      <c r="H16641" t="s">
        <v>0</v>
      </c>
    </row>
    <row r="16642" spans="2:8" x14ac:dyDescent="0.2">
      <c r="B16642" s="3">
        <v>46019</v>
      </c>
      <c r="C16642" s="2"/>
      <c r="E16642" s="2"/>
      <c r="F16642" s="2"/>
      <c r="G16642" s="2">
        <f t="shared" si="259"/>
        <v>0</v>
      </c>
      <c r="H16642" t="s">
        <v>14</v>
      </c>
    </row>
    <row r="16643" spans="2:8" x14ac:dyDescent="0.2">
      <c r="B16643" s="3">
        <v>46019</v>
      </c>
      <c r="C16643" s="2"/>
      <c r="E16643" s="2"/>
      <c r="F16643" s="2"/>
      <c r="G16643" s="2">
        <f t="shared" ref="G16643:G16685" si="260">E16643-F16643</f>
        <v>0</v>
      </c>
      <c r="H16643" t="s">
        <v>13</v>
      </c>
    </row>
    <row r="16644" spans="2:8" x14ac:dyDescent="0.2">
      <c r="B16644" s="3">
        <v>46019</v>
      </c>
      <c r="C16644" s="3"/>
      <c r="D16644" s="28"/>
      <c r="E16644" s="2"/>
      <c r="F16644" s="2"/>
      <c r="G16644" s="2">
        <f t="shared" si="260"/>
        <v>0</v>
      </c>
      <c r="H16644" t="s">
        <v>11</v>
      </c>
    </row>
    <row r="16645" spans="2:8" x14ac:dyDescent="0.2">
      <c r="B16645" s="3">
        <v>46019</v>
      </c>
      <c r="C16645" s="3"/>
      <c r="D16645" s="28"/>
      <c r="E16645" s="2"/>
      <c r="F16645" s="2"/>
      <c r="G16645" s="2">
        <f t="shared" si="260"/>
        <v>0</v>
      </c>
      <c r="H16645" t="s">
        <v>10</v>
      </c>
    </row>
    <row r="16646" spans="2:8" x14ac:dyDescent="0.2">
      <c r="B16646" s="3">
        <v>46019</v>
      </c>
      <c r="C16646" s="3"/>
      <c r="D16646" s="28"/>
      <c r="E16646" s="2"/>
      <c r="F16646" s="2"/>
      <c r="G16646" s="2">
        <f t="shared" si="260"/>
        <v>0</v>
      </c>
      <c r="H16646" t="s">
        <v>9</v>
      </c>
    </row>
    <row r="16647" spans="2:8" x14ac:dyDescent="0.2">
      <c r="B16647" s="3">
        <v>46019</v>
      </c>
      <c r="C16647" s="3"/>
      <c r="D16647" s="28"/>
      <c r="E16647" s="2"/>
      <c r="F16647" s="2"/>
      <c r="G16647" s="2">
        <f t="shared" si="260"/>
        <v>0</v>
      </c>
      <c r="H16647" t="s">
        <v>8</v>
      </c>
    </row>
    <row r="16648" spans="2:8" x14ac:dyDescent="0.2">
      <c r="B16648" s="3">
        <v>46019</v>
      </c>
      <c r="C16648" s="3"/>
      <c r="D16648" s="28"/>
      <c r="E16648" s="2"/>
      <c r="F16648" s="2"/>
      <c r="G16648" s="2">
        <f t="shared" si="260"/>
        <v>0</v>
      </c>
      <c r="H16648" t="s">
        <v>7</v>
      </c>
    </row>
    <row r="16649" spans="2:8" x14ac:dyDescent="0.2">
      <c r="B16649" s="3">
        <v>46019</v>
      </c>
      <c r="C16649" s="3"/>
      <c r="D16649" s="28"/>
      <c r="E16649" s="2"/>
      <c r="F16649" s="2"/>
      <c r="G16649" s="2">
        <f t="shared" si="260"/>
        <v>0</v>
      </c>
      <c r="H16649" t="s">
        <v>6</v>
      </c>
    </row>
    <row r="16650" spans="2:8" x14ac:dyDescent="0.2">
      <c r="B16650" s="3">
        <v>46019</v>
      </c>
      <c r="C16650" s="3"/>
      <c r="D16650" s="28"/>
      <c r="E16650" s="2"/>
      <c r="F16650" s="2"/>
      <c r="G16650" s="2">
        <f t="shared" si="260"/>
        <v>0</v>
      </c>
      <c r="H16650" t="s">
        <v>5</v>
      </c>
    </row>
    <row r="16651" spans="2:8" x14ac:dyDescent="0.2">
      <c r="B16651" s="3">
        <v>46019</v>
      </c>
      <c r="C16651" s="3"/>
      <c r="D16651" s="28"/>
      <c r="E16651" s="2"/>
      <c r="F16651" s="2"/>
      <c r="G16651" s="2">
        <f t="shared" si="260"/>
        <v>0</v>
      </c>
      <c r="H16651" s="1"/>
    </row>
    <row r="16652" spans="2:8" x14ac:dyDescent="0.2">
      <c r="B16652" s="3">
        <v>46019</v>
      </c>
      <c r="C16652" s="3"/>
      <c r="E16652" s="2"/>
      <c r="F16652" s="2"/>
      <c r="G16652" s="2">
        <f t="shared" si="260"/>
        <v>0</v>
      </c>
      <c r="H16652" t="s">
        <v>0</v>
      </c>
    </row>
    <row r="16653" spans="2:8" x14ac:dyDescent="0.2">
      <c r="B16653" s="3">
        <v>46020</v>
      </c>
      <c r="C16653" s="2"/>
      <c r="E16653" s="2"/>
      <c r="F16653" s="2"/>
      <c r="G16653" s="2">
        <f t="shared" si="260"/>
        <v>0</v>
      </c>
      <c r="H16653" t="s">
        <v>14</v>
      </c>
    </row>
    <row r="16654" spans="2:8" x14ac:dyDescent="0.2">
      <c r="B16654" s="3">
        <v>46020</v>
      </c>
      <c r="C16654" s="2"/>
      <c r="E16654" s="2"/>
      <c r="F16654" s="2"/>
      <c r="G16654" s="2">
        <f t="shared" si="260"/>
        <v>0</v>
      </c>
      <c r="H16654" t="s">
        <v>13</v>
      </c>
    </row>
    <row r="16655" spans="2:8" x14ac:dyDescent="0.2">
      <c r="B16655" s="3">
        <v>46020</v>
      </c>
      <c r="C16655" s="3"/>
      <c r="D16655" s="28"/>
      <c r="E16655" s="2"/>
      <c r="F16655" s="2"/>
      <c r="G16655" s="2">
        <f t="shared" si="260"/>
        <v>0</v>
      </c>
      <c r="H16655" t="s">
        <v>11</v>
      </c>
    </row>
    <row r="16656" spans="2:8" x14ac:dyDescent="0.2">
      <c r="B16656" s="3">
        <v>46020</v>
      </c>
      <c r="C16656" s="3"/>
      <c r="D16656" s="28"/>
      <c r="E16656" s="2"/>
      <c r="F16656" s="2"/>
      <c r="G16656" s="2">
        <f t="shared" si="260"/>
        <v>0</v>
      </c>
      <c r="H16656" t="s">
        <v>10</v>
      </c>
    </row>
    <row r="16657" spans="2:8" x14ac:dyDescent="0.2">
      <c r="B16657" s="3">
        <v>46020</v>
      </c>
      <c r="C16657" s="3"/>
      <c r="D16657" s="28"/>
      <c r="E16657" s="2"/>
      <c r="F16657" s="2"/>
      <c r="G16657" s="2">
        <f t="shared" si="260"/>
        <v>0</v>
      </c>
      <c r="H16657" t="s">
        <v>9</v>
      </c>
    </row>
    <row r="16658" spans="2:8" x14ac:dyDescent="0.2">
      <c r="B16658" s="3">
        <v>46020</v>
      </c>
      <c r="C16658" s="3"/>
      <c r="D16658" s="28"/>
      <c r="E16658" s="2"/>
      <c r="F16658" s="2"/>
      <c r="G16658" s="2">
        <f t="shared" si="260"/>
        <v>0</v>
      </c>
      <c r="H16658" t="s">
        <v>8</v>
      </c>
    </row>
    <row r="16659" spans="2:8" x14ac:dyDescent="0.2">
      <c r="B16659" s="3">
        <v>46020</v>
      </c>
      <c r="C16659" s="3"/>
      <c r="D16659" s="28"/>
      <c r="E16659" s="2"/>
      <c r="F16659" s="2"/>
      <c r="G16659" s="2">
        <f t="shared" si="260"/>
        <v>0</v>
      </c>
      <c r="H16659" t="s">
        <v>7</v>
      </c>
    </row>
    <row r="16660" spans="2:8" x14ac:dyDescent="0.2">
      <c r="B16660" s="3">
        <v>46020</v>
      </c>
      <c r="C16660" s="3"/>
      <c r="D16660" s="28"/>
      <c r="E16660" s="2"/>
      <c r="F16660" s="2"/>
      <c r="G16660" s="2">
        <f t="shared" si="260"/>
        <v>0</v>
      </c>
      <c r="H16660" t="s">
        <v>6</v>
      </c>
    </row>
    <row r="16661" spans="2:8" x14ac:dyDescent="0.2">
      <c r="B16661" s="3">
        <v>46020</v>
      </c>
      <c r="C16661" s="3"/>
      <c r="D16661" s="28"/>
      <c r="E16661" s="2"/>
      <c r="F16661" s="2"/>
      <c r="G16661" s="2">
        <f t="shared" si="260"/>
        <v>0</v>
      </c>
      <c r="H16661" t="s">
        <v>5</v>
      </c>
    </row>
    <row r="16662" spans="2:8" x14ac:dyDescent="0.2">
      <c r="B16662" s="3">
        <v>46020</v>
      </c>
      <c r="C16662" s="3"/>
      <c r="D16662" s="28"/>
      <c r="E16662" s="2"/>
      <c r="F16662" s="2"/>
      <c r="G16662" s="2">
        <f t="shared" si="260"/>
        <v>0</v>
      </c>
      <c r="H16662" s="1"/>
    </row>
    <row r="16663" spans="2:8" x14ac:dyDescent="0.2">
      <c r="B16663" s="3">
        <v>46020</v>
      </c>
      <c r="C16663" s="3"/>
      <c r="E16663" s="2"/>
      <c r="F16663" s="2"/>
      <c r="G16663" s="2">
        <f t="shared" si="260"/>
        <v>0</v>
      </c>
      <c r="H16663" t="s">
        <v>0</v>
      </c>
    </row>
    <row r="16664" spans="2:8" x14ac:dyDescent="0.2">
      <c r="B16664" s="3">
        <v>46021</v>
      </c>
      <c r="C16664" s="2"/>
      <c r="E16664" s="2"/>
      <c r="F16664" s="2"/>
      <c r="G16664" s="2">
        <f t="shared" si="260"/>
        <v>0</v>
      </c>
      <c r="H16664" t="s">
        <v>14</v>
      </c>
    </row>
    <row r="16665" spans="2:8" x14ac:dyDescent="0.2">
      <c r="B16665" s="3">
        <v>46021</v>
      </c>
      <c r="C16665" s="2"/>
      <c r="E16665" s="2"/>
      <c r="F16665" s="2"/>
      <c r="G16665" s="2">
        <f t="shared" si="260"/>
        <v>0</v>
      </c>
      <c r="H16665" t="s">
        <v>13</v>
      </c>
    </row>
    <row r="16666" spans="2:8" x14ac:dyDescent="0.2">
      <c r="B16666" s="3">
        <v>46021</v>
      </c>
      <c r="C16666" s="3"/>
      <c r="D16666" s="28"/>
      <c r="E16666" s="2"/>
      <c r="F16666" s="2"/>
      <c r="G16666" s="2">
        <f t="shared" si="260"/>
        <v>0</v>
      </c>
      <c r="H16666" t="s">
        <v>11</v>
      </c>
    </row>
    <row r="16667" spans="2:8" x14ac:dyDescent="0.2">
      <c r="B16667" s="3">
        <v>46021</v>
      </c>
      <c r="C16667" s="3"/>
      <c r="D16667" s="28"/>
      <c r="E16667" s="2"/>
      <c r="F16667" s="2"/>
      <c r="G16667" s="2">
        <f t="shared" si="260"/>
        <v>0</v>
      </c>
      <c r="H16667" t="s">
        <v>10</v>
      </c>
    </row>
    <row r="16668" spans="2:8" x14ac:dyDescent="0.2">
      <c r="B16668" s="3">
        <v>46021</v>
      </c>
      <c r="C16668" s="3"/>
      <c r="D16668" s="28"/>
      <c r="E16668" s="2"/>
      <c r="F16668" s="2"/>
      <c r="G16668" s="2">
        <f t="shared" si="260"/>
        <v>0</v>
      </c>
      <c r="H16668" t="s">
        <v>9</v>
      </c>
    </row>
    <row r="16669" spans="2:8" x14ac:dyDescent="0.2">
      <c r="B16669" s="3">
        <v>46021</v>
      </c>
      <c r="C16669" s="3"/>
      <c r="D16669" s="28"/>
      <c r="E16669" s="2"/>
      <c r="F16669" s="2"/>
      <c r="G16669" s="2">
        <f t="shared" si="260"/>
        <v>0</v>
      </c>
      <c r="H16669" t="s">
        <v>8</v>
      </c>
    </row>
    <row r="16670" spans="2:8" x14ac:dyDescent="0.2">
      <c r="B16670" s="3">
        <v>46021</v>
      </c>
      <c r="C16670" s="3"/>
      <c r="D16670" s="28"/>
      <c r="E16670" s="2"/>
      <c r="F16670" s="2"/>
      <c r="G16670" s="2">
        <f t="shared" si="260"/>
        <v>0</v>
      </c>
      <c r="H16670" t="s">
        <v>7</v>
      </c>
    </row>
    <row r="16671" spans="2:8" x14ac:dyDescent="0.2">
      <c r="B16671" s="3">
        <v>46021</v>
      </c>
      <c r="C16671" s="3"/>
      <c r="D16671" s="28"/>
      <c r="E16671" s="2"/>
      <c r="F16671" s="2"/>
      <c r="G16671" s="2">
        <f t="shared" si="260"/>
        <v>0</v>
      </c>
      <c r="H16671" t="s">
        <v>6</v>
      </c>
    </row>
    <row r="16672" spans="2:8" x14ac:dyDescent="0.2">
      <c r="B16672" s="3">
        <v>46021</v>
      </c>
      <c r="C16672" s="3"/>
      <c r="D16672" s="28"/>
      <c r="E16672" s="2"/>
      <c r="F16672" s="2"/>
      <c r="G16672" s="2">
        <f t="shared" si="260"/>
        <v>0</v>
      </c>
      <c r="H16672" t="s">
        <v>5</v>
      </c>
    </row>
    <row r="16673" spans="2:8" x14ac:dyDescent="0.2">
      <c r="B16673" s="3">
        <v>46021</v>
      </c>
      <c r="C16673" s="3"/>
      <c r="D16673" s="28"/>
      <c r="E16673" s="2"/>
      <c r="F16673" s="2"/>
      <c r="G16673" s="2">
        <f t="shared" si="260"/>
        <v>0</v>
      </c>
      <c r="H16673" s="1"/>
    </row>
    <row r="16674" spans="2:8" x14ac:dyDescent="0.2">
      <c r="B16674" s="3">
        <v>46021</v>
      </c>
      <c r="C16674" s="3"/>
      <c r="E16674" s="2"/>
      <c r="F16674" s="2"/>
      <c r="G16674" s="2">
        <f t="shared" si="260"/>
        <v>0</v>
      </c>
      <c r="H16674" t="s">
        <v>0</v>
      </c>
    </row>
    <row r="16675" spans="2:8" x14ac:dyDescent="0.2">
      <c r="B16675" s="3">
        <v>46022</v>
      </c>
      <c r="C16675" s="2"/>
      <c r="E16675" s="2"/>
      <c r="F16675" s="2"/>
      <c r="G16675" s="2">
        <f t="shared" si="260"/>
        <v>0</v>
      </c>
      <c r="H16675" t="s">
        <v>14</v>
      </c>
    </row>
    <row r="16676" spans="2:8" x14ac:dyDescent="0.2">
      <c r="B16676" s="3">
        <v>46022</v>
      </c>
      <c r="C16676" s="2"/>
      <c r="E16676" s="2"/>
      <c r="F16676" s="2"/>
      <c r="G16676" s="2">
        <f t="shared" si="260"/>
        <v>0</v>
      </c>
      <c r="H16676" t="s">
        <v>13</v>
      </c>
    </row>
    <row r="16677" spans="2:8" x14ac:dyDescent="0.2">
      <c r="B16677" s="3">
        <v>46022</v>
      </c>
      <c r="C16677" s="3"/>
      <c r="D16677" s="28"/>
      <c r="E16677" s="2"/>
      <c r="F16677" s="2"/>
      <c r="G16677" s="2">
        <f t="shared" si="260"/>
        <v>0</v>
      </c>
      <c r="H16677" t="s">
        <v>11</v>
      </c>
    </row>
    <row r="16678" spans="2:8" x14ac:dyDescent="0.2">
      <c r="B16678" s="3">
        <v>46022</v>
      </c>
      <c r="C16678" s="3"/>
      <c r="D16678" s="28"/>
      <c r="E16678" s="2"/>
      <c r="F16678" s="2"/>
      <c r="G16678" s="2">
        <f t="shared" si="260"/>
        <v>0</v>
      </c>
      <c r="H16678" t="s">
        <v>10</v>
      </c>
    </row>
    <row r="16679" spans="2:8" x14ac:dyDescent="0.2">
      <c r="B16679" s="3">
        <v>46022</v>
      </c>
      <c r="C16679" s="3"/>
      <c r="D16679" s="28"/>
      <c r="E16679" s="2"/>
      <c r="F16679" s="2"/>
      <c r="G16679" s="2">
        <f t="shared" si="260"/>
        <v>0</v>
      </c>
      <c r="H16679" t="s">
        <v>9</v>
      </c>
    </row>
    <row r="16680" spans="2:8" x14ac:dyDescent="0.2">
      <c r="B16680" s="3">
        <v>46022</v>
      </c>
      <c r="C16680" s="3"/>
      <c r="D16680" s="28"/>
      <c r="E16680" s="2"/>
      <c r="F16680" s="2"/>
      <c r="G16680" s="2">
        <f t="shared" si="260"/>
        <v>0</v>
      </c>
      <c r="H16680" t="s">
        <v>8</v>
      </c>
    </row>
    <row r="16681" spans="2:8" x14ac:dyDescent="0.2">
      <c r="B16681" s="3">
        <v>46022</v>
      </c>
      <c r="C16681" s="3"/>
      <c r="D16681" s="28"/>
      <c r="E16681" s="2"/>
      <c r="F16681" s="2"/>
      <c r="G16681" s="2">
        <f t="shared" si="260"/>
        <v>0</v>
      </c>
      <c r="H16681" t="s">
        <v>7</v>
      </c>
    </row>
    <row r="16682" spans="2:8" x14ac:dyDescent="0.2">
      <c r="B16682" s="3">
        <v>46022</v>
      </c>
      <c r="C16682" s="3"/>
      <c r="D16682" s="28"/>
      <c r="E16682" s="2"/>
      <c r="F16682" s="2"/>
      <c r="G16682" s="2">
        <f t="shared" si="260"/>
        <v>0</v>
      </c>
      <c r="H16682" t="s">
        <v>6</v>
      </c>
    </row>
    <row r="16683" spans="2:8" x14ac:dyDescent="0.2">
      <c r="B16683" s="3">
        <v>46022</v>
      </c>
      <c r="C16683" s="3"/>
      <c r="D16683" s="28"/>
      <c r="E16683" s="2"/>
      <c r="F16683" s="2"/>
      <c r="G16683" s="2">
        <f t="shared" si="260"/>
        <v>0</v>
      </c>
      <c r="H16683" t="s">
        <v>5</v>
      </c>
    </row>
    <row r="16684" spans="2:8" x14ac:dyDescent="0.2">
      <c r="B16684" s="3">
        <v>46022</v>
      </c>
      <c r="C16684" s="3"/>
      <c r="D16684" s="28"/>
      <c r="E16684" s="2"/>
      <c r="F16684" s="2"/>
      <c r="G16684" s="2">
        <f t="shared" si="260"/>
        <v>0</v>
      </c>
      <c r="H16684" s="1"/>
    </row>
    <row r="16685" spans="2:8" x14ac:dyDescent="0.2">
      <c r="B16685" s="3">
        <v>46022</v>
      </c>
      <c r="C16685" s="3"/>
      <c r="E16685" s="2"/>
      <c r="F16685" s="2"/>
      <c r="G16685" s="2">
        <f t="shared" si="260"/>
        <v>0</v>
      </c>
      <c r="H16685" t="s">
        <v>0</v>
      </c>
    </row>
  </sheetData>
  <autoFilter ref="B2:H16685" xr:uid="{65987FBD-78C7-5E49-AC2F-8BF0232C824A}">
    <sortState xmlns:xlrd2="http://schemas.microsoft.com/office/spreadsheetml/2017/richdata2" ref="B3:H16685">
      <sortCondition ref="B2:B1668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2025-09-22T05:47:27Z</dcterms:created>
  <dcterms:modified xsi:type="dcterms:W3CDTF">2025-12-20T20:17:06Z</dcterms:modified>
</cp:coreProperties>
</file>